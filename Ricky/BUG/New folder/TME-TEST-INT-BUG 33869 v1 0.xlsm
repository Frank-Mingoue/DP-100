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Ricky\BUG\New folder\"/>
    </mc:Choice>
  </mc:AlternateContent>
  <xr:revisionPtr revIDLastSave="0" documentId="13_ncr:1_{175BDE65-2F94-4DB7-B047-45B8F482220B}" xr6:coauthVersionLast="47" xr6:coauthVersionMax="47" xr10:uidLastSave="{00000000-0000-0000-0000-000000000000}"/>
  <bookViews>
    <workbookView minimized="1" xWindow="732" yWindow="732" windowWidth="17280" windowHeight="8964" tabRatio="926" xr2:uid="{00000000-000D-0000-FFFF-FFFF00000000}"/>
  </bookViews>
  <sheets>
    <sheet name="Cover" sheetId="20" r:id="rId1"/>
    <sheet name="Version Control" sheetId="23" r:id="rId2"/>
    <sheet name="Test Cycle 1" sheetId="24" r:id="rId3"/>
    <sheet name="AppConfig" sheetId="26" state="hidden" r:id="rId4"/>
    <sheet name="Screenshot" sheetId="25"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00000000-0006-0000-0200-000003000000}">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<sst xmlns="http://schemas.openxmlformats.org/spreadsheetml/2006/main" count="154" uniqueCount="117">
  <si>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</si>
  <si>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</si>
  <si>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</si>
  <si>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</si>
  <si>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</si>
  <si>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</si>
  <si>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</si>
  <si>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</si>
  <si>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</si>
  <si>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</si>
  <si>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</si>
  <si>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</si>
  <si>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</si>
  <si>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</si>
  <si>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</si>
  <si>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</si>
  <si>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</si>
  <si>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</si>
  <si>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</si>
  <si>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</si>
  <si>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</si>
  <si>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</si>
  <si>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</si>
  <si>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</si>
  <si>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</si>
  <si>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</si>
  <si>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</si>
  <si>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</si>
  <si>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</si>
  <si>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</si>
  <si>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</si>
  <si>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</si>
  <si>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</si>
  <si>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</si>
  <si>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</si>
  <si>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</si>
  <si>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</si>
  <si>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</si>
  <si>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</si>
  <si>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</si>
  <si>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</si>
  <si>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</si>
  <si>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</si>
  <si>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</si>
  <si>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</si>
  <si>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</si>
  <si>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</si>
  <si>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</si>
  <si>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</si>
  <si>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</si>
  <si>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</si>
  <si>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</si>
  <si>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</si>
  <si>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</si>
  <si>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</si>
  <si>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</si>
  <si>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</si>
  <si>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</si>
  <si>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</si>
  <si>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</si>
  <si>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</si>
  <si>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</si>
  <si>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</si>
  <si>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</si>
  <si>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</si>
  <si>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</si>
  <si>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</si>
  <si>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</si>
  <si>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</si>
  <si>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</si>
  <si>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</si>
  <si>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</si>
  <si>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</si>
  <si>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</si>
  <si>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</si>
  <si>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</si>
  <si>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</si>
  <si>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</si>
  <si>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</si>
  <si>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 xml:space="preserve">Test Case completed </t>
  </si>
  <si>
    <t>Send Email for columns creation</t>
  </si>
  <si>
    <t>Account Reset Generic</t>
  </si>
  <si>
    <t>FDE_INT_AC_RESET_PRE_GENERIC, FDE_INT_AC_RESET_GENERIC</t>
  </si>
  <si>
    <t>RUN_EIM_PROCESS_TMEC, JTI_DWH_ETLComplete_Incremental
JTI_OLTP_EIM</t>
  </si>
  <si>
    <t>Place FF in INFA Server</t>
  </si>
  <si>
    <t>Infa Server</t>
  </si>
  <si>
    <t>N/A</t>
  </si>
  <si>
    <t>File correctly placed</t>
  </si>
  <si>
    <t>Register FF</t>
  </si>
  <si>
    <t>Open Workflow Manager. 
Launch EIM_INTERFACE--&gt;RUN_EIM_PROCESS_TMEC--&gt; wrk_Pre_Etl_java_TMEC</t>
  </si>
  <si>
    <t xml:space="preserve">SELECT * FROM WC_ETL_FILES_G WHERE FILENAME LIKE 'ESTIACRG0101_20211214_10%'
</t>
  </si>
  <si>
    <t>File correctly registered</t>
  </si>
  <si>
    <t>Load Flat file</t>
  </si>
  <si>
    <t>Open Workflow Manager. 
Launch EIM_INTERFACE--&gt;RUN_EIM_PROCESS_TMEC--&gt; wrk_AC_Reset_Interface_Generic</t>
  </si>
  <si>
    <t>Informatica &amp; SIEBEL_OLAP_DEV81</t>
  </si>
  <si>
    <t>Informatica &amp; SIEBEL_OLTP_DEV14</t>
  </si>
  <si>
    <t>LENGTH, BOOLEAN, NUM, LOV, FK, Mandatory Checks are performed are returned for each respective field</t>
  </si>
  <si>
    <t>LENGTH, BOOLEAN, NUM, LOV, FK, Mandatory, Duplicate Checks are performed are returned for each respective field</t>
  </si>
  <si>
    <t>SELECT FIELD_NAME,FIELD_VALUE,FAILURE_DESCRIPTION,* FROM WC_ERRORS_G WHERE FILE_NAME LIKE '%ESTIACRG0101_20211214_10%'</t>
  </si>
  <si>
    <t>Place FF in \\10.186.26.22\Interfaces_IP14\Spain\IUNP from
 J:\General\04_RELEASE_MANAGEMENT\2021-06-Release PROD FEB22\04_Release Docs\003-Data\Data Regression\UAT-0</t>
  </si>
  <si>
    <t>CT</t>
  </si>
  <si>
    <t>Y</t>
  </si>
  <si>
    <t>ESTIACRG0101_20211214_10</t>
  </si>
  <si>
    <t>Feb , 2022</t>
  </si>
  <si>
    <t>Frank</t>
  </si>
  <si>
    <t>24/01/2022</t>
  </si>
  <si>
    <t>select  * 
from WC_LOAD_STATUS_G 
where FILENAME like 'ESTIACRG0101_20211214_10%'</t>
  </si>
  <si>
    <t>Check if TMEC files are succefully registered in WC_LOAD_STATUS_G</t>
  </si>
  <si>
    <t xml:space="preserve">export errors </t>
  </si>
  <si>
    <t>Open Workflow Manager. 
Launch EIM_INTERFACE--&gt;RUN_EIM_PROCESS_TMEC--&gt; wrk_Export_Errors</t>
  </si>
  <si>
    <t>SELECT * FROM WC_ETL_FILES_G WHERE FILENAME LIKE 'ESTIACRG0101_20211214_10%'</t>
  </si>
  <si>
    <t>screenshot 1</t>
  </si>
  <si>
    <t>Open Workflow Manager. 
Launch EIM_INTERFACE--&gt;RUN_EIM_PROCESS_TMEC--&gt; wrk_Run_Post_Batch_Java_TMEC</t>
  </si>
  <si>
    <t xml:space="preserve">Run Post Batch and check file load status </t>
  </si>
  <si>
    <t xml:space="preserve">Create New sp to register TMEC files load status ON WC_LOAD_STATUS_G </t>
  </si>
  <si>
    <t>BUG 33869</t>
  </si>
  <si>
    <t>TMEC Files not registered in the Load Status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</si>
</sst>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46" x14ac:knownFonts="1">
    <font>
      <sz val="10"/>
      <name val="Arial"/>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1"/>
      <color indexed="9"/>
      <name val="Book Antiqua"/>
      <family val="1"/>
    </font>
    <font>
      <b/>
      <sz val="12"/>
      <name val="Book Antiqua"/>
      <family val="1"/>
    </font>
    <font>
      <b/>
      <sz val="9"/>
      <color indexed="81"/>
      <name val="Tahoma"/>
      <family val="2"/>
    </font>
    <font>
      <sz val="9"/>
      <color indexed="81"/>
      <name val="Tahoma"/>
      <family val="2"/>
    </font>
    <font>
      <sz val="11"/>
      <color theme="1"/>
      <name val="Calibri"/>
      <family val="2"/>
      <scheme val="minor"/>
    </font>
    <font>
      <b/>
      <sz val="10"/>
      <color theme="0"/>
      <name val="Arial"/>
      <family val="2"/>
    </font>
    <font>
      <sz val="8"/>
      <name val="Arial"/>
    </font>
    <font>
      <b/>
      <sz val="10"/>
      <color rgb="FF00B050"/>
      <name val="Book Antiqua"/>
      <family val="1"/>
    </font>
  </fonts>
  <fills count="2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s>
  <borders count="18">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s>
  <cellStyleXfs count="50">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5" borderId="0" applyNumberFormat="0" applyBorder="0" applyAlignment="0" applyProtection="0"/>
    <xf numFmtId="0" fontId="4" fillId="8" borderId="0" applyNumberFormat="0" applyBorder="0" applyAlignment="0" applyProtection="0"/>
    <xf numFmtId="0" fontId="4"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20" borderId="1" applyNumberFormat="0" applyAlignment="0" applyProtection="0"/>
    <xf numFmtId="0" fontId="10" fillId="20" borderId="2" applyNumberFormat="0" applyAlignment="0" applyProtection="0"/>
    <xf numFmtId="0" fontId="2" fillId="0" borderId="0" applyFont="0" applyFill="0" applyBorder="0" applyAlignment="0" applyProtection="0"/>
    <xf numFmtId="0" fontId="11" fillId="7" borderId="2" applyNumberFormat="0" applyAlignment="0" applyProtection="0"/>
    <xf numFmtId="0" fontId="5" fillId="0" borderId="4" applyNumberFormat="0" applyFill="0" applyAlignment="0" applyProtection="0"/>
    <xf numFmtId="0" fontId="12" fillId="0" borderId="0" applyNumberFormat="0" applyFill="0" applyBorder="0" applyAlignment="0" applyProtection="0"/>
    <xf numFmtId="0" fontId="13" fillId="4" borderId="0" applyNumberFormat="0" applyBorder="0" applyAlignment="0" applyProtection="0"/>
    <xf numFmtId="0" fontId="42" fillId="0" borderId="0"/>
    <xf numFmtId="0" fontId="2" fillId="0" borderId="0"/>
    <xf numFmtId="0" fontId="42" fillId="0" borderId="0"/>
    <xf numFmtId="0" fontId="42" fillId="0" borderId="0"/>
    <xf numFmtId="0" fontId="37" fillId="0" borderId="0"/>
    <xf numFmtId="0" fontId="2" fillId="0" borderId="0"/>
    <xf numFmtId="0" fontId="2" fillId="22" borderId="9" applyNumberFormat="0" applyFont="0" applyAlignment="0" applyProtection="0"/>
    <xf numFmtId="0" fontId="14" fillId="3" borderId="0" applyNumberFormat="0" applyBorder="0" applyAlignment="0" applyProtection="0"/>
    <xf numFmtId="0" fontId="2" fillId="0" borderId="0"/>
    <xf numFmtId="0" fontId="15" fillId="0" borderId="0"/>
    <xf numFmtId="0" fontId="16" fillId="0" borderId="0" applyNumberFormat="0" applyFill="0" applyBorder="0" applyAlignment="0" applyProtection="0"/>
    <xf numFmtId="0" fontId="17" fillId="0" borderId="5" applyNumberFormat="0" applyFill="0" applyAlignment="0" applyProtection="0"/>
    <xf numFmtId="0" fontId="18" fillId="0" borderId="6" applyNumberFormat="0" applyFill="0" applyAlignment="0" applyProtection="0"/>
    <xf numFmtId="0" fontId="19" fillId="0" borderId="7" applyNumberFormat="0" applyFill="0" applyAlignment="0" applyProtection="0"/>
    <xf numFmtId="0" fontId="19" fillId="0" borderId="0" applyNumberFormat="0" applyFill="0" applyBorder="0" applyAlignment="0" applyProtection="0"/>
    <xf numFmtId="0" fontId="20" fillId="0" borderId="8" applyNumberFormat="0" applyFill="0" applyAlignment="0" applyProtection="0"/>
    <xf numFmtId="0" fontId="21" fillId="0" borderId="0" applyNumberFormat="0" applyFill="0" applyBorder="0" applyAlignment="0" applyProtection="0"/>
    <xf numFmtId="0" fontId="22" fillId="21" borderId="3" applyNumberFormat="0" applyAlignment="0" applyProtection="0"/>
  </cellStyleXfs>
  <cellXfs count="101">
    <xf numFmtId="0" fontId="0" fillId="0" borderId="0" xfId="0"/>
    <xf numFmtId="0" fontId="3" fillId="0" borderId="0" xfId="37" applyFont="1" applyAlignment="1">
      <alignment vertical="center"/>
    </xf>
    <xf numFmtId="0" fontId="2" fillId="0" borderId="0" xfId="37" applyAlignment="1">
      <alignment vertical="center"/>
    </xf>
    <xf numFmtId="0" fontId="2" fillId="0" borderId="0" xfId="37" applyFont="1" applyAlignment="1">
      <alignment vertical="center"/>
    </xf>
    <xf numFmtId="0" fontId="2" fillId="23" borderId="0" xfId="37" applyFill="1" applyAlignment="1">
      <alignment vertical="center"/>
    </xf>
    <xf numFmtId="0" fontId="3" fillId="23" borderId="0" xfId="37" applyFont="1" applyFill="1" applyAlignment="1">
      <alignment vertical="center"/>
    </xf>
    <xf numFmtId="0" fontId="25" fillId="0" borderId="0" xfId="27" applyFont="1" applyAlignment="1">
      <alignment vertical="center"/>
    </xf>
    <xf numFmtId="0" fontId="26" fillId="0" borderId="0" xfId="27" applyFont="1" applyAlignment="1">
      <alignment vertical="center"/>
    </xf>
    <xf numFmtId="0" fontId="28" fillId="0" borderId="0" xfId="27" applyFont="1" applyAlignment="1">
      <alignment vertical="center"/>
    </xf>
    <xf numFmtId="164" fontId="29" fillId="23" borderId="0" xfId="27" applyNumberFormat="1" applyFont="1" applyFill="1" applyAlignment="1">
      <alignment vertical="center"/>
    </xf>
    <xf numFmtId="164" fontId="2" fillId="23" borderId="0" xfId="27" applyNumberFormat="1" applyFill="1" applyAlignment="1">
      <alignment vertical="center"/>
    </xf>
    <xf numFmtId="0" fontId="1" fillId="0" borderId="0" xfId="33" applyFont="1" applyAlignment="1">
      <alignment vertical="center"/>
    </xf>
    <xf numFmtId="0" fontId="2" fillId="0" borderId="0" xfId="33" applyAlignment="1">
      <alignment vertical="center"/>
    </xf>
    <xf numFmtId="164" fontId="2" fillId="23" borderId="0" xfId="27" applyNumberFormat="1" applyFill="1" applyBorder="1" applyAlignment="1">
      <alignment vertical="center"/>
    </xf>
    <xf numFmtId="164" fontId="29" fillId="23" borderId="0" xfId="27" applyNumberFormat="1" applyFont="1" applyFill="1" applyBorder="1" applyAlignment="1">
      <alignment vertical="center"/>
    </xf>
    <xf numFmtId="0" fontId="2" fillId="0" borderId="0" xfId="27" applyFont="1" applyAlignment="1">
      <alignment vertical="center"/>
    </xf>
    <xf numFmtId="0" fontId="29" fillId="0" borderId="0" xfId="27" applyFont="1" applyAlignment="1">
      <alignment vertical="center"/>
    </xf>
    <xf numFmtId="0" fontId="30" fillId="0" borderId="0" xfId="27" applyFont="1" applyAlignment="1">
      <alignment vertical="center"/>
    </xf>
    <xf numFmtId="0" fontId="23" fillId="0" borderId="0" xfId="27" applyFont="1" applyAlignment="1">
      <alignment vertical="center"/>
    </xf>
    <xf numFmtId="0" fontId="31" fillId="0" borderId="0" xfId="27" applyFont="1" applyAlignment="1">
      <alignment vertical="center"/>
    </xf>
    <xf numFmtId="165" fontId="31" fillId="0" borderId="0" xfId="27" applyNumberFormat="1" applyFont="1" applyAlignment="1">
      <alignment horizontal="left" vertical="center"/>
    </xf>
    <xf numFmtId="0" fontId="32" fillId="23" borderId="0" xfId="37" applyFont="1" applyFill="1" applyAlignment="1">
      <alignment vertical="center" wrapText="1"/>
    </xf>
    <xf numFmtId="0" fontId="3" fillId="23" borderId="0" xfId="37" applyFont="1" applyFill="1" applyAlignment="1">
      <alignment horizontal="center" vertical="center" wrapText="1"/>
    </xf>
    <xf numFmtId="0" fontId="3" fillId="24" borderId="10" xfId="37" applyFont="1" applyFill="1" applyBorder="1" applyAlignment="1">
      <alignment horizontal="center" vertical="center" wrapText="1"/>
    </xf>
    <xf numFmtId="0" fontId="33" fillId="0" borderId="10" xfId="37" applyFont="1" applyBorder="1" applyAlignment="1">
      <alignment vertical="center" wrapText="1"/>
    </xf>
    <xf numFmtId="0" fontId="3" fillId="23" borderId="0" xfId="37" applyFont="1" applyFill="1" applyAlignment="1">
      <alignment vertical="center" wrapText="1"/>
    </xf>
    <xf numFmtId="0" fontId="3" fillId="24" borderId="10" xfId="37" applyFont="1" applyFill="1" applyBorder="1" applyAlignment="1">
      <alignment vertical="center"/>
    </xf>
    <xf numFmtId="0" fontId="33" fillId="0" borderId="10" xfId="37" applyFont="1" applyBorder="1" applyAlignment="1">
      <alignment horizontal="left" vertical="center" wrapText="1"/>
    </xf>
    <xf numFmtId="0" fontId="3" fillId="24" borderId="10" xfId="37" applyFont="1" applyFill="1" applyBorder="1" applyAlignment="1">
      <alignment vertical="center" wrapText="1"/>
    </xf>
    <xf numFmtId="0" fontId="35" fillId="23" borderId="11" xfId="37" applyFont="1" applyFill="1" applyBorder="1" applyAlignment="1">
      <alignment horizontal="right" vertical="center"/>
    </xf>
    <xf numFmtId="0" fontId="2" fillId="23" borderId="0" xfId="37" applyFont="1" applyFill="1" applyAlignment="1">
      <alignment vertical="center"/>
    </xf>
    <xf numFmtId="0" fontId="3" fillId="24" borderId="12" xfId="37" applyFont="1" applyFill="1" applyBorder="1" applyAlignment="1">
      <alignment vertical="center"/>
    </xf>
    <xf numFmtId="0" fontId="37" fillId="0" borderId="0" xfId="36" applyBorder="1"/>
    <xf numFmtId="0" fontId="37" fillId="0" borderId="0" xfId="36"/>
    <xf numFmtId="0" fontId="2" fillId="0" borderId="0" xfId="36" applyFont="1"/>
    <xf numFmtId="0" fontId="38" fillId="25" borderId="10" xfId="36" applyFont="1" applyFill="1" applyBorder="1" applyAlignment="1">
      <alignment horizontal="right" wrapText="1"/>
    </xf>
    <xf numFmtId="0" fontId="37" fillId="0" borderId="10" xfId="36" applyBorder="1" applyAlignment="1">
      <alignment wrapText="1"/>
    </xf>
    <xf numFmtId="0" fontId="37" fillId="0" borderId="10" xfId="36" applyBorder="1"/>
    <xf numFmtId="14" fontId="37" fillId="0" borderId="10" xfId="36" applyNumberFormat="1" applyBorder="1" applyAlignment="1">
      <alignment horizontal="right" wrapText="1"/>
    </xf>
    <xf numFmtId="0" fontId="37" fillId="0" borderId="10" xfId="36" applyFill="1" applyBorder="1" applyAlignment="1">
      <alignment wrapText="1"/>
    </xf>
    <xf numFmtId="0" fontId="3" fillId="24" borderId="13" xfId="37" applyFont="1" applyFill="1" applyBorder="1" applyAlignment="1">
      <alignment vertical="center"/>
    </xf>
    <xf numFmtId="0" fontId="2" fillId="23" borderId="0" xfId="37" applyFont="1" applyFill="1" applyBorder="1" applyAlignment="1">
      <alignment vertical="center"/>
    </xf>
    <xf numFmtId="0" fontId="2" fillId="23" borderId="0" xfId="37" applyFill="1" applyBorder="1" applyAlignment="1">
      <alignment vertical="center"/>
    </xf>
    <xf numFmtId="0" fontId="2" fillId="0" borderId="0" xfId="37" applyBorder="1" applyAlignment="1">
      <alignment vertical="center"/>
    </xf>
    <xf numFmtId="0" fontId="29" fillId="0" borderId="10" xfId="36" applyFont="1" applyFill="1" applyBorder="1" applyAlignment="1">
      <alignment vertical="top"/>
    </xf>
    <xf numFmtId="0" fontId="29" fillId="0" borderId="10" xfId="36" applyFont="1" applyBorder="1" applyAlignment="1">
      <alignment vertical="top" wrapText="1"/>
    </xf>
    <xf numFmtId="0" fontId="29" fillId="0" borderId="10" xfId="36" applyFont="1" applyBorder="1" applyAlignment="1">
      <alignment horizontal="left" vertical="top" wrapText="1"/>
    </xf>
    <xf numFmtId="0" fontId="29" fillId="0" borderId="10" xfId="36" applyFont="1" applyBorder="1" applyAlignment="1">
      <alignment vertical="top"/>
    </xf>
    <xf numFmtId="0" fontId="2" fillId="0" borderId="0" xfId="37" applyAlignment="1">
      <alignment vertical="center" wrapText="1"/>
    </xf>
    <xf numFmtId="0" fontId="2" fillId="0" borderId="0" xfId="37" applyFont="1" applyAlignment="1">
      <alignment vertical="center" wrapText="1"/>
    </xf>
    <xf numFmtId="0" fontId="2" fillId="23" borderId="0" xfId="37" applyFill="1" applyAlignment="1">
      <alignment vertical="center" wrapText="1"/>
    </xf>
    <xf numFmtId="0" fontId="2" fillId="23" borderId="0" xfId="37" applyNumberFormat="1" applyFill="1" applyAlignment="1">
      <alignment vertical="center" wrapText="1"/>
    </xf>
    <xf numFmtId="15" fontId="33" fillId="0" borderId="10" xfId="37" applyNumberFormat="1" applyFont="1" applyBorder="1" applyAlignment="1">
      <alignment horizontal="left" vertical="center" wrapText="1"/>
    </xf>
    <xf numFmtId="0" fontId="2" fillId="23" borderId="0" xfId="37" applyFill="1" applyBorder="1" applyAlignment="1">
      <alignment vertical="center" wrapText="1"/>
    </xf>
    <xf numFmtId="0" fontId="2" fillId="0" borderId="0" xfId="37" applyBorder="1" applyAlignment="1">
      <alignment vertical="center" wrapText="1"/>
    </xf>
    <xf numFmtId="0" fontId="29" fillId="0" borderId="10" xfId="36" applyFont="1" applyFill="1" applyBorder="1" applyAlignment="1">
      <alignment wrapText="1"/>
    </xf>
    <xf numFmtId="0" fontId="37" fillId="0" borderId="0" xfId="36" applyAlignment="1">
      <alignment horizontal="left" vertical="top"/>
    </xf>
    <xf numFmtId="0" fontId="0" fillId="0" borderId="0" xfId="0" applyAlignment="1">
      <alignment horizontal="center"/>
    </xf>
    <xf numFmtId="0" fontId="43" fillId="26" borderId="0" xfId="0" applyFont="1" applyFill="1"/>
    <xf numFmtId="0" fontId="43" fillId="26" borderId="0" xfId="0" applyFont="1" applyFill="1" applyAlignment="1">
      <alignment horizontal="center"/>
    </xf>
    <xf numFmtId="0" fontId="3"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2" fillId="27" borderId="10" xfId="0" quotePrefix="1" applyNumberFormat="1" applyFont="1" applyFill="1" applyBorder="1" applyAlignment="1">
      <alignment horizontal="center"/>
    </xf>
    <xf numFmtId="0" fontId="2" fillId="27" borderId="10" xfId="0" applyFont="1" applyFill="1" applyBorder="1" applyAlignment="1">
      <alignment horizontal="center"/>
    </xf>
    <xf numFmtId="166" fontId="0" fillId="27" borderId="10" xfId="0" applyNumberFormat="1" applyFill="1" applyBorder="1" applyAlignment="1">
      <alignment horizontal="center"/>
    </xf>
    <xf numFmtId="49" fontId="3" fillId="24" borderId="10" xfId="36" applyNumberFormat="1" applyFont="1" applyFill="1" applyBorder="1" applyAlignment="1">
      <alignment horizontal="center" vertical="top"/>
    </xf>
    <xf numFmtId="0" fontId="38" fillId="25" borderId="10" xfId="36" applyFont="1" applyFill="1" applyBorder="1" applyAlignment="1">
      <alignment horizontal="right" vertical="top" wrapText="1"/>
    </xf>
    <xf numFmtId="0" fontId="3" fillId="0" borderId="0" xfId="0" applyFont="1" applyFill="1"/>
    <xf numFmtId="0" fontId="0" fillId="0" borderId="0" xfId="0" applyFill="1"/>
    <xf numFmtId="0" fontId="37" fillId="0" borderId="10" xfId="36" applyFont="1" applyFill="1" applyBorder="1" applyAlignment="1">
      <alignment vertical="top" wrapText="1"/>
    </xf>
    <xf numFmtId="0" fontId="37" fillId="0" borderId="10" xfId="36" applyFont="1" applyBorder="1" applyAlignment="1">
      <alignment horizontal="left" vertical="top" wrapText="1"/>
    </xf>
    <xf numFmtId="0" fontId="37" fillId="0" borderId="10" xfId="36" applyBorder="1" applyAlignment="1">
      <alignment horizontal="left" vertical="top" wrapText="1"/>
    </xf>
    <xf numFmtId="0" fontId="0" fillId="0" borderId="0" xfId="0" applyAlignment="1">
      <alignment vertical="top" wrapText="1"/>
    </xf>
    <xf numFmtId="0" fontId="2" fillId="0" borderId="10" xfId="0" applyFont="1" applyBorder="1" applyAlignment="1">
      <alignment wrapText="1"/>
    </xf>
    <xf numFmtId="0" fontId="45" fillId="0" borderId="10" xfId="36" applyFont="1" applyFill="1" applyBorder="1" applyAlignment="1">
      <alignment wrapText="1"/>
    </xf>
    <xf numFmtId="0" fontId="37" fillId="0" borderId="12" xfId="36" applyBorder="1"/>
    <xf numFmtId="0" fontId="29" fillId="0" borderId="16" xfId="36" applyFont="1" applyFill="1" applyBorder="1" applyAlignment="1">
      <alignment wrapText="1"/>
    </xf>
    <xf numFmtId="0" fontId="37" fillId="0" borderId="17" xfId="36" applyBorder="1"/>
    <xf numFmtId="0" fontId="28" fillId="0" borderId="0" xfId="27" applyFont="1" applyAlignment="1">
      <alignment horizontal="right" vertical="center"/>
    </xf>
    <xf numFmtId="0" fontId="30" fillId="0" borderId="0" xfId="27" applyFont="1" applyAlignment="1">
      <alignment horizontal="left" vertical="center"/>
    </xf>
    <xf numFmtId="0" fontId="26" fillId="0" borderId="0" xfId="27" applyFont="1" applyAlignment="1">
      <alignment horizontal="right" vertical="center"/>
    </xf>
    <xf numFmtId="0" fontId="26" fillId="0" borderId="0" xfId="27" applyFont="1" applyAlignment="1">
      <alignment horizontal="left" vertical="center" wrapText="1"/>
    </xf>
    <xf numFmtId="0" fontId="27" fillId="0" borderId="0" xfId="27" applyFont="1" applyAlignment="1">
      <alignment horizontal="right" vertical="center"/>
    </xf>
    <xf numFmtId="0" fontId="27" fillId="0" borderId="0" xfId="27" applyFont="1" applyAlignment="1">
      <alignment horizontal="left" vertical="center" wrapText="1"/>
    </xf>
    <xf numFmtId="164" fontId="6" fillId="23" borderId="14" xfId="27" applyNumberFormat="1" applyFont="1" applyFill="1" applyBorder="1" applyAlignment="1">
      <alignment horizontal="center" vertical="center"/>
    </xf>
    <xf numFmtId="0" fontId="23" fillId="0" borderId="0" xfId="27" applyFont="1" applyAlignment="1">
      <alignment horizontal="center" vertical="center"/>
    </xf>
    <xf numFmtId="0" fontId="24" fillId="0" borderId="0" xfId="27" applyFont="1" applyAlignment="1">
      <alignment horizontal="center" vertical="center"/>
    </xf>
    <xf numFmtId="0" fontId="25" fillId="0" borderId="0" xfId="27" applyFont="1" applyAlignment="1">
      <alignment horizontal="right" vertical="center"/>
    </xf>
    <xf numFmtId="0" fontId="25" fillId="0" borderId="0" xfId="27" applyFont="1" applyAlignment="1">
      <alignment horizontal="left" vertical="center"/>
    </xf>
    <xf numFmtId="0" fontId="34" fillId="23" borderId="11" xfId="37" applyFont="1" applyFill="1" applyBorder="1" applyAlignment="1">
      <alignment horizontal="left" vertical="center"/>
    </xf>
    <xf numFmtId="0" fontId="32" fillId="23" borderId="0" xfId="37" applyFont="1" applyFill="1" applyAlignment="1">
      <alignment vertical="center"/>
    </xf>
    <xf numFmtId="0" fontId="32" fillId="24" borderId="15" xfId="37" applyFont="1" applyFill="1" applyBorder="1" applyAlignment="1">
      <alignment horizontal="center" vertical="center" wrapText="1"/>
    </xf>
    <xf numFmtId="0" fontId="42" fillId="0" borderId="15" xfId="35" applyBorder="1"/>
    <xf numFmtId="0" fontId="37" fillId="0" borderId="16" xfId="36" applyBorder="1" applyAlignment="1">
      <alignment horizontal="left" vertical="center" wrapText="1"/>
    </xf>
    <xf numFmtId="0" fontId="37" fillId="0" borderId="13" xfId="36" applyBorder="1" applyAlignment="1">
      <alignment horizontal="left" vertical="center" wrapText="1"/>
    </xf>
    <xf numFmtId="0" fontId="37" fillId="0" borderId="10" xfId="36" applyFont="1" applyBorder="1" applyAlignment="1">
      <alignment horizontal="center" wrapText="1"/>
    </xf>
    <xf numFmtId="0" fontId="37" fillId="0" borderId="10" xfId="36" applyBorder="1" applyAlignment="1">
      <alignment horizontal="center" wrapText="1"/>
    </xf>
    <xf numFmtId="0" fontId="39" fillId="0" borderId="10" xfId="36" applyFont="1" applyBorder="1" applyAlignment="1">
      <alignment horizontal="left" wrapText="1"/>
    </xf>
    <xf numFmtId="0" fontId="37" fillId="0" borderId="10" xfId="36" applyFont="1" applyBorder="1" applyAlignment="1">
      <alignment horizontal="left" wrapText="1"/>
    </xf>
    <xf numFmtId="0" fontId="37" fillId="0" borderId="10" xfId="36" applyBorder="1" applyAlignment="1">
      <alignment horizontal="left" wrapText="1"/>
    </xf>
  </cellXfs>
  <cellStyles count="50">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Normal" xfId="0" builtinId="0"/>
    <cellStyle name="Normal 2" xfId="32" xr:uid="{00000000-0005-0000-0000-000021000000}"/>
    <cellStyle name="Normal 2 2" xfId="33" xr:uid="{00000000-0005-0000-0000-000022000000}"/>
    <cellStyle name="Normal 3" xfId="34" xr:uid="{00000000-0005-0000-0000-000023000000}"/>
    <cellStyle name="Normal 3 2" xfId="35" xr:uid="{00000000-0005-0000-0000-000024000000}"/>
    <cellStyle name="Normal 4" xfId="36" xr:uid="{00000000-0005-0000-0000-000025000000}"/>
    <cellStyle name="Normal_Analytics_Test Script_CR_XXXX_Template" xfId="37" xr:uid="{00000000-0005-0000-0000-000026000000}"/>
    <cellStyle name="Notiz" xfId="38" xr:uid="{00000000-0005-0000-0000-000027000000}"/>
    <cellStyle name="Schlecht" xfId="39" xr:uid="{00000000-0005-0000-0000-000028000000}"/>
    <cellStyle name="Standard 2" xfId="40" xr:uid="{00000000-0005-0000-0000-000029000000}"/>
    <cellStyle name="Style 1" xfId="41" xr:uid="{00000000-0005-0000-0000-00002A000000}"/>
    <cellStyle name="Überschrift" xfId="42" xr:uid="{00000000-0005-0000-0000-00002B000000}"/>
    <cellStyle name="Überschrift 1" xfId="43" xr:uid="{00000000-0005-0000-0000-00002C000000}"/>
    <cellStyle name="Überschrift 2" xfId="44" xr:uid="{00000000-0005-0000-0000-00002D000000}"/>
    <cellStyle name="Überschrift 3" xfId="45" xr:uid="{00000000-0005-0000-0000-00002E000000}"/>
    <cellStyle name="Überschrift 4" xfId="46" xr:uid="{00000000-0005-0000-0000-00002F000000}"/>
    <cellStyle name="Verknüpfte Zelle" xfId="47" xr:uid="{00000000-0005-0000-0000-000030000000}"/>
    <cellStyle name="Warnender Text" xfId="48" xr:uid="{00000000-0005-0000-0000-000031000000}"/>
    <cellStyle name="Zelle überprüfen" xfId="49"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8527092F-F644-4F67-BF0D-6CDA97E39F78}"/>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2315830-380C-4A93-832A-1E29AA6BACEA}"/>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2932BE7C-09B5-410C-8DF2-0B0C416D4C42}"/>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E6B909B0-1E3D-4656-8630-7F3BB5A656DE}"/>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A3543EE1-12E8-44D9-93F3-6774591FD7EE}"/>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850EA247-D3B9-4864-B446-75CE3DD1E9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1</xdr:row>
      <xdr:rowOff>30480</xdr:rowOff>
    </xdr:from>
    <xdr:to>
      <xdr:col>18</xdr:col>
      <xdr:colOff>188781</xdr:colOff>
      <xdr:row>28</xdr:row>
      <xdr:rowOff>113724</xdr:rowOff>
    </xdr:to>
    <xdr:pic>
      <xdr:nvPicPr>
        <xdr:cNvPr id="7" name="Picture 6">
          <a:extLst>
            <a:ext uri="{FF2B5EF4-FFF2-40B4-BE49-F238E27FC236}">
              <a16:creationId xmlns:a16="http://schemas.microsoft.com/office/drawing/2014/main" id="{2E7383D4-8314-4562-AA00-41A1ECB21C92}"/>
            </a:ext>
          </a:extLst>
        </xdr:cNvPr>
        <xdr:cNvPicPr>
          <a:picLocks noChangeAspect="1"/>
        </xdr:cNvPicPr>
      </xdr:nvPicPr>
      <xdr:blipFill>
        <a:blip xmlns:r="http://schemas.openxmlformats.org/officeDocument/2006/relationships" r:embed="rId1"/>
        <a:stretch>
          <a:fillRect/>
        </a:stretch>
      </xdr:blipFill>
      <xdr:spPr>
        <a:xfrm>
          <a:off x="76200" y="198120"/>
          <a:ext cx="13752381" cy="460952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tabSelected="1" zoomScale="66" workbookViewId="0">
      <selection activeCell="K21" sqref="K21:S21"/>
    </sheetView>
  </sheetViews>
  <sheetFormatPr defaultColWidth="9.109375" defaultRowHeight="13.2" x14ac:dyDescent="0.25"/>
  <cols>
    <col min="1" max="9" width="10.6640625" style="12" customWidth="1"/>
    <col min="10" max="10" width="2.6640625" style="12" customWidth="1"/>
    <col min="11" max="19" width="10.6640625" style="12" customWidth="1"/>
    <col min="20" max="16384" width="9.109375" style="12"/>
  </cols>
  <sheetData>
    <row r="1" spans="1:19" s="11" customFormat="1" ht="13.8"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8" x14ac:dyDescent="0.25">
      <c r="A10" s="9"/>
      <c r="B10" s="9"/>
      <c r="C10" s="9"/>
      <c r="D10" s="9"/>
      <c r="E10" s="9"/>
      <c r="F10" s="9"/>
      <c r="G10" s="9"/>
      <c r="H10" s="9"/>
      <c r="I10" s="9"/>
      <c r="J10" s="9"/>
      <c r="K10" s="9"/>
      <c r="L10" s="9"/>
      <c r="M10" s="10"/>
      <c r="N10" s="10"/>
      <c r="O10" s="10"/>
      <c r="P10" s="10"/>
      <c r="Q10" s="10"/>
      <c r="R10" s="10"/>
      <c r="S10" s="10"/>
    </row>
    <row r="11" spans="1:19" ht="13.8" x14ac:dyDescent="0.25">
      <c r="A11" s="9"/>
      <c r="B11" s="9"/>
      <c r="C11" s="9"/>
      <c r="D11" s="9"/>
      <c r="E11" s="9"/>
      <c r="F11" s="9"/>
      <c r="G11" s="9"/>
      <c r="H11" s="9"/>
      <c r="I11" s="9"/>
      <c r="J11" s="9"/>
      <c r="K11" s="9"/>
      <c r="L11" s="9"/>
      <c r="M11" s="10"/>
      <c r="N11" s="10"/>
      <c r="O11" s="10"/>
      <c r="P11" s="10"/>
      <c r="Q11" s="10"/>
      <c r="R11" s="10"/>
      <c r="S11" s="10"/>
    </row>
    <row r="12" spans="1:19" ht="13.8" x14ac:dyDescent="0.25">
      <c r="A12" s="9"/>
      <c r="B12" s="9"/>
      <c r="C12" s="9"/>
      <c r="D12" s="9"/>
      <c r="E12" s="9"/>
      <c r="F12" s="9"/>
      <c r="G12" s="9"/>
      <c r="H12" s="9"/>
      <c r="I12" s="9"/>
      <c r="J12" s="9"/>
      <c r="K12" s="9"/>
      <c r="L12" s="9"/>
      <c r="M12" s="10"/>
      <c r="N12" s="10"/>
      <c r="O12" s="10"/>
      <c r="P12" s="10"/>
      <c r="Q12" s="10"/>
      <c r="R12" s="10"/>
      <c r="S12" s="10"/>
    </row>
    <row r="13" spans="1:19" ht="30.6" thickBot="1" x14ac:dyDescent="0.3">
      <c r="A13" s="85" t="s">
        <v>2</v>
      </c>
      <c r="B13" s="85"/>
      <c r="C13" s="85"/>
      <c r="D13" s="85"/>
      <c r="E13" s="85"/>
      <c r="F13" s="85"/>
      <c r="G13" s="85"/>
      <c r="H13" s="85"/>
      <c r="I13" s="85"/>
      <c r="J13" s="85"/>
      <c r="K13" s="85"/>
      <c r="L13" s="85"/>
      <c r="M13" s="85"/>
      <c r="N13" s="85"/>
      <c r="O13" s="85"/>
      <c r="P13" s="85"/>
      <c r="Q13" s="85"/>
      <c r="R13" s="85"/>
      <c r="S13" s="85"/>
    </row>
    <row r="14" spans="1:19" ht="14.4" thickTop="1" x14ac:dyDescent="0.25">
      <c r="A14" s="9"/>
      <c r="B14" s="9"/>
      <c r="C14" s="9"/>
      <c r="D14" s="9"/>
      <c r="E14" s="9"/>
      <c r="F14" s="9"/>
      <c r="G14" s="9"/>
      <c r="H14" s="9"/>
      <c r="I14" s="9"/>
      <c r="J14" s="9"/>
      <c r="K14" s="9"/>
      <c r="L14" s="9"/>
      <c r="M14" s="10"/>
      <c r="N14" s="10"/>
      <c r="O14" s="10"/>
      <c r="P14" s="10"/>
      <c r="Q14" s="10"/>
      <c r="R14" s="10"/>
      <c r="S14" s="10"/>
    </row>
    <row r="15" spans="1:19" ht="13.8" x14ac:dyDescent="0.25">
      <c r="A15" s="9"/>
      <c r="B15" s="9"/>
      <c r="C15" s="9"/>
      <c r="D15" s="9"/>
      <c r="E15" s="9"/>
      <c r="F15" s="9"/>
      <c r="G15" s="9"/>
      <c r="H15" s="9"/>
      <c r="I15" s="9"/>
      <c r="J15" s="9"/>
      <c r="K15" s="9"/>
      <c r="L15" s="9"/>
      <c r="M15" s="10"/>
      <c r="N15" s="10"/>
      <c r="O15" s="10"/>
      <c r="P15" s="10"/>
      <c r="Q15" s="10"/>
      <c r="R15" s="13"/>
      <c r="S15" s="13"/>
    </row>
    <row r="16" spans="1:19" ht="13.8" x14ac:dyDescent="0.25">
      <c r="A16" s="14"/>
      <c r="B16" s="14"/>
      <c r="C16" s="14"/>
      <c r="D16" s="14"/>
      <c r="E16" s="14"/>
      <c r="F16" s="14"/>
      <c r="G16" s="14"/>
      <c r="H16" s="14"/>
      <c r="I16" s="14"/>
      <c r="J16" s="14"/>
      <c r="K16" s="14"/>
      <c r="L16" s="14"/>
      <c r="M16" s="13"/>
      <c r="N16" s="13"/>
      <c r="O16" s="13"/>
      <c r="P16" s="13"/>
      <c r="Q16" s="13"/>
      <c r="R16" s="13"/>
      <c r="S16" s="13"/>
    </row>
    <row r="17" spans="1:19" ht="13.8"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86" t="s">
        <v>17</v>
      </c>
      <c r="B18" s="86"/>
      <c r="C18" s="86"/>
      <c r="D18" s="86"/>
      <c r="E18" s="86"/>
      <c r="F18" s="86"/>
      <c r="G18" s="86"/>
      <c r="H18" s="86"/>
      <c r="I18" s="86"/>
      <c r="J18" s="86"/>
      <c r="K18" s="86"/>
      <c r="L18" s="86"/>
      <c r="M18" s="86"/>
      <c r="N18" s="86"/>
      <c r="O18" s="86"/>
      <c r="P18" s="86"/>
      <c r="Q18" s="86"/>
      <c r="R18" s="86"/>
      <c r="S18" s="86"/>
    </row>
    <row r="19" spans="1:19" s="15" customFormat="1" ht="40.65" customHeight="1" x14ac:dyDescent="0.25">
      <c r="A19" s="87" t="s">
        <v>1</v>
      </c>
      <c r="B19" s="87"/>
      <c r="C19" s="87"/>
      <c r="D19" s="87"/>
      <c r="E19" s="87"/>
      <c r="F19" s="87"/>
      <c r="G19" s="87"/>
      <c r="H19" s="87"/>
      <c r="I19" s="87"/>
      <c r="J19" s="87"/>
      <c r="K19" s="87"/>
      <c r="L19" s="87"/>
      <c r="M19" s="87"/>
      <c r="N19" s="87"/>
      <c r="O19" s="87"/>
      <c r="P19" s="87"/>
      <c r="Q19" s="87"/>
      <c r="R19" s="87"/>
      <c r="S19" s="87"/>
    </row>
    <row r="20" spans="1:19" s="15" customFormat="1" ht="13.8" x14ac:dyDescent="0.25">
      <c r="A20" s="16"/>
      <c r="B20" s="16"/>
      <c r="C20" s="16"/>
      <c r="D20" s="16"/>
      <c r="E20" s="16"/>
      <c r="F20" s="16"/>
      <c r="G20" s="16"/>
      <c r="H20" s="16"/>
      <c r="I20" s="16"/>
      <c r="J20" s="16"/>
    </row>
    <row r="21" spans="1:19" s="15" customFormat="1" ht="58.65" customHeight="1" x14ac:dyDescent="0.25">
      <c r="A21" s="88" t="s">
        <v>73</v>
      </c>
      <c r="B21" s="88"/>
      <c r="C21" s="88"/>
      <c r="D21" s="88"/>
      <c r="E21" s="88"/>
      <c r="F21" s="88"/>
      <c r="G21" s="88"/>
      <c r="H21" s="88"/>
      <c r="I21" s="88"/>
      <c r="J21" s="6"/>
      <c r="K21" s="89" t="s">
        <v>115</v>
      </c>
      <c r="L21" s="89"/>
      <c r="M21" s="89"/>
      <c r="N21" s="89"/>
      <c r="O21" s="89"/>
      <c r="P21" s="89"/>
      <c r="Q21" s="89"/>
      <c r="R21" s="89"/>
      <c r="S21" s="89"/>
    </row>
    <row r="22" spans="1:19" s="15" customFormat="1" ht="13.8" x14ac:dyDescent="0.25">
      <c r="A22" s="16"/>
      <c r="B22" s="16"/>
      <c r="C22" s="16"/>
      <c r="D22" s="16"/>
      <c r="E22" s="16"/>
      <c r="F22" s="16"/>
      <c r="G22" s="16"/>
      <c r="H22" s="16"/>
      <c r="I22" s="16"/>
      <c r="J22" s="16"/>
    </row>
    <row r="23" spans="1:19" s="15" customFormat="1" ht="70.2" customHeight="1" x14ac:dyDescent="0.25">
      <c r="A23" s="81" t="s">
        <v>18</v>
      </c>
      <c r="B23" s="81"/>
      <c r="C23" s="81"/>
      <c r="D23" s="81"/>
      <c r="E23" s="81"/>
      <c r="F23" s="81"/>
      <c r="G23" s="81"/>
      <c r="H23" s="81"/>
      <c r="I23" s="81"/>
      <c r="J23" s="7"/>
      <c r="K23" s="82" t="s">
        <v>116</v>
      </c>
      <c r="L23" s="82"/>
      <c r="M23" s="82"/>
      <c r="N23" s="82"/>
      <c r="O23" s="82"/>
      <c r="P23" s="82"/>
      <c r="Q23" s="82"/>
      <c r="R23" s="82"/>
      <c r="S23" s="82"/>
    </row>
    <row r="24" spans="1:19" s="15" customFormat="1" ht="13.8" x14ac:dyDescent="0.25">
      <c r="A24" s="16"/>
      <c r="B24" s="16"/>
      <c r="C24" s="16"/>
      <c r="D24" s="16"/>
      <c r="E24" s="16"/>
      <c r="F24" s="16"/>
      <c r="G24" s="16"/>
      <c r="H24" s="16"/>
      <c r="I24" s="16"/>
      <c r="J24" s="16"/>
    </row>
    <row r="25" spans="1:19" s="15" customFormat="1" ht="70.2" customHeight="1" x14ac:dyDescent="0.25">
      <c r="A25" s="83" t="s">
        <v>3</v>
      </c>
      <c r="B25" s="83"/>
      <c r="C25" s="83"/>
      <c r="D25" s="83"/>
      <c r="E25" s="83"/>
      <c r="F25" s="83"/>
      <c r="G25" s="83"/>
      <c r="H25" s="83"/>
      <c r="I25" s="83"/>
      <c r="J25" s="7"/>
      <c r="K25" s="84" t="s">
        <v>100</v>
      </c>
      <c r="L25" s="84"/>
      <c r="M25" s="84"/>
      <c r="N25" s="84"/>
      <c r="O25" s="84"/>
      <c r="P25" s="84"/>
      <c r="Q25" s="84"/>
      <c r="R25" s="84"/>
      <c r="S25" s="84"/>
    </row>
    <row r="26" spans="1:19" s="15" customFormat="1" ht="13.8" x14ac:dyDescent="0.25">
      <c r="A26" s="16"/>
      <c r="B26" s="16"/>
      <c r="C26" s="16"/>
      <c r="D26" s="16"/>
      <c r="E26" s="16"/>
      <c r="F26" s="16"/>
      <c r="G26" s="16"/>
      <c r="H26" s="16"/>
      <c r="I26" s="16"/>
      <c r="J26" s="16"/>
    </row>
    <row r="27" spans="1:19" ht="27" customHeight="1" x14ac:dyDescent="0.25">
      <c r="A27" s="79" t="s">
        <v>13</v>
      </c>
      <c r="B27" s="79"/>
      <c r="C27" s="79"/>
      <c r="D27" s="79"/>
      <c r="E27" s="79"/>
      <c r="F27" s="79"/>
      <c r="G27" s="79"/>
      <c r="H27" s="79"/>
      <c r="I27" s="79"/>
      <c r="K27" s="80" t="s">
        <v>19</v>
      </c>
      <c r="L27" s="80"/>
      <c r="M27" s="80"/>
      <c r="N27" s="80"/>
      <c r="O27" s="80"/>
      <c r="P27" s="80"/>
      <c r="Q27" s="80"/>
      <c r="R27" s="80"/>
      <c r="S27" s="80"/>
    </row>
    <row r="28" spans="1:19" ht="27" customHeight="1" x14ac:dyDescent="0.25">
      <c r="A28" s="79"/>
      <c r="B28" s="79"/>
      <c r="C28" s="79"/>
      <c r="D28" s="79"/>
      <c r="E28" s="79"/>
      <c r="F28" s="79"/>
      <c r="G28" s="79"/>
      <c r="H28" s="79"/>
      <c r="I28" s="79"/>
      <c r="K28" s="80"/>
      <c r="L28" s="80"/>
      <c r="M28" s="80"/>
      <c r="N28" s="80"/>
      <c r="O28" s="17"/>
      <c r="P28" s="17"/>
      <c r="Q28" s="17"/>
      <c r="R28" s="17"/>
      <c r="S28" s="17"/>
    </row>
    <row r="29" spans="1:19" ht="27" customHeight="1" x14ac:dyDescent="0.25">
      <c r="A29" s="79"/>
      <c r="B29" s="79"/>
      <c r="C29" s="79"/>
      <c r="D29" s="79"/>
      <c r="E29" s="79"/>
      <c r="F29" s="79"/>
      <c r="G29" s="79"/>
      <c r="H29" s="79"/>
      <c r="I29" s="79"/>
      <c r="K29" s="80"/>
      <c r="L29" s="80"/>
      <c r="M29" s="80"/>
      <c r="N29" s="80"/>
      <c r="O29" s="80"/>
      <c r="P29" s="80"/>
      <c r="Q29" s="80"/>
      <c r="R29" s="80"/>
      <c r="S29" s="80"/>
    </row>
    <row r="30" spans="1:19" s="15" customFormat="1" ht="30.6"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6" x14ac:dyDescent="0.25">
      <c r="A37" s="19" t="s">
        <v>4</v>
      </c>
      <c r="C37" s="20">
        <f ca="1">TODAY()</f>
        <v>44596</v>
      </c>
      <c r="D37" s="16"/>
      <c r="E37" s="16"/>
      <c r="F37" s="16"/>
      <c r="G37" s="16"/>
      <c r="H37" s="16"/>
      <c r="I37" s="16"/>
      <c r="J37" s="16"/>
    </row>
  </sheetData>
  <mergeCells count="15">
    <mergeCell ref="A13:S13"/>
    <mergeCell ref="A18:S18"/>
    <mergeCell ref="A19:S19"/>
    <mergeCell ref="A21:I21"/>
    <mergeCell ref="K21:S21"/>
    <mergeCell ref="A28:I28"/>
    <mergeCell ref="K28:N28"/>
    <mergeCell ref="A29:I29"/>
    <mergeCell ref="K29:S29"/>
    <mergeCell ref="A23:I23"/>
    <mergeCell ref="K23:S23"/>
    <mergeCell ref="A25:I25"/>
    <mergeCell ref="K25:S25"/>
    <mergeCell ref="A27:I27"/>
    <mergeCell ref="K27:S27"/>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15" zoomScale="85" zoomScaleNormal="85" workbookViewId="0">
      <selection activeCell="G21" sqref="G21"/>
    </sheetView>
  </sheetViews>
  <sheetFormatPr defaultColWidth="8" defaultRowHeight="13.2" x14ac:dyDescent="0.25"/>
  <cols>
    <col min="1" max="1" width="54.109375" style="2" customWidth="1"/>
    <col min="2" max="2" width="86.44140625" style="48" customWidth="1"/>
    <col min="3" max="3" width="25.109375" style="2" bestFit="1" customWidth="1"/>
    <col min="4" max="16384" width="8" style="2"/>
  </cols>
  <sheetData>
    <row r="1" spans="1:3" hidden="1" x14ac:dyDescent="0.25">
      <c r="A1" s="1" t="s">
        <v>5</v>
      </c>
    </row>
    <row r="2" spans="1:3" hidden="1" x14ac:dyDescent="0.25">
      <c r="A2" s="3" t="s">
        <v>20</v>
      </c>
      <c r="B2" s="49" t="s">
        <v>6</v>
      </c>
    </row>
    <row r="3" spans="1:3" hidden="1" x14ac:dyDescent="0.25">
      <c r="A3" s="3" t="s">
        <v>20</v>
      </c>
      <c r="B3" s="49" t="s">
        <v>6</v>
      </c>
    </row>
    <row r="4" spans="1:3" hidden="1" x14ac:dyDescent="0.25">
      <c r="A4" s="3" t="s">
        <v>21</v>
      </c>
      <c r="B4" s="49" t="s">
        <v>7</v>
      </c>
    </row>
    <row r="5" spans="1:3" hidden="1" x14ac:dyDescent="0.25">
      <c r="A5" s="3" t="s">
        <v>22</v>
      </c>
      <c r="B5" s="49" t="s">
        <v>7</v>
      </c>
    </row>
    <row r="6" spans="1:3" x14ac:dyDescent="0.25">
      <c r="A6" s="5"/>
      <c r="B6" s="50"/>
      <c r="C6" s="4"/>
    </row>
    <row r="7" spans="1:3" x14ac:dyDescent="0.25">
      <c r="A7" s="30"/>
      <c r="B7" s="50"/>
      <c r="C7" s="4"/>
    </row>
    <row r="8" spans="1:3" ht="28.2" x14ac:dyDescent="0.25">
      <c r="A8" s="90" t="s">
        <v>1</v>
      </c>
      <c r="B8" s="90"/>
      <c r="C8" s="29" t="s">
        <v>8</v>
      </c>
    </row>
    <row r="9" spans="1:3" x14ac:dyDescent="0.25">
      <c r="A9" s="4"/>
      <c r="B9" s="50"/>
      <c r="C9" s="4"/>
    </row>
    <row r="10" spans="1:3" x14ac:dyDescent="0.25">
      <c r="A10" s="5" t="s">
        <v>9</v>
      </c>
      <c r="B10" s="91" t="s">
        <v>10</v>
      </c>
      <c r="C10" s="91"/>
    </row>
    <row r="11" spans="1:3" x14ac:dyDescent="0.25">
      <c r="A11" s="25" t="s">
        <v>11</v>
      </c>
      <c r="B11" s="21" t="s">
        <v>103</v>
      </c>
      <c r="C11" s="22"/>
    </row>
    <row r="12" spans="1:3" x14ac:dyDescent="0.25">
      <c r="A12" s="30"/>
      <c r="B12" s="50"/>
      <c r="C12" s="4"/>
    </row>
    <row r="13" spans="1:3" x14ac:dyDescent="0.25">
      <c r="A13" s="30"/>
      <c r="B13" s="50"/>
      <c r="C13" s="4"/>
    </row>
    <row r="14" spans="1:3" ht="19.649999999999999" customHeight="1" x14ac:dyDescent="0.25">
      <c r="A14" s="26" t="str">
        <f>CONCATENATE("To be Performed by Tester : ",'Test Cycle 1'!H2)</f>
        <v>To be Performed by Tester : Frank</v>
      </c>
      <c r="B14" s="51"/>
      <c r="C14" s="4"/>
    </row>
    <row r="15" spans="1:3" ht="21.9" customHeight="1" x14ac:dyDescent="0.3">
      <c r="A15" s="31" t="s">
        <v>23</v>
      </c>
      <c r="B15" s="92"/>
      <c r="C15" s="93"/>
    </row>
    <row r="16" spans="1:3" ht="39.75" customHeight="1" x14ac:dyDescent="0.25">
      <c r="A16" s="28" t="s">
        <v>24</v>
      </c>
      <c r="B16" s="28" t="s">
        <v>12</v>
      </c>
      <c r="C16" s="23" t="s">
        <v>25</v>
      </c>
    </row>
    <row r="17" spans="1:3" x14ac:dyDescent="0.25">
      <c r="A17" s="24" t="s">
        <v>26</v>
      </c>
      <c r="B17" s="74"/>
      <c r="C17" s="74" t="s">
        <v>86</v>
      </c>
    </row>
    <row r="18" spans="1:3" x14ac:dyDescent="0.25">
      <c r="A18" s="24" t="s">
        <v>27</v>
      </c>
      <c r="B18" s="74"/>
      <c r="C18" s="74" t="s">
        <v>86</v>
      </c>
    </row>
    <row r="19" spans="1:3" x14ac:dyDescent="0.25">
      <c r="A19" s="24" t="s">
        <v>28</v>
      </c>
      <c r="B19" s="74"/>
      <c r="C19" s="74" t="s">
        <v>86</v>
      </c>
    </row>
    <row r="20" spans="1:3" x14ac:dyDescent="0.25">
      <c r="A20" s="24" t="s">
        <v>75</v>
      </c>
      <c r="B20" s="74"/>
      <c r="C20" s="74" t="s">
        <v>101</v>
      </c>
    </row>
    <row r="21" spans="1:3" x14ac:dyDescent="0.25">
      <c r="A21" s="24" t="s">
        <v>76</v>
      </c>
      <c r="B21" s="74"/>
      <c r="C21" s="74" t="s">
        <v>101</v>
      </c>
    </row>
    <row r="22" spans="1:3" x14ac:dyDescent="0.25">
      <c r="A22" s="24" t="s">
        <v>78</v>
      </c>
      <c r="B22" s="74"/>
      <c r="C22" s="74" t="s">
        <v>86</v>
      </c>
    </row>
    <row r="23" spans="1:3" x14ac:dyDescent="0.25">
      <c r="A23" s="24" t="s">
        <v>77</v>
      </c>
      <c r="B23" s="74"/>
      <c r="C23" s="74" t="s">
        <v>86</v>
      </c>
    </row>
    <row r="24" spans="1:3" x14ac:dyDescent="0.25">
      <c r="A24" s="24" t="s">
        <v>29</v>
      </c>
      <c r="B24" s="74"/>
      <c r="C24" s="74" t="s">
        <v>86</v>
      </c>
    </row>
    <row r="25" spans="1:3" x14ac:dyDescent="0.25">
      <c r="A25" s="24" t="s">
        <v>30</v>
      </c>
      <c r="B25" s="74"/>
      <c r="C25" s="74" t="s">
        <v>86</v>
      </c>
    </row>
    <row r="26" spans="1:3" ht="26.4" x14ac:dyDescent="0.25">
      <c r="A26" s="24" t="s">
        <v>31</v>
      </c>
      <c r="B26" s="74" t="s">
        <v>114</v>
      </c>
      <c r="C26" s="74" t="s">
        <v>101</v>
      </c>
    </row>
    <row r="27" spans="1:3" x14ac:dyDescent="0.25">
      <c r="A27" s="24" t="s">
        <v>54</v>
      </c>
      <c r="B27" s="74" t="s">
        <v>102</v>
      </c>
      <c r="C27" s="74" t="s">
        <v>101</v>
      </c>
    </row>
    <row r="28" spans="1:3" x14ac:dyDescent="0.25">
      <c r="A28" s="24" t="s">
        <v>79</v>
      </c>
      <c r="B28" s="74"/>
      <c r="C28" s="74" t="s">
        <v>101</v>
      </c>
    </row>
    <row r="29" spans="1:3" x14ac:dyDescent="0.25">
      <c r="A29" s="24" t="s">
        <v>80</v>
      </c>
      <c r="B29" s="74"/>
      <c r="C29" s="74" t="s">
        <v>86</v>
      </c>
    </row>
    <row r="30" spans="1:3" x14ac:dyDescent="0.25">
      <c r="A30" s="41"/>
      <c r="B30" s="53"/>
      <c r="C30" s="42"/>
    </row>
    <row r="31" spans="1:3" x14ac:dyDescent="0.25">
      <c r="A31" s="43"/>
      <c r="B31" s="54"/>
      <c r="C31" s="43"/>
    </row>
    <row r="32" spans="1:3" x14ac:dyDescent="0.25">
      <c r="A32" s="40" t="str">
        <f>CONCATENATE("To be Performed by Reviewer : ",'Test Cycle 1'!H3)</f>
        <v xml:space="preserve">To be Performed by Reviewer : </v>
      </c>
      <c r="B32" s="51"/>
      <c r="C32" s="4"/>
    </row>
    <row r="33" spans="1:3" ht="14.4" x14ac:dyDescent="0.3">
      <c r="A33" s="31" t="s">
        <v>23</v>
      </c>
      <c r="B33" s="92"/>
      <c r="C33" s="93"/>
    </row>
    <row r="34" spans="1:3" ht="26.4" x14ac:dyDescent="0.25">
      <c r="A34" s="28" t="s">
        <v>24</v>
      </c>
      <c r="B34" s="28"/>
      <c r="C34" s="23" t="s">
        <v>25</v>
      </c>
    </row>
    <row r="35" spans="1:3" x14ac:dyDescent="0.25">
      <c r="A35" s="24" t="s">
        <v>32</v>
      </c>
      <c r="B35" s="52"/>
      <c r="C35" s="27"/>
    </row>
    <row r="36" spans="1:3" x14ac:dyDescent="0.25">
      <c r="A36" s="24" t="s">
        <v>33</v>
      </c>
      <c r="B36" s="52"/>
      <c r="C36" s="27"/>
    </row>
    <row r="37" spans="1:3" x14ac:dyDescent="0.25">
      <c r="A37" s="24" t="s">
        <v>74</v>
      </c>
      <c r="B37" s="52"/>
      <c r="C37" s="27"/>
    </row>
    <row r="38" spans="1:3" x14ac:dyDescent="0.25">
      <c r="A38" s="24" t="s">
        <v>34</v>
      </c>
      <c r="B38" s="52"/>
      <c r="C38" s="27"/>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19"/>
  <sheetViews>
    <sheetView zoomScale="55" zoomScaleNormal="55" workbookViewId="0">
      <selection activeCell="G11" sqref="G11"/>
    </sheetView>
  </sheetViews>
  <sheetFormatPr defaultColWidth="9.109375" defaultRowHeight="14.4" x14ac:dyDescent="0.3"/>
  <cols>
    <col min="1" max="1" width="22.88671875" style="33" customWidth="1"/>
    <col min="2" max="2" width="37.109375" style="33" customWidth="1"/>
    <col min="3" max="3" width="54.33203125" style="33" customWidth="1"/>
    <col min="4" max="4" width="23.44140625" style="33" bestFit="1" customWidth="1"/>
    <col min="5" max="5" width="41.44140625" style="56" customWidth="1"/>
    <col min="6" max="6" width="36.88671875" style="33" customWidth="1"/>
    <col min="7" max="7" width="39.44140625" style="33" customWidth="1"/>
    <col min="8" max="8" width="36.88671875" style="33" customWidth="1"/>
    <col min="9" max="9" width="25" style="33" customWidth="1"/>
    <col min="10" max="10" width="23.44140625" style="33" customWidth="1"/>
    <col min="11" max="11" width="32" style="33" customWidth="1"/>
    <col min="12" max="12" width="30.88671875" style="33" customWidth="1"/>
    <col min="13" max="22" width="9.109375" style="32"/>
    <col min="23" max="23" width="17.109375" style="32" bestFit="1" customWidth="1"/>
    <col min="24" max="24" width="9.109375" style="32"/>
    <col min="25" max="25" width="14.33203125" style="32" bestFit="1" customWidth="1"/>
    <col min="26" max="48" width="9.109375" style="32"/>
    <col min="49" max="49" width="9" style="32" customWidth="1"/>
    <col min="50" max="52" width="9.109375" style="32" hidden="1" customWidth="1"/>
    <col min="53" max="53" width="27.6640625" style="32" customWidth="1"/>
    <col min="54" max="16384" width="9.109375" style="32"/>
  </cols>
  <sheetData>
    <row r="1" spans="1:55" s="33" customFormat="1" x14ac:dyDescent="0.3">
      <c r="A1" s="35" t="s">
        <v>43</v>
      </c>
      <c r="B1" s="96" t="s">
        <v>82</v>
      </c>
      <c r="C1" s="97"/>
      <c r="D1" s="97"/>
      <c r="E1" s="67" t="s">
        <v>44</v>
      </c>
      <c r="F1" s="36" t="s">
        <v>81</v>
      </c>
      <c r="G1" s="37"/>
      <c r="H1" s="37"/>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4" t="s">
        <v>35</v>
      </c>
      <c r="BB1" s="34" t="s">
        <v>35</v>
      </c>
      <c r="BC1" s="33" t="s">
        <v>36</v>
      </c>
    </row>
    <row r="2" spans="1:55" s="33" customFormat="1" x14ac:dyDescent="0.3">
      <c r="A2" s="35" t="s">
        <v>45</v>
      </c>
      <c r="B2" s="96" t="s">
        <v>83</v>
      </c>
      <c r="C2" s="97"/>
      <c r="D2" s="97"/>
      <c r="E2" s="67" t="s">
        <v>46</v>
      </c>
      <c r="F2" s="38" t="s">
        <v>105</v>
      </c>
      <c r="G2" s="35" t="s">
        <v>47</v>
      </c>
      <c r="H2" s="36" t="s">
        <v>104</v>
      </c>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4" t="s">
        <v>37</v>
      </c>
      <c r="BB2" s="34" t="s">
        <v>37</v>
      </c>
      <c r="BC2" s="33" t="s">
        <v>38</v>
      </c>
    </row>
    <row r="3" spans="1:55" s="33" customFormat="1" ht="26.25" customHeight="1" x14ac:dyDescent="0.3">
      <c r="A3" s="35" t="s">
        <v>49</v>
      </c>
      <c r="B3" s="98" t="s">
        <v>41</v>
      </c>
      <c r="C3" s="98"/>
      <c r="D3" s="98"/>
      <c r="E3" s="67" t="s">
        <v>50</v>
      </c>
      <c r="F3" s="38"/>
      <c r="G3" s="35" t="s">
        <v>51</v>
      </c>
      <c r="H3" s="36"/>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4" t="s">
        <v>39</v>
      </c>
      <c r="BB3" s="34" t="s">
        <v>40</v>
      </c>
      <c r="BC3" s="33" t="s">
        <v>15</v>
      </c>
    </row>
    <row r="4" spans="1:55" s="33" customFormat="1" ht="19.649999999999999" customHeight="1" x14ac:dyDescent="0.3">
      <c r="A4" s="35" t="s">
        <v>53</v>
      </c>
      <c r="B4" s="99" t="s">
        <v>107</v>
      </c>
      <c r="C4" s="100"/>
      <c r="D4" s="100"/>
      <c r="E4" s="100"/>
      <c r="F4" s="100"/>
      <c r="G4" s="100"/>
      <c r="H4" s="100"/>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4" t="s">
        <v>41</v>
      </c>
      <c r="BB4" s="34" t="s">
        <v>15</v>
      </c>
      <c r="BC4" s="33" t="s">
        <v>16</v>
      </c>
    </row>
    <row r="5" spans="1:55" s="33" customFormat="1" x14ac:dyDescent="0.3">
      <c r="A5" s="66" t="s">
        <v>65</v>
      </c>
      <c r="B5" s="66" t="s">
        <v>66</v>
      </c>
      <c r="C5" s="66" t="s">
        <v>67</v>
      </c>
      <c r="D5" s="66" t="s">
        <v>68</v>
      </c>
      <c r="E5" s="66" t="s">
        <v>69</v>
      </c>
      <c r="F5" s="66" t="s">
        <v>70</v>
      </c>
      <c r="G5" s="66" t="s">
        <v>71</v>
      </c>
      <c r="H5" s="66" t="s">
        <v>72</v>
      </c>
      <c r="I5" s="66" t="s">
        <v>63</v>
      </c>
      <c r="J5" s="66" t="s">
        <v>64</v>
      </c>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4" t="s">
        <v>42</v>
      </c>
      <c r="AZ5" s="34" t="s">
        <v>16</v>
      </c>
    </row>
    <row r="6" spans="1:55" s="33" customFormat="1" x14ac:dyDescent="0.3">
      <c r="A6" s="44"/>
      <c r="B6" s="70"/>
      <c r="C6" s="45"/>
      <c r="D6" s="45"/>
      <c r="E6" s="46"/>
      <c r="F6" s="46"/>
      <c r="G6" s="46"/>
      <c r="H6" s="46"/>
      <c r="I6" s="37"/>
      <c r="J6" s="39"/>
      <c r="AY6" s="34"/>
    </row>
    <row r="7" spans="1:55" s="33" customFormat="1" ht="98.25" customHeight="1" x14ac:dyDescent="0.3">
      <c r="A7" s="47">
        <v>2</v>
      </c>
      <c r="B7" s="70" t="s">
        <v>84</v>
      </c>
      <c r="C7" s="73" t="s">
        <v>99</v>
      </c>
      <c r="D7" s="72" t="s">
        <v>85</v>
      </c>
      <c r="E7" s="71" t="s">
        <v>86</v>
      </c>
      <c r="F7" s="71" t="s">
        <v>87</v>
      </c>
      <c r="G7" s="71" t="s">
        <v>86</v>
      </c>
      <c r="H7" s="71" t="s">
        <v>87</v>
      </c>
      <c r="I7" s="37"/>
      <c r="J7" s="39"/>
      <c r="AY7" s="34" t="s">
        <v>48</v>
      </c>
    </row>
    <row r="8" spans="1:55" s="33" customFormat="1" ht="57.6" x14ac:dyDescent="0.3">
      <c r="A8" s="45">
        <v>3</v>
      </c>
      <c r="B8" s="71" t="s">
        <v>88</v>
      </c>
      <c r="C8" s="72" t="s">
        <v>89</v>
      </c>
      <c r="D8" s="45" t="s">
        <v>94</v>
      </c>
      <c r="E8" s="46" t="s">
        <v>90</v>
      </c>
      <c r="F8" s="45" t="s">
        <v>91</v>
      </c>
      <c r="G8" s="46" t="s">
        <v>90</v>
      </c>
      <c r="H8" s="45" t="s">
        <v>111</v>
      </c>
      <c r="I8" s="37"/>
      <c r="J8" s="55"/>
      <c r="AY8" s="34" t="s">
        <v>52</v>
      </c>
    </row>
    <row r="9" spans="1:55" s="33" customFormat="1" ht="69" x14ac:dyDescent="0.3">
      <c r="A9" s="45">
        <v>4</v>
      </c>
      <c r="B9" s="70" t="s">
        <v>92</v>
      </c>
      <c r="C9" s="72" t="s">
        <v>93</v>
      </c>
      <c r="D9" s="45" t="s">
        <v>95</v>
      </c>
      <c r="E9" s="46" t="s">
        <v>98</v>
      </c>
      <c r="F9" s="45" t="s">
        <v>97</v>
      </c>
      <c r="G9" s="46" t="s">
        <v>98</v>
      </c>
      <c r="H9" s="45" t="s">
        <v>96</v>
      </c>
      <c r="I9" s="37"/>
      <c r="J9" s="55"/>
      <c r="U9" s="32"/>
    </row>
    <row r="10" spans="1:55" s="33" customFormat="1" ht="130.80000000000001" customHeight="1" x14ac:dyDescent="0.3">
      <c r="A10" s="45"/>
      <c r="B10" s="70" t="s">
        <v>108</v>
      </c>
      <c r="C10" s="72" t="s">
        <v>109</v>
      </c>
      <c r="D10" s="45" t="s">
        <v>95</v>
      </c>
      <c r="E10" s="46" t="s">
        <v>110</v>
      </c>
      <c r="F10" s="45"/>
      <c r="G10" s="46" t="s">
        <v>110</v>
      </c>
      <c r="H10" s="45" t="s">
        <v>111</v>
      </c>
      <c r="I10" s="37"/>
      <c r="J10" s="55"/>
      <c r="U10" s="32"/>
    </row>
    <row r="11" spans="1:55" s="33" customFormat="1" ht="165" customHeight="1" x14ac:dyDescent="0.3">
      <c r="A11" s="45"/>
      <c r="B11" s="70" t="s">
        <v>113</v>
      </c>
      <c r="C11" s="72" t="s">
        <v>112</v>
      </c>
      <c r="D11" s="45" t="s">
        <v>95</v>
      </c>
      <c r="E11" s="46" t="s">
        <v>106</v>
      </c>
      <c r="F11" s="45"/>
      <c r="G11" s="46" t="s">
        <v>106</v>
      </c>
      <c r="H11" s="45" t="s">
        <v>111</v>
      </c>
      <c r="I11" s="37"/>
      <c r="J11" s="55"/>
      <c r="U11" s="32"/>
    </row>
    <row r="12" spans="1:55" s="33" customFormat="1" ht="175.2" customHeight="1" x14ac:dyDescent="0.3">
      <c r="A12" s="47"/>
      <c r="B12" s="70"/>
      <c r="C12" s="45"/>
      <c r="D12" s="45"/>
      <c r="F12" s="46"/>
      <c r="H12" s="46"/>
      <c r="I12" s="37"/>
      <c r="J12" s="75"/>
    </row>
    <row r="13" spans="1:55" s="33" customFormat="1" ht="141" customHeight="1" x14ac:dyDescent="0.3">
      <c r="A13" s="45"/>
      <c r="B13" s="70"/>
      <c r="C13" s="45"/>
      <c r="D13" s="45"/>
      <c r="E13" s="46"/>
      <c r="F13" s="46"/>
      <c r="G13" s="46"/>
      <c r="H13" s="46"/>
      <c r="I13" s="37"/>
      <c r="J13" s="75"/>
    </row>
    <row r="14" spans="1:55" s="33" customFormat="1" ht="144" customHeight="1" x14ac:dyDescent="0.3">
      <c r="A14" s="45"/>
      <c r="B14" s="70"/>
      <c r="C14" s="45"/>
      <c r="D14" s="45"/>
      <c r="E14" s="46"/>
      <c r="F14" s="46"/>
      <c r="G14" s="46"/>
      <c r="H14" s="46"/>
      <c r="I14" s="37"/>
      <c r="J14" s="55"/>
    </row>
    <row r="15" spans="1:55" ht="99" customHeight="1" x14ac:dyDescent="0.3">
      <c r="A15" s="47"/>
      <c r="B15" s="70"/>
      <c r="C15" s="73"/>
      <c r="D15" s="72"/>
      <c r="E15" s="71"/>
      <c r="F15" s="71"/>
      <c r="G15" s="71"/>
      <c r="H15" s="71"/>
      <c r="I15" s="37"/>
      <c r="J15" s="55"/>
    </row>
    <row r="16" spans="1:55" s="33" customFormat="1" ht="66" customHeight="1" x14ac:dyDescent="0.3">
      <c r="A16" s="45"/>
      <c r="B16" s="71"/>
      <c r="C16" s="94"/>
      <c r="D16" s="45"/>
      <c r="E16" s="46"/>
      <c r="F16" s="45"/>
      <c r="G16" s="46"/>
      <c r="H16" s="45"/>
      <c r="I16" s="37"/>
      <c r="J16" s="55"/>
    </row>
    <row r="17" spans="1:10" s="33" customFormat="1" ht="111.75" customHeight="1" x14ac:dyDescent="0.3">
      <c r="A17" s="45"/>
      <c r="B17" s="70"/>
      <c r="C17" s="95"/>
      <c r="D17" s="45"/>
      <c r="E17" s="46"/>
      <c r="F17" s="45"/>
      <c r="G17" s="46"/>
      <c r="H17" s="45"/>
      <c r="I17" s="37"/>
      <c r="J17" s="55"/>
    </row>
    <row r="18" spans="1:10" s="33" customFormat="1" ht="111.75" customHeight="1" thickBot="1" x14ac:dyDescent="0.35">
      <c r="A18" s="47"/>
      <c r="B18" s="70"/>
      <c r="C18" s="45"/>
      <c r="D18" s="45"/>
      <c r="E18" s="46"/>
      <c r="F18" s="46"/>
      <c r="G18" s="46"/>
      <c r="H18" s="46"/>
      <c r="I18" s="37"/>
      <c r="J18" s="77"/>
    </row>
    <row r="19" spans="1:10" ht="15" thickBot="1" x14ac:dyDescent="0.35">
      <c r="A19" s="45"/>
      <c r="B19" s="70"/>
      <c r="C19" s="45"/>
      <c r="D19" s="45"/>
      <c r="E19" s="46"/>
      <c r="F19" s="46"/>
      <c r="G19" s="46"/>
      <c r="H19" s="46"/>
      <c r="I19" s="76"/>
      <c r="J19" s="78"/>
    </row>
  </sheetData>
  <mergeCells count="5">
    <mergeCell ref="C16:C17"/>
    <mergeCell ref="B1:D1"/>
    <mergeCell ref="B2:D2"/>
    <mergeCell ref="B3:D3"/>
    <mergeCell ref="B4:H4"/>
  </mergeCells>
  <phoneticPr fontId="44" type="noConversion"/>
  <dataValidations count="2">
    <dataValidation type="list" allowBlank="1" showInputMessage="1" showErrorMessage="1" sqref="I6:I19" xr:uid="{00000000-0002-0000-0200-000001000000}">
      <formula1>$BB$1:$BB$5</formula1>
    </dataValidation>
    <dataValidation type="list" allowBlank="1" showInputMessage="1" showErrorMessage="1" sqref="B3:D3" xr:uid="{00000000-0002-0000-0200-000000000000}">
      <formula1>$BA$1:$BA$8</formula1>
    </dataValidation>
  </dataValidations>
  <pageMargins left="0.75" right="0.75" top="1" bottom="1" header="0.5" footer="0.5"/>
  <pageSetup paperSize="9" scale="13"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3.2" outlineLevelRow="1" x14ac:dyDescent="0.25"/>
  <cols>
    <col min="1" max="1" width="27.109375" customWidth="1"/>
    <col min="2" max="2" width="59.88671875" style="57" customWidth="1"/>
    <col min="3" max="3" width="24.44140625" customWidth="1"/>
  </cols>
  <sheetData>
    <row r="1" spans="1:2" x14ac:dyDescent="0.25">
      <c r="A1" s="58" t="s">
        <v>61</v>
      </c>
      <c r="B1" s="59" t="s">
        <v>0</v>
      </c>
    </row>
    <row r="2" spans="1:2" outlineLevel="1" x14ac:dyDescent="0.25">
      <c r="A2" s="60" t="s">
        <v>55</v>
      </c>
      <c r="B2" s="65" t="str">
        <f>PPRD</f>
        <v>Feb , 2022</v>
      </c>
    </row>
    <row r="3" spans="1:2" x14ac:dyDescent="0.25">
      <c r="A3" s="60" t="s">
        <v>58</v>
      </c>
      <c r="B3" s="61" t="str">
        <f>CRN</f>
        <v>BUG 33869</v>
      </c>
    </row>
    <row r="4" spans="1:2" x14ac:dyDescent="0.25">
      <c r="A4" s="60" t="s">
        <v>59</v>
      </c>
      <c r="B4" s="61" t="str">
        <f>MA</f>
        <v>CT</v>
      </c>
    </row>
    <row r="5" spans="1:2" x14ac:dyDescent="0.25">
      <c r="A5" s="60" t="s">
        <v>60</v>
      </c>
      <c r="B5" s="61" t="str">
        <f>Area</f>
        <v>Data</v>
      </c>
    </row>
    <row r="6" spans="1:2" x14ac:dyDescent="0.25">
      <c r="A6" s="60" t="s">
        <v>44</v>
      </c>
      <c r="B6" s="61" t="str">
        <f>Entity</f>
        <v>Account Reset Generic</v>
      </c>
    </row>
    <row r="7" spans="1:2" x14ac:dyDescent="0.25">
      <c r="A7" s="60" t="s">
        <v>56</v>
      </c>
      <c r="B7" s="62" t="str">
        <f>DTested</f>
        <v>24/01/2022</v>
      </c>
    </row>
    <row r="8" spans="1:2" x14ac:dyDescent="0.25">
      <c r="A8" s="60" t="s">
        <v>57</v>
      </c>
      <c r="B8" s="63">
        <f>DReviewed</f>
        <v>0</v>
      </c>
    </row>
    <row r="9" spans="1:2" x14ac:dyDescent="0.25">
      <c r="A9" s="60" t="s">
        <v>47</v>
      </c>
      <c r="B9" s="61" t="str">
        <f>TestedBy</f>
        <v>Frank</v>
      </c>
    </row>
    <row r="10" spans="1:2" x14ac:dyDescent="0.25">
      <c r="A10" s="60" t="s">
        <v>51</v>
      </c>
      <c r="B10" s="61">
        <f>ReviewedBy</f>
        <v>0</v>
      </c>
    </row>
    <row r="12" spans="1:2" x14ac:dyDescent="0.25">
      <c r="A12" s="60" t="s">
        <v>62</v>
      </c>
      <c r="B12" s="64"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20"/>
  <sheetViews>
    <sheetView topLeftCell="A10" workbookViewId="0">
      <selection activeCell="G33" sqref="G33"/>
    </sheetView>
  </sheetViews>
  <sheetFormatPr defaultColWidth="9.109375" defaultRowHeight="13.2" x14ac:dyDescent="0.25"/>
  <cols>
    <col min="1" max="1" width="44" style="69" bestFit="1" customWidth="1"/>
    <col min="2" max="16384" width="9.109375" style="69"/>
  </cols>
  <sheetData>
    <row r="1" spans="1:1" x14ac:dyDescent="0.25">
      <c r="A1" s="68"/>
    </row>
    <row r="30" spans="1:1" x14ac:dyDescent="0.25">
      <c r="A30" s="68"/>
    </row>
    <row r="44" spans="1:1" x14ac:dyDescent="0.25">
      <c r="A44" s="68"/>
    </row>
    <row r="55" spans="1:1" x14ac:dyDescent="0.25">
      <c r="A55" s="68"/>
    </row>
    <row r="70" spans="1:1" x14ac:dyDescent="0.25">
      <c r="A70" s="68"/>
    </row>
    <row r="105" spans="1:1" x14ac:dyDescent="0.25">
      <c r="A105" s="68"/>
    </row>
    <row r="146" spans="1:1" x14ac:dyDescent="0.25">
      <c r="A146" s="68"/>
    </row>
    <row r="185" spans="1:1" x14ac:dyDescent="0.25">
      <c r="A185" s="68"/>
    </row>
    <row r="220" spans="1:1" x14ac:dyDescent="0.25">
      <c r="A220" s="68"/>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Mingoué Tchagou, Frank</cp:lastModifiedBy>
  <cp:lastPrinted>2013-10-17T06:50:38Z</cp:lastPrinted>
  <dcterms:created xsi:type="dcterms:W3CDTF">2006-03-30T08:28:02Z</dcterms:created>
  <dcterms:modified xsi:type="dcterms:W3CDTF">2022-02-04T05:00:54Z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