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J:\General\04_RELEASE_MANAGEMENT\2017-05_Release PROD MAY17\02_Development\Data\D_CHG107664\03_Build\"/>
    </mc:Choice>
  </mc:AlternateContent>
  <bookViews>
    <workbookView xWindow="0" yWindow="0" windowWidth="28800" windowHeight="11535" tabRatio="926" activeTab="2"/>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1'!$F$8</definedName>
    <definedName name="DTested">'Test Cycle 1'!$F$7</definedName>
    <definedName name="dTestedBy">'Test Cycle 1'!$H$7</definedName>
    <definedName name="Entity">'Test Cycle 1'!$F$6</definedName>
    <definedName name="MA">Cover!$K$25</definedName>
    <definedName name="PPRD">'Version Control'!$B$11</definedName>
    <definedName name="ReviewedBy">'Test Cycle 1'!$H$8</definedName>
    <definedName name="TestedBy">'Test Cycle 1'!$H$7</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52511"/>
</workbook>
</file>

<file path=xl/calcChain.xml><?xml version="1.0" encoding="utf-8"?>
<calcChain xmlns="http://schemas.openxmlformats.org/spreadsheetml/2006/main">
  <c r="B10" i="26" l="1"/>
  <c r="B9" i="26"/>
  <c r="B8" i="26"/>
  <c r="B7" i="26"/>
  <c r="B6" i="26"/>
  <c r="B5" i="26"/>
  <c r="B4" i="26"/>
  <c r="B3" i="26"/>
  <c r="B2" i="26"/>
  <c r="A14" i="23" l="1"/>
  <c r="A30" i="23"/>
  <c r="C37" i="20" l="1"/>
</calcChain>
</file>

<file path=xl/comments1.xml><?xml version="1.0" encoding="utf-8"?>
<comments xmlns="http://schemas.openxmlformats.org/spreadsheetml/2006/main">
  <authors>
    <author>arnaud.grimont</author>
  </authors>
  <commentList>
    <comment ref="A17" authorId="0" shapeId="0">
      <text>
        <r>
          <rPr>
            <b/>
            <sz val="8"/>
            <color indexed="81"/>
            <rFont val="Tahoma"/>
            <family val="2"/>
          </rPr>
          <t>arnaud.grimont:</t>
        </r>
        <r>
          <rPr>
            <sz val="8"/>
            <color indexed="81"/>
            <rFont val="Tahoma"/>
            <family val="2"/>
          </rPr>
          <t xml:space="preserve">
Application if any interface is modified</t>
        </r>
      </text>
    </comment>
    <comment ref="A19" authorId="0" shapeId="0">
      <text>
        <r>
          <rPr>
            <b/>
            <sz val="8"/>
            <color indexed="81"/>
            <rFont val="Tahoma"/>
            <family val="2"/>
          </rPr>
          <t>arnaud.grimont:</t>
        </r>
        <r>
          <rPr>
            <sz val="8"/>
            <color indexed="81"/>
            <rFont val="Tahoma"/>
            <family val="2"/>
          </rPr>
          <t xml:space="preserve">
Applicable for only ETL changes</t>
        </r>
      </text>
    </comment>
    <comment ref="A24" authorId="0" shapeId="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authors>
    <author>bruneau.melier</author>
    <author>virish.seechurn</author>
  </authors>
  <commentList>
    <comment ref="B6" authorId="0" shapeId="0">
      <text>
        <r>
          <rPr>
            <b/>
            <sz val="8"/>
            <color indexed="81"/>
            <rFont val="Tahoma"/>
            <family val="2"/>
          </rPr>
          <t>bruneau.melier:</t>
        </r>
        <r>
          <rPr>
            <sz val="8"/>
            <color indexed="81"/>
            <rFont val="Tahoma"/>
            <family val="2"/>
          </rPr>
          <t xml:space="preserve">
give the name of the mapping being tested </t>
        </r>
      </text>
    </comment>
    <comment ref="F6" authorId="0" shapeId="0">
      <text>
        <r>
          <rPr>
            <b/>
            <sz val="8"/>
            <color indexed="81"/>
            <rFont val="Tahoma"/>
            <family val="2"/>
          </rPr>
          <t>bruneau.melier:</t>
        </r>
        <r>
          <rPr>
            <sz val="8"/>
            <color indexed="81"/>
            <rFont val="Tahoma"/>
            <family val="2"/>
          </rPr>
          <t xml:space="preserve">
give the name of the entity being tested</t>
        </r>
      </text>
    </comment>
    <comment ref="B7" authorId="0" shapeId="0">
      <text>
        <r>
          <rPr>
            <b/>
            <sz val="8"/>
            <color indexed="81"/>
            <rFont val="Tahoma"/>
            <family val="2"/>
          </rPr>
          <t>bruneau.melier:</t>
        </r>
        <r>
          <rPr>
            <sz val="8"/>
            <color indexed="81"/>
            <rFont val="Tahoma"/>
            <family val="2"/>
          </rPr>
          <t xml:space="preserve">
give the name of the mapping being tested </t>
        </r>
      </text>
    </comment>
    <comment ref="F7"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7" authorId="0" shapeId="0">
      <text>
        <r>
          <rPr>
            <b/>
            <sz val="8"/>
            <color indexed="81"/>
            <rFont val="Tahoma"/>
            <family val="2"/>
          </rPr>
          <t>bruneau.melier:</t>
        </r>
        <r>
          <rPr>
            <sz val="8"/>
            <color indexed="81"/>
            <rFont val="Tahoma"/>
            <family val="2"/>
          </rPr>
          <t xml:space="preserve">
give the name of the developer/tester</t>
        </r>
      </text>
    </comment>
    <comment ref="B8" authorId="0" shapeId="0">
      <text>
        <r>
          <rPr>
            <b/>
            <sz val="8"/>
            <color indexed="81"/>
            <rFont val="Tahoma"/>
            <family val="2"/>
          </rPr>
          <t>bruneau.melier:</t>
        </r>
        <r>
          <rPr>
            <sz val="8"/>
            <color indexed="81"/>
            <rFont val="Tahoma"/>
            <family val="2"/>
          </rPr>
          <t xml:space="preserve">
indicate the status of the test script </t>
        </r>
      </text>
    </comment>
    <comment ref="F8"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8" authorId="0" shapeId="0">
      <text>
        <r>
          <rPr>
            <b/>
            <sz val="8"/>
            <color indexed="81"/>
            <rFont val="Tahoma"/>
            <family val="2"/>
          </rPr>
          <t>bruneau.melier:</t>
        </r>
        <r>
          <rPr>
            <sz val="8"/>
            <color indexed="81"/>
            <rFont val="Tahoma"/>
            <family val="2"/>
          </rPr>
          <t xml:space="preserve">
give the name of the reviewer of the test script </t>
        </r>
      </text>
    </comment>
    <comment ref="B9" authorId="0" shapeId="0">
      <text>
        <r>
          <rPr>
            <b/>
            <sz val="8"/>
            <color indexed="81"/>
            <rFont val="Tahoma"/>
            <family val="2"/>
          </rPr>
          <t>bruneau.melier:</t>
        </r>
        <r>
          <rPr>
            <sz val="8"/>
            <color indexed="81"/>
            <rFont val="Tahoma"/>
            <family val="2"/>
          </rPr>
          <t xml:space="preserve">
give a description of the purpose of the test script </t>
        </r>
      </text>
    </comment>
    <comment ref="A10" authorId="1" shapeId="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10" authorId="0" shapeId="0">
      <text>
        <r>
          <rPr>
            <b/>
            <sz val="8"/>
            <color indexed="81"/>
            <rFont val="Tahoma"/>
            <family val="2"/>
          </rPr>
          <t>bruneau.melier:</t>
        </r>
        <r>
          <rPr>
            <sz val="8"/>
            <color indexed="81"/>
            <rFont val="Tahoma"/>
            <family val="2"/>
          </rPr>
          <t xml:space="preserve">
give a summary of the purpose of the test step </t>
        </r>
      </text>
    </comment>
    <comment ref="C10" authorId="0" shapeId="0">
      <text>
        <r>
          <rPr>
            <b/>
            <sz val="8"/>
            <color indexed="81"/>
            <rFont val="Tahoma"/>
            <family val="2"/>
          </rPr>
          <t>bruneau.melier:</t>
        </r>
        <r>
          <rPr>
            <sz val="8"/>
            <color indexed="81"/>
            <rFont val="Tahoma"/>
            <family val="2"/>
          </rPr>
          <t xml:space="preserve">
give a detailed description of the purpose of the test step </t>
        </r>
      </text>
    </comment>
    <comment ref="D10" authorId="0" shapeId="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10" authorId="0" shapeId="0">
      <text>
        <r>
          <rPr>
            <b/>
            <sz val="8"/>
            <color indexed="81"/>
            <rFont val="Tahoma"/>
            <family val="2"/>
          </rPr>
          <t>bruneau.melier:</t>
        </r>
        <r>
          <rPr>
            <sz val="8"/>
            <color indexed="81"/>
            <rFont val="Tahoma"/>
            <family val="2"/>
          </rPr>
          <t xml:space="preserve">
SQL script (if any) to be used for executing the step</t>
        </r>
      </text>
    </comment>
    <comment ref="F10" authorId="0" shapeId="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10" authorId="0" shapeId="0">
      <text>
        <r>
          <rPr>
            <b/>
            <sz val="8"/>
            <color indexed="81"/>
            <rFont val="Tahoma"/>
            <family val="2"/>
          </rPr>
          <t>bruneau.melier:</t>
        </r>
        <r>
          <rPr>
            <sz val="8"/>
            <color indexed="81"/>
            <rFont val="Tahoma"/>
            <family val="2"/>
          </rPr>
          <t xml:space="preserve">
SQL script (if any) to be used for checking the results of the step executed </t>
        </r>
      </text>
    </comment>
    <comment ref="H10" authorId="0" shapeId="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J10" authorId="0" shapeId="0">
      <text>
        <r>
          <rPr>
            <b/>
            <sz val="8"/>
            <color indexed="81"/>
            <rFont val="Tahoma"/>
            <family val="2"/>
          </rPr>
          <t>bruneau.melier:</t>
        </r>
        <r>
          <rPr>
            <sz val="8"/>
            <color indexed="81"/>
            <rFont val="Tahoma"/>
            <family val="2"/>
          </rPr>
          <t xml:space="preserve">
Comments related to the status of the Test Status (used for justifying a particular test status)</t>
        </r>
      </text>
    </comment>
    <comment ref="K10" authorId="0" shapeId="0">
      <text>
        <r>
          <rPr>
            <b/>
            <sz val="8"/>
            <color indexed="81"/>
            <rFont val="Tahoma"/>
            <family val="2"/>
          </rPr>
          <t>bruneau.melier:</t>
        </r>
        <r>
          <rPr>
            <sz val="8"/>
            <color indexed="81"/>
            <rFont val="Tahoma"/>
            <family val="2"/>
          </rPr>
          <t xml:space="preserve">
Takes the value of Not Executed, WIP, Passed or Failed</t>
        </r>
      </text>
    </comment>
    <comment ref="L10" authorId="0" shapeId="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 ref="M10" authorId="0" shapeId="0">
      <text>
        <r>
          <rPr>
            <b/>
            <sz val="8"/>
            <color indexed="81"/>
            <rFont val="Tahoma"/>
            <family val="2"/>
          </rPr>
          <t>bruneau.melier:</t>
        </r>
        <r>
          <rPr>
            <sz val="8"/>
            <color indexed="81"/>
            <rFont val="Tahoma"/>
            <family val="2"/>
          </rPr>
          <t xml:space="preserve">
This should be filled in by the Reviewer for filling in the actual result being observed by the reviewer on executing the test step</t>
        </r>
      </text>
    </comment>
  </commentList>
</comments>
</file>

<file path=xl/sharedStrings.xml><?xml version="1.0" encoding="utf-8"?>
<sst xmlns="http://schemas.openxmlformats.org/spreadsheetml/2006/main" count="310" uniqueCount="146">
  <si>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</si>
  <si>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</si>
  <si>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</si>
  <si>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</si>
  <si>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</si>
  <si>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</si>
  <si>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</si>
  <si>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</si>
  <si>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</si>
  <si>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</si>
  <si>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</si>
  <si>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</si>
  <si>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</si>
  <si>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</si>
  <si>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</si>
  <si>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</si>
  <si>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</si>
  <si>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</si>
  <si>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</si>
  <si>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</si>
  <si>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</si>
  <si>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</si>
  <si>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</si>
  <si>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</si>
  <si>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</si>
  <si>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</si>
  <si>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</si>
  <si>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</si>
  <si>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</si>
  <si>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</si>
  <si>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Issue Log correctly Updated</t>
  </si>
  <si>
    <t>Stored Procedures on SVN</t>
  </si>
  <si>
    <t>PRE_EIM_TABLES on SVN if any</t>
  </si>
  <si>
    <t xml:space="preserve">PHP/IFB Update on SVN </t>
  </si>
  <si>
    <t>Data Update Incident Template if any</t>
  </si>
  <si>
    <t>Data Impacted Objects Document Update</t>
  </si>
  <si>
    <t>Technical Solution, Data Update Flag &amp; Target Release on Scopesheet</t>
  </si>
  <si>
    <t>Test Script Passed</t>
  </si>
  <si>
    <t>Screenshots available</t>
  </si>
  <si>
    <t>End User Test Script completed (Integration Test Script)</t>
  </si>
  <si>
    <t>Sharepoint Update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</si>
  <si>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</si>
  <si>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</si>
  <si>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</si>
  <si>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</si>
  <si>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</si>
  <si>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</si>
  <si>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</si>
  <si>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</si>
  <si>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</si>
  <si>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</si>
  <si>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</si>
  <si>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</si>
  <si>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</si>
  <si>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</si>
  <si>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</si>
  <si>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</si>
  <si>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</si>
  <si>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</si>
  <si>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</si>
  <si>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</si>
  <si>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</si>
  <si>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</si>
  <si>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</si>
  <si>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</si>
  <si>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</si>
  <si>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</si>
  <si>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</si>
  <si>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</si>
  <si>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</si>
  <si>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</si>
  <si>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</si>
  <si>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</si>
  <si>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</si>
  <si>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</si>
  <si>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</si>
  <si>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</si>
  <si>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</si>
  <si>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</si>
  <si>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</si>
  <si>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</si>
  <si>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Test Status</t>
  </si>
  <si>
    <t>Test Status Comments</t>
  </si>
  <si>
    <t>Reviewer’s Actual Result Observed</t>
  </si>
  <si>
    <t>May, 2017</t>
  </si>
  <si>
    <t>CHG107664</t>
  </si>
  <si>
    <t>Order Date to include Date and Time in OD</t>
  </si>
  <si>
    <t>CH;#FR;#IE;#KZ</t>
  </si>
  <si>
    <t>Y</t>
  </si>
  <si>
    <t>CHG107664 Detail Functional and Technical Design Data Part v1</t>
  </si>
  <si>
    <t>TME Phase 2 - HLFD Interface Orders (OD) Version 4.3</t>
  </si>
  <si>
    <t>N/A</t>
  </si>
  <si>
    <t>Allow datetime in column ORDER_DT in OD Version 04</t>
  </si>
  <si>
    <t xml:space="preserve">IEOD0401_20170126_10.txt  , IEOD0301_20170126_10.txt </t>
  </si>
  <si>
    <t>Gulraaz</t>
  </si>
  <si>
    <t>OD</t>
  </si>
  <si>
    <t>FDE_INT_ORDERS_OD_PRE_GENERIC</t>
  </si>
  <si>
    <t>wrk_Orders_OD_Interface_Generic</t>
  </si>
  <si>
    <t>26/01/2017</t>
  </si>
  <si>
    <t>MAY_2017_Data_Impacted_Objects_v1.0</t>
  </si>
  <si>
    <t xml:space="preserve">Rest test data </t>
  </si>
  <si>
    <t>Login on sales application as CSTADMIE
Go to Orders view and query for orders : CHG107664*
Delete all available orders.</t>
  </si>
  <si>
    <t>OLTP DB</t>
  </si>
  <si>
    <t xml:space="preserve">
 SELECT ORDER_DT,* FROM S_ORDER WHERE ORDER_NUM LIKE 'CHG107664%'
 SELECT * FROM S_ORDER_POSTN WHERE ORDER_NUM LIKE 'CHG107664%'
 SELECT * FROM S_ORDER_BU WHERE ORDER_NUM LIKE 'CHG107664%'</t>
  </si>
  <si>
    <t>There should not be any records available.</t>
  </si>
  <si>
    <t xml:space="preserve">Delete all recrods in Error table if any and </t>
  </si>
  <si>
    <t xml:space="preserve"> /********OLTP******************/
 DELETE FROM WC_ERRORS_G WHERE FILE_NAME LIKE '%IEOD0401_%'</t>
  </si>
  <si>
    <t>Place flat file IUNP</t>
  </si>
  <si>
    <t>Flat file name : IEOD0401_20170126_10.txt</t>
  </si>
  <si>
    <t xml:space="preserve">Run Flat file registration </t>
  </si>
  <si>
    <t xml:space="preserve">please flat file attached on below path :
\\MRUDVINFO\Interfaces_IP14\Ireland\IUNP
The flat file contains 5 lines::
1. Invalid :Length check 
2.Invalid: Datetime check
3. valid: Order DT Null
4 Valid: Order DT contains datetime value 
5 Valid: Order DT contains date value </t>
  </si>
  <si>
    <t>SELECT *  from WC_ETL_FILES_G WHERE ETL_PROC_WID IN (SELECT ETL_PROC_WID FROM W_PARAM_G) AND FILENAME='IEOD0401_20170126_10.txt'</t>
  </si>
  <si>
    <t>OLAP DB</t>
  </si>
  <si>
    <t xml:space="preserve">Flat file correctly registered </t>
  </si>
  <si>
    <t xml:space="preserve">Run process </t>
  </si>
  <si>
    <t>Check errors</t>
  </si>
  <si>
    <t xml:space="preserve">Check EIM TABLE </t>
  </si>
  <si>
    <t xml:space="preserve">Check base table </t>
  </si>
  <si>
    <t xml:space="preserve">Length check and Datetime check  </t>
  </si>
  <si>
    <t xml:space="preserve">SELECT FIELD_VALUE , LEN(FIELD_VALUE),*
 FROM WC_ERRORS_G WHERE FILE_NAME LIKE '%IEOD0401_%'
</t>
  </si>
  <si>
    <t xml:space="preserve">1 Record rejected for length check  
1 record rejected for datetime check </t>
  </si>
  <si>
    <t>Run script to check EIM table</t>
  </si>
  <si>
    <t xml:space="preserve">
 SELECT IF_ROW_STAT ,IF_ROW_BATCH_NUM  FROM EIM_ORDER WHERE IF_ROW_BATCH_NUM = 100100000
 SELECT IF_ROW_STAT ,IF_ROW_BATCH_NUM  FROM EIM_ORDER WHERE IF_ROW_BATCH_NUM = 100200000
</t>
  </si>
  <si>
    <t xml:space="preserve">3 RECORDS IMPORTED IN EACH BATCH </t>
  </si>
  <si>
    <t>Run script to check PRE TABLE and bases table</t>
  </si>
  <si>
    <t xml:space="preserve"> /*3 RECORDS in PRE EIM table . ORD_ORDER_DT correctly populated.*/
 SELECT  ORD_ORDER_DT ,* FROM PRE_EIM_ORDERS_OD
 /*3 records in each base tables*/
 SELECT ORDER_DT,* FROM S_ORDER WHERE ORDER_NUM LIKE 'CHG107664%'
 SELECT * FROM S_ORDER_POSTN WHERE ORDER_NUM LIKE 'CHG107664%'
 SELECT * FROM S_ORDER_BU WHERE ORDER_NUM LIKE 'CHG107664%'</t>
  </si>
  <si>
    <t>3 records in each base table and PRE table</t>
  </si>
  <si>
    <t>Check record on sales application .</t>
  </si>
  <si>
    <t>Screenshot_1</t>
  </si>
  <si>
    <t xml:space="preserve">Reset test data </t>
  </si>
  <si>
    <t xml:space="preserve">Open informatica manager 
Open Folder  EIM_INTERFACE
Open workflow  RUN_EIM_PROCESS_GENERIC
Run worklet : wrk_Pre_Etl_java
</t>
  </si>
  <si>
    <t>Load flat file 
Open informatica manager 
Open Folder  EIM_INTERFACE 
Open workflow  RUN_EIM_PROCESS_GENERIC
Run worklet : wrk_Orders_OD_Interface_Generic</t>
  </si>
  <si>
    <t>Load flat file 
Open informatica manager 
Open Folder  EC4U
Open workflow  JTI_DWH_ETLComplete_Incremental
Run worklet : load_EIM
wait for OD interface to completed  worklet: wrk_Orders_OD_Interface_Generic</t>
  </si>
  <si>
    <t xml:space="preserve">Login on sales application as CSTADMIE
Go to Orders view and query for orders : CHG107664*
There should be 3 orders available .Validate that the Order date is correctly displayed .
Refer to screenshot_1 
</t>
  </si>
  <si>
    <t xml:space="preserve">Login on sales application as CSTADMIE
Go to Orders view and query for orders : CHG107664*
There should be 3 orders available .Validate that the Order date is correctly displayed.
Refer to screenshot_1 
</t>
  </si>
  <si>
    <t>Regression test version 03</t>
  </si>
  <si>
    <t>Flat file name : IEOD0301_20170126_10.txt</t>
  </si>
  <si>
    <t>SELECT *  from WC_ETL_FILES_G WHERE ETL_PROC_WID IN (SELECT ETL_PROC_WID FROM W_PARAM_G) AND FILENAME='IEOD0301_20170126_10.txt'</t>
  </si>
  <si>
    <t xml:space="preserve">please flat file attached on below path :
\\MRUDVINFO\Interfaces_IP14\Ireland\IUNP
The flat file contains 1 lines
</t>
  </si>
  <si>
    <t xml:space="preserve">1 RECORDS IMPORTED IN EACH BATCH </t>
  </si>
  <si>
    <t xml:space="preserve">1 records in each base table and PRE table
</t>
  </si>
  <si>
    <t xml:space="preserve"> /*3 RECORDS in PRE EIM table . ORD_ORDER_DT correctly populated.*/
 SELECT  ORD_ORDER_DT ,* FROM PRE_EIM_ORDERS_OD
 /*3 records in each base tables*/
SELECT ORDER_DT,ORDER_NUM FROM S_ORDER WHERE ORDER_NUM LIKE 'CHG107664_6%'
SELECT * FROM S_ORDER_POSTN WHERE ORDER_NUM LIKE 'CHG107664_6%'
SELECT * FROM S_ORDER_BU WHERE ORDER_NUM LIKE 'CHG107664_6%'
</t>
  </si>
  <si>
    <t xml:space="preserve">Login on sales application as CSTADMIE
Go to Orders view and query for orders : CHG107664_6*
There should be 1 orders available .Validate that the Order date is correctly displayed.
Refer to screenshot_2
</t>
  </si>
  <si>
    <t>Screenshot_2</t>
  </si>
  <si>
    <t>Vikram</t>
  </si>
  <si>
    <t>27/01/2017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</si>
</sst>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u/>
      <sz val="10"/>
      <color theme="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u/>
      <sz val="20"/>
      <color indexed="10"/>
      <name val="Book Antiqua"/>
      <family val="1"/>
    </font>
    <font>
      <b/>
      <sz val="11"/>
      <color indexed="9"/>
      <name val="Book Antiqua"/>
      <family val="1"/>
    </font>
    <font>
      <b/>
      <sz val="12"/>
      <name val="Book Antiqua"/>
      <family val="1"/>
    </font>
    <font>
      <sz val="10"/>
      <color theme="10"/>
      <name val="Arial"/>
      <family val="2"/>
    </font>
    <font>
      <b/>
      <sz val="10"/>
      <color theme="0"/>
      <name val="Arial"/>
      <family val="2"/>
    </font>
    <font>
      <b/>
      <sz val="9"/>
      <color indexed="81"/>
      <name val="Tahoma"/>
      <family val="2"/>
    </font>
    <font>
      <sz val="9"/>
      <color indexed="81"/>
      <name val="Tahoma"/>
      <family val="2"/>
    </font>
  </fonts>
  <fills count="29">
    <fill>
      <patternFill patternType="none"/>
    </fill>
    <fill>
      <patternFill patternType="gray125"/>
    </fill>
    <fill>
      <patternFill patternType="solid">
        <fgColor indexed="22"/>
        <bgColor indexed="64"/>
      </patternFill>
    </fill>
    <fill>
      <patternFill patternType="solid">
        <fgColor rgb="FF00B0F0"/>
        <bgColor indexed="64"/>
      </patternFill>
    </fill>
    <fill>
      <patternFill patternType="solid">
        <fgColor indexed="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17"/>
        <bgColor indexed="64"/>
      </patternFill>
    </fill>
    <fill>
      <patternFill patternType="solid">
        <fgColor rgb="FF99FFCC"/>
        <bgColor indexed="64"/>
      </patternFill>
    </fill>
    <fill>
      <patternFill patternType="solid">
        <fgColor rgb="FF92D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ck">
        <color indexed="17"/>
      </bottom>
      <diagonal/>
    </border>
    <border>
      <left/>
      <right/>
      <top/>
      <bottom style="thin">
        <color indexed="64"/>
      </bottom>
      <diagonal/>
    </border>
    <border>
      <left style="thin">
        <color indexed="64"/>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51">
    <xf numFmtId="0" fontId="0" fillId="0" borderId="0"/>
    <xf numFmtId="0" fontId="7" fillId="0" borderId="0" applyNumberFormat="0" applyFill="0" applyBorder="0" applyAlignment="0" applyProtection="0">
      <alignment vertical="top"/>
      <protection locked="0"/>
    </xf>
    <xf numFmtId="0" fontId="5" fillId="0" borderId="0" applyFont="0" applyFill="0" applyBorder="0" applyAlignment="0" applyProtection="0"/>
    <xf numFmtId="0" fontId="5" fillId="0" borderId="0"/>
    <xf numFmtId="0" fontId="3" fillId="0" borderId="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4" borderId="0" applyNumberFormat="0" applyBorder="0" applyAlignment="0" applyProtection="0"/>
    <xf numFmtId="0" fontId="12" fillId="15"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22" borderId="0" applyNumberFormat="0" applyBorder="0" applyAlignment="0" applyProtection="0"/>
    <xf numFmtId="0" fontId="13" fillId="23" borderId="5" applyNumberFormat="0" applyAlignment="0" applyProtection="0"/>
    <xf numFmtId="0" fontId="14" fillId="23" borderId="6" applyNumberFormat="0" applyAlignment="0" applyProtection="0"/>
    <xf numFmtId="0" fontId="15" fillId="10" borderId="6" applyNumberFormat="0" applyAlignment="0" applyProtection="0"/>
    <xf numFmtId="0" fontId="9" fillId="0" borderId="7" applyNumberFormat="0" applyFill="0" applyAlignment="0" applyProtection="0"/>
    <xf numFmtId="0" fontId="16" fillId="0" borderId="0" applyNumberFormat="0" applyFill="0" applyBorder="0" applyAlignment="0" applyProtection="0"/>
    <xf numFmtId="0" fontId="17" fillId="7" borderId="0" applyNumberFormat="0" applyBorder="0" applyAlignment="0" applyProtection="0"/>
    <xf numFmtId="0" fontId="5" fillId="24" borderId="8" applyNumberFormat="0" applyFont="0" applyAlignment="0" applyProtection="0"/>
    <xf numFmtId="0" fontId="18" fillId="6" borderId="0" applyNumberFormat="0" applyBorder="0" applyAlignment="0" applyProtection="0"/>
    <xf numFmtId="0" fontId="5" fillId="0" borderId="0"/>
    <xf numFmtId="0" fontId="19" fillId="0" borderId="0"/>
    <xf numFmtId="0" fontId="20" fillId="0" borderId="0" applyNumberFormat="0" applyFill="0" applyBorder="0" applyAlignment="0" applyProtection="0"/>
    <xf numFmtId="0" fontId="21" fillId="0" borderId="9" applyNumberFormat="0" applyFill="0" applyAlignment="0" applyProtection="0"/>
    <xf numFmtId="0" fontId="22" fillId="0" borderId="10" applyNumberFormat="0" applyFill="0" applyAlignment="0" applyProtection="0"/>
    <xf numFmtId="0" fontId="23" fillId="0" borderId="11" applyNumberFormat="0" applyFill="0" applyAlignment="0" applyProtection="0"/>
    <xf numFmtId="0" fontId="23" fillId="0" borderId="0" applyNumberFormat="0" applyFill="0" applyBorder="0" applyAlignment="0" applyProtection="0"/>
    <xf numFmtId="0" fontId="24" fillId="0" borderId="12" applyNumberFormat="0" applyFill="0" applyAlignment="0" applyProtection="0"/>
    <xf numFmtId="0" fontId="25" fillId="0" borderId="0" applyNumberFormat="0" applyFill="0" applyBorder="0" applyAlignment="0" applyProtection="0"/>
    <xf numFmtId="0" fontId="26" fillId="25" borderId="13" applyNumberFormat="0" applyAlignment="0" applyProtection="0"/>
    <xf numFmtId="0" fontId="5" fillId="0" borderId="0"/>
    <xf numFmtId="0" fontId="2" fillId="0" borderId="0"/>
    <xf numFmtId="0" fontId="1" fillId="0" borderId="0"/>
    <xf numFmtId="0" fontId="41" fillId="0" borderId="0"/>
  </cellStyleXfs>
  <cellXfs count="98">
    <xf numFmtId="0" fontId="0" fillId="0" borderId="0" xfId="0"/>
    <xf numFmtId="0" fontId="6" fillId="0" borderId="0" xfId="3" applyFont="1" applyAlignment="1">
      <alignment vertical="center"/>
    </xf>
    <xf numFmtId="0" fontId="5" fillId="0" borderId="0" xfId="3" applyAlignment="1">
      <alignment vertical="center"/>
    </xf>
    <xf numFmtId="0" fontId="5" fillId="0" borderId="0" xfId="3" applyFont="1" applyAlignment="1">
      <alignment vertical="center"/>
    </xf>
    <xf numFmtId="0" fontId="5" fillId="4" borderId="0" xfId="3" applyFill="1" applyAlignment="1">
      <alignment vertical="center"/>
    </xf>
    <xf numFmtId="0" fontId="6" fillId="4" borderId="0" xfId="3" applyFont="1" applyFill="1" applyAlignment="1">
      <alignment vertical="center"/>
    </xf>
    <xf numFmtId="0" fontId="29" fillId="0" borderId="0" xfId="2" applyFont="1" applyAlignment="1">
      <alignment vertical="center"/>
    </xf>
    <xf numFmtId="0" fontId="30" fillId="0" borderId="0" xfId="2" applyFont="1" applyAlignment="1">
      <alignment vertical="center"/>
    </xf>
    <xf numFmtId="0" fontId="32" fillId="0" borderId="0" xfId="2" applyFont="1" applyAlignment="1">
      <alignment vertical="center"/>
    </xf>
    <xf numFmtId="164" fontId="33" fillId="4" borderId="0" xfId="2" applyNumberFormat="1" applyFont="1" applyFill="1" applyAlignment="1">
      <alignment vertical="center"/>
    </xf>
    <xf numFmtId="164" fontId="5" fillId="4" borderId="0" xfId="2" applyNumberFormat="1" applyFill="1" applyAlignment="1">
      <alignment vertical="center"/>
    </xf>
    <xf numFmtId="0" fontId="4" fillId="0" borderId="0" xfId="47" applyFont="1" applyAlignment="1">
      <alignment vertical="center"/>
    </xf>
    <xf numFmtId="0" fontId="5" fillId="0" borderId="0" xfId="47" applyAlignment="1">
      <alignment vertical="center"/>
    </xf>
    <xf numFmtId="164" fontId="5" fillId="4" borderId="0" xfId="2" applyNumberFormat="1" applyFill="1" applyBorder="1" applyAlignment="1">
      <alignment vertical="center"/>
    </xf>
    <xf numFmtId="164" fontId="33" fillId="4" borderId="0" xfId="2" applyNumberFormat="1" applyFont="1" applyFill="1" applyBorder="1" applyAlignment="1">
      <alignment vertical="center"/>
    </xf>
    <xf numFmtId="0" fontId="5" fillId="0" borderId="0" xfId="2" applyFont="1" applyAlignment="1">
      <alignment vertical="center"/>
    </xf>
    <xf numFmtId="0" fontId="33" fillId="0" borderId="0" xfId="2" applyFont="1" applyAlignment="1">
      <alignment vertical="center"/>
    </xf>
    <xf numFmtId="0" fontId="34" fillId="0" borderId="0" xfId="2" applyFont="1" applyAlignment="1">
      <alignment vertical="center"/>
    </xf>
    <xf numFmtId="0" fontId="27" fillId="0" borderId="0" xfId="2" applyFont="1" applyAlignment="1">
      <alignment vertical="center"/>
    </xf>
    <xf numFmtId="0" fontId="35" fillId="0" borderId="0" xfId="2" applyFont="1" applyAlignment="1">
      <alignment vertical="center"/>
    </xf>
    <xf numFmtId="165" fontId="35" fillId="0" borderId="0" xfId="2" applyNumberFormat="1" applyFont="1" applyAlignment="1">
      <alignment horizontal="left" vertical="center"/>
    </xf>
    <xf numFmtId="0" fontId="36" fillId="4" borderId="0" xfId="3" applyFont="1" applyFill="1" applyAlignment="1">
      <alignment vertical="center" wrapText="1"/>
    </xf>
    <xf numFmtId="0" fontId="6" fillId="4" borderId="0" xfId="3" applyFont="1" applyFill="1" applyAlignment="1">
      <alignment horizontal="center" vertical="center" wrapText="1"/>
    </xf>
    <xf numFmtId="0" fontId="6" fillId="2" borderId="1" xfId="3" applyFont="1" applyFill="1" applyBorder="1" applyAlignment="1">
      <alignment horizontal="center" vertical="center" wrapText="1"/>
    </xf>
    <xf numFmtId="0" fontId="37" fillId="0" borderId="1" xfId="3" applyFont="1" applyBorder="1" applyAlignment="1">
      <alignment vertical="center" wrapText="1"/>
    </xf>
    <xf numFmtId="0" fontId="6" fillId="4" borderId="0" xfId="3" applyFont="1" applyFill="1" applyAlignment="1">
      <alignment vertical="center" wrapText="1"/>
    </xf>
    <xf numFmtId="0" fontId="6" fillId="2" borderId="1" xfId="3" applyFont="1" applyFill="1" applyBorder="1" applyAlignment="1">
      <alignment vertical="center"/>
    </xf>
    <xf numFmtId="0" fontId="37" fillId="0" borderId="1" xfId="3" applyFont="1" applyBorder="1" applyAlignment="1">
      <alignment horizontal="left" vertical="center" wrapText="1"/>
    </xf>
    <xf numFmtId="0" fontId="6" fillId="2" borderId="1" xfId="3" applyFont="1" applyFill="1" applyBorder="1" applyAlignment="1">
      <alignment vertical="center" wrapText="1"/>
    </xf>
    <xf numFmtId="0" fontId="39" fillId="4" borderId="3" xfId="3" applyFont="1" applyFill="1" applyBorder="1" applyAlignment="1">
      <alignment horizontal="right" vertical="center"/>
    </xf>
    <xf numFmtId="0" fontId="5" fillId="4" borderId="0" xfId="3" applyFont="1" applyFill="1" applyAlignment="1">
      <alignment vertical="center"/>
    </xf>
    <xf numFmtId="0" fontId="6" fillId="2" borderId="4" xfId="3" applyFont="1" applyFill="1" applyBorder="1" applyAlignment="1">
      <alignment vertical="center"/>
    </xf>
    <xf numFmtId="0" fontId="41" fillId="0" borderId="0" xfId="50" applyBorder="1" applyAlignment="1"/>
    <xf numFmtId="0" fontId="41" fillId="0" borderId="0" xfId="50" applyBorder="1"/>
    <xf numFmtId="0" fontId="41" fillId="0" borderId="0" xfId="50"/>
    <xf numFmtId="0" fontId="5" fillId="0" borderId="0" xfId="50" applyFont="1"/>
    <xf numFmtId="0" fontId="42" fillId="0" borderId="0" xfId="50" applyFont="1" applyBorder="1"/>
    <xf numFmtId="0" fontId="43" fillId="26" borderId="1" xfId="50" applyFont="1" applyFill="1" applyBorder="1" applyAlignment="1">
      <alignment horizontal="right" wrapText="1"/>
    </xf>
    <xf numFmtId="0" fontId="41" fillId="0" borderId="1" xfId="50" applyBorder="1" applyAlignment="1">
      <alignment wrapText="1"/>
    </xf>
    <xf numFmtId="0" fontId="41" fillId="0" borderId="1" xfId="50" applyBorder="1"/>
    <xf numFmtId="14" fontId="41" fillId="0" borderId="1" xfId="50" applyNumberFormat="1" applyBorder="1" applyAlignment="1">
      <alignment horizontal="right" wrapText="1"/>
    </xf>
    <xf numFmtId="0" fontId="41" fillId="0" borderId="1" xfId="50" applyFill="1" applyBorder="1" applyAlignment="1">
      <alignment wrapText="1"/>
    </xf>
    <xf numFmtId="0" fontId="41" fillId="0" borderId="1" xfId="50" applyFont="1" applyBorder="1" applyAlignment="1">
      <alignment wrapText="1"/>
    </xf>
    <xf numFmtId="0" fontId="6" fillId="2" borderId="15" xfId="3" applyFont="1" applyFill="1" applyBorder="1" applyAlignment="1">
      <alignment vertical="center"/>
    </xf>
    <xf numFmtId="0" fontId="5" fillId="4" borderId="0" xfId="3" applyFont="1" applyFill="1" applyBorder="1" applyAlignment="1">
      <alignment vertical="center"/>
    </xf>
    <xf numFmtId="0" fontId="5" fillId="4" borderId="0" xfId="3" applyFill="1" applyBorder="1" applyAlignment="1">
      <alignment vertical="center"/>
    </xf>
    <xf numFmtId="0" fontId="5" fillId="0" borderId="0" xfId="3" applyBorder="1" applyAlignment="1">
      <alignment vertical="center"/>
    </xf>
    <xf numFmtId="0" fontId="33" fillId="0" borderId="1" xfId="50" applyFont="1" applyFill="1" applyBorder="1" applyAlignment="1">
      <alignment vertical="top"/>
    </xf>
    <xf numFmtId="0" fontId="33" fillId="0" borderId="1" xfId="50" applyFont="1" applyBorder="1" applyAlignment="1">
      <alignment vertical="top" wrapText="1"/>
    </xf>
    <xf numFmtId="0" fontId="33" fillId="0" borderId="1" xfId="50" applyFont="1" applyBorder="1" applyAlignment="1">
      <alignment horizontal="left" vertical="top" wrapText="1"/>
    </xf>
    <xf numFmtId="0" fontId="5" fillId="0" borderId="0" xfId="3" applyAlignment="1">
      <alignment vertical="center" wrapText="1"/>
    </xf>
    <xf numFmtId="0" fontId="5" fillId="0" borderId="0" xfId="3" applyFont="1" applyAlignment="1">
      <alignment vertical="center" wrapText="1"/>
    </xf>
    <xf numFmtId="0" fontId="5" fillId="4" borderId="0" xfId="3" applyFill="1" applyAlignment="1">
      <alignment vertical="center" wrapText="1"/>
    </xf>
    <xf numFmtId="0" fontId="5" fillId="4" borderId="0" xfId="3" applyNumberFormat="1" applyFill="1" applyAlignment="1">
      <alignment vertical="center" wrapText="1"/>
    </xf>
    <xf numFmtId="15" fontId="37" fillId="0" borderId="1" xfId="3" applyNumberFormat="1" applyFont="1" applyBorder="1" applyAlignment="1">
      <alignment horizontal="left" vertical="center" wrapText="1"/>
    </xf>
    <xf numFmtId="15" fontId="7" fillId="0" borderId="1" xfId="1" applyNumberFormat="1" applyBorder="1" applyAlignment="1" applyProtection="1">
      <alignment horizontal="left" vertical="center" wrapText="1"/>
    </xf>
    <xf numFmtId="0" fontId="5" fillId="4" borderId="0" xfId="3" applyFill="1" applyBorder="1" applyAlignment="1">
      <alignment vertical="center" wrapText="1"/>
    </xf>
    <xf numFmtId="0" fontId="5" fillId="0" borderId="0" xfId="3" applyBorder="1" applyAlignment="1">
      <alignment vertical="center" wrapText="1"/>
    </xf>
    <xf numFmtId="0" fontId="33" fillId="0" borderId="1" xfId="50" applyFont="1" applyBorder="1"/>
    <xf numFmtId="0" fontId="33" fillId="0" borderId="1" xfId="50" applyFont="1" applyFill="1" applyBorder="1" applyAlignment="1">
      <alignment wrapText="1"/>
    </xf>
    <xf numFmtId="15" fontId="45" fillId="0" borderId="1" xfId="1" applyNumberFormat="1" applyFont="1" applyBorder="1" applyAlignment="1" applyProtection="1">
      <alignment horizontal="left" vertical="center" wrapText="1"/>
    </xf>
    <xf numFmtId="0" fontId="41" fillId="0" borderId="0" xfId="50" applyBorder="1" applyAlignment="1">
      <alignment horizontal="left" vertical="top"/>
    </xf>
    <xf numFmtId="0" fontId="41" fillId="0" borderId="0" xfId="50" applyAlignment="1">
      <alignment horizontal="left" vertical="top"/>
    </xf>
    <xf numFmtId="0" fontId="0" fillId="0" borderId="0" xfId="0" applyAlignment="1">
      <alignment horizontal="center"/>
    </xf>
    <xf numFmtId="0" fontId="46" fillId="3" borderId="0" xfId="0" applyFont="1" applyFill="1"/>
    <xf numFmtId="0" fontId="46" fillId="3" borderId="0" xfId="0" applyFont="1" applyFill="1" applyAlignment="1">
      <alignment horizontal="center"/>
    </xf>
    <xf numFmtId="0" fontId="6" fillId="27" borderId="1" xfId="0" applyFont="1" applyFill="1" applyBorder="1"/>
    <xf numFmtId="0" fontId="0" fillId="27" borderId="1" xfId="0" applyFill="1" applyBorder="1" applyAlignment="1">
      <alignment horizontal="center"/>
    </xf>
    <xf numFmtId="14" fontId="0" fillId="27" borderId="1" xfId="0" applyNumberFormat="1" applyFill="1" applyBorder="1" applyAlignment="1">
      <alignment horizontal="center"/>
    </xf>
    <xf numFmtId="14" fontId="5" fillId="27" borderId="1" xfId="0" quotePrefix="1" applyNumberFormat="1" applyFont="1" applyFill="1" applyBorder="1" applyAlignment="1">
      <alignment horizontal="center"/>
    </xf>
    <xf numFmtId="0" fontId="5" fillId="27" borderId="1" xfId="0" applyFont="1" applyFill="1" applyBorder="1" applyAlignment="1">
      <alignment horizontal="center"/>
    </xf>
    <xf numFmtId="166" fontId="0" fillId="27" borderId="1" xfId="0" applyNumberFormat="1" applyFill="1" applyBorder="1" applyAlignment="1">
      <alignment horizontal="center"/>
    </xf>
    <xf numFmtId="22" fontId="41" fillId="0" borderId="0" xfId="50" applyNumberFormat="1" applyBorder="1"/>
    <xf numFmtId="49" fontId="6" fillId="2" borderId="1" xfId="50" applyNumberFormat="1" applyFont="1" applyFill="1" applyBorder="1" applyAlignment="1">
      <alignment horizontal="center" vertical="top"/>
    </xf>
    <xf numFmtId="0" fontId="43" fillId="26" borderId="1" xfId="50" applyFont="1" applyFill="1" applyBorder="1" applyAlignment="1">
      <alignment horizontal="right" vertical="top" wrapText="1"/>
    </xf>
    <xf numFmtId="0" fontId="6" fillId="0" borderId="0" xfId="0" applyFont="1" applyFill="1"/>
    <xf numFmtId="0" fontId="0" fillId="0" borderId="0" xfId="0" applyFill="1"/>
    <xf numFmtId="164" fontId="10" fillId="4" borderId="2" xfId="2" applyNumberFormat="1" applyFont="1" applyFill="1" applyBorder="1" applyAlignment="1">
      <alignment horizontal="center" vertical="center"/>
    </xf>
    <xf numFmtId="0" fontId="27" fillId="0" borderId="0" xfId="2" applyFont="1" applyAlignment="1">
      <alignment horizontal="center" vertical="center"/>
    </xf>
    <xf numFmtId="0" fontId="28" fillId="0" borderId="0" xfId="2" applyFont="1" applyAlignment="1">
      <alignment horizontal="center" vertical="center"/>
    </xf>
    <xf numFmtId="0" fontId="29" fillId="0" borderId="0" xfId="2" applyFont="1" applyAlignment="1">
      <alignment horizontal="right" vertical="center"/>
    </xf>
    <xf numFmtId="0" fontId="29" fillId="0" borderId="0" xfId="2" applyFont="1" applyAlignment="1">
      <alignment horizontal="left" vertical="center"/>
    </xf>
    <xf numFmtId="0" fontId="32" fillId="0" borderId="0" xfId="2" applyFont="1" applyAlignment="1">
      <alignment horizontal="right" vertical="center"/>
    </xf>
    <xf numFmtId="0" fontId="34" fillId="0" borderId="0" xfId="2" applyFont="1" applyAlignment="1">
      <alignment horizontal="left" vertical="center"/>
    </xf>
    <xf numFmtId="0" fontId="30" fillId="0" borderId="0" xfId="2" applyFont="1" applyAlignment="1">
      <alignment horizontal="right" vertical="center"/>
    </xf>
    <xf numFmtId="0" fontId="30" fillId="0" borderId="0" xfId="2" applyFont="1" applyAlignment="1">
      <alignment horizontal="left" vertical="center" wrapText="1"/>
    </xf>
    <xf numFmtId="0" fontId="31" fillId="0" borderId="0" xfId="2" applyFont="1" applyAlignment="1">
      <alignment horizontal="right" vertical="center"/>
    </xf>
    <xf numFmtId="0" fontId="31" fillId="0" borderId="0" xfId="2" applyFont="1" applyAlignment="1">
      <alignment horizontal="left" vertical="center" wrapText="1"/>
    </xf>
    <xf numFmtId="0" fontId="38" fillId="4" borderId="3" xfId="3" applyFont="1" applyFill="1" applyBorder="1" applyAlignment="1">
      <alignment horizontal="left" vertical="center"/>
    </xf>
    <xf numFmtId="0" fontId="36" fillId="4" borderId="0" xfId="3" applyFont="1" applyFill="1" applyAlignment="1">
      <alignment vertical="center"/>
    </xf>
    <xf numFmtId="0" fontId="36" fillId="2" borderId="14" xfId="3" applyFont="1" applyFill="1" applyBorder="1" applyAlignment="1">
      <alignment horizontal="center" vertical="center" wrapText="1"/>
    </xf>
    <xf numFmtId="0" fontId="1" fillId="0" borderId="14" xfId="49" applyBorder="1"/>
    <xf numFmtId="0" fontId="41" fillId="0" borderId="1" xfId="50" applyFont="1" applyBorder="1" applyAlignment="1">
      <alignment horizontal="center" wrapText="1"/>
    </xf>
    <xf numFmtId="0" fontId="41" fillId="0" borderId="1" xfId="50" applyBorder="1" applyAlignment="1">
      <alignment horizontal="center" wrapText="1"/>
    </xf>
    <xf numFmtId="0" fontId="44" fillId="0" borderId="1" xfId="50" applyFont="1" applyBorder="1" applyAlignment="1">
      <alignment horizontal="left" wrapText="1"/>
    </xf>
    <xf numFmtId="0" fontId="41" fillId="0" borderId="1" xfId="50" applyFont="1" applyBorder="1" applyAlignment="1">
      <alignment horizontal="left" wrapText="1"/>
    </xf>
    <xf numFmtId="0" fontId="41" fillId="0" borderId="1" xfId="50" applyBorder="1" applyAlignment="1">
      <alignment horizontal="left" wrapText="1"/>
    </xf>
    <xf numFmtId="0" fontId="41" fillId="28" borderId="16" xfId="50" applyFill="1" applyBorder="1" applyAlignment="1">
      <alignment horizontal="center"/>
    </xf>
  </cellXfs>
  <cellStyles count="51">
    <cellStyle name="20% - Akzent1" xfId="5"/>
    <cellStyle name="20% - Akzent2" xfId="6"/>
    <cellStyle name="20% - Akzent3" xfId="7"/>
    <cellStyle name="20% - Akzent4" xfId="8"/>
    <cellStyle name="20% - Akzent5" xfId="9"/>
    <cellStyle name="20% - Akzent6" xfId="10"/>
    <cellStyle name="40% - Akzent1" xfId="11"/>
    <cellStyle name="40% - Akzent2" xfId="12"/>
    <cellStyle name="40% - Akzent3" xfId="13"/>
    <cellStyle name="40% - Akzent4" xfId="14"/>
    <cellStyle name="40% - Akzent5" xfId="15"/>
    <cellStyle name="40% - Akzent6" xfId="16"/>
    <cellStyle name="60% - Akzent1" xfId="17"/>
    <cellStyle name="60% - Akzent2" xfId="18"/>
    <cellStyle name="60% - Akzent3" xfId="19"/>
    <cellStyle name="60% - Akzent4" xfId="20"/>
    <cellStyle name="60% - Akzent5" xfId="21"/>
    <cellStyle name="60% - Akzent6" xfId="22"/>
    <cellStyle name="Akzent1" xfId="23"/>
    <cellStyle name="Akzent2" xfId="24"/>
    <cellStyle name="Akzent3" xfId="25"/>
    <cellStyle name="Akzent4" xfId="26"/>
    <cellStyle name="Akzent5" xfId="27"/>
    <cellStyle name="Akzent6" xfId="28"/>
    <cellStyle name="Ausgabe" xfId="29"/>
    <cellStyle name="Berechnung" xfId="30"/>
    <cellStyle name="Comma_template landscape1" xfId="2"/>
    <cellStyle name="Eingabe" xfId="31"/>
    <cellStyle name="Ergebnis" xfId="32"/>
    <cellStyle name="Erklärender Text" xfId="33"/>
    <cellStyle name="Gut" xfId="34"/>
    <cellStyle name="Hyperlink" xfId="1" builtinId="8"/>
    <cellStyle name="Normal" xfId="0" builtinId="0"/>
    <cellStyle name="Normal 2" xfId="4"/>
    <cellStyle name="Normal 2 2" xfId="47"/>
    <cellStyle name="Normal 3" xfId="48"/>
    <cellStyle name="Normal 3 2" xfId="49"/>
    <cellStyle name="Normal 4" xfId="50"/>
    <cellStyle name="Normal_Analytics_Test Script_CR_XXXX_Template" xfId="3"/>
    <cellStyle name="Notiz" xfId="35"/>
    <cellStyle name="Schlecht" xfId="36"/>
    <cellStyle name="Standard 2" xfId="37"/>
    <cellStyle name="Style 1" xfId="38"/>
    <cellStyle name="Überschrift" xfId="39"/>
    <cellStyle name="Überschrift 1" xfId="40"/>
    <cellStyle name="Überschrift 2" xfId="41"/>
    <cellStyle name="Überschrift 3" xfId="42"/>
    <cellStyle name="Überschrift 4" xfId="43"/>
    <cellStyle name="Verknüpfte Zelle" xfId="44"/>
    <cellStyle name="Warnender Text" xfId="45"/>
    <cellStyle name="Zelle überprüfen" xfId="46"/>
  </cellStyles>
  <dxfs count="0"/>
  <tableStyles count="0" defaultTableStyle="TableStyleMedium9" defaultPivotStyle="PivotStyleLight16"/>
  <colors>
    <mruColors>
      <color rgb="FF99FFCC"/>
      <color rgb="FFFF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114300</xdr:rowOff>
    </xdr:from>
    <xdr:to>
      <xdr:col>5</xdr:col>
      <xdr:colOff>657225</xdr:colOff>
      <xdr:row>12</xdr:row>
      <xdr:rowOff>85724</xdr:rowOff>
    </xdr:to>
    <xdr:sp macro="" textlink="">
      <xdr:nvSpPr>
        <xdr:cNvPr id="2" name="Rectangle 7"/>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3" name="Rectangle 10"/>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4" name="Rectangle 13"/>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5" name="Rectangle 16"/>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6" name="Rectangle 19"/>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18</xdr:col>
      <xdr:colOff>178666</xdr:colOff>
      <xdr:row>10</xdr:row>
      <xdr:rowOff>46182</xdr:rowOff>
    </xdr:to>
    <xdr:pic>
      <xdr:nvPicPr>
        <xdr:cNvPr id="7" name="Picture 9"/>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2534900" cy="1657350"/>
        </a:xfrm>
        <a:prstGeom prst="rect">
          <a:avLst/>
        </a:prstGeom>
        <a:noFill/>
        <a:ln w="1">
          <a:noFill/>
          <a:miter lim="800000"/>
          <a:headEnd/>
          <a:tailEn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590550</xdr:colOff>
      <xdr:row>3</xdr:row>
      <xdr:rowOff>142875</xdr:rowOff>
    </xdr:to>
    <xdr:pic>
      <xdr:nvPicPr>
        <xdr:cNvPr id="2" name="Picture 1" descr="JTI_TMELogo_S"/>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3476625" cy="1019175"/>
        </a:xfrm>
        <a:prstGeom prst="rect">
          <a:avLst/>
        </a:prstGeom>
        <a:noFill/>
        <a:ln w="9525">
          <a:noFill/>
          <a:miter lim="800000"/>
          <a:headEnd/>
          <a:tailEnd/>
        </a:ln>
      </xdr:spPr>
    </xdr:pic>
    <xdr:clientData/>
  </xdr:twoCellAnchor>
  <xdr:twoCellAnchor>
    <xdr:from>
      <xdr:col>7</xdr:col>
      <xdr:colOff>895350</xdr:colOff>
      <xdr:row>0</xdr:row>
      <xdr:rowOff>0</xdr:rowOff>
    </xdr:from>
    <xdr:to>
      <xdr:col>8</xdr:col>
      <xdr:colOff>0</xdr:colOff>
      <xdr:row>3</xdr:row>
      <xdr:rowOff>142875</xdr:rowOff>
    </xdr:to>
    <xdr:pic>
      <xdr:nvPicPr>
        <xdr:cNvPr id="3" name="Picture 2" descr="JTI Logo"/>
        <xdr:cNvPicPr>
          <a:picLocks noChangeAspect="1" noChangeArrowheads="1"/>
        </xdr:cNvPicPr>
      </xdr:nvPicPr>
      <xdr:blipFill>
        <a:blip xmlns:r="http://schemas.openxmlformats.org/officeDocument/2006/relationships" r:embed="rId2" cstate="print"/>
        <a:srcRect/>
        <a:stretch>
          <a:fillRect/>
        </a:stretch>
      </xdr:blipFill>
      <xdr:spPr bwMode="auto">
        <a:xfrm>
          <a:off x="13582650" y="0"/>
          <a:ext cx="1133475" cy="10191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4</xdr:col>
          <xdr:colOff>438150</xdr:colOff>
          <xdr:row>11</xdr:row>
          <xdr:rowOff>647700</xdr:rowOff>
        </xdr:from>
        <xdr:to>
          <xdr:col>4</xdr:col>
          <xdr:colOff>2066925</xdr:colOff>
          <xdr:row>11</xdr:row>
          <xdr:rowOff>1162050</xdr:rowOff>
        </xdr:to>
        <xdr:sp macro="" textlink="">
          <xdr:nvSpPr>
            <xdr:cNvPr id="10279" name="Object 39" hidden="1">
              <a:extLst>
                <a:ext uri="{63B3BB69-23CF-44E3-9099-C40C66FF867C}">
                  <a14:compatExt spid="_x0000_s1027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25</xdr:row>
          <xdr:rowOff>428625</xdr:rowOff>
        </xdr:from>
        <xdr:to>
          <xdr:col>4</xdr:col>
          <xdr:colOff>2181225</xdr:colOff>
          <xdr:row>25</xdr:row>
          <xdr:rowOff>942975</xdr:rowOff>
        </xdr:to>
        <xdr:sp macro="" textlink="">
          <xdr:nvSpPr>
            <xdr:cNvPr id="10283" name="Object 43" hidden="1">
              <a:extLst>
                <a:ext uri="{63B3BB69-23CF-44E3-9099-C40C66FF867C}">
                  <a14:compatExt spid="_x0000_s1028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219075</xdr:colOff>
      <xdr:row>2</xdr:row>
      <xdr:rowOff>47625</xdr:rowOff>
    </xdr:from>
    <xdr:to>
      <xdr:col>23</xdr:col>
      <xdr:colOff>152400</xdr:colOff>
      <xdr:row>31</xdr:row>
      <xdr:rowOff>104775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9075" y="371475"/>
          <a:ext cx="16278225" cy="475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104775</xdr:colOff>
      <xdr:row>36</xdr:row>
      <xdr:rowOff>85725</xdr:rowOff>
    </xdr:from>
    <xdr:to>
      <xdr:col>21</xdr:col>
      <xdr:colOff>400050</xdr:colOff>
      <xdr:row>60</xdr:row>
      <xdr:rowOff>95250</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5915025"/>
          <a:ext cx="15420975" cy="389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S37"/>
  <sheetViews>
    <sheetView showGridLines="0" zoomScale="66" workbookViewId="0">
      <selection activeCell="K21" sqref="K21:S21"/>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77" t="s">
        <v>2</v>
      </c>
      <c r="B13" s="77"/>
      <c r="C13" s="77"/>
      <c r="D13" s="77"/>
      <c r="E13" s="77"/>
      <c r="F13" s="77"/>
      <c r="G13" s="77"/>
      <c r="H13" s="77"/>
      <c r="I13" s="77"/>
      <c r="J13" s="77"/>
      <c r="K13" s="77"/>
      <c r="L13" s="77"/>
      <c r="M13" s="77"/>
      <c r="N13" s="77"/>
      <c r="O13" s="77"/>
      <c r="P13" s="77"/>
      <c r="Q13" s="77"/>
      <c r="R13" s="77"/>
      <c r="S13" s="77"/>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78" t="s">
        <v>17</v>
      </c>
      <c r="B18" s="78"/>
      <c r="C18" s="78"/>
      <c r="D18" s="78"/>
      <c r="E18" s="78"/>
      <c r="F18" s="78"/>
      <c r="G18" s="78"/>
      <c r="H18" s="78"/>
      <c r="I18" s="78"/>
      <c r="J18" s="78"/>
      <c r="K18" s="78"/>
      <c r="L18" s="78"/>
      <c r="M18" s="78"/>
      <c r="N18" s="78"/>
      <c r="O18" s="78"/>
      <c r="P18" s="78"/>
      <c r="Q18" s="78"/>
      <c r="R18" s="78"/>
      <c r="S18" s="78"/>
    </row>
    <row r="19" spans="1:19" s="15" customFormat="1" ht="40.5" customHeight="1" x14ac:dyDescent="0.2">
      <c r="A19" s="79" t="s">
        <v>1</v>
      </c>
      <c r="B19" s="79"/>
      <c r="C19" s="79"/>
      <c r="D19" s="79"/>
      <c r="E19" s="79"/>
      <c r="F19" s="79"/>
      <c r="G19" s="79"/>
      <c r="H19" s="79"/>
      <c r="I19" s="79"/>
      <c r="J19" s="79"/>
      <c r="K19" s="79"/>
      <c r="L19" s="79"/>
      <c r="M19" s="79"/>
      <c r="N19" s="79"/>
      <c r="O19" s="79"/>
      <c r="P19" s="79"/>
      <c r="Q19" s="79"/>
      <c r="R19" s="79"/>
      <c r="S19" s="79"/>
    </row>
    <row r="20" spans="1:19" s="15" customFormat="1" ht="13.5" x14ac:dyDescent="0.2">
      <c r="A20" s="16"/>
      <c r="B20" s="16"/>
      <c r="C20" s="16"/>
      <c r="D20" s="16"/>
      <c r="E20" s="16"/>
      <c r="F20" s="16"/>
      <c r="G20" s="16"/>
      <c r="H20" s="16"/>
      <c r="I20" s="16"/>
      <c r="J20" s="16"/>
    </row>
    <row r="21" spans="1:19" s="15" customFormat="1" ht="58.5" customHeight="1" x14ac:dyDescent="0.2">
      <c r="A21" s="80" t="s">
        <v>18</v>
      </c>
      <c r="B21" s="80"/>
      <c r="C21" s="80"/>
      <c r="D21" s="80"/>
      <c r="E21" s="80"/>
      <c r="F21" s="80"/>
      <c r="G21" s="80"/>
      <c r="H21" s="80"/>
      <c r="I21" s="80"/>
      <c r="J21" s="6"/>
      <c r="K21" s="81" t="s">
        <v>85</v>
      </c>
      <c r="L21" s="81"/>
      <c r="M21" s="81"/>
      <c r="N21" s="81"/>
      <c r="O21" s="81"/>
      <c r="P21" s="81"/>
      <c r="Q21" s="81"/>
      <c r="R21" s="81"/>
      <c r="S21" s="81"/>
    </row>
    <row r="22" spans="1:19" s="15" customFormat="1" ht="13.5" x14ac:dyDescent="0.2">
      <c r="A22" s="16"/>
      <c r="B22" s="16"/>
      <c r="C22" s="16"/>
      <c r="D22" s="16"/>
      <c r="E22" s="16"/>
      <c r="F22" s="16"/>
      <c r="G22" s="16"/>
      <c r="H22" s="16"/>
      <c r="I22" s="16"/>
      <c r="J22" s="16"/>
    </row>
    <row r="23" spans="1:19" s="15" customFormat="1" ht="70.150000000000006" customHeight="1" x14ac:dyDescent="0.2">
      <c r="A23" s="84" t="s">
        <v>19</v>
      </c>
      <c r="B23" s="84"/>
      <c r="C23" s="84"/>
      <c r="D23" s="84"/>
      <c r="E23" s="84"/>
      <c r="F23" s="84"/>
      <c r="G23" s="84"/>
      <c r="H23" s="84"/>
      <c r="I23" s="84"/>
      <c r="J23" s="7"/>
      <c r="K23" s="85" t="s">
        <v>86</v>
      </c>
      <c r="L23" s="85"/>
      <c r="M23" s="85"/>
      <c r="N23" s="85"/>
      <c r="O23" s="85"/>
      <c r="P23" s="85"/>
      <c r="Q23" s="85"/>
      <c r="R23" s="85"/>
      <c r="S23" s="85"/>
    </row>
    <row r="24" spans="1:19" s="15" customFormat="1" ht="13.5" x14ac:dyDescent="0.2">
      <c r="A24" s="16"/>
      <c r="B24" s="16"/>
      <c r="C24" s="16"/>
      <c r="D24" s="16"/>
      <c r="E24" s="16"/>
      <c r="F24" s="16"/>
      <c r="G24" s="16"/>
      <c r="H24" s="16"/>
      <c r="I24" s="16"/>
      <c r="J24" s="16"/>
    </row>
    <row r="25" spans="1:19" s="15" customFormat="1" ht="70.150000000000006" customHeight="1" x14ac:dyDescent="0.2">
      <c r="A25" s="86" t="s">
        <v>3</v>
      </c>
      <c r="B25" s="86"/>
      <c r="C25" s="86"/>
      <c r="D25" s="86"/>
      <c r="E25" s="86"/>
      <c r="F25" s="86"/>
      <c r="G25" s="86"/>
      <c r="H25" s="86"/>
      <c r="I25" s="86"/>
      <c r="J25" s="7"/>
      <c r="K25" s="87" t="s">
        <v>87</v>
      </c>
      <c r="L25" s="87"/>
      <c r="M25" s="87"/>
      <c r="N25" s="87"/>
      <c r="O25" s="87"/>
      <c r="P25" s="87"/>
      <c r="Q25" s="87"/>
      <c r="R25" s="87"/>
      <c r="S25" s="87"/>
    </row>
    <row r="26" spans="1:19" s="15" customFormat="1" ht="13.5" x14ac:dyDescent="0.2">
      <c r="A26" s="16"/>
      <c r="B26" s="16"/>
      <c r="C26" s="16"/>
      <c r="D26" s="16"/>
      <c r="E26" s="16"/>
      <c r="F26" s="16"/>
      <c r="G26" s="16"/>
      <c r="H26" s="16"/>
      <c r="I26" s="16"/>
      <c r="J26" s="16"/>
    </row>
    <row r="27" spans="1:19" ht="27" customHeight="1" x14ac:dyDescent="0.2">
      <c r="A27" s="82" t="s">
        <v>13</v>
      </c>
      <c r="B27" s="82"/>
      <c r="C27" s="82"/>
      <c r="D27" s="82"/>
      <c r="E27" s="82"/>
      <c r="F27" s="82"/>
      <c r="G27" s="82"/>
      <c r="H27" s="82"/>
      <c r="I27" s="82"/>
      <c r="K27" s="83" t="s">
        <v>20</v>
      </c>
      <c r="L27" s="83"/>
      <c r="M27" s="83"/>
      <c r="N27" s="83"/>
      <c r="O27" s="83"/>
      <c r="P27" s="83"/>
      <c r="Q27" s="83"/>
      <c r="R27" s="83"/>
      <c r="S27" s="83"/>
    </row>
    <row r="28" spans="1:19" ht="27" customHeight="1" x14ac:dyDescent="0.2">
      <c r="A28" s="82"/>
      <c r="B28" s="82"/>
      <c r="C28" s="82"/>
      <c r="D28" s="82"/>
      <c r="E28" s="82"/>
      <c r="F28" s="82"/>
      <c r="G28" s="82"/>
      <c r="H28" s="82"/>
      <c r="I28" s="82"/>
      <c r="K28" s="83"/>
      <c r="L28" s="83"/>
      <c r="M28" s="83"/>
      <c r="N28" s="83"/>
      <c r="O28" s="17"/>
      <c r="P28" s="17"/>
      <c r="Q28" s="17"/>
      <c r="R28" s="17"/>
      <c r="S28" s="17"/>
    </row>
    <row r="29" spans="1:19" ht="27" customHeight="1" x14ac:dyDescent="0.2">
      <c r="A29" s="82"/>
      <c r="B29" s="82"/>
      <c r="C29" s="82"/>
      <c r="D29" s="82"/>
      <c r="E29" s="82"/>
      <c r="F29" s="82"/>
      <c r="G29" s="82"/>
      <c r="H29" s="82"/>
      <c r="I29" s="82"/>
      <c r="K29" s="83"/>
      <c r="L29" s="83"/>
      <c r="M29" s="83"/>
      <c r="N29" s="83"/>
      <c r="O29" s="83"/>
      <c r="P29" s="83"/>
      <c r="Q29" s="83"/>
      <c r="R29" s="83"/>
      <c r="S29" s="83"/>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42762</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37"/>
  <sheetViews>
    <sheetView topLeftCell="A6" workbookViewId="0">
      <selection activeCell="B26" sqref="B26"/>
    </sheetView>
  </sheetViews>
  <sheetFormatPr defaultColWidth="8" defaultRowHeight="12.75" x14ac:dyDescent="0.2"/>
  <cols>
    <col min="1" max="1" width="54.140625" style="2" customWidth="1"/>
    <col min="2" max="2" width="86.42578125" style="50" customWidth="1"/>
    <col min="3" max="3" width="25.140625" style="2" bestFit="1" customWidth="1"/>
    <col min="4" max="16384" width="8" style="2"/>
  </cols>
  <sheetData>
    <row r="1" spans="1:3" hidden="1" x14ac:dyDescent="0.2">
      <c r="A1" s="1" t="s">
        <v>5</v>
      </c>
    </row>
    <row r="2" spans="1:3" hidden="1" x14ac:dyDescent="0.2">
      <c r="A2" s="3" t="s">
        <v>21</v>
      </c>
      <c r="B2" s="51" t="s">
        <v>6</v>
      </c>
    </row>
    <row r="3" spans="1:3" hidden="1" x14ac:dyDescent="0.2">
      <c r="A3" s="3" t="s">
        <v>21</v>
      </c>
      <c r="B3" s="51" t="s">
        <v>6</v>
      </c>
    </row>
    <row r="4" spans="1:3" hidden="1" x14ac:dyDescent="0.2">
      <c r="A4" s="3" t="s">
        <v>22</v>
      </c>
      <c r="B4" s="51" t="s">
        <v>7</v>
      </c>
    </row>
    <row r="5" spans="1:3" hidden="1" x14ac:dyDescent="0.2">
      <c r="A5" s="3" t="s">
        <v>23</v>
      </c>
      <c r="B5" s="51" t="s">
        <v>7</v>
      </c>
    </row>
    <row r="6" spans="1:3" x14ac:dyDescent="0.2">
      <c r="A6" s="5"/>
      <c r="B6" s="52"/>
      <c r="C6" s="4"/>
    </row>
    <row r="7" spans="1:3" x14ac:dyDescent="0.2">
      <c r="A7" s="30"/>
      <c r="B7" s="52"/>
      <c r="C7" s="4"/>
    </row>
    <row r="8" spans="1:3" ht="27.75" x14ac:dyDescent="0.2">
      <c r="A8" s="88" t="s">
        <v>1</v>
      </c>
      <c r="B8" s="88"/>
      <c r="C8" s="29" t="s">
        <v>8</v>
      </c>
    </row>
    <row r="9" spans="1:3" x14ac:dyDescent="0.2">
      <c r="A9" s="4"/>
      <c r="B9" s="52"/>
      <c r="C9" s="4"/>
    </row>
    <row r="10" spans="1:3" x14ac:dyDescent="0.2">
      <c r="A10" s="5" t="s">
        <v>9</v>
      </c>
      <c r="B10" s="89" t="s">
        <v>10</v>
      </c>
      <c r="C10" s="89"/>
    </row>
    <row r="11" spans="1:3" x14ac:dyDescent="0.2">
      <c r="A11" s="25" t="s">
        <v>11</v>
      </c>
      <c r="B11" s="21" t="s">
        <v>84</v>
      </c>
      <c r="C11" s="22"/>
    </row>
    <row r="12" spans="1:3" x14ac:dyDescent="0.2">
      <c r="A12" s="30"/>
      <c r="B12" s="52"/>
      <c r="C12" s="4"/>
    </row>
    <row r="13" spans="1:3" x14ac:dyDescent="0.2">
      <c r="A13" s="30"/>
      <c r="B13" s="52"/>
      <c r="C13" s="4"/>
    </row>
    <row r="14" spans="1:3" ht="19.5" customHeight="1" x14ac:dyDescent="0.2">
      <c r="A14" s="26" t="str">
        <f>CONCATENATE("To be Performed by Tester : ",'Test Cycle 1'!H7)</f>
        <v>To be Performed by Tester : Gulraaz</v>
      </c>
      <c r="B14" s="53"/>
      <c r="C14" s="4"/>
    </row>
    <row r="15" spans="1:3" ht="21.95" customHeight="1" x14ac:dyDescent="0.25">
      <c r="A15" s="31" t="s">
        <v>24</v>
      </c>
      <c r="B15" s="90"/>
      <c r="C15" s="91"/>
    </row>
    <row r="16" spans="1:3" ht="39.75" customHeight="1" x14ac:dyDescent="0.2">
      <c r="A16" s="28" t="s">
        <v>25</v>
      </c>
      <c r="B16" s="28" t="s">
        <v>12</v>
      </c>
      <c r="C16" s="23" t="s">
        <v>26</v>
      </c>
    </row>
    <row r="17" spans="1:3" x14ac:dyDescent="0.2">
      <c r="A17" s="24" t="s">
        <v>27</v>
      </c>
      <c r="B17" s="54" t="s">
        <v>90</v>
      </c>
      <c r="C17" s="27" t="s">
        <v>88</v>
      </c>
    </row>
    <row r="18" spans="1:3" x14ac:dyDescent="0.2">
      <c r="A18" s="24" t="s">
        <v>28</v>
      </c>
      <c r="B18" s="54" t="s">
        <v>89</v>
      </c>
      <c r="C18" s="27" t="s">
        <v>88</v>
      </c>
    </row>
    <row r="19" spans="1:3" x14ac:dyDescent="0.2">
      <c r="A19" s="24" t="s">
        <v>29</v>
      </c>
      <c r="B19" s="54"/>
      <c r="C19" s="27" t="s">
        <v>91</v>
      </c>
    </row>
    <row r="20" spans="1:3" x14ac:dyDescent="0.2">
      <c r="A20" s="24" t="s">
        <v>30</v>
      </c>
      <c r="B20" s="55"/>
      <c r="C20" s="27" t="s">
        <v>91</v>
      </c>
    </row>
    <row r="21" spans="1:3" x14ac:dyDescent="0.2">
      <c r="A21" s="24" t="s">
        <v>31</v>
      </c>
      <c r="B21" s="54"/>
      <c r="C21" s="27" t="s">
        <v>91</v>
      </c>
    </row>
    <row r="22" spans="1:3" x14ac:dyDescent="0.2">
      <c r="A22" s="24" t="s">
        <v>32</v>
      </c>
      <c r="B22" s="54"/>
      <c r="C22" s="27" t="s">
        <v>91</v>
      </c>
    </row>
    <row r="23" spans="1:3" x14ac:dyDescent="0.2">
      <c r="A23" s="24" t="s">
        <v>33</v>
      </c>
      <c r="B23" s="60"/>
      <c r="C23" s="27" t="s">
        <v>91</v>
      </c>
    </row>
    <row r="24" spans="1:3" x14ac:dyDescent="0.2">
      <c r="A24" s="24" t="s">
        <v>34</v>
      </c>
      <c r="B24" s="54"/>
      <c r="C24" s="27" t="s">
        <v>91</v>
      </c>
    </row>
    <row r="25" spans="1:3" x14ac:dyDescent="0.2">
      <c r="A25" s="24" t="s">
        <v>35</v>
      </c>
      <c r="B25" s="54" t="s">
        <v>99</v>
      </c>
      <c r="C25" s="27" t="s">
        <v>88</v>
      </c>
    </row>
    <row r="26" spans="1:3" ht="25.5" x14ac:dyDescent="0.2">
      <c r="A26" s="24" t="s">
        <v>36</v>
      </c>
      <c r="B26" s="27" t="s">
        <v>92</v>
      </c>
      <c r="C26" s="27" t="s">
        <v>88</v>
      </c>
    </row>
    <row r="27" spans="1:3" x14ac:dyDescent="0.2">
      <c r="A27" s="24" t="s">
        <v>62</v>
      </c>
      <c r="B27" s="27" t="s">
        <v>93</v>
      </c>
      <c r="C27" s="27" t="s">
        <v>88</v>
      </c>
    </row>
    <row r="28" spans="1:3" x14ac:dyDescent="0.2">
      <c r="A28" s="44"/>
      <c r="B28" s="56"/>
      <c r="C28" s="45"/>
    </row>
    <row r="29" spans="1:3" x14ac:dyDescent="0.2">
      <c r="A29" s="46"/>
      <c r="B29" s="57"/>
      <c r="C29" s="46"/>
    </row>
    <row r="30" spans="1:3" x14ac:dyDescent="0.2">
      <c r="A30" s="43" t="str">
        <f>CONCATENATE("To be Performed by Reviewer : ",'Test Cycle 1'!H8)</f>
        <v>To be Performed by Reviewer : Vikram</v>
      </c>
      <c r="B30" s="53"/>
      <c r="C30" s="4"/>
    </row>
    <row r="31" spans="1:3" ht="15" x14ac:dyDescent="0.25">
      <c r="A31" s="31" t="s">
        <v>24</v>
      </c>
      <c r="B31" s="90"/>
      <c r="C31" s="91"/>
    </row>
    <row r="32" spans="1:3" ht="25.5" x14ac:dyDescent="0.2">
      <c r="A32" s="28" t="s">
        <v>25</v>
      </c>
      <c r="B32" s="28"/>
      <c r="C32" s="23" t="s">
        <v>26</v>
      </c>
    </row>
    <row r="33" spans="1:3" x14ac:dyDescent="0.2">
      <c r="A33" s="24" t="s">
        <v>37</v>
      </c>
      <c r="B33" s="54"/>
      <c r="C33" s="27" t="s">
        <v>88</v>
      </c>
    </row>
    <row r="34" spans="1:3" x14ac:dyDescent="0.2">
      <c r="A34" s="24" t="s">
        <v>38</v>
      </c>
      <c r="B34" s="54"/>
      <c r="C34" s="27" t="s">
        <v>88</v>
      </c>
    </row>
    <row r="35" spans="1:3" x14ac:dyDescent="0.2">
      <c r="A35" s="24" t="s">
        <v>39</v>
      </c>
      <c r="B35" s="54"/>
      <c r="C35" s="27" t="s">
        <v>88</v>
      </c>
    </row>
    <row r="36" spans="1:3" x14ac:dyDescent="0.2">
      <c r="A36" s="24" t="s">
        <v>40</v>
      </c>
      <c r="B36" s="54"/>
      <c r="C36" s="27" t="s">
        <v>88</v>
      </c>
    </row>
    <row r="37" spans="1:3" x14ac:dyDescent="0.2">
      <c r="A37" s="24" t="s">
        <v>41</v>
      </c>
      <c r="B37" s="54"/>
      <c r="C37" s="27" t="s">
        <v>88</v>
      </c>
    </row>
  </sheetData>
  <mergeCells count="4">
    <mergeCell ref="A8:B8"/>
    <mergeCell ref="B10:C10"/>
    <mergeCell ref="B15:C15"/>
    <mergeCell ref="B31:C31"/>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BD31"/>
  <sheetViews>
    <sheetView tabSelected="1" zoomScale="70" zoomScaleNormal="70" workbookViewId="0">
      <selection activeCell="C26" sqref="C26"/>
    </sheetView>
  </sheetViews>
  <sheetFormatPr defaultColWidth="9.140625" defaultRowHeight="16.5" x14ac:dyDescent="0.3"/>
  <cols>
    <col min="1" max="1" width="22.85546875" style="34" customWidth="1"/>
    <col min="2" max="2" width="37.140625" style="34" customWidth="1"/>
    <col min="3" max="3" width="54.28515625" style="34" customWidth="1"/>
    <col min="4" max="4" width="23.42578125" style="34" bestFit="1" customWidth="1"/>
    <col min="5" max="5" width="41.42578125" style="62" customWidth="1"/>
    <col min="6" max="6" width="36.85546875" style="34" customWidth="1"/>
    <col min="7" max="7" width="39.5703125" style="34" customWidth="1"/>
    <col min="8" max="8" width="36.85546875" style="34" customWidth="1"/>
    <col min="9" max="9" width="25" style="34" customWidth="1"/>
    <col min="10" max="10" width="23.5703125" style="34" customWidth="1"/>
    <col min="11" max="11" width="32" style="34" customWidth="1"/>
    <col min="12" max="12" width="30.85546875" style="34" customWidth="1"/>
    <col min="13" max="13" width="36.7109375" style="34" bestFit="1" customWidth="1"/>
    <col min="14" max="23" width="9.140625" style="33"/>
    <col min="24" max="24" width="17.140625" style="33" bestFit="1" customWidth="1"/>
    <col min="25" max="25" width="9.140625" style="33"/>
    <col min="26" max="26" width="14.28515625" style="33" bestFit="1" customWidth="1"/>
    <col min="27" max="49" width="9.140625" style="33"/>
    <col min="50" max="50" width="9" style="33" customWidth="1"/>
    <col min="51" max="53" width="9.140625" style="33" hidden="1" customWidth="1"/>
    <col min="54" max="54" width="27.7109375" style="33" customWidth="1"/>
    <col min="55" max="16384" width="9.140625" style="33"/>
  </cols>
  <sheetData>
    <row r="1" spans="1:56" s="34" customFormat="1" x14ac:dyDescent="0.3">
      <c r="A1" s="32"/>
      <c r="B1" s="32"/>
      <c r="C1" s="32"/>
      <c r="D1" s="33"/>
      <c r="E1" s="61"/>
      <c r="F1" s="33"/>
      <c r="G1" s="33"/>
      <c r="H1" s="33"/>
      <c r="I1" s="33"/>
      <c r="J1" s="33"/>
      <c r="K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5" t="s">
        <v>42</v>
      </c>
      <c r="BC1" s="35" t="s">
        <v>42</v>
      </c>
      <c r="BD1" s="34" t="s">
        <v>43</v>
      </c>
    </row>
    <row r="2" spans="1:56" s="34" customFormat="1" ht="26.25" x14ac:dyDescent="0.4">
      <c r="A2" s="32"/>
      <c r="B2" s="32"/>
      <c r="C2" s="32"/>
      <c r="D2" s="36"/>
      <c r="E2" s="61"/>
      <c r="F2" s="33"/>
      <c r="G2" s="72"/>
      <c r="H2" s="33"/>
      <c r="I2" s="33"/>
      <c r="J2" s="33"/>
      <c r="K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5" t="s">
        <v>44</v>
      </c>
      <c r="BC2" s="35" t="s">
        <v>44</v>
      </c>
      <c r="BD2" s="34" t="s">
        <v>45</v>
      </c>
    </row>
    <row r="3" spans="1:56" s="34" customFormat="1" ht="26.25" customHeight="1" x14ac:dyDescent="0.3">
      <c r="A3" s="32"/>
      <c r="B3" s="32"/>
      <c r="C3" s="32"/>
      <c r="D3" s="33"/>
      <c r="E3" s="61"/>
      <c r="F3" s="33"/>
      <c r="G3" s="33"/>
      <c r="H3" s="33"/>
      <c r="I3" s="33"/>
      <c r="K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5" t="s">
        <v>46</v>
      </c>
      <c r="BC3" s="35" t="s">
        <v>47</v>
      </c>
      <c r="BD3" s="34" t="s">
        <v>15</v>
      </c>
    </row>
    <row r="4" spans="1:56" s="34" customFormat="1" ht="19.5" customHeight="1" x14ac:dyDescent="0.3">
      <c r="A4" s="32"/>
      <c r="B4" s="32"/>
      <c r="C4" s="32"/>
      <c r="D4" s="33"/>
      <c r="E4" s="61"/>
      <c r="F4" s="33"/>
      <c r="G4" s="33"/>
      <c r="H4" s="33"/>
      <c r="I4" s="33"/>
      <c r="K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5" t="s">
        <v>48</v>
      </c>
      <c r="BC4" s="35" t="s">
        <v>15</v>
      </c>
      <c r="BD4" s="34" t="s">
        <v>16</v>
      </c>
    </row>
    <row r="5" spans="1:56" s="34" customFormat="1" x14ac:dyDescent="0.3">
      <c r="A5" s="33"/>
      <c r="B5" s="33"/>
      <c r="C5" s="33"/>
      <c r="D5" s="33"/>
      <c r="E5" s="61"/>
      <c r="F5" s="33"/>
      <c r="G5" s="33"/>
      <c r="H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5" t="s">
        <v>49</v>
      </c>
      <c r="BC5" s="35" t="s">
        <v>16</v>
      </c>
    </row>
    <row r="6" spans="1:56" s="34" customFormat="1" x14ac:dyDescent="0.3">
      <c r="A6" s="37" t="s">
        <v>50</v>
      </c>
      <c r="B6" s="92" t="s">
        <v>96</v>
      </c>
      <c r="C6" s="93"/>
      <c r="D6" s="93"/>
      <c r="E6" s="74" t="s">
        <v>51</v>
      </c>
      <c r="F6" s="38" t="s">
        <v>95</v>
      </c>
      <c r="G6" s="39"/>
      <c r="H6" s="39"/>
      <c r="BB6" s="35" t="s">
        <v>52</v>
      </c>
    </row>
    <row r="7" spans="1:56" s="34" customFormat="1" x14ac:dyDescent="0.3">
      <c r="A7" s="37" t="s">
        <v>53</v>
      </c>
      <c r="B7" s="92" t="s">
        <v>97</v>
      </c>
      <c r="C7" s="93"/>
      <c r="D7" s="93"/>
      <c r="E7" s="74" t="s">
        <v>54</v>
      </c>
      <c r="F7" s="40" t="s">
        <v>98</v>
      </c>
      <c r="G7" s="37" t="s">
        <v>55</v>
      </c>
      <c r="H7" s="42" t="s">
        <v>94</v>
      </c>
      <c r="BB7" s="35" t="s">
        <v>56</v>
      </c>
    </row>
    <row r="8" spans="1:56" s="34" customFormat="1" x14ac:dyDescent="0.3">
      <c r="A8" s="37" t="s">
        <v>57</v>
      </c>
      <c r="B8" s="94" t="s">
        <v>56</v>
      </c>
      <c r="C8" s="94"/>
      <c r="D8" s="94"/>
      <c r="E8" s="74" t="s">
        <v>58</v>
      </c>
      <c r="F8" s="40" t="s">
        <v>145</v>
      </c>
      <c r="G8" s="37" t="s">
        <v>59</v>
      </c>
      <c r="H8" s="38" t="s">
        <v>144</v>
      </c>
      <c r="BB8" s="35" t="s">
        <v>60</v>
      </c>
    </row>
    <row r="9" spans="1:56" s="34" customFormat="1" ht="30.75" x14ac:dyDescent="0.3">
      <c r="A9" s="37" t="s">
        <v>61</v>
      </c>
      <c r="B9" s="95" t="s">
        <v>92</v>
      </c>
      <c r="C9" s="96"/>
      <c r="D9" s="96"/>
      <c r="E9" s="96"/>
      <c r="F9" s="96"/>
      <c r="G9" s="96"/>
      <c r="H9" s="96"/>
      <c r="X9" s="33"/>
    </row>
    <row r="10" spans="1:56" s="34" customFormat="1" x14ac:dyDescent="0.3">
      <c r="A10" s="73" t="s">
        <v>73</v>
      </c>
      <c r="B10" s="73" t="s">
        <v>74</v>
      </c>
      <c r="C10" s="73" t="s">
        <v>75</v>
      </c>
      <c r="D10" s="73" t="s">
        <v>76</v>
      </c>
      <c r="E10" s="73" t="s">
        <v>77</v>
      </c>
      <c r="F10" s="73" t="s">
        <v>78</v>
      </c>
      <c r="G10" s="73" t="s">
        <v>79</v>
      </c>
      <c r="H10" s="73" t="s">
        <v>80</v>
      </c>
      <c r="I10" s="73" t="s">
        <v>81</v>
      </c>
      <c r="J10" s="73" t="s">
        <v>82</v>
      </c>
      <c r="K10" s="73" t="s">
        <v>71</v>
      </c>
      <c r="L10" s="73" t="s">
        <v>72</v>
      </c>
      <c r="M10" s="73" t="s">
        <v>83</v>
      </c>
    </row>
    <row r="11" spans="1:56" s="34" customFormat="1" ht="120" customHeight="1" x14ac:dyDescent="0.3">
      <c r="A11" s="47">
        <v>1</v>
      </c>
      <c r="B11" s="48" t="s">
        <v>100</v>
      </c>
      <c r="C11" s="48" t="s">
        <v>101</v>
      </c>
      <c r="D11" s="48" t="s">
        <v>102</v>
      </c>
      <c r="E11" s="49" t="s">
        <v>103</v>
      </c>
      <c r="F11" s="48" t="s">
        <v>104</v>
      </c>
      <c r="G11" s="49" t="s">
        <v>106</v>
      </c>
      <c r="H11" s="48" t="s">
        <v>105</v>
      </c>
      <c r="I11" s="39" t="s">
        <v>15</v>
      </c>
      <c r="J11" s="41"/>
      <c r="K11" s="39" t="s">
        <v>15</v>
      </c>
      <c r="L11" s="41"/>
      <c r="M11" s="39"/>
    </row>
    <row r="12" spans="1:56" s="34" customFormat="1" ht="162.75" customHeight="1" x14ac:dyDescent="0.3">
      <c r="A12" s="47">
        <v>2</v>
      </c>
      <c r="B12" s="48" t="s">
        <v>107</v>
      </c>
      <c r="C12" s="48" t="s">
        <v>110</v>
      </c>
      <c r="D12" s="48"/>
      <c r="E12" s="49"/>
      <c r="F12" s="48" t="s">
        <v>108</v>
      </c>
      <c r="G12" s="49" t="s">
        <v>91</v>
      </c>
      <c r="H12" s="49" t="s">
        <v>91</v>
      </c>
      <c r="I12" s="39" t="s">
        <v>15</v>
      </c>
      <c r="J12" s="41"/>
      <c r="K12" s="39" t="s">
        <v>15</v>
      </c>
      <c r="L12" s="41"/>
      <c r="M12" s="39"/>
    </row>
    <row r="13" spans="1:56" s="34" customFormat="1" ht="202.5" customHeight="1" x14ac:dyDescent="0.3">
      <c r="A13" s="47">
        <v>3</v>
      </c>
      <c r="B13" s="48" t="s">
        <v>109</v>
      </c>
      <c r="C13" s="48" t="s">
        <v>130</v>
      </c>
      <c r="D13" s="48" t="s">
        <v>112</v>
      </c>
      <c r="E13" s="49" t="s">
        <v>111</v>
      </c>
      <c r="F13" s="48" t="s">
        <v>113</v>
      </c>
      <c r="G13" s="49" t="s">
        <v>91</v>
      </c>
      <c r="H13" s="49" t="s">
        <v>91</v>
      </c>
      <c r="I13" s="39" t="s">
        <v>15</v>
      </c>
      <c r="J13" s="59"/>
      <c r="K13" s="39" t="s">
        <v>15</v>
      </c>
      <c r="L13" s="59"/>
      <c r="M13" s="58"/>
    </row>
    <row r="14" spans="1:56" s="34" customFormat="1" ht="197.25" customHeight="1" x14ac:dyDescent="0.3">
      <c r="A14" s="47">
        <v>4</v>
      </c>
      <c r="B14" s="48" t="s">
        <v>114</v>
      </c>
      <c r="C14" s="48" t="s">
        <v>131</v>
      </c>
      <c r="D14" s="48" t="s">
        <v>91</v>
      </c>
      <c r="E14" s="48" t="s">
        <v>91</v>
      </c>
      <c r="F14" s="48" t="s">
        <v>91</v>
      </c>
      <c r="G14" s="48" t="s">
        <v>91</v>
      </c>
      <c r="H14" s="48" t="s">
        <v>91</v>
      </c>
      <c r="I14" s="39" t="s">
        <v>15</v>
      </c>
      <c r="J14" s="59"/>
      <c r="K14" s="39" t="s">
        <v>15</v>
      </c>
      <c r="L14" s="59"/>
      <c r="M14" s="58"/>
    </row>
    <row r="15" spans="1:56" s="34" customFormat="1" ht="111.75" customHeight="1" x14ac:dyDescent="0.3">
      <c r="A15" s="47">
        <v>5</v>
      </c>
      <c r="B15" s="48" t="s">
        <v>115</v>
      </c>
      <c r="C15" s="48" t="s">
        <v>118</v>
      </c>
      <c r="D15" s="48" t="s">
        <v>112</v>
      </c>
      <c r="E15" s="49" t="s">
        <v>119</v>
      </c>
      <c r="F15" s="48" t="s">
        <v>120</v>
      </c>
      <c r="G15" s="48" t="s">
        <v>91</v>
      </c>
      <c r="H15" s="48" t="s">
        <v>91</v>
      </c>
      <c r="I15" s="39" t="s">
        <v>15</v>
      </c>
      <c r="J15" s="59"/>
      <c r="K15" s="39" t="s">
        <v>15</v>
      </c>
      <c r="L15" s="59"/>
      <c r="M15" s="58"/>
    </row>
    <row r="16" spans="1:56" ht="148.5" x14ac:dyDescent="0.3">
      <c r="A16" s="47">
        <v>6</v>
      </c>
      <c r="B16" s="48" t="s">
        <v>116</v>
      </c>
      <c r="C16" s="48" t="s">
        <v>121</v>
      </c>
      <c r="D16" s="48" t="s">
        <v>102</v>
      </c>
      <c r="E16" s="49" t="s">
        <v>122</v>
      </c>
      <c r="F16" s="48" t="s">
        <v>123</v>
      </c>
      <c r="G16" s="48" t="s">
        <v>91</v>
      </c>
      <c r="H16" s="48" t="s">
        <v>91</v>
      </c>
      <c r="I16" s="39" t="s">
        <v>15</v>
      </c>
      <c r="J16" s="39"/>
      <c r="K16" s="39" t="s">
        <v>15</v>
      </c>
      <c r="L16" s="39"/>
      <c r="M16" s="39"/>
    </row>
    <row r="17" spans="1:13" s="34" customFormat="1" ht="189" x14ac:dyDescent="0.3">
      <c r="A17" s="47">
        <v>7</v>
      </c>
      <c r="B17" s="48" t="s">
        <v>117</v>
      </c>
      <c r="C17" s="48" t="s">
        <v>124</v>
      </c>
      <c r="D17" s="48" t="s">
        <v>102</v>
      </c>
      <c r="E17" s="49" t="s">
        <v>125</v>
      </c>
      <c r="F17" s="48" t="s">
        <v>126</v>
      </c>
      <c r="G17" s="48" t="s">
        <v>91</v>
      </c>
      <c r="H17" s="48" t="s">
        <v>91</v>
      </c>
      <c r="I17" s="39" t="s">
        <v>15</v>
      </c>
      <c r="J17" s="59"/>
      <c r="K17" s="39" t="s">
        <v>15</v>
      </c>
      <c r="L17" s="59"/>
      <c r="M17" s="58"/>
    </row>
    <row r="18" spans="1:13" s="34" customFormat="1" ht="111.75" customHeight="1" x14ac:dyDescent="0.3">
      <c r="A18" s="47">
        <v>8</v>
      </c>
      <c r="B18" s="48" t="s">
        <v>127</v>
      </c>
      <c r="C18" s="48" t="s">
        <v>134</v>
      </c>
      <c r="D18" s="48" t="s">
        <v>91</v>
      </c>
      <c r="E18" s="48" t="s">
        <v>91</v>
      </c>
      <c r="F18" s="48" t="s">
        <v>91</v>
      </c>
      <c r="G18" s="48" t="s">
        <v>91</v>
      </c>
      <c r="H18" s="48" t="s">
        <v>91</v>
      </c>
      <c r="I18" s="39" t="s">
        <v>15</v>
      </c>
      <c r="J18" s="59"/>
      <c r="K18" s="39" t="s">
        <v>15</v>
      </c>
      <c r="L18" s="59"/>
      <c r="M18" s="58"/>
    </row>
    <row r="19" spans="1:13" s="34" customFormat="1" ht="111.75" customHeight="1" x14ac:dyDescent="0.3">
      <c r="A19" s="47">
        <v>9</v>
      </c>
      <c r="B19" s="48" t="s">
        <v>129</v>
      </c>
      <c r="C19" s="48" t="s">
        <v>101</v>
      </c>
      <c r="D19" s="48" t="s">
        <v>102</v>
      </c>
      <c r="E19" s="48" t="s">
        <v>103</v>
      </c>
      <c r="F19" s="48" t="s">
        <v>104</v>
      </c>
      <c r="G19" s="48" t="s">
        <v>106</v>
      </c>
      <c r="H19" s="48" t="s">
        <v>105</v>
      </c>
      <c r="I19" s="39" t="s">
        <v>15</v>
      </c>
      <c r="J19" s="59"/>
      <c r="K19" s="39" t="s">
        <v>15</v>
      </c>
      <c r="L19" s="59"/>
      <c r="M19" s="58"/>
    </row>
    <row r="20" spans="1:13" s="34" customFormat="1" ht="147.75" customHeight="1" x14ac:dyDescent="0.3">
      <c r="A20" s="47">
        <v>10</v>
      </c>
      <c r="B20" s="48" t="s">
        <v>114</v>
      </c>
      <c r="C20" s="48" t="s">
        <v>132</v>
      </c>
      <c r="D20" s="48"/>
      <c r="E20" s="48" t="s">
        <v>91</v>
      </c>
      <c r="F20" s="48" t="s">
        <v>91</v>
      </c>
      <c r="G20" s="48" t="s">
        <v>91</v>
      </c>
      <c r="H20" s="48" t="s">
        <v>91</v>
      </c>
      <c r="I20" s="39" t="s">
        <v>15</v>
      </c>
      <c r="J20" s="59"/>
      <c r="K20" s="39" t="s">
        <v>15</v>
      </c>
      <c r="L20" s="59"/>
      <c r="M20" s="58"/>
    </row>
    <row r="21" spans="1:13" s="34" customFormat="1" ht="111.75" customHeight="1" x14ac:dyDescent="0.3">
      <c r="A21" s="47">
        <v>11</v>
      </c>
      <c r="B21" s="48" t="s">
        <v>115</v>
      </c>
      <c r="C21" s="48" t="s">
        <v>118</v>
      </c>
      <c r="D21" s="48" t="s">
        <v>112</v>
      </c>
      <c r="E21" s="49" t="s">
        <v>119</v>
      </c>
      <c r="F21" s="48" t="s">
        <v>120</v>
      </c>
      <c r="G21" s="48" t="s">
        <v>91</v>
      </c>
      <c r="H21" s="48" t="s">
        <v>91</v>
      </c>
      <c r="I21" s="39" t="s">
        <v>15</v>
      </c>
      <c r="J21" s="59"/>
      <c r="K21" s="39" t="s">
        <v>15</v>
      </c>
      <c r="L21" s="59"/>
      <c r="M21" s="58"/>
    </row>
    <row r="22" spans="1:13" ht="148.5" x14ac:dyDescent="0.3">
      <c r="A22" s="47">
        <v>12</v>
      </c>
      <c r="B22" s="48" t="s">
        <v>116</v>
      </c>
      <c r="C22" s="48" t="s">
        <v>121</v>
      </c>
      <c r="D22" s="48" t="s">
        <v>102</v>
      </c>
      <c r="E22" s="49" t="s">
        <v>122</v>
      </c>
      <c r="F22" s="48" t="s">
        <v>123</v>
      </c>
      <c r="G22" s="48" t="s">
        <v>91</v>
      </c>
      <c r="H22" s="48" t="s">
        <v>91</v>
      </c>
      <c r="I22" s="39" t="s">
        <v>15</v>
      </c>
      <c r="J22" s="39"/>
      <c r="K22" s="39" t="s">
        <v>15</v>
      </c>
      <c r="L22" s="39"/>
      <c r="M22" s="39"/>
    </row>
    <row r="23" spans="1:13" s="34" customFormat="1" ht="189" x14ac:dyDescent="0.3">
      <c r="A23" s="47">
        <v>13</v>
      </c>
      <c r="B23" s="48" t="s">
        <v>117</v>
      </c>
      <c r="C23" s="48" t="s">
        <v>124</v>
      </c>
      <c r="D23" s="48" t="s">
        <v>102</v>
      </c>
      <c r="E23" s="49" t="s">
        <v>125</v>
      </c>
      <c r="F23" s="48" t="s">
        <v>126</v>
      </c>
      <c r="G23" s="48" t="s">
        <v>91</v>
      </c>
      <c r="H23" s="48" t="s">
        <v>91</v>
      </c>
      <c r="I23" s="39" t="s">
        <v>15</v>
      </c>
      <c r="J23" s="59"/>
      <c r="K23" s="39" t="s">
        <v>15</v>
      </c>
      <c r="L23" s="59"/>
      <c r="M23" s="58"/>
    </row>
    <row r="24" spans="1:13" s="34" customFormat="1" ht="111.75" customHeight="1" x14ac:dyDescent="0.3">
      <c r="A24" s="47">
        <v>14</v>
      </c>
      <c r="B24" s="48" t="s">
        <v>127</v>
      </c>
      <c r="C24" s="48" t="s">
        <v>133</v>
      </c>
      <c r="D24" s="48" t="s">
        <v>91</v>
      </c>
      <c r="E24" s="48" t="s">
        <v>91</v>
      </c>
      <c r="F24" s="48" t="s">
        <v>91</v>
      </c>
      <c r="G24" s="48" t="s">
        <v>91</v>
      </c>
      <c r="H24" s="48" t="s">
        <v>91</v>
      </c>
      <c r="I24" s="39" t="s">
        <v>15</v>
      </c>
      <c r="J24" s="59"/>
      <c r="K24" s="39" t="s">
        <v>15</v>
      </c>
      <c r="L24" s="59"/>
      <c r="M24" s="58"/>
    </row>
    <row r="25" spans="1:13" x14ac:dyDescent="0.3">
      <c r="A25" s="97" t="s">
        <v>135</v>
      </c>
      <c r="B25" s="97"/>
      <c r="C25" s="97"/>
      <c r="D25" s="97"/>
      <c r="E25" s="97"/>
      <c r="F25" s="97"/>
      <c r="G25" s="97"/>
      <c r="H25" s="97"/>
      <c r="I25" s="97"/>
      <c r="J25" s="97"/>
      <c r="K25" s="97"/>
      <c r="L25" s="97"/>
      <c r="M25" s="97"/>
    </row>
    <row r="26" spans="1:13" s="34" customFormat="1" ht="162.75" customHeight="1" x14ac:dyDescent="0.3">
      <c r="A26" s="47">
        <v>15</v>
      </c>
      <c r="B26" s="48" t="s">
        <v>107</v>
      </c>
      <c r="C26" s="48" t="s">
        <v>138</v>
      </c>
      <c r="D26" s="48"/>
      <c r="E26" s="49"/>
      <c r="F26" s="48" t="s">
        <v>136</v>
      </c>
      <c r="G26" s="49" t="s">
        <v>91</v>
      </c>
      <c r="H26" s="49" t="s">
        <v>91</v>
      </c>
      <c r="I26" s="39" t="s">
        <v>15</v>
      </c>
      <c r="J26" s="41"/>
      <c r="K26" s="39" t="s">
        <v>15</v>
      </c>
      <c r="L26" s="41"/>
      <c r="M26" s="39"/>
    </row>
    <row r="27" spans="1:13" s="34" customFormat="1" ht="202.5" customHeight="1" x14ac:dyDescent="0.3">
      <c r="A27" s="47">
        <v>16</v>
      </c>
      <c r="B27" s="48" t="s">
        <v>109</v>
      </c>
      <c r="C27" s="48" t="s">
        <v>130</v>
      </c>
      <c r="D27" s="48" t="s">
        <v>112</v>
      </c>
      <c r="E27" s="49" t="s">
        <v>137</v>
      </c>
      <c r="F27" s="48" t="s">
        <v>113</v>
      </c>
      <c r="G27" s="49" t="s">
        <v>91</v>
      </c>
      <c r="H27" s="49" t="s">
        <v>91</v>
      </c>
      <c r="I27" s="39" t="s">
        <v>15</v>
      </c>
      <c r="J27" s="59"/>
      <c r="K27" s="39" t="s">
        <v>15</v>
      </c>
      <c r="L27" s="59"/>
      <c r="M27" s="58"/>
    </row>
    <row r="28" spans="1:13" s="34" customFormat="1" ht="197.25" customHeight="1" x14ac:dyDescent="0.3">
      <c r="A28" s="47">
        <v>17</v>
      </c>
      <c r="B28" s="48" t="s">
        <v>114</v>
      </c>
      <c r="C28" s="48" t="s">
        <v>131</v>
      </c>
      <c r="D28" s="48" t="s">
        <v>91</v>
      </c>
      <c r="E28" s="48" t="s">
        <v>91</v>
      </c>
      <c r="F28" s="48" t="s">
        <v>91</v>
      </c>
      <c r="G28" s="48" t="s">
        <v>91</v>
      </c>
      <c r="H28" s="48" t="s">
        <v>91</v>
      </c>
      <c r="I28" s="39" t="s">
        <v>15</v>
      </c>
      <c r="J28" s="59"/>
      <c r="K28" s="39" t="s">
        <v>15</v>
      </c>
      <c r="L28" s="59"/>
      <c r="M28" s="58"/>
    </row>
    <row r="29" spans="1:13" ht="148.5" x14ac:dyDescent="0.3">
      <c r="A29" s="47">
        <v>19</v>
      </c>
      <c r="B29" s="48" t="s">
        <v>116</v>
      </c>
      <c r="C29" s="48" t="s">
        <v>121</v>
      </c>
      <c r="D29" s="48" t="s">
        <v>102</v>
      </c>
      <c r="E29" s="49" t="s">
        <v>122</v>
      </c>
      <c r="F29" s="48" t="s">
        <v>139</v>
      </c>
      <c r="G29" s="48" t="s">
        <v>91</v>
      </c>
      <c r="H29" s="48" t="s">
        <v>91</v>
      </c>
      <c r="I29" s="39" t="s">
        <v>15</v>
      </c>
      <c r="J29" s="39"/>
      <c r="K29" s="39" t="s">
        <v>15</v>
      </c>
      <c r="L29" s="39"/>
      <c r="M29" s="39"/>
    </row>
    <row r="30" spans="1:13" s="34" customFormat="1" ht="216" x14ac:dyDescent="0.3">
      <c r="A30" s="47">
        <v>20</v>
      </c>
      <c r="B30" s="48" t="s">
        <v>117</v>
      </c>
      <c r="C30" s="48" t="s">
        <v>124</v>
      </c>
      <c r="D30" s="48" t="s">
        <v>102</v>
      </c>
      <c r="E30" s="49" t="s">
        <v>141</v>
      </c>
      <c r="F30" s="48" t="s">
        <v>140</v>
      </c>
      <c r="G30" s="48" t="s">
        <v>91</v>
      </c>
      <c r="H30" s="48" t="s">
        <v>91</v>
      </c>
      <c r="I30" s="39" t="s">
        <v>15</v>
      </c>
      <c r="J30" s="59"/>
      <c r="K30" s="39" t="s">
        <v>15</v>
      </c>
      <c r="L30" s="59"/>
      <c r="M30" s="58"/>
    </row>
    <row r="31" spans="1:13" s="34" customFormat="1" ht="111.75" customHeight="1" x14ac:dyDescent="0.3">
      <c r="A31" s="47">
        <v>21</v>
      </c>
      <c r="B31" s="48" t="s">
        <v>127</v>
      </c>
      <c r="C31" s="48" t="s">
        <v>142</v>
      </c>
      <c r="D31" s="48" t="s">
        <v>91</v>
      </c>
      <c r="E31" s="48" t="s">
        <v>91</v>
      </c>
      <c r="F31" s="48" t="s">
        <v>91</v>
      </c>
      <c r="G31" s="48" t="s">
        <v>91</v>
      </c>
      <c r="H31" s="48" t="s">
        <v>91</v>
      </c>
      <c r="I31" s="39" t="s">
        <v>15</v>
      </c>
      <c r="J31" s="59"/>
      <c r="K31" s="39" t="s">
        <v>15</v>
      </c>
      <c r="L31" s="59"/>
      <c r="M31" s="58"/>
    </row>
  </sheetData>
  <mergeCells count="5">
    <mergeCell ref="B6:D6"/>
    <mergeCell ref="B7:D7"/>
    <mergeCell ref="B8:D8"/>
    <mergeCell ref="B9:H9"/>
    <mergeCell ref="A25:M25"/>
  </mergeCells>
  <dataValidations count="2">
    <dataValidation type="list" allowBlank="1" showInputMessage="1" showErrorMessage="1" sqref="B8:D8 IX8:IZ8 ST8:SV8 ACP8:ACR8 AML8:AMN8 AWH8:AWJ8 BGD8:BGF8 BPZ8:BQB8 BZV8:BZX8 CJR8:CJT8 CTN8:CTP8 DDJ8:DDL8 DNF8:DNH8 DXB8:DXD8 EGX8:EGZ8 EQT8:EQV8 FAP8:FAR8 FKL8:FKN8 FUH8:FUJ8 GED8:GEF8 GNZ8:GOB8 GXV8:GXX8 HHR8:HHT8 HRN8:HRP8 IBJ8:IBL8 ILF8:ILH8 IVB8:IVD8 JEX8:JEZ8 JOT8:JOV8 JYP8:JYR8 KIL8:KIN8 KSH8:KSJ8 LCD8:LCF8 LLZ8:LMB8 LVV8:LVX8 MFR8:MFT8 MPN8:MPP8 MZJ8:MZL8 NJF8:NJH8 NTB8:NTD8 OCX8:OCZ8 OMT8:OMV8 OWP8:OWR8 PGL8:PGN8 PQH8:PQJ8 QAD8:QAF8 QJZ8:QKB8 QTV8:QTX8 RDR8:RDT8 RNN8:RNP8 RXJ8:RXL8 SHF8:SHH8 SRB8:SRD8 TAX8:TAZ8 TKT8:TKV8 TUP8:TUR8 UEL8:UEN8 UOH8:UOJ8 UYD8:UYF8 VHZ8:VIB8 VRV8:VRX8 WBR8:WBT8 WLN8:WLP8 WVJ8:WVL8">
      <formula1>$BB$1:$BB$8</formula1>
    </dataValidation>
    <dataValidation type="list" allowBlank="1" showInputMessage="1" showErrorMessage="1" sqref="WVS11:WVS13 JE11:JE13 TA11:TA13 ACW11:ACW13 AMS11:AMS13 AWO11:AWO13 BGK11:BGK13 BQG11:BQG13 CAC11:CAC13 CJY11:CJY13 CTU11:CTU13 DDQ11:DDQ13 DNM11:DNM13 DXI11:DXI13 EHE11:EHE13 ERA11:ERA13 FAW11:FAW13 FKS11:FKS13 FUO11:FUO13 GEK11:GEK13 GOG11:GOG13 GYC11:GYC13 HHY11:HHY13 HRU11:HRU13 IBQ11:IBQ13 ILM11:ILM13 IVI11:IVI13 JFE11:JFE13 JPA11:JPA13 JYW11:JYW13 KIS11:KIS13 KSO11:KSO13 LCK11:LCK13 LMG11:LMG13 LWC11:LWC13 MFY11:MFY13 MPU11:MPU13 MZQ11:MZQ13 NJM11:NJM13 NTI11:NTI13 ODE11:ODE13 ONA11:ONA13 OWW11:OWW13 PGS11:PGS13 PQO11:PQO13 QAK11:QAK13 QKG11:QKG13 QUC11:QUC13 RDY11:RDY13 RNU11:RNU13 RXQ11:RXQ13 SHM11:SHM13 SRI11:SRI13 TBE11:TBE13 TLA11:TLA13 TUW11:TUW13 UES11:UES13 UOO11:UOO13 UYK11:UYK13 VIG11:VIG13 VSC11:VSC13 WBY11:WBY13 WLU11:WLU13 WVQ11:WVQ13 JG11:JG13 TC11:TC13 ACY11:ACY13 AMU11:AMU13 AWQ11:AWQ13 BGM11:BGM13 BQI11:BQI13 CAE11:CAE13 CKA11:CKA13 CTW11:CTW13 DDS11:DDS13 DNO11:DNO13 DXK11:DXK13 EHG11:EHG13 ERC11:ERC13 FAY11:FAY13 FKU11:FKU13 FUQ11:FUQ13 GEM11:GEM13 GOI11:GOI13 GYE11:GYE13 HIA11:HIA13 HRW11:HRW13 IBS11:IBS13 ILO11:ILO13 IVK11:IVK13 JFG11:JFG13 JPC11:JPC13 JYY11:JYY13 KIU11:KIU13 KSQ11:KSQ13 LCM11:LCM13 LMI11:LMI13 LWE11:LWE13 MGA11:MGA13 MPW11:MPW13 MZS11:MZS13 NJO11:NJO13 NTK11:NTK13 ODG11:ODG13 ONC11:ONC13 OWY11:OWY13 PGU11:PGU13 PQQ11:PQQ13 QAM11:QAM13 QKI11:QKI13 QUE11:QUE13 REA11:REA13 RNW11:RNW13 RXS11:RXS13 SHO11:SHO13 SRK11:SRK13 TBG11:TBG13 TLC11:TLC13 TUY11:TUY13 UEU11:UEU13 UOQ11:UOQ13 UYM11:UYM13 VII11:VII13 VSE11:VSE13 WCA11:WCA13 WLW11:WLW13 K11:K24 I26:I31 I11:I24 WLW26:WLW27 WCA26:WCA27 VSE26:VSE27 VII26:VII27 UYM26:UYM27 UOQ26:UOQ27 UEU26:UEU27 TUY26:TUY27 TLC26:TLC27 TBG26:TBG27 SRK26:SRK27 SHO26:SHO27 RXS26:RXS27 RNW26:RNW27 REA26:REA27 QUE26:QUE27 QKI26:QKI27 QAM26:QAM27 PQQ26:PQQ27 PGU26:PGU27 OWY26:OWY27 ONC26:ONC27 ODG26:ODG27 NTK26:NTK27 NJO26:NJO27 MZS26:MZS27 MPW26:MPW27 MGA26:MGA27 LWE26:LWE27 LMI26:LMI27 LCM26:LCM27 KSQ26:KSQ27 KIU26:KIU27 JYY26:JYY27 JPC26:JPC27 JFG26:JFG27 IVK26:IVK27 ILO26:ILO27 IBS26:IBS27 HRW26:HRW27 HIA26:HIA27 GYE26:GYE27 GOI26:GOI27 GEM26:GEM27 FUQ26:FUQ27 FKU26:FKU27 FAY26:FAY27 ERC26:ERC27 EHG26:EHG27 DXK26:DXK27 DNO26:DNO27 DDS26:DDS27 CTW26:CTW27 CKA26:CKA27 CAE26:CAE27 BQI26:BQI27 BGM26:BGM27 AWQ26:AWQ27 AMU26:AMU27 ACY26:ACY27 TC26:TC27 JG26:JG27 WVQ26:WVQ27 WLU26:WLU27 WBY26:WBY27 VSC26:VSC27 VIG26:VIG27 UYK26:UYK27 UOO26:UOO27 UES26:UES27 TUW26:TUW27 TLA26:TLA27 TBE26:TBE27 SRI26:SRI27 SHM26:SHM27 RXQ26:RXQ27 RNU26:RNU27 RDY26:RDY27 QUC26:QUC27 QKG26:QKG27 QAK26:QAK27 PQO26:PQO27 PGS26:PGS27 OWW26:OWW27 ONA26:ONA27 ODE26:ODE27 NTI26:NTI27 NJM26:NJM27 MZQ26:MZQ27 MPU26:MPU27 MFY26:MFY27 LWC26:LWC27 LMG26:LMG27 LCK26:LCK27 KSO26:KSO27 KIS26:KIS27 JYW26:JYW27 JPA26:JPA27 JFE26:JFE27 IVI26:IVI27 ILM26:ILM27 IBQ26:IBQ27 HRU26:HRU27 HHY26:HHY27 GYC26:GYC27 GOG26:GOG27 GEK26:GEK27 FUO26:FUO27 FKS26:FKS27 FAW26:FAW27 ERA26:ERA27 EHE26:EHE27 DXI26:DXI27 DNM26:DNM27 DDQ26:DDQ27 CTU26:CTU27 CJY26:CJY27 CAC26:CAC27 BQG26:BQG27 BGK26:BGK27 AWO26:AWO27 AMS26:AMS27 ACW26:ACW27 TA26:TA27 JE26:JE27 WVS26:WVS27 K26:K31">
      <formula1>$BC$1:$BC$5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dvAspect="DVASPECT_ICON" shapeId="10279" r:id="rId4">
          <objectPr defaultSize="0" r:id="rId5">
            <anchor moveWithCells="1">
              <from>
                <xdr:col>4</xdr:col>
                <xdr:colOff>438150</xdr:colOff>
                <xdr:row>11</xdr:row>
                <xdr:rowOff>647700</xdr:rowOff>
              </from>
              <to>
                <xdr:col>4</xdr:col>
                <xdr:colOff>2066925</xdr:colOff>
                <xdr:row>11</xdr:row>
                <xdr:rowOff>1162050</xdr:rowOff>
              </to>
            </anchor>
          </objectPr>
        </oleObject>
      </mc:Choice>
      <mc:Fallback>
        <oleObject progId="Packager Shell Object" dvAspect="DVASPECT_ICON" shapeId="10279" r:id="rId4"/>
      </mc:Fallback>
    </mc:AlternateContent>
    <mc:AlternateContent xmlns:mc="http://schemas.openxmlformats.org/markup-compatibility/2006">
      <mc:Choice Requires="x14">
        <oleObject progId="Packager Shell Object" dvAspect="DVASPECT_ICON" shapeId="10283" r:id="rId6">
          <objectPr defaultSize="0" r:id="rId7">
            <anchor moveWithCells="1">
              <from>
                <xdr:col>4</xdr:col>
                <xdr:colOff>552450</xdr:colOff>
                <xdr:row>25</xdr:row>
                <xdr:rowOff>428625</xdr:rowOff>
              </from>
              <to>
                <xdr:col>4</xdr:col>
                <xdr:colOff>2181225</xdr:colOff>
                <xdr:row>25</xdr:row>
                <xdr:rowOff>942975</xdr:rowOff>
              </to>
            </anchor>
          </objectPr>
        </oleObject>
      </mc:Choice>
      <mc:Fallback>
        <oleObject progId="Packager Shell Object" dvAspect="DVASPECT_ICON" shapeId="10283"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12"/>
  <sheetViews>
    <sheetView workbookViewId="0">
      <selection activeCell="B12" sqref="B12"/>
    </sheetView>
  </sheetViews>
  <sheetFormatPr defaultRowHeight="12.75" outlineLevelRow="1" x14ac:dyDescent="0.2"/>
  <cols>
    <col min="1" max="1" width="27.140625" customWidth="1"/>
    <col min="2" max="2" width="59.85546875" style="63" customWidth="1"/>
    <col min="3" max="3" width="24.42578125" customWidth="1"/>
  </cols>
  <sheetData>
    <row r="1" spans="1:2" x14ac:dyDescent="0.2">
      <c r="A1" s="64" t="s">
        <v>69</v>
      </c>
      <c r="B1" s="65" t="s">
        <v>0</v>
      </c>
    </row>
    <row r="2" spans="1:2" outlineLevel="1" x14ac:dyDescent="0.2">
      <c r="A2" s="66" t="s">
        <v>63</v>
      </c>
      <c r="B2" s="71" t="str">
        <f>PPRD</f>
        <v>May, 2017</v>
      </c>
    </row>
    <row r="3" spans="1:2" x14ac:dyDescent="0.2">
      <c r="A3" s="66" t="s">
        <v>66</v>
      </c>
      <c r="B3" s="67" t="str">
        <f>CRN</f>
        <v>CHG107664</v>
      </c>
    </row>
    <row r="4" spans="1:2" x14ac:dyDescent="0.2">
      <c r="A4" s="66" t="s">
        <v>67</v>
      </c>
      <c r="B4" s="67" t="str">
        <f>MA</f>
        <v>CH;#FR;#IE;#KZ</v>
      </c>
    </row>
    <row r="5" spans="1:2" x14ac:dyDescent="0.2">
      <c r="A5" s="66" t="s">
        <v>68</v>
      </c>
      <c r="B5" s="67" t="str">
        <f>Area</f>
        <v>Data</v>
      </c>
    </row>
    <row r="6" spans="1:2" x14ac:dyDescent="0.2">
      <c r="A6" s="66" t="s">
        <v>51</v>
      </c>
      <c r="B6" s="67" t="str">
        <f>Entity</f>
        <v>OD</v>
      </c>
    </row>
    <row r="7" spans="1:2" x14ac:dyDescent="0.2">
      <c r="A7" s="66" t="s">
        <v>64</v>
      </c>
      <c r="B7" s="68" t="str">
        <f>DTested</f>
        <v>26/01/2017</v>
      </c>
    </row>
    <row r="8" spans="1:2" x14ac:dyDescent="0.2">
      <c r="A8" s="66" t="s">
        <v>65</v>
      </c>
      <c r="B8" s="69" t="str">
        <f>DReviewed</f>
        <v>27/01/2017</v>
      </c>
    </row>
    <row r="9" spans="1:2" x14ac:dyDescent="0.2">
      <c r="A9" s="66" t="s">
        <v>55</v>
      </c>
      <c r="B9" s="67" t="str">
        <f>TestedBy</f>
        <v>Gulraaz</v>
      </c>
    </row>
    <row r="10" spans="1:2" x14ac:dyDescent="0.2">
      <c r="A10" s="66" t="s">
        <v>59</v>
      </c>
      <c r="B10" s="67" t="str">
        <f>ReviewedBy</f>
        <v>Vikram</v>
      </c>
    </row>
    <row r="12" spans="1:2" x14ac:dyDescent="0.2">
      <c r="A12" s="66" t="s">
        <v>70</v>
      </c>
      <c r="B12" s="70"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20"/>
  <sheetViews>
    <sheetView topLeftCell="A19" workbookViewId="0">
      <selection activeCell="A36" sqref="A36"/>
    </sheetView>
  </sheetViews>
  <sheetFormatPr defaultRowHeight="12.75" x14ac:dyDescent="0.2"/>
  <cols>
    <col min="1" max="1" width="44" style="76" bestFit="1" customWidth="1"/>
    <col min="2" max="16384" width="9.140625" style="76"/>
  </cols>
  <sheetData>
    <row r="1" spans="1:1" x14ac:dyDescent="0.2">
      <c r="A1" s="75"/>
    </row>
    <row r="2" spans="1:1" x14ac:dyDescent="0.2">
      <c r="A2" s="75" t="s">
        <v>128</v>
      </c>
    </row>
    <row r="30" spans="1:1" x14ac:dyDescent="0.2">
      <c r="A30" s="75"/>
    </row>
    <row r="36" spans="1:1" x14ac:dyDescent="0.2">
      <c r="A36" s="75" t="s">
        <v>143</v>
      </c>
    </row>
    <row r="55" spans="1:1" x14ac:dyDescent="0.2">
      <c r="A55" s="75"/>
    </row>
    <row r="70" spans="1:1" x14ac:dyDescent="0.2">
      <c r="A70" s="75"/>
    </row>
    <row r="105" spans="1:1" x14ac:dyDescent="0.2">
      <c r="A105" s="75"/>
    </row>
    <row r="146" spans="1:1" x14ac:dyDescent="0.2">
      <c r="A146" s="75"/>
    </row>
    <row r="185" spans="1:1" x14ac:dyDescent="0.2">
      <c r="A185" s="75"/>
    </row>
    <row r="220" spans="1:1" x14ac:dyDescent="0.2">
      <c r="A220" s="75"/>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Seeburn, Jagatsingh</cp:lastModifiedBy>
  <cp:lastPrinted>2013-10-17T06:50:38Z</cp:lastPrinted>
  <dcterms:created xsi:type="dcterms:W3CDTF">2006-03-30T08:28:02Z</dcterms:created>
  <dcterms:modified xsi:type="dcterms:W3CDTF">2017-01-27T08:47:30Z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