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f.mingoue.tchagou\Desktop\"/>
    </mc:Choice>
  </mc:AlternateContent>
  <xr:revisionPtr revIDLastSave="0" documentId="13_ncr:1_{A1875B0E-106F-40F8-86CA-6FCFD91C1B3E}" xr6:coauthVersionLast="46" xr6:coauthVersionMax="47" xr10:uidLastSave="{00000000-0000-0000-0000-000000000000}"/>
  <bookViews>
    <workbookView xWindow="-108" yWindow="-108" windowWidth="23256" windowHeight="12576" tabRatio="893" firstSheet="7" activeTab="11" xr2:uid="{00000000-000D-0000-FFFF-FFFF00000000}"/>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Control'!$M$5</definedName>
    <definedName name="DevDReviewed">'Version Control'!$M$4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0" i="16" l="1"/>
  <c r="C24" i="12" s="1"/>
  <c r="B8" i="21"/>
  <c r="B3" i="21"/>
  <c r="B9" i="21"/>
  <c r="B10" i="21"/>
  <c r="C17" i="21"/>
  <c r="D8" i="1" l="1"/>
  <c r="D7" i="1"/>
  <c r="D6" i="1"/>
  <c r="D5" i="1"/>
  <c r="D4" i="1"/>
  <c r="D3" i="1"/>
  <c r="B38" i="11"/>
  <c r="B7" i="21" l="1"/>
  <c r="C27" i="12"/>
  <c r="G27" i="12" s="1"/>
  <c r="B2" i="21"/>
  <c r="B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Grenade</author>
  </authors>
  <commentList>
    <comment ref="A23" authorId="0" shapeId="0" xr:uid="{00000000-0006-0000-0100-00000100000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C4" authorId="0" shapeId="0" xr:uid="{00000000-0006-0000-0300-00000100000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lk</author>
  </authors>
  <commentList>
    <comment ref="D3" authorId="0" shapeId="0" xr:uid="{00000000-0006-0000-0500-00000100000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arnaud.grimont</author>
    <author>gulraaz.usmani</author>
  </authors>
  <commentList>
    <comment ref="C3" authorId="0" shapeId="0" xr:uid="{00000000-0006-0000-0D00-000001000000}">
      <text>
        <r>
          <rPr>
            <b/>
            <sz val="9"/>
            <color indexed="81"/>
            <rFont val="Tahoma"/>
            <family val="2"/>
          </rPr>
          <t>arnaud.grimont:</t>
        </r>
        <r>
          <rPr>
            <sz val="9"/>
            <color indexed="81"/>
            <rFont val="Tahoma"/>
            <family val="2"/>
          </rPr>
          <t xml:space="preserve">
Market for which the data update will be done
(E.g ALL, ES, UA)</t>
        </r>
      </text>
    </comment>
    <comment ref="D3" authorId="0" shapeId="0" xr:uid="{00000000-0006-0000-0D00-00000200000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xr:uid="{00000000-0006-0000-0D00-00000300000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xr:uid="{00000000-0006-0000-0D00-00000400000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<sst xmlns="http://schemas.openxmlformats.org/spreadsheetml/2006/main" count="442" uniqueCount="282">
  <si>
    <t>Trade Marketing Excellence Programme</t>
  </si>
  <si>
    <t>DATA</t>
  </si>
  <si>
    <t>Technical Design Mapping, Workflow &amp; Stored Procedure</t>
  </si>
  <si>
    <t>CHG/INC:</t>
  </si>
  <si>
    <t xml:space="preserve">        Title:</t>
  </si>
  <si>
    <t>Planned Prod Release Date:</t>
  </si>
  <si>
    <t>Feb, 2022</t>
  </si>
  <si>
    <t xml:space="preserve">  Market Affected:</t>
  </si>
  <si>
    <t>Date:</t>
  </si>
  <si>
    <t>Status:</t>
  </si>
  <si>
    <t xml:space="preserve">Draft </t>
  </si>
  <si>
    <t>Reviewer Control Section</t>
  </si>
  <si>
    <t>Completed</t>
  </si>
  <si>
    <t>Failed</t>
  </si>
  <si>
    <t>Name</t>
  </si>
  <si>
    <t>First Name</t>
  </si>
  <si>
    <t>Function</t>
  </si>
  <si>
    <t>Document Version</t>
  </si>
  <si>
    <t>Date</t>
  </si>
  <si>
    <t>Status</t>
  </si>
  <si>
    <t>Comments</t>
  </si>
  <si>
    <t>In Progress</t>
  </si>
  <si>
    <t>Developer</t>
  </si>
  <si>
    <t>Not Started</t>
  </si>
  <si>
    <t>Sign-off Control Section (a CoE and GDC sign-off names are required)</t>
  </si>
  <si>
    <t>Signature</t>
  </si>
  <si>
    <t>Estimation</t>
  </si>
  <si>
    <t>Manday</t>
  </si>
  <si>
    <t>Design(HLFD, DTD)</t>
  </si>
  <si>
    <t>ETL Detail Design</t>
  </si>
  <si>
    <t>Dev Admin Task</t>
  </si>
  <si>
    <t>Dev/Configuration</t>
  </si>
  <si>
    <t>Testing</t>
  </si>
  <si>
    <t>Peer Review</t>
  </si>
  <si>
    <t>TOTAL Estimation</t>
  </si>
  <si>
    <t>Additional Information</t>
  </si>
  <si>
    <t>These document should be produced during analysis phase of the change request
In case those can't be done we should perform HL estimate this effort should be provided</t>
  </si>
  <si>
    <t>ETL Detail Design should be update as part of the Analysis as far as possible
In case this can't be done in the analysis phase the effort should be provided depending on the number of fields in the ETL</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</si>
  <si>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</si>
  <si>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</si>
  <si>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</si>
  <si>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</si>
  <si>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To be filled by GDC/CoE only</t>
  </si>
  <si>
    <t>Functional Background</t>
  </si>
  <si>
    <t>#</t>
  </si>
  <si>
    <t>Functional Requirements</t>
  </si>
  <si>
    <t>3.1</t>
  </si>
  <si>
    <t>3.2</t>
  </si>
  <si>
    <t>Automation Requirements</t>
  </si>
  <si>
    <t>Error Control Requirements</t>
  </si>
  <si>
    <t>Documentation Requirements</t>
  </si>
  <si>
    <t>HLFD_XXX</t>
  </si>
  <si>
    <t>DTD Review CheckList</t>
  </si>
  <si>
    <t xml:space="preserve">This is a checklist that is manage by Accenture to ensure that </t>
  </si>
  <si>
    <t>all coding and guideline provided by GDC has been followed as per</t>
  </si>
  <si>
    <t>Checklist</t>
  </si>
  <si>
    <t>the document</t>
  </si>
  <si>
    <t>Validation</t>
  </si>
  <si>
    <t>Details</t>
  </si>
  <si>
    <t>Comment</t>
  </si>
  <si>
    <t>TME Phase 2 - Data Development Guidelines v1.6.pdf</t>
  </si>
  <si>
    <t>Table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</si>
  <si>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</si>
  <si>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t>Stored Procedure Naming Convention</t>
  </si>
  <si>
    <t>sp_DESCRIPTIVE_NAME</t>
  </si>
  <si>
    <t>Dummy session invoking sp</t>
  </si>
  <si>
    <t>All session that execute stored procedure should be name s_sp_DESCRIPTIVE_NAME</t>
  </si>
  <si>
    <t>Mapping Naming Convention</t>
  </si>
  <si>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</si>
  <si>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</si>
  <si>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</si>
  <si>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</si>
  <si>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</si>
  <si>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</si>
  <si>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</si>
  <si>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</si>
  <si>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</si>
  <si>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</si>
  <si>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</si>
  <si>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</si>
  <si>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</si>
  <si>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</si>
  <si>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</si>
  <si>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</si>
  <si>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NOLOCK</t>
  </si>
  <si>
    <t>All SELECT statement should include the (NOLOCK) option</t>
  </si>
  <si>
    <t>CCSI Impacted</t>
  </si>
  <si>
    <t>Validate that CCSI tables, mapping have been added in the analysis.</t>
  </si>
  <si>
    <t>FK Dependency</t>
  </si>
  <si>
    <t>Ensure that new FK column is populated before the FK table in the ETL</t>
  </si>
  <si>
    <t>Parameter Name</t>
  </si>
  <si>
    <t>Values</t>
  </si>
  <si>
    <t>Planned PROD Release Date</t>
  </si>
  <si>
    <t>Change Request Number/Incident Request Number</t>
  </si>
  <si>
    <t>Market Affected</t>
  </si>
  <si>
    <t>Area</t>
  </si>
  <si>
    <t>Data</t>
  </si>
  <si>
    <t>Entity</t>
  </si>
  <si>
    <t>DTD Review Checklist</t>
  </si>
  <si>
    <t>Developer Date Reviewed</t>
  </si>
  <si>
    <t>Developer Name</t>
  </si>
  <si>
    <t>Reviewer Date Reviewed</t>
  </si>
  <si>
    <t>Reviewer Name</t>
  </si>
  <si>
    <t>Content</t>
  </si>
  <si>
    <t>Worksheet</t>
  </si>
  <si>
    <t>Description</t>
  </si>
  <si>
    <t>Action</t>
  </si>
  <si>
    <t>DB Schema</t>
  </si>
  <si>
    <t>Thi section describe all the table (staging or target) that need to be created or modified. It shows also the field that will be created</t>
  </si>
  <si>
    <t>Ifb &amp; PHP</t>
  </si>
  <si>
    <t>This section shows all the ifbs, php &amp; parameter files that are impacted</t>
  </si>
  <si>
    <t>Mapping</t>
  </si>
  <si>
    <t>This section identify which mapping will be affected. It show also the number of transformation that are need to modify data</t>
  </si>
  <si>
    <t>Worklet &amp; worflow</t>
  </si>
  <si>
    <t>This Part show all the worflow, worklet and session that need to be modified or created</t>
  </si>
  <si>
    <t>Stored Procedure</t>
  </si>
  <si>
    <t>All the stored procedure that will be impacted or created will be reflected</t>
  </si>
  <si>
    <t>Data Update</t>
  </si>
  <si>
    <t>This Part show whether data update will be needed after the release or not</t>
  </si>
  <si>
    <t>Only MSSQL</t>
  </si>
  <si>
    <t>CCSI Entity</t>
  </si>
  <si>
    <t>Tables Impacted</t>
  </si>
  <si>
    <t>Merge table Impacted</t>
  </si>
  <si>
    <t>CCSI_RetailAudit</t>
  </si>
  <si>
    <t>MERGE_WC_RTLAUDIT_F</t>
  </si>
  <si>
    <t>WC_RTLAUDIT_F</t>
  </si>
  <si>
    <t>CCSI_AccountSCD</t>
  </si>
  <si>
    <t>MERGE_WC_ORG_SCD,MERGE_WC_ORG_SCD_UPDATE_END_DT</t>
  </si>
  <si>
    <t>WC_ORG_SCD</t>
  </si>
  <si>
    <t>CCSI_OrderItem</t>
  </si>
  <si>
    <t>MERGE_WC_ORDERITEM_F</t>
  </si>
  <si>
    <t>WC_ORDERITEM_F</t>
  </si>
  <si>
    <t>CCSI_Promotion</t>
  </si>
  <si>
    <t>MERGE_WC_PROMOTION_F</t>
  </si>
  <si>
    <t>WC_PROMOTION_F</t>
  </si>
  <si>
    <t>CCSI_Assess</t>
  </si>
  <si>
    <t>MERGE_WC_ASSESS_F</t>
  </si>
  <si>
    <t>WC_ASSESS_F</t>
  </si>
  <si>
    <t>CCSI_Objective</t>
  </si>
  <si>
    <t>MERGE_W_OBJECTIVE_F</t>
  </si>
  <si>
    <t>W_OBJECTIVE_F</t>
  </si>
  <si>
    <t>CCSI_Promo_Dim</t>
  </si>
  <si>
    <t>MERGE_W_PLAN_PROMO_D</t>
  </si>
  <si>
    <t>W_PLAN_PROMO_D</t>
  </si>
  <si>
    <t>CCSI_Assess_Dim</t>
  </si>
  <si>
    <t>MERGE_WC_ASSESS_D,MERGE_WC_ACT_ASSESS_UPD</t>
  </si>
  <si>
    <t>WC_ASSESS_D</t>
  </si>
  <si>
    <t>CCSI_Activity</t>
  </si>
  <si>
    <t>MERGE_WC_ACTIVITY_F,MERGE_WC_ACTIVITY_UPD</t>
  </si>
  <si>
    <t>WC_ACTIVITY_F</t>
  </si>
  <si>
    <t>CCSI_AccntSeg</t>
  </si>
  <si>
    <t>MERGE_WC_ACCNT_SEGMENT_DHL,MERGE_WC_ACCNT_SEGMENT_DHL_UPD</t>
  </si>
  <si>
    <t>WC_ACCNT_SEGMENT_DHL</t>
  </si>
  <si>
    <t>CCSI_SalesDataFact</t>
  </si>
  <si>
    <t>MERGE_WCV_SALES_F</t>
  </si>
  <si>
    <t xml:space="preserve">WC_SALES_F_XX </t>
  </si>
  <si>
    <t>N/A</t>
  </si>
  <si>
    <t>DB Schema changes</t>
  </si>
  <si>
    <t>Important Note:</t>
  </si>
  <si>
    <t>Table</t>
  </si>
  <si>
    <t>All new table should have a clustered index</t>
  </si>
  <si>
    <t>Table Name</t>
  </si>
  <si>
    <t>Database (OLTP or OLAP)</t>
  </si>
  <si>
    <t>For New Dimension table an Insert should be done with ROW_WID=0</t>
  </si>
  <si>
    <t>Vardecimal compression should be applied for OLAP</t>
  </si>
  <si>
    <t>When populating WC_FF_ENTITY_DETAILS, populate COUNTRY with value from WC_FF_COUNTRY_LANG_ID</t>
  </si>
  <si>
    <t>Columns</t>
  </si>
  <si>
    <t>Column Name</t>
  </si>
  <si>
    <t>Data Type</t>
  </si>
  <si>
    <t>Default column value</t>
  </si>
  <si>
    <t>Index</t>
  </si>
  <si>
    <t>Index Name</t>
  </si>
  <si>
    <t>Type of Index</t>
  </si>
  <si>
    <t>Columns on which index need to be applied</t>
  </si>
  <si>
    <t>Included</t>
  </si>
  <si>
    <t>CCSI Impact(MSSQL Only)</t>
  </si>
  <si>
    <t>Impacted Merge table</t>
  </si>
  <si>
    <t>Mandays</t>
  </si>
  <si>
    <t>IFB &amp; PHP</t>
  </si>
  <si>
    <t>PHP/Java</t>
  </si>
  <si>
    <t>File Name</t>
  </si>
  <si>
    <t>IFBs</t>
  </si>
  <si>
    <t>Ifb Name</t>
  </si>
  <si>
    <t>Parameter Files</t>
  </si>
  <si>
    <t>Configuration File (*.ini)</t>
  </si>
  <si>
    <t>Bat Files</t>
  </si>
  <si>
    <t xml:space="preserve">Mapping </t>
  </si>
  <si>
    <t>Folder Name</t>
  </si>
  <si>
    <t>Mapping Name</t>
  </si>
  <si>
    <t>Mapping Details</t>
  </si>
  <si>
    <t>Source Table</t>
  </si>
  <si>
    <t>Instance Name</t>
  </si>
  <si>
    <t>Source Column</t>
  </si>
  <si>
    <t>Datatype</t>
  </si>
  <si>
    <t>Target Table</t>
  </si>
  <si>
    <t>Target Column</t>
  </si>
  <si>
    <t>Functional
Summary</t>
  </si>
  <si>
    <t>Transformations</t>
  </si>
  <si>
    <t>Session , worklet &amp; workflow</t>
  </si>
  <si>
    <t>Workflow</t>
  </si>
  <si>
    <t>Worflow Name</t>
  </si>
  <si>
    <t>Worklet</t>
  </si>
  <si>
    <t>Worklet Name</t>
  </si>
  <si>
    <t>Session Details</t>
  </si>
  <si>
    <t>General</t>
  </si>
  <si>
    <t>Properties</t>
  </si>
  <si>
    <t>Mapping/Source</t>
  </si>
  <si>
    <t>Mapping/Target</t>
  </si>
  <si>
    <t>Component</t>
  </si>
  <si>
    <t>Session Name</t>
  </si>
  <si>
    <t>Fail Parent if this task fail</t>
  </si>
  <si>
    <t>Fail Parent if this task does not run</t>
  </si>
  <si>
    <t>Disable task</t>
  </si>
  <si>
    <t>Parameter Filename</t>
  </si>
  <si>
    <t>Recovery Strategy</t>
  </si>
  <si>
    <t>Session Retry on deadlock</t>
  </si>
  <si>
    <t>Pre SQL</t>
  </si>
  <si>
    <t>Post SQL</t>
  </si>
  <si>
    <t>SQL Query</t>
  </si>
  <si>
    <t>Source File Type</t>
  </si>
  <si>
    <t>Source File Directory</t>
  </si>
  <si>
    <t>Source FileName</t>
  </si>
  <si>
    <t>Target Table Name</t>
  </si>
  <si>
    <t>Truncate Target Option</t>
  </si>
  <si>
    <t>Pre-Session Command</t>
  </si>
  <si>
    <t>Post-Session Command</t>
  </si>
  <si>
    <t>Procedure Name</t>
  </si>
  <si>
    <t>Data Update Required</t>
  </si>
  <si>
    <t>Environment (OLTP or OLAP)</t>
  </si>
  <si>
    <t>Period (If any)</t>
  </si>
  <si>
    <t>Data Update type</t>
  </si>
  <si>
    <t>Data Update Priority</t>
  </si>
  <si>
    <t>Y</t>
  </si>
  <si>
    <t>N</t>
  </si>
  <si>
    <t>Approx. No. of records</t>
  </si>
  <si>
    <t>EU1</t>
  </si>
  <si>
    <t>EU2</t>
  </si>
  <si>
    <t>EU3</t>
  </si>
  <si>
    <t>CIS</t>
  </si>
  <si>
    <t>CEU</t>
  </si>
  <si>
    <t>ASI</t>
  </si>
  <si>
    <t>RUS</t>
  </si>
  <si>
    <t xml:space="preserve">Table : </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</si>
  <si>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</si>
  <si>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</si>
  <si>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1. Retail Audit</t>
  </si>
  <si>
    <t>2. Sales Data</t>
  </si>
  <si>
    <t>3. Activities</t>
  </si>
  <si>
    <t>Data Update Details</t>
  </si>
  <si>
    <t>Table Impacted:</t>
  </si>
  <si>
    <t>View Impacted:</t>
  </si>
  <si>
    <t>View Scripts</t>
  </si>
  <si>
    <t>Impacted</t>
  </si>
  <si>
    <t>EC4U</t>
  </si>
  <si>
    <t>JTI_DWH_ETLComplete_Incremental</t>
  </si>
  <si>
    <t>FOR_IMPORT obtained on EU2 UAT for Asset interfaces: missing call for the PTG IFBs on the AS interface worklet</t>
  </si>
  <si>
    <t>PT</t>
  </si>
  <si>
    <t>INC3938667</t>
  </si>
  <si>
    <t xml:space="preserve">Created based on INC3938667 </t>
  </si>
  <si>
    <t>Frank</t>
  </si>
  <si>
    <t>Mingoué</t>
  </si>
  <si>
    <t>EIM_INTERFACE</t>
  </si>
  <si>
    <t>EIM_PROCESS</t>
  </si>
  <si>
    <t>Load_EIM/wrk_Assets_Interface/</t>
  </si>
  <si>
    <t>EIM_Process</t>
  </si>
  <si>
    <t>Shortcut_to_DummyMap</t>
  </si>
  <si>
    <t>n/a</t>
  </si>
  <si>
    <t>Restart Task</t>
  </si>
  <si>
    <t>To add command</t>
  </si>
  <si>
    <t>wrk_Assets_Interface/</t>
  </si>
  <si>
    <t>DummyMap</t>
  </si>
  <si>
    <t>IFA_SLK_AS_Assets_IMP.ifb</t>
  </si>
  <si>
    <t>IFA_SLK_AS_Assets_POP.ifb</t>
  </si>
  <si>
    <t>$PMSourceFileDir\Scripts\run-EIM-process_perf.bat "IFA_PTG_AS_Assets_IMP.ifb" "PTG"</t>
  </si>
  <si>
    <t>$PMSourceFileDir\Scripts\run-EIM-process_perf.bat "IFA_PTG_AS_Assets_POP.ifb" "PTG"</t>
  </si>
  <si>
    <t>RUN_EIM_PROCESS</t>
  </si>
  <si>
    <t>RUN_EIM_PROCESS_ADHOC</t>
  </si>
  <si>
    <t>RUN_EIM_PROCESS_JAVA</t>
  </si>
  <si>
    <t>JTI_OLTP_EIM</t>
  </si>
  <si>
    <t>wrk_Assets_Interface</t>
  </si>
  <si>
    <t>RUN_EIM_PROCESS ; RUN_EIM_PROCESS_JAVA; RUN_EIM_PROCESS_ADHOC</t>
  </si>
  <si>
    <t>JTI_DWH_ETLComplete_Incremental ,JTI_OLTP_EIM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</si>
</sst>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B_F_-;\-* #,##0.00\ _B_F_-;_-* &quot;-&quot;??\ _B_F_-;_-@_-"/>
    <numFmt numFmtId="165" formatCode="mm/dd/yy"/>
    <numFmt numFmtId="166" formatCode="0.0"/>
    <numFmt numFmtId="167" formatCode="dd/mm/yy"/>
    <numFmt numFmtId="168" formatCode="mmm\-yyyy"/>
  </numFmts>
  <fonts count="47" x14ac:knownFonts="1">
    <font>
      <sz val="10"/>
      <name val="Arial"/>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s>
  <borders count="33">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6">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20" borderId="1" applyNumberFormat="0" applyAlignment="0" applyProtection="0"/>
    <xf numFmtId="0" fontId="16" fillId="20" borderId="2" applyNumberFormat="0" applyAlignment="0" applyProtection="0"/>
    <xf numFmtId="164" fontId="1" fillId="0" borderId="0" applyFont="0" applyFill="0" applyBorder="0" applyAlignment="0" applyProtection="0"/>
    <xf numFmtId="0" fontId="17" fillId="7" borderId="2" applyNumberFormat="0" applyAlignment="0" applyProtection="0"/>
    <xf numFmtId="0" fontId="18" fillId="0" borderId="3" applyNumberFormat="0" applyFill="0" applyAlignment="0" applyProtection="0"/>
    <xf numFmtId="0" fontId="19" fillId="0" borderId="0" applyNumberFormat="0" applyFill="0" applyBorder="0" applyAlignment="0" applyProtection="0"/>
    <xf numFmtId="0" fontId="20" fillId="4" borderId="0" applyNumberFormat="0" applyBorder="0" applyAlignment="0" applyProtection="0"/>
    <xf numFmtId="0" fontId="3" fillId="0" borderId="0" applyNumberFormat="0" applyFill="0" applyBorder="0" applyAlignment="0" applyProtection="0">
      <alignment vertical="top"/>
      <protection locked="0"/>
    </xf>
    <xf numFmtId="0" fontId="21" fillId="21" borderId="0" applyNumberFormat="0" applyBorder="0" applyAlignment="0" applyProtection="0"/>
    <xf numFmtId="0" fontId="1" fillId="0" borderId="0" applyAlignment="0"/>
    <xf numFmtId="0" fontId="12" fillId="22" borderId="4" applyNumberFormat="0" applyFont="0" applyAlignment="0" applyProtection="0"/>
    <xf numFmtId="0" fontId="22" fillId="3" borderId="0" applyNumberFormat="0" applyBorder="0" applyAlignment="0" applyProtection="0"/>
    <xf numFmtId="0" fontId="12" fillId="0" borderId="0"/>
    <xf numFmtId="0" fontId="23" fillId="0" borderId="0" applyNumberFormat="0" applyFill="0" applyBorder="0" applyAlignment="0" applyProtection="0"/>
    <xf numFmtId="0" fontId="24" fillId="0" borderId="5" applyNumberFormat="0" applyFill="0" applyAlignment="0" applyProtection="0"/>
    <xf numFmtId="0" fontId="25" fillId="0" borderId="6" applyNumberFormat="0" applyFill="0" applyAlignment="0" applyProtection="0"/>
    <xf numFmtId="0" fontId="26" fillId="0" borderId="7" applyNumberFormat="0" applyFill="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0" applyNumberFormat="0" applyFill="0" applyBorder="0" applyAlignment="0" applyProtection="0"/>
    <xf numFmtId="0" fontId="29" fillId="23" borderId="9" applyNumberFormat="0" applyAlignment="0" applyProtection="0"/>
  </cellStyleXfs>
  <cellXfs count="143">
    <xf numFmtId="0" fontId="0" fillId="0" borderId="0" xfId="0"/>
    <xf numFmtId="164" fontId="4" fillId="0" borderId="0" xfId="27" applyFont="1"/>
    <xf numFmtId="164" fontId="1" fillId="0" borderId="0" xfId="27"/>
    <xf numFmtId="164" fontId="9" fillId="0" borderId="0" xfId="27" applyFont="1"/>
    <xf numFmtId="165" fontId="9" fillId="0" borderId="0" xfId="27" applyNumberFormat="1" applyFont="1" applyAlignment="1">
      <alignment horizontal="left"/>
    </xf>
    <xf numFmtId="164" fontId="9" fillId="0" borderId="0" xfId="27" applyFont="1" applyAlignment="1">
      <alignment horizontal="left" vertical="top"/>
    </xf>
    <xf numFmtId="164" fontId="31" fillId="0" borderId="0" xfId="27" applyFont="1"/>
    <xf numFmtId="0" fontId="7" fillId="0" borderId="0" xfId="34" applyFont="1" applyAlignment="1">
      <alignment vertical="top"/>
    </xf>
    <xf numFmtId="0" fontId="4" fillId="0" borderId="0" xfId="34" applyFont="1" applyAlignment="1">
      <alignment vertical="top"/>
    </xf>
    <xf numFmtId="0" fontId="10" fillId="0" borderId="0" xfId="34" applyFont="1" applyAlignment="1">
      <alignment vertical="top"/>
    </xf>
    <xf numFmtId="16" fontId="4" fillId="25" borderId="10" xfId="34" applyNumberFormat="1" applyFont="1" applyFill="1" applyBorder="1" applyAlignment="1">
      <alignment horizontal="left" vertical="top" wrapText="1"/>
    </xf>
    <xf numFmtId="0" fontId="0" fillId="0" borderId="10" xfId="0" applyBorder="1"/>
    <xf numFmtId="0" fontId="33" fillId="26" borderId="10" xfId="0" applyFont="1" applyFill="1" applyBorder="1"/>
    <xf numFmtId="0" fontId="33" fillId="0" borderId="0" xfId="0" applyFont="1"/>
    <xf numFmtId="0" fontId="33" fillId="26" borderId="11" xfId="0" applyFont="1" applyFill="1" applyBorder="1"/>
    <xf numFmtId="0" fontId="33" fillId="25" borderId="12" xfId="0" applyFont="1" applyFill="1" applyBorder="1"/>
    <xf numFmtId="0" fontId="33" fillId="25" borderId="12" xfId="0" applyFont="1" applyFill="1" applyBorder="1" applyAlignment="1">
      <alignment horizontal="center"/>
    </xf>
    <xf numFmtId="0" fontId="0" fillId="0" borderId="10" xfId="0" applyBorder="1" applyAlignment="1">
      <alignment horizontal="center"/>
    </xf>
    <xf numFmtId="0" fontId="34" fillId="0" borderId="10" xfId="0" applyFont="1" applyBorder="1"/>
    <xf numFmtId="0" fontId="35" fillId="27" borderId="10" xfId="0" applyFont="1" applyFill="1" applyBorder="1"/>
    <xf numFmtId="0" fontId="0" fillId="0" borderId="10" xfId="0" applyBorder="1" applyAlignment="1">
      <alignment wrapText="1"/>
    </xf>
    <xf numFmtId="0" fontId="0" fillId="0" borderId="0" xfId="0" applyAlignment="1">
      <alignment wrapText="1"/>
    </xf>
    <xf numFmtId="0" fontId="33" fillId="25" borderId="15" xfId="0" applyFont="1" applyFill="1" applyBorder="1" applyAlignment="1">
      <alignment wrapText="1"/>
    </xf>
    <xf numFmtId="0" fontId="33" fillId="25" borderId="10" xfId="0" applyFont="1" applyFill="1" applyBorder="1" applyAlignment="1">
      <alignment wrapText="1"/>
    </xf>
    <xf numFmtId="0" fontId="33" fillId="25" borderId="14" xfId="0" applyFont="1" applyFill="1" applyBorder="1" applyAlignment="1">
      <alignment wrapText="1"/>
    </xf>
    <xf numFmtId="0" fontId="1" fillId="0" borderId="10" xfId="0" applyFont="1" applyBorder="1" applyAlignment="1">
      <alignment wrapText="1"/>
    </xf>
    <xf numFmtId="0" fontId="33" fillId="26" borderId="10" xfId="0" applyFont="1" applyFill="1" applyBorder="1" applyAlignment="1">
      <alignment wrapText="1"/>
    </xf>
    <xf numFmtId="0" fontId="33" fillId="0" borderId="0" xfId="0" applyFont="1" applyAlignment="1">
      <alignment wrapText="1"/>
    </xf>
    <xf numFmtId="0" fontId="35" fillId="27" borderId="10" xfId="0" applyFont="1" applyFill="1" applyBorder="1" applyAlignment="1">
      <alignment wrapText="1"/>
    </xf>
    <xf numFmtId="0" fontId="34" fillId="0" borderId="10" xfId="0" applyFont="1" applyBorder="1" applyAlignment="1">
      <alignment wrapText="1"/>
    </xf>
    <xf numFmtId="0" fontId="33"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3" fillId="25" borderId="15" xfId="0" applyFont="1" applyFill="1" applyBorder="1" applyAlignment="1">
      <alignment horizontal="left" wrapText="1"/>
    </xf>
    <xf numFmtId="0" fontId="0" fillId="30" borderId="0" xfId="0" applyFill="1"/>
    <xf numFmtId="0" fontId="1" fillId="30" borderId="0" xfId="0" applyFont="1" applyFill="1"/>
    <xf numFmtId="0" fontId="38" fillId="30" borderId="10" xfId="0" applyFont="1" applyFill="1" applyBorder="1"/>
    <xf numFmtId="0" fontId="0" fillId="30" borderId="10" xfId="0" applyFill="1" applyBorder="1"/>
    <xf numFmtId="0" fontId="1" fillId="0" borderId="10" xfId="0" applyFont="1" applyBorder="1" applyAlignment="1">
      <alignment horizontal="center"/>
    </xf>
    <xf numFmtId="0" fontId="1" fillId="0" borderId="10" xfId="0" applyFont="1" applyBorder="1"/>
    <xf numFmtId="0" fontId="35" fillId="26" borderId="10" xfId="0" applyFont="1" applyFill="1" applyBorder="1"/>
    <xf numFmtId="0" fontId="35" fillId="26" borderId="10" xfId="0" applyFont="1" applyFill="1" applyBorder="1" applyAlignment="1">
      <alignment wrapText="1"/>
    </xf>
    <xf numFmtId="0" fontId="35" fillId="26" borderId="11" xfId="0" applyFont="1" applyFill="1" applyBorder="1"/>
    <xf numFmtId="0" fontId="35" fillId="26" borderId="11" xfId="0" applyFont="1" applyFill="1" applyBorder="1" applyAlignment="1">
      <alignment wrapText="1"/>
    </xf>
    <xf numFmtId="0" fontId="34" fillId="0" borderId="0" xfId="0" applyFont="1"/>
    <xf numFmtId="0" fontId="35" fillId="26" borderId="11" xfId="0" applyFont="1" applyFill="1" applyBorder="1" applyAlignment="1">
      <alignment vertical="center" wrapText="1"/>
    </xf>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25" xfId="0" applyFill="1" applyBorder="1"/>
    <xf numFmtId="0" fontId="38"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3" fillId="25" borderId="15" xfId="0" applyFont="1" applyFill="1" applyBorder="1" applyAlignment="1">
      <alignment horizontal="center"/>
    </xf>
    <xf numFmtId="0" fontId="1" fillId="0" borderId="0" xfId="0" applyFont="1"/>
    <xf numFmtId="0" fontId="0" fillId="32" borderId="0" xfId="0" applyFill="1"/>
    <xf numFmtId="0" fontId="36" fillId="32" borderId="0" xfId="0" applyFont="1" applyFill="1"/>
    <xf numFmtId="0" fontId="3"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1" fillId="32" borderId="10" xfId="0" applyFont="1" applyFill="1" applyBorder="1"/>
    <xf numFmtId="0" fontId="35" fillId="26" borderId="29" xfId="0" applyFont="1" applyFill="1" applyBorder="1"/>
    <xf numFmtId="0" fontId="35" fillId="26" borderId="31" xfId="0" applyFont="1" applyFill="1" applyBorder="1"/>
    <xf numFmtId="0" fontId="44" fillId="33" borderId="0" xfId="0" applyFont="1" applyFill="1"/>
    <xf numFmtId="0" fontId="44" fillId="33" borderId="0" xfId="0" applyFont="1" applyFill="1" applyAlignment="1">
      <alignment horizontal="center"/>
    </xf>
    <xf numFmtId="0" fontId="38"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1" fillId="34" borderId="10" xfId="0" quotePrefix="1" applyNumberFormat="1" applyFont="1" applyFill="1" applyBorder="1" applyAlignment="1">
      <alignment horizontal="center"/>
    </xf>
    <xf numFmtId="0" fontId="1" fillId="34" borderId="10" xfId="0" applyFont="1" applyFill="1" applyBorder="1" applyAlignment="1">
      <alignment horizontal="center"/>
    </xf>
    <xf numFmtId="14" fontId="1" fillId="34" borderId="10" xfId="0" applyNumberFormat="1" applyFont="1" applyFill="1" applyBorder="1" applyAlignment="1">
      <alignment horizontal="center"/>
    </xf>
    <xf numFmtId="0" fontId="30" fillId="0" borderId="0" xfId="0" applyFont="1" applyAlignment="1">
      <alignment horizontal="left"/>
    </xf>
    <xf numFmtId="0" fontId="45" fillId="30" borderId="0" xfId="0" applyFont="1" applyFill="1"/>
    <xf numFmtId="0" fontId="46" fillId="30" borderId="0" xfId="0" applyFont="1" applyFill="1"/>
    <xf numFmtId="14" fontId="30" fillId="0" borderId="0" xfId="27" applyNumberFormat="1" applyFont="1"/>
    <xf numFmtId="164" fontId="6" fillId="0" borderId="0" xfId="27" applyFont="1" applyAlignment="1"/>
    <xf numFmtId="0" fontId="1" fillId="0" borderId="30" xfId="0" applyFont="1" applyBorder="1"/>
    <xf numFmtId="0" fontId="1" fillId="0" borderId="0" xfId="34" applyAlignment="1">
      <alignment vertical="top"/>
    </xf>
    <xf numFmtId="0" fontId="4" fillId="0" borderId="0" xfId="34" applyFont="1" applyAlignment="1">
      <alignment horizontal="center" vertical="top"/>
    </xf>
    <xf numFmtId="164" fontId="6" fillId="0" borderId="0" xfId="27" applyFont="1" applyAlignment="1">
      <alignment horizontal="center"/>
    </xf>
    <xf numFmtId="0" fontId="0" fillId="0" borderId="0" xfId="0" applyAlignment="1">
      <alignment horizontal="center"/>
    </xf>
    <xf numFmtId="164" fontId="30" fillId="0" borderId="0" xfId="27" applyFont="1" applyAlignment="1"/>
    <xf numFmtId="0" fontId="4" fillId="0" borderId="10" xfId="34" applyFont="1" applyBorder="1" applyAlignment="1">
      <alignment horizontal="left" vertical="top"/>
    </xf>
    <xf numFmtId="0" fontId="11" fillId="24" borderId="10" xfId="34" applyFont="1" applyFill="1" applyBorder="1" applyAlignment="1">
      <alignment horizontal="left" vertical="top"/>
    </xf>
    <xf numFmtId="167" fontId="4" fillId="0" borderId="19" xfId="34" applyNumberFormat="1" applyFont="1" applyBorder="1" applyAlignment="1">
      <alignment horizontal="left" vertical="top"/>
    </xf>
    <xf numFmtId="0" fontId="1" fillId="0" borderId="0" xfId="34" applyFont="1" applyAlignment="1">
      <alignment horizontal="left"/>
    </xf>
    <xf numFmtId="0" fontId="1" fillId="0" borderId="32" xfId="0" applyFont="1" applyBorder="1" applyAlignment="1">
      <alignment wrapText="1"/>
    </xf>
    <xf numFmtId="166" fontId="4" fillId="0" borderId="0" xfId="34" applyNumberFormat="1" applyFont="1" applyAlignment="1">
      <alignment vertical="top"/>
    </xf>
    <xf numFmtId="164" fontId="5" fillId="0" borderId="16" xfId="27" applyFont="1" applyBorder="1" applyAlignment="1">
      <alignment horizontal="center"/>
    </xf>
    <xf numFmtId="164" fontId="6" fillId="0" borderId="0" xfId="27" applyFont="1" applyAlignment="1">
      <alignment horizontal="center"/>
    </xf>
    <xf numFmtId="164" fontId="8" fillId="0" borderId="0" xfId="27" applyFont="1" applyAlignment="1">
      <alignment horizontal="center"/>
    </xf>
    <xf numFmtId="164" fontId="7" fillId="0" borderId="0" xfId="27" applyFont="1" applyAlignment="1">
      <alignment horizontal="center"/>
    </xf>
    <xf numFmtId="0" fontId="0" fillId="0" borderId="0" xfId="0" applyAlignment="1">
      <alignment horizontal="center"/>
    </xf>
    <xf numFmtId="164" fontId="30" fillId="0" borderId="0" xfId="27" applyFont="1" applyAlignment="1"/>
    <xf numFmtId="0" fontId="0" fillId="0" borderId="0" xfId="0" applyAlignment="1"/>
    <xf numFmtId="164" fontId="30" fillId="0" borderId="0" xfId="27" applyFont="1" applyAlignment="1">
      <alignment horizontal="center"/>
    </xf>
    <xf numFmtId="164" fontId="30" fillId="0" borderId="0" xfId="27" applyFont="1" applyAlignment="1">
      <alignment horizontal="left"/>
    </xf>
    <xf numFmtId="0" fontId="38" fillId="29" borderId="17" xfId="0" applyFont="1" applyFill="1" applyBorder="1" applyAlignment="1">
      <alignment horizontal="center"/>
    </xf>
    <xf numFmtId="0" fontId="38" fillId="29" borderId="18" xfId="0" applyFont="1" applyFill="1" applyBorder="1" applyAlignment="1">
      <alignment horizontal="center"/>
    </xf>
    <xf numFmtId="0" fontId="38" fillId="29" borderId="19" xfId="0" applyFont="1" applyFill="1" applyBorder="1" applyAlignment="1">
      <alignment horizontal="center"/>
    </xf>
    <xf numFmtId="0" fontId="4" fillId="0" borderId="10" xfId="34" applyFont="1" applyBorder="1" applyAlignment="1">
      <alignment horizontal="left" vertical="top"/>
    </xf>
    <xf numFmtId="0" fontId="4" fillId="0" borderId="10" xfId="34" applyFont="1" applyBorder="1" applyAlignment="1">
      <alignment horizontal="center" vertical="top"/>
    </xf>
    <xf numFmtId="0" fontId="1" fillId="28" borderId="10" xfId="0" applyFont="1" applyFill="1" applyBorder="1" applyAlignment="1">
      <alignment horizontal="left" vertical="top" wrapText="1"/>
    </xf>
    <xf numFmtId="0" fontId="1" fillId="28" borderId="17" xfId="0" applyFont="1" applyFill="1" applyBorder="1" applyAlignment="1">
      <alignment horizontal="left" vertical="top" wrapText="1"/>
    </xf>
    <xf numFmtId="0" fontId="1" fillId="28" borderId="18" xfId="0" applyFont="1" applyFill="1" applyBorder="1" applyAlignment="1">
      <alignment horizontal="left" vertical="top" wrapText="1"/>
    </xf>
    <xf numFmtId="0" fontId="1" fillId="28" borderId="19" xfId="0" applyFont="1" applyFill="1" applyBorder="1" applyAlignment="1">
      <alignment horizontal="left" vertical="top" wrapText="1"/>
    </xf>
    <xf numFmtId="0" fontId="32" fillId="28" borderId="17" xfId="34" applyFont="1" applyFill="1" applyBorder="1" applyAlignment="1">
      <alignment horizontal="left" vertical="top"/>
    </xf>
    <xf numFmtId="0" fontId="32" fillId="28" borderId="19" xfId="34" applyFont="1" applyFill="1" applyBorder="1" applyAlignment="1">
      <alignment horizontal="left" vertical="top"/>
    </xf>
    <xf numFmtId="0" fontId="11" fillId="24" borderId="10" xfId="34" applyFont="1" applyFill="1" applyBorder="1" applyAlignment="1">
      <alignment horizontal="left" vertical="top"/>
    </xf>
    <xf numFmtId="0" fontId="32" fillId="27" borderId="10" xfId="34" applyFont="1" applyFill="1" applyBorder="1" applyAlignment="1">
      <alignment horizontal="left" vertical="top"/>
    </xf>
    <xf numFmtId="0" fontId="32" fillId="27" borderId="10" xfId="34" applyFont="1" applyFill="1" applyBorder="1" applyAlignment="1">
      <alignment horizontal="center" vertical="top"/>
    </xf>
    <xf numFmtId="0" fontId="4" fillId="0" borderId="17" xfId="34" applyFont="1" applyBorder="1" applyAlignment="1">
      <alignment horizontal="left" vertical="top"/>
    </xf>
    <xf numFmtId="0" fontId="4" fillId="0" borderId="18" xfId="34" applyFont="1" applyBorder="1" applyAlignment="1">
      <alignment horizontal="left" vertical="top"/>
    </xf>
    <xf numFmtId="0" fontId="4" fillId="0" borderId="19" xfId="34" applyFont="1" applyBorder="1" applyAlignment="1">
      <alignment horizontal="left" vertical="top"/>
    </xf>
    <xf numFmtId="0" fontId="11" fillId="24" borderId="17" xfId="34" applyFont="1" applyFill="1" applyBorder="1" applyAlignment="1">
      <alignment horizontal="left" vertical="top"/>
    </xf>
    <xf numFmtId="0" fontId="1" fillId="0" borderId="19" xfId="34" applyBorder="1" applyAlignment="1">
      <alignment vertical="top"/>
    </xf>
    <xf numFmtId="0" fontId="1" fillId="0" borderId="18" xfId="34" applyBorder="1" applyAlignment="1">
      <alignment vertical="top"/>
    </xf>
    <xf numFmtId="0" fontId="11" fillId="24" borderId="17" xfId="34" applyFont="1" applyFill="1" applyBorder="1" applyAlignment="1">
      <alignment horizontal="left" vertical="top" wrapText="1"/>
    </xf>
    <xf numFmtId="0" fontId="11" fillId="24" borderId="18" xfId="34" applyFont="1" applyFill="1" applyBorder="1" applyAlignment="1">
      <alignment horizontal="left" vertical="top" wrapText="1"/>
    </xf>
    <xf numFmtId="0" fontId="11" fillId="24" borderId="19" xfId="34" applyFont="1" applyFill="1" applyBorder="1" applyAlignment="1">
      <alignment horizontal="left" vertical="top" wrapText="1"/>
    </xf>
    <xf numFmtId="167" fontId="4" fillId="0" borderId="17" xfId="34" applyNumberFormat="1" applyFont="1" applyBorder="1" applyAlignment="1">
      <alignment horizontal="left" vertical="top"/>
    </xf>
    <xf numFmtId="167" fontId="4" fillId="0" borderId="18" xfId="34" applyNumberFormat="1" applyFont="1" applyBorder="1" applyAlignment="1">
      <alignment horizontal="left" vertical="top"/>
    </xf>
    <xf numFmtId="167" fontId="4" fillId="0" borderId="19" xfId="34" applyNumberFormat="1" applyFont="1" applyBorder="1" applyAlignment="1">
      <alignment horizontal="left" vertical="top"/>
    </xf>
    <xf numFmtId="166" fontId="4" fillId="0" borderId="17" xfId="34" applyNumberFormat="1" applyFont="1" applyBorder="1" applyAlignment="1">
      <alignment horizontal="left" vertical="top"/>
    </xf>
    <xf numFmtId="166" fontId="4" fillId="0" borderId="19" xfId="34" applyNumberFormat="1" applyFont="1" applyBorder="1" applyAlignment="1">
      <alignment horizontal="left" vertical="top"/>
    </xf>
    <xf numFmtId="0" fontId="37" fillId="0" borderId="0" xfId="0" applyFont="1" applyAlignment="1">
      <alignment wrapText="1"/>
    </xf>
    <xf numFmtId="0" fontId="33" fillId="25" borderId="20" xfId="0" applyFont="1" applyFill="1" applyBorder="1" applyAlignment="1">
      <alignment horizontal="left"/>
    </xf>
    <xf numFmtId="0" fontId="33" fillId="25" borderId="21" xfId="0" applyFont="1" applyFill="1" applyBorder="1" applyAlignment="1">
      <alignment horizontal="left"/>
    </xf>
    <xf numFmtId="0" fontId="33" fillId="25" borderId="22" xfId="0" applyFont="1" applyFill="1" applyBorder="1" applyAlignment="1">
      <alignment horizontal="left"/>
    </xf>
    <xf numFmtId="0" fontId="0" fillId="0" borderId="22" xfId="0" applyBorder="1" applyAlignment="1">
      <alignment horizontal="left"/>
    </xf>
    <xf numFmtId="0" fontId="1" fillId="28" borderId="17" xfId="0" applyFont="1" applyFill="1" applyBorder="1" applyAlignment="1">
      <alignment horizontal="center"/>
    </xf>
    <xf numFmtId="0" fontId="0" fillId="28" borderId="19" xfId="0" applyFill="1" applyBorder="1" applyAlignment="1">
      <alignment horizontal="center"/>
    </xf>
    <xf numFmtId="0" fontId="33" fillId="31" borderId="17" xfId="0" applyFont="1" applyFill="1" applyBorder="1" applyAlignment="1">
      <alignment horizontal="center"/>
    </xf>
    <xf numFmtId="0" fontId="33" fillId="31" borderId="18" xfId="0" applyFont="1" applyFill="1" applyBorder="1" applyAlignment="1">
      <alignment horizontal="center"/>
    </xf>
    <xf numFmtId="0" fontId="33" fillId="31" borderId="19" xfId="0" applyFont="1" applyFill="1" applyBorder="1" applyAlignment="1">
      <alignment horizontal="center"/>
    </xf>
    <xf numFmtId="0" fontId="33" fillId="31" borderId="10" xfId="0" applyFont="1" applyFill="1" applyBorder="1" applyAlignment="1">
      <alignment horizontal="center"/>
    </xf>
    <xf numFmtId="0" fontId="41" fillId="30" borderId="0" xfId="0" applyFont="1" applyFill="1" applyAlignment="1">
      <alignment horizontal="left" vertical="center" wrapText="1"/>
    </xf>
    <xf numFmtId="0" fontId="33" fillId="25" borderId="13" xfId="0" applyFont="1" applyFill="1" applyBorder="1" applyAlignment="1">
      <alignment horizontal="left"/>
    </xf>
    <xf numFmtId="0" fontId="33" fillId="25" borderId="14" xfId="0" applyFont="1" applyFill="1" applyBorder="1" applyAlignment="1">
      <alignment horizontal="left"/>
    </xf>
    <xf numFmtId="0" fontId="0" fillId="0" borderId="0" xfId="0" applyFill="1" applyBorder="1"/>
    <xf numFmtId="0" fontId="0" fillId="0" borderId="0" xfId="0" applyBorder="1"/>
  </cellXfs>
  <cellStyles count="46">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eutral" xfId="33" builtinId="28" customBuiltin="1"/>
    <cellStyle name="Normal" xfId="0" builtinId="0"/>
    <cellStyle name="Normal_Sales DetailedTD_CR_XXXX_Template" xfId="34" xr:uid="{00000000-0005-0000-0000-000022000000}"/>
    <cellStyle name="Notiz" xfId="35" xr:uid="{00000000-0005-0000-0000-000023000000}"/>
    <cellStyle name="Schlecht" xfId="36" xr:uid="{00000000-0005-0000-0000-000024000000}"/>
    <cellStyle name="Standard 2" xfId="37" xr:uid="{00000000-0005-0000-0000-000025000000}"/>
    <cellStyle name="Überschrift" xfId="38" xr:uid="{00000000-0005-0000-0000-000026000000}"/>
    <cellStyle name="Überschrift 1" xfId="39" xr:uid="{00000000-0005-0000-0000-000027000000}"/>
    <cellStyle name="Überschrift 2" xfId="40" xr:uid="{00000000-0005-0000-0000-000028000000}"/>
    <cellStyle name="Überschrift 3" xfId="41" xr:uid="{00000000-0005-0000-0000-000029000000}"/>
    <cellStyle name="Überschrift 4" xfId="42" xr:uid="{00000000-0005-0000-0000-00002A000000}"/>
    <cellStyle name="Verknüpfte Zelle" xfId="43" xr:uid="{00000000-0005-0000-0000-00002B000000}"/>
    <cellStyle name="Warnender Text" xfId="44" xr:uid="{00000000-0005-0000-0000-00002C000000}"/>
    <cellStyle name="Zelle überprüfen" xfId="45" xr:uid="{00000000-0005-0000-0000-00002D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oneCellAnchor>
    <xdr:from>
      <xdr:col>4</xdr:col>
      <xdr:colOff>495300</xdr:colOff>
      <xdr:row>1</xdr:row>
      <xdr:rowOff>9525</xdr:rowOff>
    </xdr:from>
    <xdr:ext cx="7334250" cy="6431483"/>
    <xdr:sp macro="" textlink="">
      <xdr:nvSpPr>
        <xdr:cNvPr id="2" name="TextBox 1">
          <a:extLst>
            <a:ext uri="{FF2B5EF4-FFF2-40B4-BE49-F238E27FC236}">
              <a16:creationId xmlns:a16="http://schemas.microsoft.com/office/drawing/2014/main" id="{CB4C7E2D-781C-48D0-B0E8-A7012566E272}"/>
            </a:ext>
          </a:extLst>
        </xdr:cNvPr>
        <xdr:cNvSpPr txBox="1"/>
      </xdr:nvSpPr>
      <xdr:spPr>
        <a:xfrm>
          <a:off x="5819775" y="180975"/>
          <a:ext cx="7334250" cy="643148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US" sz="1100"/>
        </a:p>
        <a:p>
          <a:endParaRPr lang="en-US" sz="1100"/>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topLeftCell="A20" zoomScale="80" zoomScaleNormal="75" workbookViewId="0">
      <selection activeCell="L29" sqref="L29"/>
    </sheetView>
  </sheetViews>
  <sheetFormatPr defaultColWidth="9.109375" defaultRowHeight="13.2" x14ac:dyDescent="0.25"/>
  <cols>
    <col min="1" max="1" width="11.5546875" style="2" customWidth="1"/>
    <col min="2" max="2" width="12.88671875" style="2" bestFit="1" customWidth="1"/>
    <col min="3" max="6" width="9.109375" style="2"/>
    <col min="7" max="7" width="13.44140625" style="2" customWidth="1"/>
    <col min="8" max="8" width="9.88671875" style="2" customWidth="1"/>
    <col min="9" max="9" width="12.33203125" style="2" customWidth="1"/>
    <col min="10" max="10" width="9.109375" style="2"/>
    <col min="11" max="11" width="7" style="2" customWidth="1"/>
    <col min="12" max="13" width="17.33203125" style="2" customWidth="1"/>
    <col min="14" max="16384" width="9.109375" style="2"/>
  </cols>
  <sheetData>
    <row r="1" spans="1:15" ht="13.8" x14ac:dyDescent="0.3">
      <c r="A1" s="1"/>
    </row>
    <row r="10" spans="1:15" ht="13.8" x14ac:dyDescent="0.3">
      <c r="A10" s="1"/>
      <c r="B10" s="1"/>
      <c r="C10" s="1"/>
      <c r="D10" s="1"/>
      <c r="E10" s="1"/>
      <c r="F10" s="1"/>
      <c r="G10" s="1"/>
      <c r="H10" s="1"/>
      <c r="I10" s="1"/>
    </row>
    <row r="11" spans="1:15" ht="13.8" x14ac:dyDescent="0.3">
      <c r="A11" s="1"/>
      <c r="B11" s="1"/>
      <c r="C11" s="1"/>
      <c r="D11" s="1"/>
      <c r="E11" s="1"/>
      <c r="F11" s="1"/>
      <c r="G11" s="1"/>
      <c r="H11" s="1"/>
      <c r="I11" s="1"/>
    </row>
    <row r="12" spans="1:15" ht="13.8" x14ac:dyDescent="0.3">
      <c r="A12" s="1"/>
      <c r="B12" s="1"/>
      <c r="C12" s="1"/>
      <c r="D12" s="1"/>
      <c r="E12" s="1"/>
      <c r="F12" s="1"/>
      <c r="G12" s="1"/>
      <c r="H12" s="1"/>
      <c r="I12" s="1"/>
    </row>
    <row r="13" spans="1:15" ht="32.25" customHeight="1" thickBot="1" x14ac:dyDescent="0.55000000000000004">
      <c r="A13" s="90" t="s">
        <v>0</v>
      </c>
      <c r="B13" s="90"/>
      <c r="C13" s="90"/>
      <c r="D13" s="90"/>
      <c r="E13" s="90"/>
      <c r="F13" s="90"/>
      <c r="G13" s="90"/>
      <c r="H13" s="90"/>
      <c r="I13" s="90"/>
      <c r="J13" s="90"/>
      <c r="K13" s="90"/>
      <c r="L13" s="90"/>
      <c r="M13" s="90"/>
      <c r="N13" s="90"/>
      <c r="O13" s="90"/>
    </row>
    <row r="14" spans="1:15" ht="14.4" thickTop="1" x14ac:dyDescent="0.3">
      <c r="A14" s="1"/>
      <c r="B14" s="1"/>
      <c r="C14" s="1"/>
      <c r="D14" s="1"/>
      <c r="E14" s="1"/>
      <c r="F14" s="1"/>
      <c r="G14" s="1"/>
      <c r="H14" s="1"/>
      <c r="I14" s="1"/>
    </row>
    <row r="15" spans="1:15" ht="13.8" x14ac:dyDescent="0.3">
      <c r="A15" s="1"/>
      <c r="B15" s="1"/>
      <c r="C15" s="1"/>
      <c r="D15" s="1"/>
      <c r="E15" s="1"/>
      <c r="F15" s="1"/>
      <c r="G15" s="1"/>
      <c r="H15" s="1"/>
      <c r="I15" s="1"/>
    </row>
    <row r="16" spans="1:15" ht="13.5" customHeight="1" x14ac:dyDescent="0.3">
      <c r="A16" s="1"/>
      <c r="B16" s="1"/>
      <c r="C16" s="1"/>
      <c r="D16" s="1"/>
      <c r="E16" s="1"/>
      <c r="F16" s="1"/>
      <c r="G16" s="1"/>
      <c r="H16" s="1"/>
      <c r="I16" s="1"/>
    </row>
    <row r="17" spans="1:15" ht="14.25" customHeight="1" x14ac:dyDescent="0.3">
      <c r="A17" s="1"/>
      <c r="B17" s="1"/>
      <c r="C17" s="1"/>
      <c r="D17" s="1"/>
      <c r="E17" s="1"/>
      <c r="F17" s="1"/>
      <c r="G17" s="1"/>
      <c r="H17" s="1"/>
      <c r="I17" s="1"/>
    </row>
    <row r="18" spans="1:15" ht="13.8" x14ac:dyDescent="0.3">
      <c r="A18" s="1"/>
      <c r="B18" s="1"/>
      <c r="C18" s="1"/>
      <c r="D18" s="1"/>
      <c r="E18" s="1"/>
      <c r="F18" s="1"/>
      <c r="G18" s="1"/>
      <c r="H18" s="1"/>
      <c r="I18" s="1"/>
    </row>
    <row r="19" spans="1:15" ht="13.8" x14ac:dyDescent="0.3">
      <c r="A19" s="1"/>
      <c r="B19" s="1"/>
      <c r="C19" s="1"/>
      <c r="D19" s="1"/>
      <c r="E19" s="1"/>
      <c r="F19" s="1"/>
      <c r="G19" s="1"/>
      <c r="H19" s="1"/>
      <c r="I19" s="1"/>
    </row>
    <row r="20" spans="1:15" ht="30.6" x14ac:dyDescent="0.55000000000000004">
      <c r="A20" s="91" t="s">
        <v>1</v>
      </c>
      <c r="B20" s="91"/>
      <c r="C20" s="91"/>
      <c r="D20" s="91"/>
      <c r="E20" s="91"/>
      <c r="F20" s="91"/>
      <c r="G20" s="91"/>
      <c r="H20" s="91"/>
      <c r="I20" s="91"/>
      <c r="J20" s="91"/>
      <c r="K20" s="91"/>
      <c r="L20" s="91"/>
      <c r="M20" s="91"/>
      <c r="N20" s="91"/>
      <c r="O20" s="91"/>
    </row>
    <row r="21" spans="1:15" ht="30.6" x14ac:dyDescent="0.55000000000000004">
      <c r="A21" s="91" t="s">
        <v>2</v>
      </c>
      <c r="B21" s="91"/>
      <c r="C21" s="91"/>
      <c r="D21" s="91"/>
      <c r="E21" s="91"/>
      <c r="F21" s="91"/>
      <c r="G21" s="91"/>
      <c r="H21" s="91"/>
      <c r="I21" s="91"/>
      <c r="J21" s="91"/>
      <c r="K21" s="91"/>
      <c r="L21" s="91"/>
      <c r="M21" s="91"/>
      <c r="N21" s="91"/>
      <c r="O21" s="91"/>
    </row>
    <row r="22" spans="1:15" ht="13.8" x14ac:dyDescent="0.3">
      <c r="A22" s="1"/>
      <c r="B22" s="1"/>
      <c r="C22" s="1"/>
      <c r="D22" s="1"/>
      <c r="E22" s="1"/>
      <c r="F22" s="1"/>
      <c r="G22" s="1"/>
      <c r="H22" s="1"/>
      <c r="I22" s="1"/>
    </row>
    <row r="23" spans="1:15" ht="30.6" x14ac:dyDescent="0.55000000000000004">
      <c r="A23" s="81"/>
      <c r="B23" s="81"/>
      <c r="C23" s="81"/>
      <c r="D23" s="81"/>
      <c r="E23" s="81"/>
      <c r="F23" s="82"/>
      <c r="G23" s="91" t="s">
        <v>3</v>
      </c>
      <c r="H23" s="94"/>
      <c r="I23" s="73" t="s">
        <v>257</v>
      </c>
      <c r="J23" s="82"/>
      <c r="L23" s="81"/>
      <c r="M23" s="81"/>
      <c r="N23" s="81"/>
      <c r="O23" s="81"/>
    </row>
    <row r="24" spans="1:15" s="6" customFormat="1" ht="27.75" customHeight="1" x14ac:dyDescent="0.55000000000000004">
      <c r="A24" s="83"/>
      <c r="B24" s="83"/>
      <c r="C24" s="83"/>
      <c r="D24" s="83"/>
      <c r="F24" s="77"/>
      <c r="G24" s="91" t="s">
        <v>4</v>
      </c>
      <c r="H24" s="91"/>
      <c r="I24" s="73" t="s">
        <v>255</v>
      </c>
      <c r="J24" s="83"/>
      <c r="K24" s="83"/>
      <c r="L24" s="83"/>
      <c r="M24" s="83"/>
      <c r="N24" s="83"/>
      <c r="O24" s="83"/>
    </row>
    <row r="25" spans="1:15" ht="28.2" x14ac:dyDescent="0.5">
      <c r="F25" s="97" t="s">
        <v>5</v>
      </c>
      <c r="G25" s="97"/>
      <c r="H25" s="97"/>
      <c r="I25" s="97"/>
      <c r="J25" s="97"/>
      <c r="K25" s="97"/>
      <c r="L25" s="76" t="s">
        <v>6</v>
      </c>
    </row>
    <row r="26" spans="1:15" ht="28.2" x14ac:dyDescent="0.5">
      <c r="F26" s="98" t="s">
        <v>7</v>
      </c>
      <c r="G26" s="98"/>
      <c r="H26" s="98"/>
      <c r="I26" s="98"/>
      <c r="J26" s="95" t="s">
        <v>256</v>
      </c>
      <c r="K26" s="96"/>
    </row>
    <row r="27" spans="1:15" ht="15.6" x14ac:dyDescent="0.3">
      <c r="A27" s="93"/>
      <c r="B27" s="93"/>
      <c r="C27" s="93"/>
      <c r="D27" s="93"/>
      <c r="E27" s="93"/>
      <c r="F27" s="93"/>
      <c r="G27" s="93"/>
      <c r="H27" s="93"/>
      <c r="I27" s="93"/>
    </row>
    <row r="28" spans="1:15" ht="18" customHeight="1" x14ac:dyDescent="0.35">
      <c r="A28" s="92"/>
      <c r="B28" s="92"/>
      <c r="C28" s="92"/>
      <c r="D28" s="92"/>
      <c r="E28" s="92"/>
      <c r="F28" s="92"/>
      <c r="G28" s="92"/>
      <c r="H28" s="92"/>
      <c r="I28" s="92"/>
    </row>
    <row r="37" spans="1:9" ht="18" customHeight="1" x14ac:dyDescent="0.25"/>
    <row r="38" spans="1:9" ht="15.6" x14ac:dyDescent="0.3">
      <c r="A38" s="3" t="s">
        <v>8</v>
      </c>
      <c r="B38" s="4">
        <f ca="1">TODAY()</f>
        <v>44509</v>
      </c>
      <c r="C38" s="1"/>
      <c r="D38" s="1"/>
      <c r="E38" s="1"/>
      <c r="F38" s="1"/>
      <c r="G38" s="1"/>
      <c r="H38" s="1"/>
      <c r="I38" s="1"/>
    </row>
    <row r="39" spans="1:9" ht="15.6" x14ac:dyDescent="0.3">
      <c r="A39" s="3" t="s">
        <v>9</v>
      </c>
      <c r="B39" s="5" t="s">
        <v>10</v>
      </c>
      <c r="C39" s="1"/>
      <c r="D39" s="1"/>
      <c r="E39" s="1"/>
      <c r="F39" s="1"/>
      <c r="G39" s="1"/>
      <c r="H39" s="1"/>
      <c r="I39" s="1"/>
    </row>
    <row r="40" spans="1:9" ht="15.6" x14ac:dyDescent="0.3">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37"/>
  <sheetViews>
    <sheetView showGridLines="0" zoomScaleNormal="100" workbookViewId="0">
      <selection activeCell="K23" sqref="K23"/>
    </sheetView>
  </sheetViews>
  <sheetFormatPr defaultColWidth="9.109375" defaultRowHeight="13.8" x14ac:dyDescent="0.25"/>
  <cols>
    <col min="1" max="1" width="7.88671875" style="8" customWidth="1"/>
    <col min="2" max="2" width="22.109375" style="8" customWidth="1"/>
    <col min="3" max="3" width="6.44140625" style="8" customWidth="1"/>
    <col min="4" max="4" width="21.5546875" style="8" customWidth="1"/>
    <col min="5" max="5" width="0.109375" style="8" customWidth="1"/>
    <col min="6" max="6" width="9.109375" style="8" hidden="1" customWidth="1"/>
    <col min="7" max="7" width="19.6640625" style="8" customWidth="1"/>
    <col min="8" max="8" width="9.109375" style="8" hidden="1" customWidth="1"/>
    <col min="9" max="9" width="9.33203125" style="8" hidden="1" customWidth="1"/>
    <col min="10" max="10" width="11.109375" style="8" customWidth="1"/>
    <col min="11" max="11" width="12.44140625" style="8" customWidth="1"/>
    <col min="12" max="12" width="9.109375" style="8" hidden="1" customWidth="1"/>
    <col min="13" max="13" width="28" style="8" customWidth="1"/>
    <col min="14" max="15" width="9.109375" style="8"/>
    <col min="16" max="16" width="15" style="8" customWidth="1"/>
    <col min="17" max="17" width="37.109375" style="8" customWidth="1"/>
    <col min="18" max="24" width="9.109375" style="8"/>
    <col min="25" max="25" width="0" style="8" hidden="1" customWidth="1"/>
    <col min="26" max="16384" width="9.109375" style="8"/>
  </cols>
  <sheetData>
    <row r="1" spans="1:25" ht="15.6" x14ac:dyDescent="0.25">
      <c r="A1" s="7" t="s">
        <v>11</v>
      </c>
      <c r="Y1" s="8" t="s">
        <v>12</v>
      </c>
    </row>
    <row r="2" spans="1:25" x14ac:dyDescent="0.25">
      <c r="A2" s="9"/>
      <c r="F2" s="9"/>
      <c r="Y2" s="8" t="s">
        <v>13</v>
      </c>
    </row>
    <row r="3" spans="1:25" x14ac:dyDescent="0.25">
      <c r="A3" s="110" t="s">
        <v>14</v>
      </c>
      <c r="B3" s="110"/>
      <c r="C3" s="110"/>
      <c r="D3" s="110" t="s">
        <v>15</v>
      </c>
      <c r="E3" s="110"/>
      <c r="F3" s="110"/>
      <c r="G3" s="110" t="s">
        <v>16</v>
      </c>
      <c r="H3" s="110"/>
      <c r="I3" s="110"/>
      <c r="J3" s="119" t="s">
        <v>17</v>
      </c>
      <c r="K3" s="120"/>
      <c r="L3" s="121"/>
      <c r="M3" s="110" t="s">
        <v>18</v>
      </c>
      <c r="N3" s="110"/>
      <c r="O3" s="110"/>
      <c r="P3" s="85" t="s">
        <v>19</v>
      </c>
      <c r="Q3" s="85" t="s">
        <v>20</v>
      </c>
      <c r="Y3" s="8" t="s">
        <v>21</v>
      </c>
    </row>
    <row r="4" spans="1:25" x14ac:dyDescent="0.25">
      <c r="A4" s="113" t="s">
        <v>260</v>
      </c>
      <c r="B4" s="114"/>
      <c r="C4" s="115"/>
      <c r="D4" s="113" t="s">
        <v>259</v>
      </c>
      <c r="E4" s="115"/>
      <c r="F4" s="84"/>
      <c r="G4" s="102" t="s">
        <v>22</v>
      </c>
      <c r="H4" s="102"/>
      <c r="I4" s="102"/>
      <c r="J4" s="125">
        <v>1</v>
      </c>
      <c r="K4" s="126"/>
      <c r="L4" s="84"/>
      <c r="M4" s="122">
        <v>44509</v>
      </c>
      <c r="N4" s="123"/>
      <c r="O4" s="124"/>
      <c r="P4" s="86" t="s">
        <v>12</v>
      </c>
      <c r="Q4" s="10" t="s">
        <v>258</v>
      </c>
      <c r="U4" s="87"/>
      <c r="Y4" s="8" t="s">
        <v>23</v>
      </c>
    </row>
    <row r="5" spans="1:25" x14ac:dyDescent="0.25">
      <c r="A5" s="113"/>
      <c r="B5" s="114"/>
      <c r="C5" s="115"/>
      <c r="D5" s="113"/>
      <c r="E5" s="115"/>
      <c r="F5" s="84"/>
      <c r="G5" s="102"/>
      <c r="H5" s="102"/>
      <c r="I5" s="102"/>
      <c r="J5" s="125"/>
      <c r="K5" s="126"/>
      <c r="L5" s="84"/>
      <c r="M5" s="122"/>
      <c r="N5" s="123"/>
      <c r="O5" s="124"/>
      <c r="P5" s="86"/>
      <c r="Q5" s="10"/>
      <c r="U5" s="87"/>
    </row>
    <row r="7" spans="1:25" ht="15.6" x14ac:dyDescent="0.25">
      <c r="A7" s="7" t="s">
        <v>24</v>
      </c>
      <c r="B7" s="7"/>
      <c r="C7" s="7"/>
      <c r="D7" s="7"/>
      <c r="F7" s="9"/>
    </row>
    <row r="9" spans="1:25" ht="29.25" customHeight="1" x14ac:dyDescent="0.25">
      <c r="A9" s="116" t="s">
        <v>14</v>
      </c>
      <c r="B9" s="117"/>
      <c r="C9" s="116" t="s">
        <v>15</v>
      </c>
      <c r="D9" s="117"/>
      <c r="E9" s="116" t="s">
        <v>16</v>
      </c>
      <c r="F9" s="118"/>
      <c r="G9" s="117"/>
      <c r="H9" s="119" t="s">
        <v>17</v>
      </c>
      <c r="I9" s="118"/>
      <c r="J9" s="117"/>
      <c r="K9" s="116" t="s">
        <v>18</v>
      </c>
      <c r="L9" s="117"/>
      <c r="M9" s="116" t="s">
        <v>25</v>
      </c>
      <c r="N9" s="118"/>
      <c r="O9" s="117"/>
      <c r="P9" s="79"/>
    </row>
    <row r="10" spans="1:25" x14ac:dyDescent="0.25">
      <c r="A10" s="103"/>
      <c r="B10" s="103"/>
      <c r="C10" s="103"/>
      <c r="D10" s="103"/>
      <c r="E10" s="103"/>
      <c r="F10" s="103"/>
      <c r="G10" s="103"/>
      <c r="H10" s="103"/>
      <c r="I10" s="103"/>
      <c r="J10" s="103"/>
      <c r="K10" s="103"/>
      <c r="L10" s="103"/>
      <c r="M10" s="103"/>
      <c r="N10" s="103"/>
      <c r="O10" s="103"/>
      <c r="P10" s="80"/>
    </row>
    <row r="11" spans="1:25" x14ac:dyDescent="0.25">
      <c r="A11" s="103"/>
      <c r="B11" s="103"/>
      <c r="C11" s="103"/>
      <c r="D11" s="103"/>
      <c r="E11" s="103"/>
      <c r="F11" s="103"/>
      <c r="G11" s="103"/>
      <c r="H11" s="103"/>
      <c r="I11" s="103"/>
      <c r="J11" s="103"/>
      <c r="K11" s="103"/>
      <c r="L11" s="103"/>
      <c r="M11" s="103"/>
      <c r="N11" s="103"/>
      <c r="O11" s="103"/>
      <c r="P11" s="80"/>
    </row>
    <row r="12" spans="1:25" x14ac:dyDescent="0.25">
      <c r="A12" s="103"/>
      <c r="B12" s="103"/>
      <c r="C12" s="103"/>
      <c r="D12" s="103"/>
      <c r="E12" s="103"/>
      <c r="F12" s="103"/>
      <c r="G12" s="103"/>
      <c r="H12" s="103"/>
      <c r="I12" s="103"/>
      <c r="J12" s="103"/>
      <c r="K12" s="103"/>
      <c r="L12" s="103"/>
      <c r="M12" s="103"/>
      <c r="N12" s="103"/>
      <c r="O12" s="103"/>
      <c r="P12" s="80"/>
    </row>
    <row r="13" spans="1:25" x14ac:dyDescent="0.25">
      <c r="A13" s="103"/>
      <c r="B13" s="103"/>
      <c r="C13" s="103"/>
      <c r="D13" s="103"/>
      <c r="E13" s="103"/>
      <c r="F13" s="103"/>
      <c r="G13" s="103"/>
      <c r="H13" s="103"/>
      <c r="I13" s="103"/>
      <c r="J13" s="103"/>
      <c r="K13" s="103"/>
      <c r="L13" s="103"/>
      <c r="M13" s="103"/>
      <c r="N13" s="103"/>
      <c r="O13" s="103"/>
      <c r="P13" s="80"/>
    </row>
    <row r="14" spans="1:25" x14ac:dyDescent="0.25">
      <c r="A14" s="103"/>
      <c r="B14" s="103"/>
      <c r="C14" s="103"/>
      <c r="D14" s="103"/>
      <c r="E14" s="103"/>
      <c r="F14" s="103"/>
      <c r="G14" s="103"/>
      <c r="H14" s="103"/>
      <c r="I14" s="103"/>
      <c r="J14" s="103"/>
      <c r="K14" s="103"/>
      <c r="L14" s="103"/>
      <c r="M14" s="103"/>
      <c r="N14" s="103"/>
      <c r="O14" s="103"/>
      <c r="P14" s="80"/>
    </row>
    <row r="15" spans="1:25" x14ac:dyDescent="0.25">
      <c r="A15" s="103"/>
      <c r="B15" s="103"/>
      <c r="C15" s="103"/>
      <c r="D15" s="103"/>
      <c r="E15" s="103"/>
      <c r="F15" s="103"/>
      <c r="G15" s="103"/>
      <c r="H15" s="103"/>
      <c r="I15" s="103"/>
      <c r="J15" s="103"/>
      <c r="K15" s="103"/>
      <c r="L15" s="103"/>
      <c r="M15" s="103"/>
      <c r="N15" s="103"/>
      <c r="O15" s="103"/>
      <c r="P15" s="80"/>
    </row>
    <row r="16" spans="1:25" x14ac:dyDescent="0.25">
      <c r="A16" s="103"/>
      <c r="B16" s="103"/>
      <c r="C16" s="103"/>
      <c r="D16" s="103"/>
      <c r="E16" s="103"/>
      <c r="F16" s="103"/>
      <c r="G16" s="103"/>
      <c r="H16" s="103"/>
      <c r="I16" s="103"/>
      <c r="J16" s="103"/>
      <c r="K16" s="103"/>
      <c r="L16" s="103"/>
      <c r="M16" s="103"/>
      <c r="N16" s="103"/>
      <c r="O16" s="103"/>
      <c r="P16" s="80"/>
    </row>
    <row r="17" spans="1:16" x14ac:dyDescent="0.25">
      <c r="A17" s="103"/>
      <c r="B17" s="103"/>
      <c r="C17" s="103"/>
      <c r="D17" s="103"/>
      <c r="E17" s="103"/>
      <c r="F17" s="103"/>
      <c r="G17" s="103"/>
      <c r="H17" s="103"/>
      <c r="I17" s="103"/>
      <c r="J17" s="103"/>
      <c r="K17" s="103"/>
      <c r="L17" s="103"/>
      <c r="M17" s="103"/>
      <c r="N17" s="103"/>
      <c r="O17" s="103"/>
      <c r="P17" s="80"/>
    </row>
    <row r="20" spans="1:16" x14ac:dyDescent="0.25">
      <c r="A20" s="112" t="s">
        <v>26</v>
      </c>
      <c r="B20" s="112"/>
      <c r="C20" s="112" t="s">
        <v>27</v>
      </c>
      <c r="D20" s="112"/>
    </row>
    <row r="21" spans="1:16" x14ac:dyDescent="0.25">
      <c r="A21" s="102" t="s">
        <v>28</v>
      </c>
      <c r="B21" s="102"/>
      <c r="C21" s="103">
        <v>0.03</v>
      </c>
      <c r="D21" s="103"/>
    </row>
    <row r="22" spans="1:16" x14ac:dyDescent="0.25">
      <c r="A22" s="102" t="s">
        <v>29</v>
      </c>
      <c r="B22" s="102"/>
      <c r="C22" s="103">
        <v>0</v>
      </c>
      <c r="D22" s="103"/>
    </row>
    <row r="23" spans="1:16" x14ac:dyDescent="0.25">
      <c r="A23" s="102" t="s">
        <v>30</v>
      </c>
      <c r="B23" s="102"/>
      <c r="C23" s="103">
        <v>0</v>
      </c>
      <c r="D23" s="103"/>
    </row>
    <row r="24" spans="1:16" x14ac:dyDescent="0.25">
      <c r="A24" s="102" t="s">
        <v>31</v>
      </c>
      <c r="B24" s="102"/>
      <c r="C24" s="103">
        <f>'3.0 Mapping'!B12+'4.1 Session Details'!B10</f>
        <v>0.04</v>
      </c>
      <c r="D24" s="103"/>
    </row>
    <row r="25" spans="1:16" x14ac:dyDescent="0.25">
      <c r="A25" s="102" t="s">
        <v>32</v>
      </c>
      <c r="B25" s="102"/>
      <c r="C25" s="103">
        <v>0.05</v>
      </c>
      <c r="D25" s="103"/>
    </row>
    <row r="26" spans="1:16" x14ac:dyDescent="0.25">
      <c r="A26" s="102" t="s">
        <v>33</v>
      </c>
      <c r="B26" s="102"/>
      <c r="C26" s="103">
        <v>0.03</v>
      </c>
      <c r="D26" s="103"/>
    </row>
    <row r="27" spans="1:16" x14ac:dyDescent="0.25">
      <c r="A27" s="111" t="s">
        <v>34</v>
      </c>
      <c r="B27" s="111"/>
      <c r="C27" s="112">
        <f>SUM(C21:E26)</f>
        <v>0.15000000000000002</v>
      </c>
      <c r="D27" s="112"/>
      <c r="G27" s="89">
        <f>C27*8</f>
        <v>1.2000000000000002</v>
      </c>
    </row>
    <row r="30" spans="1:16" x14ac:dyDescent="0.25">
      <c r="B30" s="99" t="s">
        <v>35</v>
      </c>
      <c r="C30" s="100"/>
      <c r="D30" s="100"/>
      <c r="E30" s="100"/>
      <c r="F30" s="100"/>
      <c r="G30" s="100"/>
      <c r="H30" s="100"/>
      <c r="I30" s="100"/>
      <c r="J30" s="100"/>
      <c r="K30" s="100"/>
      <c r="L30" s="100"/>
      <c r="M30" s="101"/>
    </row>
    <row r="31" spans="1:16" ht="33.75" customHeight="1" x14ac:dyDescent="0.25">
      <c r="B31" s="108" t="s">
        <v>28</v>
      </c>
      <c r="C31" s="109"/>
      <c r="D31" s="104" t="s">
        <v>36</v>
      </c>
      <c r="E31" s="104"/>
      <c r="F31" s="104"/>
      <c r="G31" s="104"/>
      <c r="H31" s="104"/>
      <c r="I31" s="104"/>
      <c r="J31" s="104"/>
      <c r="K31" s="104"/>
      <c r="L31" s="104"/>
      <c r="M31" s="104"/>
    </row>
    <row r="32" spans="1:16" ht="39.75" customHeight="1" x14ac:dyDescent="0.25">
      <c r="B32" s="108" t="s">
        <v>29</v>
      </c>
      <c r="C32" s="109"/>
      <c r="D32" s="104" t="s">
        <v>37</v>
      </c>
      <c r="E32" s="104"/>
      <c r="F32" s="104"/>
      <c r="G32" s="104"/>
      <c r="H32" s="104"/>
      <c r="I32" s="104"/>
      <c r="J32" s="104"/>
      <c r="K32" s="104"/>
      <c r="L32" s="104"/>
      <c r="M32" s="104"/>
    </row>
    <row r="33" spans="2:13" ht="236.25" customHeight="1" x14ac:dyDescent="0.25">
      <c r="B33" s="108" t="s">
        <v>30</v>
      </c>
      <c r="C33" s="109"/>
      <c r="D33" s="104" t="s">
        <v>38</v>
      </c>
      <c r="E33" s="104"/>
      <c r="F33" s="104"/>
      <c r="G33" s="104"/>
      <c r="H33" s="104"/>
      <c r="I33" s="104"/>
      <c r="J33" s="104"/>
      <c r="K33" s="104"/>
      <c r="L33" s="104"/>
      <c r="M33" s="104"/>
    </row>
    <row r="34" spans="2:13" x14ac:dyDescent="0.25">
      <c r="B34" s="108" t="s">
        <v>31</v>
      </c>
      <c r="C34" s="109"/>
      <c r="D34" s="104" t="s">
        <v>39</v>
      </c>
      <c r="E34" s="104"/>
      <c r="F34" s="104"/>
      <c r="G34" s="104"/>
      <c r="H34" s="104"/>
      <c r="I34" s="104"/>
      <c r="J34" s="104"/>
      <c r="K34" s="104"/>
      <c r="L34" s="104"/>
      <c r="M34" s="104"/>
    </row>
    <row r="35" spans="2:13" ht="52.5" customHeight="1" x14ac:dyDescent="0.25">
      <c r="B35" s="108" t="s">
        <v>32</v>
      </c>
      <c r="C35" s="109"/>
      <c r="D35" s="105" t="s">
        <v>40</v>
      </c>
      <c r="E35" s="106"/>
      <c r="F35" s="106"/>
      <c r="G35" s="106"/>
      <c r="H35" s="106"/>
      <c r="I35" s="106"/>
      <c r="J35" s="106"/>
      <c r="K35" s="106"/>
      <c r="L35" s="106"/>
      <c r="M35" s="107"/>
    </row>
    <row r="36" spans="2:13" ht="34.5" customHeight="1" x14ac:dyDescent="0.25">
      <c r="B36" s="108" t="s">
        <v>33</v>
      </c>
      <c r="C36" s="109"/>
      <c r="D36" s="104" t="s">
        <v>41</v>
      </c>
      <c r="E36" s="104"/>
      <c r="F36" s="104"/>
      <c r="G36" s="104"/>
      <c r="H36" s="104"/>
      <c r="I36" s="104"/>
      <c r="J36" s="104"/>
      <c r="K36" s="104"/>
      <c r="L36" s="104"/>
      <c r="M36" s="104"/>
    </row>
    <row r="37" spans="2:13" ht="29.25" customHeight="1" x14ac:dyDescent="0.25"/>
  </sheetData>
  <mergeCells count="98">
    <mergeCell ref="A20:B20"/>
    <mergeCell ref="C20:D20"/>
    <mergeCell ref="A24:B24"/>
    <mergeCell ref="C24:D24"/>
    <mergeCell ref="A21:B21"/>
    <mergeCell ref="C21:D21"/>
    <mergeCell ref="A22:B22"/>
    <mergeCell ref="C22:D22"/>
    <mergeCell ref="A23:B23"/>
    <mergeCell ref="C23:D23"/>
    <mergeCell ref="A16:B16"/>
    <mergeCell ref="C16:D16"/>
    <mergeCell ref="E16:G16"/>
    <mergeCell ref="E17:G17"/>
    <mergeCell ref="H17:J17"/>
    <mergeCell ref="C17:D17"/>
    <mergeCell ref="H12:J12"/>
    <mergeCell ref="A4:C4"/>
    <mergeCell ref="D4:E4"/>
    <mergeCell ref="G4:I4"/>
    <mergeCell ref="A13:B13"/>
    <mergeCell ref="E13:G13"/>
    <mergeCell ref="H13:J13"/>
    <mergeCell ref="E12:G12"/>
    <mergeCell ref="A10:B10"/>
    <mergeCell ref="C10:D10"/>
    <mergeCell ref="E10:G10"/>
    <mergeCell ref="A11:B11"/>
    <mergeCell ref="C11:D11"/>
    <mergeCell ref="E11:G11"/>
    <mergeCell ref="A14:B14"/>
    <mergeCell ref="E14:G14"/>
    <mergeCell ref="A15:B15"/>
    <mergeCell ref="C15:D15"/>
    <mergeCell ref="H14:J14"/>
    <mergeCell ref="E15:G15"/>
    <mergeCell ref="K13:L13"/>
    <mergeCell ref="H15:J15"/>
    <mergeCell ref="K17:L17"/>
    <mergeCell ref="K16:L16"/>
    <mergeCell ref="K14:L14"/>
    <mergeCell ref="K15:L15"/>
    <mergeCell ref="H16:J16"/>
    <mergeCell ref="M17:O17"/>
    <mergeCell ref="M16:O16"/>
    <mergeCell ref="M15:O15"/>
    <mergeCell ref="H9:J9"/>
    <mergeCell ref="K9:L9"/>
    <mergeCell ref="M11:O11"/>
    <mergeCell ref="H10:J10"/>
    <mergeCell ref="H11:J11"/>
    <mergeCell ref="M9:O9"/>
    <mergeCell ref="K10:L10"/>
    <mergeCell ref="M10:O10"/>
    <mergeCell ref="K11:L11"/>
    <mergeCell ref="M12:O12"/>
    <mergeCell ref="M13:O13"/>
    <mergeCell ref="M14:O14"/>
    <mergeCell ref="K12:L12"/>
    <mergeCell ref="J3:L3"/>
    <mergeCell ref="M3:O3"/>
    <mergeCell ref="M5:O5"/>
    <mergeCell ref="G5:I5"/>
    <mergeCell ref="J5:K5"/>
    <mergeCell ref="J4:K4"/>
    <mergeCell ref="M4:O4"/>
    <mergeCell ref="A3:C3"/>
    <mergeCell ref="D3:F3"/>
    <mergeCell ref="A27:B27"/>
    <mergeCell ref="C27:D27"/>
    <mergeCell ref="A5:C5"/>
    <mergeCell ref="D5:E5"/>
    <mergeCell ref="A9:B9"/>
    <mergeCell ref="C9:D9"/>
    <mergeCell ref="E9:G9"/>
    <mergeCell ref="A25:B25"/>
    <mergeCell ref="G3:I3"/>
    <mergeCell ref="A12:B12"/>
    <mergeCell ref="C12:D12"/>
    <mergeCell ref="C13:D13"/>
    <mergeCell ref="C14:D14"/>
    <mergeCell ref="A17:B17"/>
    <mergeCell ref="D35:M35"/>
    <mergeCell ref="D36:M36"/>
    <mergeCell ref="B36:C36"/>
    <mergeCell ref="B31:C31"/>
    <mergeCell ref="B32:C32"/>
    <mergeCell ref="B34:C34"/>
    <mergeCell ref="B35:C35"/>
    <mergeCell ref="B33:C33"/>
    <mergeCell ref="D33:M33"/>
    <mergeCell ref="D31:M31"/>
    <mergeCell ref="D32:M32"/>
    <mergeCell ref="B30:M30"/>
    <mergeCell ref="A26:B26"/>
    <mergeCell ref="C26:D26"/>
    <mergeCell ref="C25:D25"/>
    <mergeCell ref="D34:M34"/>
  </mergeCells>
  <phoneticPr fontId="0" type="noConversion"/>
  <dataValidations count="2">
    <dataValidation type="list" allowBlank="1" showInputMessage="1" showErrorMessage="1" sqref="C23:D23" xr:uid="{00000000-0002-0000-0100-000000000000}">
      <formula1>"0, 0.04, 0.07 , 0.1"</formula1>
    </dataValidation>
    <dataValidation type="list" allowBlank="1" showInputMessage="1" showErrorMessage="1" sqref="P4:P5" xr:uid="{15155DB8-30FC-4331-94AB-AE341B02C6EA}">
      <formula1>$Y$1:$Y$4</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9"/>
  <sheetViews>
    <sheetView workbookViewId="0">
      <selection activeCell="B39" sqref="B39"/>
    </sheetView>
  </sheetViews>
  <sheetFormatPr defaultColWidth="11.44140625" defaultRowHeight="13.2" x14ac:dyDescent="0.25"/>
  <cols>
    <col min="1" max="1" width="4.33203125" style="32" customWidth="1"/>
    <col min="2" max="2" width="87.44140625" style="21" customWidth="1"/>
    <col min="3" max="3" width="10.6640625" style="21" customWidth="1"/>
    <col min="4" max="16384" width="11.44140625" style="21"/>
  </cols>
  <sheetData>
    <row r="1" spans="1:2" ht="13.8" thickBot="1" x14ac:dyDescent="0.3">
      <c r="A1" s="127" t="s">
        <v>42</v>
      </c>
      <c r="B1" s="127"/>
    </row>
    <row r="2" spans="1:2" x14ac:dyDescent="0.25">
      <c r="A2" s="30"/>
      <c r="B2" s="24" t="s">
        <v>43</v>
      </c>
    </row>
    <row r="3" spans="1:2" x14ac:dyDescent="0.25">
      <c r="A3" s="31"/>
      <c r="B3" s="20"/>
    </row>
    <row r="5" spans="1:2" x14ac:dyDescent="0.25">
      <c r="A5" s="30" t="s">
        <v>44</v>
      </c>
      <c r="B5" s="23" t="s">
        <v>45</v>
      </c>
    </row>
    <row r="6" spans="1:2" x14ac:dyDescent="0.25">
      <c r="A6" s="31">
        <v>1</v>
      </c>
      <c r="B6" s="20"/>
    </row>
    <row r="7" spans="1:2" x14ac:dyDescent="0.25">
      <c r="A7" s="31">
        <v>2</v>
      </c>
      <c r="B7" s="20"/>
    </row>
    <row r="8" spans="1:2" x14ac:dyDescent="0.25">
      <c r="A8" s="31">
        <v>3</v>
      </c>
      <c r="B8" s="20"/>
    </row>
    <row r="9" spans="1:2" x14ac:dyDescent="0.25">
      <c r="A9" s="31" t="s">
        <v>46</v>
      </c>
      <c r="B9" s="20"/>
    </row>
    <row r="10" spans="1:2" x14ac:dyDescent="0.25">
      <c r="A10" s="31" t="s">
        <v>47</v>
      </c>
      <c r="B10" s="20"/>
    </row>
    <row r="12" spans="1:2" x14ac:dyDescent="0.25">
      <c r="A12" s="30" t="s">
        <v>44</v>
      </c>
      <c r="B12" s="23" t="s">
        <v>48</v>
      </c>
    </row>
    <row r="13" spans="1:2" x14ac:dyDescent="0.25">
      <c r="A13" s="31">
        <v>4</v>
      </c>
      <c r="B13" s="20"/>
    </row>
    <row r="15" spans="1:2" x14ac:dyDescent="0.25">
      <c r="A15" s="30" t="s">
        <v>44</v>
      </c>
      <c r="B15" s="23" t="s">
        <v>49</v>
      </c>
    </row>
    <row r="16" spans="1:2" x14ac:dyDescent="0.25">
      <c r="A16" s="31">
        <v>5</v>
      </c>
      <c r="B16" s="20"/>
    </row>
    <row r="17" spans="1:2" ht="13.8" thickBot="1" x14ac:dyDescent="0.3"/>
    <row r="18" spans="1:2" x14ac:dyDescent="0.25">
      <c r="A18" s="33" t="s">
        <v>44</v>
      </c>
      <c r="B18" s="22" t="s">
        <v>50</v>
      </c>
    </row>
    <row r="19" spans="1:2" x14ac:dyDescent="0.25">
      <c r="A19" s="31">
        <v>6</v>
      </c>
      <c r="B19" s="20" t="s">
        <v>51</v>
      </c>
    </row>
  </sheetData>
  <mergeCells count="1">
    <mergeCell ref="A1:B1"/>
  </mergeCells>
  <phoneticPr fontId="2"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19"/>
  <sheetViews>
    <sheetView workbookViewId="0">
      <selection activeCell="C19" sqref="C19"/>
    </sheetView>
  </sheetViews>
  <sheetFormatPr defaultRowHeight="13.2" x14ac:dyDescent="0.25"/>
  <cols>
    <col min="1" max="1" width="43.88671875" bestFit="1" customWidth="1"/>
    <col min="2" max="2" width="99.88671875" bestFit="1" customWidth="1"/>
    <col min="3" max="3" width="20.44140625" customWidth="1"/>
    <col min="4" max="4" width="25" customWidth="1"/>
    <col min="18" max="18" width="11" customWidth="1"/>
  </cols>
  <sheetData>
    <row r="1" spans="1:18" ht="13.8" thickBot="1" x14ac:dyDescent="0.3">
      <c r="A1" s="128" t="s">
        <v>52</v>
      </c>
      <c r="B1" s="129"/>
      <c r="C1" s="129"/>
      <c r="D1" s="130"/>
      <c r="M1" s="46" t="s">
        <v>53</v>
      </c>
      <c r="N1" s="47"/>
      <c r="O1" s="47"/>
      <c r="P1" s="47"/>
      <c r="Q1" s="47"/>
      <c r="R1" s="48"/>
    </row>
    <row r="2" spans="1:18" ht="13.8" thickBot="1" x14ac:dyDescent="0.3">
      <c r="C2" s="21"/>
      <c r="M2" s="49" t="s">
        <v>54</v>
      </c>
      <c r="N2" s="34"/>
      <c r="O2" s="34"/>
      <c r="P2" s="34"/>
      <c r="Q2" s="34"/>
      <c r="R2" s="50"/>
    </row>
    <row r="3" spans="1:18" x14ac:dyDescent="0.25">
      <c r="A3" s="55" t="s">
        <v>55</v>
      </c>
      <c r="B3" s="27"/>
      <c r="C3" s="27"/>
      <c r="M3" s="49" t="s">
        <v>56</v>
      </c>
      <c r="N3" s="34"/>
      <c r="O3" s="34"/>
      <c r="P3" s="34"/>
      <c r="Q3" s="34"/>
      <c r="R3" s="50"/>
    </row>
    <row r="4" spans="1:18" ht="25.5" customHeight="1" x14ac:dyDescent="0.25">
      <c r="A4" s="12" t="s">
        <v>57</v>
      </c>
      <c r="B4" s="12" t="s">
        <v>58</v>
      </c>
      <c r="C4" s="26" t="s">
        <v>19</v>
      </c>
      <c r="D4" s="26" t="s">
        <v>59</v>
      </c>
      <c r="M4" s="51" t="s">
        <v>60</v>
      </c>
      <c r="N4" s="34"/>
      <c r="O4" s="34"/>
      <c r="P4" s="34"/>
      <c r="Q4" s="34"/>
      <c r="R4" s="50"/>
    </row>
    <row r="5" spans="1:18" ht="132.6" thickBot="1" x14ac:dyDescent="0.3">
      <c r="A5" s="39" t="s">
        <v>61</v>
      </c>
      <c r="B5" s="25" t="s">
        <v>62</v>
      </c>
      <c r="C5" s="11"/>
      <c r="D5" s="11"/>
      <c r="M5" s="52"/>
      <c r="N5" s="53"/>
      <c r="O5" s="53"/>
      <c r="P5" s="53"/>
      <c r="Q5" s="53"/>
      <c r="R5" s="54"/>
    </row>
    <row r="6" spans="1:18" x14ac:dyDescent="0.25">
      <c r="A6" s="39" t="s">
        <v>63</v>
      </c>
      <c r="B6" s="39" t="s">
        <v>64</v>
      </c>
      <c r="C6" s="11"/>
      <c r="D6" s="11"/>
    </row>
    <row r="7" spans="1:18" x14ac:dyDescent="0.25">
      <c r="A7" s="39" t="s">
        <v>65</v>
      </c>
      <c r="B7" s="39" t="s">
        <v>66</v>
      </c>
      <c r="C7" s="11"/>
      <c r="D7" s="11"/>
    </row>
    <row r="8" spans="1:18" ht="92.4" x14ac:dyDescent="0.25">
      <c r="A8" s="39" t="s">
        <v>67</v>
      </c>
      <c r="B8" s="25" t="s">
        <v>68</v>
      </c>
      <c r="C8" s="11"/>
      <c r="D8" s="11"/>
    </row>
    <row r="9" spans="1:18" x14ac:dyDescent="0.25">
      <c r="A9" s="39" t="s">
        <v>69</v>
      </c>
      <c r="B9" s="39" t="s">
        <v>70</v>
      </c>
      <c r="C9" s="11"/>
      <c r="D9" s="11"/>
    </row>
    <row r="10" spans="1:18" x14ac:dyDescent="0.25">
      <c r="A10" s="39" t="s">
        <v>71</v>
      </c>
      <c r="B10" s="11"/>
      <c r="C10" s="11"/>
      <c r="D10" s="11"/>
    </row>
    <row r="11" spans="1:18" x14ac:dyDescent="0.25">
      <c r="A11" s="39" t="s">
        <v>72</v>
      </c>
      <c r="B11" s="39" t="s">
        <v>73</v>
      </c>
      <c r="C11" s="11"/>
      <c r="D11" s="11"/>
    </row>
    <row r="12" spans="1:18" x14ac:dyDescent="0.25">
      <c r="A12" s="39" t="s">
        <v>74</v>
      </c>
      <c r="B12" s="39" t="s">
        <v>75</v>
      </c>
      <c r="C12" s="11"/>
      <c r="D12" s="11"/>
    </row>
    <row r="13" spans="1:18" x14ac:dyDescent="0.25">
      <c r="A13" s="39" t="s">
        <v>76</v>
      </c>
      <c r="B13" s="39" t="s">
        <v>77</v>
      </c>
      <c r="C13" s="11"/>
      <c r="D13" s="11"/>
    </row>
    <row r="14" spans="1:18" x14ac:dyDescent="0.25">
      <c r="A14" s="39" t="s">
        <v>78</v>
      </c>
      <c r="B14" s="39" t="s">
        <v>79</v>
      </c>
      <c r="C14" s="11"/>
      <c r="D14" s="11"/>
    </row>
    <row r="15" spans="1:18" x14ac:dyDescent="0.25">
      <c r="A15" s="39" t="s">
        <v>80</v>
      </c>
      <c r="B15" s="39" t="s">
        <v>81</v>
      </c>
      <c r="C15" s="11"/>
      <c r="D15" s="11"/>
    </row>
    <row r="16" spans="1:18" x14ac:dyDescent="0.25">
      <c r="A16" s="39" t="s">
        <v>82</v>
      </c>
      <c r="B16" s="39" t="s">
        <v>83</v>
      </c>
      <c r="C16" s="11"/>
      <c r="D16" s="11"/>
    </row>
    <row r="17" spans="1:4" x14ac:dyDescent="0.25">
      <c r="A17" s="39" t="s">
        <v>84</v>
      </c>
      <c r="B17" s="39" t="s">
        <v>85</v>
      </c>
      <c r="C17" s="11"/>
      <c r="D17" s="11"/>
    </row>
    <row r="18" spans="1:4" x14ac:dyDescent="0.25">
      <c r="A18" s="39" t="s">
        <v>86</v>
      </c>
      <c r="B18" s="39" t="s">
        <v>87</v>
      </c>
      <c r="C18" s="11"/>
      <c r="D18" s="11"/>
    </row>
    <row r="19" spans="1:4" x14ac:dyDescent="0.25">
      <c r="A19" s="39" t="s">
        <v>88</v>
      </c>
      <c r="B19" s="39" t="s">
        <v>89</v>
      </c>
      <c r="C19" s="11"/>
      <c r="D19" s="11"/>
    </row>
  </sheetData>
  <mergeCells count="1">
    <mergeCell ref="A1:D1"/>
  </mergeCells>
  <dataValidations count="1">
    <dataValidation type="list" allowBlank="1" showInputMessage="1" showErrorMessage="1" sqref="C5:C19" xr:uid="{00000000-0002-0000-0300-00000000000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sheetPr>
  <dimension ref="A1:C17"/>
  <sheetViews>
    <sheetView workbookViewId="0">
      <selection activeCell="C16" sqref="C16"/>
    </sheetView>
  </sheetViews>
  <sheetFormatPr defaultRowHeight="13.2" x14ac:dyDescent="0.25"/>
  <cols>
    <col min="1" max="1" width="55.33203125" customWidth="1"/>
    <col min="2" max="2" width="70.6640625" customWidth="1"/>
    <col min="3" max="3" width="26.5546875" customWidth="1"/>
  </cols>
  <sheetData>
    <row r="1" spans="1:3" x14ac:dyDescent="0.25">
      <c r="A1" s="65" t="s">
        <v>90</v>
      </c>
      <c r="B1" s="66" t="s">
        <v>91</v>
      </c>
    </row>
    <row r="2" spans="1:3" x14ac:dyDescent="0.25">
      <c r="A2" s="67" t="s">
        <v>92</v>
      </c>
      <c r="B2" s="68" t="str">
        <f>PPRD</f>
        <v>Feb, 2022</v>
      </c>
      <c r="C2" s="56"/>
    </row>
    <row r="3" spans="1:3" x14ac:dyDescent="0.25">
      <c r="A3" s="67" t="s">
        <v>93</v>
      </c>
      <c r="B3" s="69" t="str">
        <f>CRNIRN</f>
        <v>INC3938667</v>
      </c>
      <c r="C3" s="56"/>
    </row>
    <row r="4" spans="1:3" x14ac:dyDescent="0.25">
      <c r="A4" s="67" t="s">
        <v>94</v>
      </c>
      <c r="B4" s="69" t="str">
        <f>MA</f>
        <v>PT</v>
      </c>
      <c r="C4" s="56"/>
    </row>
    <row r="5" spans="1:3" x14ac:dyDescent="0.25">
      <c r="A5" s="67" t="s">
        <v>95</v>
      </c>
      <c r="B5" s="69" t="s">
        <v>96</v>
      </c>
    </row>
    <row r="6" spans="1:3" x14ac:dyDescent="0.25">
      <c r="A6" s="67" t="s">
        <v>97</v>
      </c>
      <c r="B6" s="71" t="s">
        <v>98</v>
      </c>
    </row>
    <row r="7" spans="1:3" x14ac:dyDescent="0.25">
      <c r="A7" s="67" t="s">
        <v>99</v>
      </c>
      <c r="B7" s="72">
        <f>DevDReviewed</f>
        <v>44509</v>
      </c>
      <c r="C7" s="56"/>
    </row>
    <row r="8" spans="1:3" x14ac:dyDescent="0.25">
      <c r="A8" s="67" t="s">
        <v>100</v>
      </c>
      <c r="B8" s="71" t="str">
        <f>DevNameReviewed</f>
        <v>FrankMingoué</v>
      </c>
      <c r="C8" s="56"/>
    </row>
    <row r="9" spans="1:3" x14ac:dyDescent="0.25">
      <c r="A9" s="67" t="s">
        <v>101</v>
      </c>
      <c r="B9" s="70">
        <f>DateReviewed</f>
        <v>0</v>
      </c>
      <c r="C9" s="56"/>
    </row>
    <row r="10" spans="1:3" x14ac:dyDescent="0.25">
      <c r="A10" s="67" t="s">
        <v>102</v>
      </c>
      <c r="B10" s="71" t="str">
        <f>ReviewedBy</f>
        <v/>
      </c>
      <c r="C10" s="56"/>
    </row>
    <row r="17" spans="3:3" x14ac:dyDescent="0.25">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4"/>
  <sheetViews>
    <sheetView topLeftCell="A2" workbookViewId="0">
      <selection activeCell="D6" sqref="D6"/>
    </sheetView>
  </sheetViews>
  <sheetFormatPr defaultColWidth="9.109375" defaultRowHeight="13.2" x14ac:dyDescent="0.25"/>
  <cols>
    <col min="1" max="1" width="19.44140625" style="57" customWidth="1"/>
    <col min="2" max="2" width="42.5546875" style="57" customWidth="1"/>
    <col min="3" max="3" width="50.88671875" style="57" customWidth="1"/>
    <col min="4" max="4" width="27.44140625" style="57" customWidth="1"/>
    <col min="5" max="5" width="32.33203125" style="57" customWidth="1"/>
    <col min="6" max="16384" width="9.109375" style="57"/>
  </cols>
  <sheetData>
    <row r="1" spans="1:5" ht="13.8" thickBot="1" x14ac:dyDescent="0.3">
      <c r="A1" s="128" t="s">
        <v>103</v>
      </c>
      <c r="B1" s="129"/>
      <c r="C1" s="129"/>
      <c r="D1" s="131"/>
    </row>
    <row r="2" spans="1:5" x14ac:dyDescent="0.25">
      <c r="B2" s="12" t="s">
        <v>104</v>
      </c>
      <c r="C2" s="12" t="s">
        <v>105</v>
      </c>
      <c r="D2" s="12" t="s">
        <v>106</v>
      </c>
      <c r="E2" s="58"/>
    </row>
    <row r="3" spans="1:5" ht="39.6" x14ac:dyDescent="0.25">
      <c r="B3" s="59" t="s">
        <v>107</v>
      </c>
      <c r="C3" s="60" t="s">
        <v>108</v>
      </c>
      <c r="D3" s="61" t="str">
        <f>IF(ISBLANK('1.0 DB Schema'!B28)=FALSE,"Impacted","Not Impacted")</f>
        <v>Not Impacted</v>
      </c>
    </row>
    <row r="4" spans="1:5" ht="26.4" x14ac:dyDescent="0.25">
      <c r="B4" s="59" t="s">
        <v>109</v>
      </c>
      <c r="C4" s="60" t="s">
        <v>110</v>
      </c>
      <c r="D4" s="61" t="str">
        <f>IF(ISBLANK('2.0 Ifb &amp; PHP'!B35)=FALSE,"Impacted","Not Impacted")</f>
        <v>Not Impacted</v>
      </c>
    </row>
    <row r="5" spans="1:5" ht="39.6" x14ac:dyDescent="0.25">
      <c r="B5" s="59" t="s">
        <v>111</v>
      </c>
      <c r="C5" s="60" t="s">
        <v>112</v>
      </c>
      <c r="D5" s="61" t="str">
        <f>IF(ISBLANK('3.0 Mapping'!B12)=FALSE,"Impacted","Not Impacted")</f>
        <v>Not Impacted</v>
      </c>
    </row>
    <row r="6" spans="1:5" ht="26.4" x14ac:dyDescent="0.25">
      <c r="B6" s="59" t="s">
        <v>113</v>
      </c>
      <c r="C6" s="60" t="s">
        <v>114</v>
      </c>
      <c r="D6" s="61" t="str">
        <f>IF(ISBLANK('4.0 Worklet &amp; workflow'!B21)=FALSE,"Impacted","Not Impacted")</f>
        <v>Impacted</v>
      </c>
    </row>
    <row r="7" spans="1:5" ht="26.4" x14ac:dyDescent="0.25">
      <c r="B7" s="59" t="s">
        <v>115</v>
      </c>
      <c r="C7" s="60" t="s">
        <v>116</v>
      </c>
      <c r="D7" s="61" t="str">
        <f>IF(ISBLANK('5.0 Stored Procedure'!B10)=FALSE,"Impacted","Not Impacted")</f>
        <v>Not Impacted</v>
      </c>
    </row>
    <row r="8" spans="1:5" ht="26.4" x14ac:dyDescent="0.25">
      <c r="B8" s="59" t="s">
        <v>117</v>
      </c>
      <c r="C8" s="60" t="s">
        <v>118</v>
      </c>
      <c r="D8" s="61" t="str">
        <f>IF(ISBLANK('6.0 Data Update'!E5)=FALSE,"Impacted","Not Impacted")</f>
        <v>Not Impacted</v>
      </c>
    </row>
    <row r="10" spans="1:5" ht="13.8" thickBot="1" x14ac:dyDescent="0.3"/>
    <row r="11" spans="1:5" ht="13.8" thickBot="1" x14ac:dyDescent="0.3">
      <c r="B11" s="15" t="s">
        <v>119</v>
      </c>
    </row>
    <row r="12" spans="1:5" x14ac:dyDescent="0.25">
      <c r="B12" s="12" t="s">
        <v>120</v>
      </c>
      <c r="C12" s="12" t="s">
        <v>121</v>
      </c>
      <c r="D12" s="12" t="s">
        <v>122</v>
      </c>
    </row>
    <row r="13" spans="1:5" x14ac:dyDescent="0.25">
      <c r="B13" s="61" t="s">
        <v>123</v>
      </c>
      <c r="C13" s="61" t="s">
        <v>124</v>
      </c>
      <c r="D13" s="62" t="s">
        <v>125</v>
      </c>
    </row>
    <row r="14" spans="1:5" x14ac:dyDescent="0.25">
      <c r="B14" s="61" t="s">
        <v>126</v>
      </c>
      <c r="C14" s="62" t="s">
        <v>127</v>
      </c>
      <c r="D14" s="61" t="s">
        <v>128</v>
      </c>
    </row>
    <row r="15" spans="1:5" x14ac:dyDescent="0.25">
      <c r="B15" s="61" t="s">
        <v>129</v>
      </c>
      <c r="C15" s="61" t="s">
        <v>130</v>
      </c>
      <c r="D15" s="61" t="s">
        <v>131</v>
      </c>
    </row>
    <row r="16" spans="1:5" x14ac:dyDescent="0.25">
      <c r="B16" s="61" t="s">
        <v>132</v>
      </c>
      <c r="C16" s="61" t="s">
        <v>133</v>
      </c>
      <c r="D16" s="61" t="s">
        <v>134</v>
      </c>
    </row>
    <row r="17" spans="2:4" x14ac:dyDescent="0.25">
      <c r="B17" s="61" t="s">
        <v>135</v>
      </c>
      <c r="C17" s="62" t="s">
        <v>136</v>
      </c>
      <c r="D17" s="61" t="s">
        <v>137</v>
      </c>
    </row>
    <row r="18" spans="2:4" x14ac:dyDescent="0.25">
      <c r="B18" s="61" t="s">
        <v>138</v>
      </c>
      <c r="C18" s="61" t="s">
        <v>139</v>
      </c>
      <c r="D18" s="61" t="s">
        <v>140</v>
      </c>
    </row>
    <row r="19" spans="2:4" x14ac:dyDescent="0.25">
      <c r="B19" s="61" t="s">
        <v>141</v>
      </c>
      <c r="C19" s="61" t="s">
        <v>142</v>
      </c>
      <c r="D19" s="61" t="s">
        <v>143</v>
      </c>
    </row>
    <row r="20" spans="2:4" x14ac:dyDescent="0.25">
      <c r="B20" s="61" t="s">
        <v>144</v>
      </c>
      <c r="C20" s="62" t="s">
        <v>145</v>
      </c>
      <c r="D20" s="61" t="s">
        <v>146</v>
      </c>
    </row>
    <row r="21" spans="2:4" x14ac:dyDescent="0.25">
      <c r="B21" s="61" t="s">
        <v>147</v>
      </c>
      <c r="C21" s="62" t="s">
        <v>148</v>
      </c>
      <c r="D21" s="61" t="s">
        <v>149</v>
      </c>
    </row>
    <row r="22" spans="2:4" x14ac:dyDescent="0.25">
      <c r="B22" s="61" t="s">
        <v>150</v>
      </c>
      <c r="C22" s="62" t="s">
        <v>151</v>
      </c>
      <c r="D22" s="61" t="s">
        <v>152</v>
      </c>
    </row>
    <row r="23" spans="2:4" x14ac:dyDescent="0.25">
      <c r="B23" s="61" t="s">
        <v>153</v>
      </c>
      <c r="C23" s="61" t="s">
        <v>154</v>
      </c>
      <c r="D23" s="61" t="s">
        <v>155</v>
      </c>
    </row>
    <row r="24" spans="2:4" x14ac:dyDescent="0.25">
      <c r="B24" s="61" t="s">
        <v>156</v>
      </c>
      <c r="C24" s="61"/>
      <c r="D24" s="61"/>
    </row>
  </sheetData>
  <mergeCells count="1">
    <mergeCell ref="A1:D1"/>
  </mergeCells>
  <phoneticPr fontId="2" type="noConversion"/>
  <hyperlinks>
    <hyperlink ref="B3" location="'1.0 DB Schema'!A1" display="DB Schema" xr:uid="{00000000-0004-0000-0500-000000000000}"/>
    <hyperlink ref="B4" location="'2.0 Ifb &amp; PHP'!A1" display="Ifb &amp; PHP" xr:uid="{00000000-0004-0000-0500-000001000000}"/>
    <hyperlink ref="B5" location="'3.0 Mapping'!A1" display="Mapping" xr:uid="{00000000-0004-0000-0500-000002000000}"/>
    <hyperlink ref="B6" location="'4.0 Worklet &amp; workflow'!A1" display="Worklet &amp; worflow" xr:uid="{00000000-0004-0000-0500-000003000000}"/>
    <hyperlink ref="B7" location="'5.0 Stored Procedure'!A1" display="Stored Procedure" xr:uid="{00000000-0004-0000-0500-000004000000}"/>
    <hyperlink ref="B8" location="'6.0 Data Update'!A1" display="Data Update" xr:uid="{00000000-0004-0000-0500-000005000000}"/>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C28"/>
  <sheetViews>
    <sheetView workbookViewId="0">
      <selection activeCell="A20" sqref="A20"/>
    </sheetView>
  </sheetViews>
  <sheetFormatPr defaultRowHeight="13.2" x14ac:dyDescent="0.25"/>
  <cols>
    <col min="1" max="1" width="31.88671875" bestFit="1" customWidth="1"/>
    <col min="2" max="2" width="25" bestFit="1" customWidth="1"/>
    <col min="3" max="3" width="41.44140625" bestFit="1" customWidth="1"/>
    <col min="4" max="4" width="25" bestFit="1" customWidth="1"/>
    <col min="5" max="5" width="20.5546875" bestFit="1" customWidth="1"/>
    <col min="6" max="6" width="14" customWidth="1"/>
    <col min="10" max="10" width="18.88671875" bestFit="1" customWidth="1"/>
    <col min="11" max="11" width="26.5546875" bestFit="1" customWidth="1"/>
    <col min="25" max="25" width="20" customWidth="1"/>
  </cols>
  <sheetData>
    <row r="1" spans="1:24" ht="13.8" thickBot="1" x14ac:dyDescent="0.3">
      <c r="A1" s="128" t="s">
        <v>157</v>
      </c>
      <c r="B1" s="129"/>
      <c r="C1" s="130"/>
    </row>
    <row r="2" spans="1:24" ht="14.4" thickBot="1" x14ac:dyDescent="0.3">
      <c r="E2" s="75" t="s">
        <v>158</v>
      </c>
      <c r="F2" s="34"/>
      <c r="G2" s="34"/>
      <c r="H2" s="34"/>
      <c r="I2" s="34"/>
      <c r="J2" s="34"/>
      <c r="K2" s="34"/>
      <c r="W2" s="56"/>
    </row>
    <row r="3" spans="1:24" ht="13.8" thickBot="1" x14ac:dyDescent="0.3">
      <c r="A3" s="15" t="s">
        <v>159</v>
      </c>
      <c r="B3" s="13"/>
      <c r="C3" s="13"/>
      <c r="E3" s="35" t="s">
        <v>160</v>
      </c>
      <c r="F3" s="34"/>
      <c r="G3" s="34"/>
      <c r="H3" s="34"/>
      <c r="I3" s="34"/>
      <c r="J3" s="34"/>
      <c r="K3" s="34"/>
      <c r="X3" s="56"/>
    </row>
    <row r="4" spans="1:24" x14ac:dyDescent="0.25">
      <c r="A4" s="14" t="s">
        <v>161</v>
      </c>
      <c r="B4" s="12" t="s">
        <v>162</v>
      </c>
      <c r="C4" s="12" t="s">
        <v>59</v>
      </c>
      <c r="E4" s="35" t="s">
        <v>163</v>
      </c>
      <c r="F4" s="35"/>
      <c r="G4" s="35"/>
      <c r="H4" s="35"/>
      <c r="I4" s="35"/>
      <c r="J4" s="34"/>
      <c r="K4" s="34"/>
    </row>
    <row r="5" spans="1:24" x14ac:dyDescent="0.25">
      <c r="A5" s="39" t="s">
        <v>156</v>
      </c>
      <c r="B5" s="11"/>
      <c r="C5" s="11"/>
      <c r="E5" s="35" t="s">
        <v>164</v>
      </c>
      <c r="F5" s="35"/>
      <c r="G5" s="35"/>
      <c r="H5" s="35"/>
      <c r="I5" s="35"/>
      <c r="J5" s="34"/>
      <c r="K5" s="34"/>
    </row>
    <row r="6" spans="1:24" x14ac:dyDescent="0.25">
      <c r="A6" s="11"/>
      <c r="B6" s="11"/>
      <c r="C6" s="11"/>
      <c r="E6" s="74" t="s">
        <v>165</v>
      </c>
      <c r="F6" s="34"/>
      <c r="G6" s="34"/>
      <c r="H6" s="34"/>
      <c r="I6" s="34"/>
      <c r="J6" s="34"/>
      <c r="K6" s="34"/>
      <c r="X6" s="56"/>
    </row>
    <row r="7" spans="1:24" x14ac:dyDescent="0.25">
      <c r="A7" s="11"/>
      <c r="B7" s="11"/>
      <c r="C7" s="11"/>
    </row>
    <row r="8" spans="1:24" ht="13.8" thickBot="1" x14ac:dyDescent="0.3">
      <c r="X8" s="56"/>
    </row>
    <row r="9" spans="1:24" ht="13.8" thickBot="1" x14ac:dyDescent="0.3">
      <c r="A9" s="15" t="s">
        <v>166</v>
      </c>
      <c r="X9" s="56"/>
    </row>
    <row r="10" spans="1:24" x14ac:dyDescent="0.25">
      <c r="A10" s="14" t="s">
        <v>161</v>
      </c>
      <c r="B10" s="12" t="s">
        <v>167</v>
      </c>
      <c r="C10" s="12" t="s">
        <v>168</v>
      </c>
      <c r="D10" s="12" t="s">
        <v>162</v>
      </c>
      <c r="E10" s="12" t="s">
        <v>169</v>
      </c>
      <c r="F10" s="12" t="s">
        <v>59</v>
      </c>
      <c r="X10" s="56"/>
    </row>
    <row r="11" spans="1:24" x14ac:dyDescent="0.25">
      <c r="A11" s="39" t="s">
        <v>156</v>
      </c>
      <c r="B11" s="39"/>
      <c r="C11" s="39"/>
      <c r="D11" s="39"/>
      <c r="E11" s="39"/>
      <c r="F11" s="39"/>
    </row>
    <row r="12" spans="1:24" x14ac:dyDescent="0.25">
      <c r="A12" s="39"/>
      <c r="B12" s="39"/>
      <c r="C12" s="39"/>
      <c r="D12" s="39"/>
      <c r="E12" s="39"/>
      <c r="F12" s="39"/>
    </row>
    <row r="13" spans="1:24" x14ac:dyDescent="0.25">
      <c r="A13" s="39"/>
      <c r="B13" s="39"/>
      <c r="C13" s="39"/>
      <c r="D13" s="39"/>
      <c r="E13" s="39"/>
      <c r="F13" s="39"/>
    </row>
    <row r="14" spans="1:24" x14ac:dyDescent="0.25">
      <c r="A14" s="39"/>
      <c r="B14" s="39"/>
      <c r="C14" s="39"/>
      <c r="D14" s="39"/>
      <c r="E14" s="39"/>
      <c r="F14" s="39"/>
    </row>
    <row r="15" spans="1:24" x14ac:dyDescent="0.25">
      <c r="A15" s="11"/>
      <c r="B15" s="11"/>
      <c r="C15" s="11"/>
      <c r="D15" s="11"/>
      <c r="E15" s="11"/>
      <c r="F15" s="11"/>
    </row>
    <row r="16" spans="1:24" ht="13.8" thickBot="1" x14ac:dyDescent="0.3"/>
    <row r="17" spans="1:29" ht="13.8" thickBot="1" x14ac:dyDescent="0.3">
      <c r="A17" s="15" t="s">
        <v>170</v>
      </c>
    </row>
    <row r="18" spans="1:29" x14ac:dyDescent="0.25">
      <c r="A18" s="14" t="s">
        <v>171</v>
      </c>
      <c r="B18" s="12" t="s">
        <v>172</v>
      </c>
      <c r="C18" s="12" t="s">
        <v>173</v>
      </c>
      <c r="D18" s="12" t="s">
        <v>174</v>
      </c>
    </row>
    <row r="19" spans="1:29" x14ac:dyDescent="0.25">
      <c r="A19" s="39" t="s">
        <v>156</v>
      </c>
      <c r="B19" s="39"/>
      <c r="C19" s="39"/>
      <c r="D19" s="11"/>
      <c r="AA19" s="56"/>
    </row>
    <row r="20" spans="1:29" x14ac:dyDescent="0.25">
      <c r="A20" s="39"/>
      <c r="B20" s="39"/>
      <c r="C20" s="39"/>
      <c r="D20" s="11"/>
      <c r="AA20" s="56"/>
    </row>
    <row r="21" spans="1:29" x14ac:dyDescent="0.25">
      <c r="A21" s="39"/>
      <c r="B21" s="39"/>
      <c r="C21" s="39"/>
      <c r="D21" s="11"/>
    </row>
    <row r="22" spans="1:29" ht="13.8" thickBot="1" x14ac:dyDescent="0.3">
      <c r="A22" s="56"/>
      <c r="B22" s="56"/>
      <c r="C22" s="56"/>
    </row>
    <row r="23" spans="1:29" ht="13.8" thickBot="1" x14ac:dyDescent="0.3">
      <c r="A23" s="15" t="s">
        <v>175</v>
      </c>
      <c r="B23" s="56"/>
      <c r="C23" s="56"/>
    </row>
    <row r="24" spans="1:29" x14ac:dyDescent="0.25">
      <c r="A24" s="14" t="s">
        <v>120</v>
      </c>
      <c r="B24" s="12" t="s">
        <v>176</v>
      </c>
    </row>
    <row r="25" spans="1:29" x14ac:dyDescent="0.25">
      <c r="A25" s="39" t="s">
        <v>156</v>
      </c>
      <c r="B25" s="39"/>
      <c r="AC25" s="56"/>
    </row>
    <row r="26" spans="1:29" x14ac:dyDescent="0.25">
      <c r="A26" s="39"/>
      <c r="B26" s="39"/>
    </row>
    <row r="27" spans="1:29" x14ac:dyDescent="0.25">
      <c r="A27" s="19" t="s">
        <v>26</v>
      </c>
      <c r="B27" s="19" t="s">
        <v>177</v>
      </c>
    </row>
    <row r="28" spans="1:29" x14ac:dyDescent="0.25">
      <c r="A28" s="18"/>
      <c r="B28" s="18"/>
    </row>
  </sheetData>
  <mergeCells count="1">
    <mergeCell ref="A1:C1"/>
  </mergeCells>
  <phoneticPr fontId="2"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Overview!$B$13:$B$24</xm:f>
          </x14:formula1>
          <xm:sqref>A25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I35"/>
  <sheetViews>
    <sheetView topLeftCell="A4" workbookViewId="0">
      <selection activeCell="G8" sqref="G8:L36"/>
    </sheetView>
  </sheetViews>
  <sheetFormatPr defaultRowHeight="13.2" x14ac:dyDescent="0.25"/>
  <cols>
    <col min="1" max="1" width="28.33203125" bestFit="1" customWidth="1"/>
    <col min="2" max="2" width="36.33203125" style="21" customWidth="1"/>
    <col min="3" max="3" width="32.88671875" customWidth="1"/>
    <col min="6" max="6" width="9.109375" customWidth="1"/>
  </cols>
  <sheetData>
    <row r="1" spans="1:3" ht="13.8" thickBot="1" x14ac:dyDescent="0.3">
      <c r="A1" s="128" t="s">
        <v>178</v>
      </c>
      <c r="B1" s="129"/>
      <c r="C1" s="130"/>
    </row>
    <row r="2" spans="1:3" ht="13.8" thickBot="1" x14ac:dyDescent="0.3"/>
    <row r="3" spans="1:3" ht="13.8" thickBot="1" x14ac:dyDescent="0.3">
      <c r="A3" s="16" t="s">
        <v>179</v>
      </c>
      <c r="B3" s="27"/>
    </row>
    <row r="4" spans="1:3" x14ac:dyDescent="0.25">
      <c r="A4" s="14" t="s">
        <v>180</v>
      </c>
      <c r="B4" s="26" t="s">
        <v>59</v>
      </c>
    </row>
    <row r="5" spans="1:3" x14ac:dyDescent="0.25">
      <c r="A5" s="11"/>
      <c r="B5" s="20"/>
    </row>
    <row r="6" spans="1:3" x14ac:dyDescent="0.25">
      <c r="A6" s="11"/>
      <c r="B6" s="20"/>
    </row>
    <row r="7" spans="1:3" ht="13.8" thickBot="1" x14ac:dyDescent="0.3"/>
    <row r="8" spans="1:3" ht="13.8" thickBot="1" x14ac:dyDescent="0.3">
      <c r="A8" s="16" t="s">
        <v>181</v>
      </c>
      <c r="B8" s="27"/>
      <c r="C8" s="13"/>
    </row>
    <row r="9" spans="1:3" x14ac:dyDescent="0.25">
      <c r="A9" s="14" t="s">
        <v>182</v>
      </c>
      <c r="B9" s="26" t="s">
        <v>59</v>
      </c>
    </row>
    <row r="10" spans="1:3" x14ac:dyDescent="0.25">
      <c r="A10" s="39"/>
      <c r="B10" s="39"/>
    </row>
    <row r="11" spans="1:3" x14ac:dyDescent="0.25">
      <c r="A11" s="11"/>
      <c r="B11" s="20"/>
    </row>
    <row r="12" spans="1:3" x14ac:dyDescent="0.25">
      <c r="A12" s="11"/>
      <c r="B12" s="20"/>
    </row>
    <row r="13" spans="1:3" ht="13.8" thickBot="1" x14ac:dyDescent="0.3"/>
    <row r="14" spans="1:3" ht="13.8" thickBot="1" x14ac:dyDescent="0.3">
      <c r="A14" s="16" t="s">
        <v>183</v>
      </c>
    </row>
    <row r="15" spans="1:3" x14ac:dyDescent="0.25">
      <c r="A15" s="14" t="s">
        <v>180</v>
      </c>
      <c r="B15" s="26" t="s">
        <v>59</v>
      </c>
    </row>
    <row r="16" spans="1:3" x14ac:dyDescent="0.25">
      <c r="A16" s="11"/>
      <c r="B16" s="20"/>
    </row>
    <row r="17" spans="1:9" x14ac:dyDescent="0.25">
      <c r="A17" s="11"/>
      <c r="B17" s="20"/>
    </row>
    <row r="18" spans="1:9" x14ac:dyDescent="0.25">
      <c r="A18" s="11"/>
      <c r="B18" s="20"/>
      <c r="I18" s="56"/>
    </row>
    <row r="19" spans="1:9" ht="13.8" thickBot="1" x14ac:dyDescent="0.3"/>
    <row r="20" spans="1:9" ht="13.8" thickBot="1" x14ac:dyDescent="0.3">
      <c r="A20" s="16" t="s">
        <v>184</v>
      </c>
      <c r="G20" s="56"/>
    </row>
    <row r="21" spans="1:9" x14ac:dyDescent="0.25">
      <c r="A21" s="14" t="s">
        <v>180</v>
      </c>
      <c r="B21" s="26" t="s">
        <v>59</v>
      </c>
    </row>
    <row r="22" spans="1:9" x14ac:dyDescent="0.25">
      <c r="A22" s="39" t="s">
        <v>156</v>
      </c>
      <c r="B22" s="20"/>
    </row>
    <row r="23" spans="1:9" x14ac:dyDescent="0.25">
      <c r="A23" s="11"/>
      <c r="B23" s="20"/>
    </row>
    <row r="24" spans="1:9" x14ac:dyDescent="0.25">
      <c r="A24" s="11"/>
      <c r="B24" s="20"/>
    </row>
    <row r="25" spans="1:9" x14ac:dyDescent="0.25">
      <c r="A25" s="11"/>
      <c r="B25" s="20"/>
    </row>
    <row r="26" spans="1:9" ht="13.8" thickBot="1" x14ac:dyDescent="0.3"/>
    <row r="27" spans="1:9" ht="13.8" thickBot="1" x14ac:dyDescent="0.3">
      <c r="A27" s="16" t="s">
        <v>185</v>
      </c>
    </row>
    <row r="28" spans="1:9" x14ac:dyDescent="0.25">
      <c r="A28" s="14" t="s">
        <v>180</v>
      </c>
      <c r="B28" s="26" t="s">
        <v>59</v>
      </c>
    </row>
    <row r="29" spans="1:9" x14ac:dyDescent="0.25">
      <c r="A29" s="39" t="s">
        <v>156</v>
      </c>
      <c r="B29" s="20"/>
    </row>
    <row r="30" spans="1:9" x14ac:dyDescent="0.25">
      <c r="A30" s="11"/>
      <c r="B30" s="20"/>
    </row>
    <row r="31" spans="1:9" x14ac:dyDescent="0.25">
      <c r="A31" s="11"/>
      <c r="B31" s="20"/>
    </row>
    <row r="32" spans="1:9" x14ac:dyDescent="0.25">
      <c r="A32" s="11"/>
      <c r="B32" s="20"/>
    </row>
    <row r="34" spans="1:2" x14ac:dyDescent="0.25">
      <c r="A34" s="19" t="s">
        <v>26</v>
      </c>
      <c r="B34" s="28" t="s">
        <v>177</v>
      </c>
    </row>
    <row r="35" spans="1:2" x14ac:dyDescent="0.25">
      <c r="A35" s="18"/>
      <c r="B35" s="29"/>
    </row>
  </sheetData>
  <mergeCells count="1">
    <mergeCell ref="A1:C1"/>
  </mergeCells>
  <phoneticPr fontId="2"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12"/>
  <sheetViews>
    <sheetView workbookViewId="0">
      <selection activeCell="B12" sqref="B12"/>
    </sheetView>
  </sheetViews>
  <sheetFormatPr defaultRowHeight="13.2" x14ac:dyDescent="0.25"/>
  <cols>
    <col min="1" max="1" width="12.109375" bestFit="1" customWidth="1"/>
    <col min="2" max="2" width="36.6640625" bestFit="1" customWidth="1"/>
    <col min="3" max="3" width="9.5546875" bestFit="1" customWidth="1"/>
  </cols>
  <sheetData>
    <row r="1" spans="1:3" ht="13.8" thickBot="1" x14ac:dyDescent="0.3">
      <c r="A1" s="128" t="s">
        <v>186</v>
      </c>
      <c r="B1" s="129"/>
      <c r="C1" s="130"/>
    </row>
    <row r="3" spans="1:3" x14ac:dyDescent="0.25">
      <c r="A3" s="12" t="s">
        <v>187</v>
      </c>
      <c r="B3" s="12" t="s">
        <v>188</v>
      </c>
      <c r="C3" s="12" t="s">
        <v>59</v>
      </c>
    </row>
    <row r="4" spans="1:3" x14ac:dyDescent="0.25">
      <c r="A4" s="39"/>
      <c r="B4" s="11"/>
      <c r="C4" s="39"/>
    </row>
    <row r="5" spans="1:3" x14ac:dyDescent="0.25">
      <c r="A5" s="11"/>
      <c r="B5" s="11"/>
      <c r="C5" s="39"/>
    </row>
    <row r="6" spans="1:3" x14ac:dyDescent="0.25">
      <c r="A6" s="11"/>
      <c r="B6" s="11"/>
      <c r="C6" s="20"/>
    </row>
    <row r="7" spans="1:3" x14ac:dyDescent="0.25">
      <c r="A7" s="11"/>
      <c r="B7" s="11"/>
      <c r="C7" s="11"/>
    </row>
    <row r="11" spans="1:3" x14ac:dyDescent="0.25">
      <c r="A11" s="19" t="s">
        <v>26</v>
      </c>
      <c r="B11" s="19" t="s">
        <v>177</v>
      </c>
    </row>
    <row r="12" spans="1:3" x14ac:dyDescent="0.25">
      <c r="A12" s="18"/>
      <c r="B12" s="18"/>
    </row>
  </sheetData>
  <mergeCells count="1">
    <mergeCell ref="A1:C1"/>
  </mergeCells>
  <phoneticPr fontId="2"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J10"/>
  <sheetViews>
    <sheetView workbookViewId="0">
      <selection activeCell="A6" sqref="A6:J10"/>
    </sheetView>
  </sheetViews>
  <sheetFormatPr defaultRowHeight="13.2" x14ac:dyDescent="0.25"/>
  <cols>
    <col min="1" max="1" width="14.44140625" bestFit="1" customWidth="1"/>
    <col min="2" max="2" width="14.88671875" bestFit="1" customWidth="1"/>
    <col min="3" max="3" width="14.6640625" bestFit="1" customWidth="1"/>
    <col min="4" max="4" width="9.6640625" bestFit="1" customWidth="1"/>
    <col min="5" max="6" width="15.44140625" bestFit="1" customWidth="1"/>
    <col min="7" max="7" width="14.44140625" bestFit="1" customWidth="1"/>
    <col min="8" max="8" width="9.6640625" bestFit="1" customWidth="1"/>
    <col min="9" max="9" width="74.88671875" bestFit="1" customWidth="1"/>
    <col min="10" max="10" width="26.44140625" bestFit="1" customWidth="1"/>
  </cols>
  <sheetData>
    <row r="1" spans="1:10" ht="13.8" thickBot="1" x14ac:dyDescent="0.3">
      <c r="A1" s="128" t="s">
        <v>189</v>
      </c>
      <c r="B1" s="129"/>
      <c r="C1" s="129"/>
      <c r="D1" s="130"/>
    </row>
    <row r="3" spans="1:10" x14ac:dyDescent="0.25">
      <c r="A3" s="12" t="s">
        <v>188</v>
      </c>
      <c r="B3" s="132"/>
      <c r="C3" s="133"/>
    </row>
    <row r="5" spans="1:10" x14ac:dyDescent="0.25">
      <c r="A5" s="12" t="s">
        <v>190</v>
      </c>
      <c r="B5" s="12" t="s">
        <v>191</v>
      </c>
      <c r="C5" s="12" t="s">
        <v>192</v>
      </c>
      <c r="D5" s="12" t="s">
        <v>193</v>
      </c>
      <c r="E5" s="12" t="s">
        <v>194</v>
      </c>
      <c r="F5" s="12" t="s">
        <v>191</v>
      </c>
      <c r="G5" s="12" t="s">
        <v>195</v>
      </c>
      <c r="H5" s="12" t="s">
        <v>193</v>
      </c>
      <c r="I5" s="12" t="s">
        <v>196</v>
      </c>
      <c r="J5" s="12" t="s">
        <v>197</v>
      </c>
    </row>
    <row r="6" spans="1:10" x14ac:dyDescent="0.25">
      <c r="E6" s="11"/>
      <c r="F6" s="11"/>
      <c r="G6" s="11"/>
      <c r="H6" s="11"/>
      <c r="I6" s="20"/>
      <c r="J6" s="11"/>
    </row>
    <row r="7" spans="1:10" x14ac:dyDescent="0.25">
      <c r="A7" s="39"/>
      <c r="B7" s="11"/>
      <c r="C7" s="11"/>
      <c r="D7" s="11"/>
      <c r="E7" s="11"/>
      <c r="F7" s="11"/>
      <c r="G7" s="11"/>
      <c r="H7" s="11"/>
      <c r="I7" s="11"/>
      <c r="J7" s="11"/>
    </row>
    <row r="8" spans="1:10" x14ac:dyDescent="0.25">
      <c r="A8" s="39"/>
      <c r="B8" s="11"/>
      <c r="C8" s="11"/>
      <c r="D8" s="20"/>
      <c r="E8" s="11"/>
      <c r="F8" s="11"/>
      <c r="G8" s="11"/>
      <c r="H8" s="20"/>
      <c r="I8" s="11"/>
      <c r="J8" s="11"/>
    </row>
    <row r="9" spans="1:10" x14ac:dyDescent="0.25">
      <c r="A9" s="39"/>
      <c r="B9" s="11"/>
      <c r="C9" s="11"/>
      <c r="D9" s="11"/>
      <c r="E9" s="11"/>
      <c r="F9" s="11"/>
      <c r="G9" s="11"/>
      <c r="H9" s="11"/>
      <c r="I9" s="11"/>
      <c r="J9" s="11"/>
    </row>
    <row r="10" spans="1:10" x14ac:dyDescent="0.25">
      <c r="A10" s="39"/>
      <c r="B10" s="11"/>
      <c r="C10" s="11"/>
      <c r="D10" s="11"/>
      <c r="E10" s="11"/>
      <c r="F10" s="39"/>
      <c r="G10" s="11"/>
      <c r="H10" s="11"/>
      <c r="I10" s="11"/>
      <c r="J10" s="11"/>
    </row>
  </sheetData>
  <mergeCells count="2">
    <mergeCell ref="A1:D1"/>
    <mergeCell ref="B3:C3"/>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21"/>
  <sheetViews>
    <sheetView workbookViewId="0">
      <selection activeCell="B7" sqref="B7"/>
    </sheetView>
  </sheetViews>
  <sheetFormatPr defaultRowHeight="13.2" outlineLevelRow="1" x14ac:dyDescent="0.25"/>
  <cols>
    <col min="1" max="1" width="18.5546875" customWidth="1"/>
    <col min="2" max="2" width="30.5546875" bestFit="1" customWidth="1"/>
    <col min="3" max="3" width="24.88671875" bestFit="1" customWidth="1"/>
    <col min="4" max="4" width="31.5546875" customWidth="1"/>
    <col min="5" max="5" width="25.5546875" bestFit="1" customWidth="1"/>
    <col min="6" max="6" width="48.44140625" style="21" bestFit="1" customWidth="1"/>
  </cols>
  <sheetData>
    <row r="1" spans="1:5" ht="13.8" thickBot="1" x14ac:dyDescent="0.3">
      <c r="A1" s="128" t="s">
        <v>198</v>
      </c>
      <c r="B1" s="129"/>
      <c r="C1" s="130"/>
    </row>
    <row r="2" spans="1:5" ht="13.8" thickBot="1" x14ac:dyDescent="0.3"/>
    <row r="3" spans="1:5" ht="13.8" thickBot="1" x14ac:dyDescent="0.3">
      <c r="A3" s="128" t="s">
        <v>199</v>
      </c>
      <c r="B3" s="129"/>
      <c r="C3" s="130"/>
    </row>
    <row r="4" spans="1:5" x14ac:dyDescent="0.25">
      <c r="A4" s="14" t="s">
        <v>187</v>
      </c>
      <c r="B4" s="14" t="s">
        <v>200</v>
      </c>
      <c r="C4" s="14" t="s">
        <v>59</v>
      </c>
    </row>
    <row r="5" spans="1:5" x14ac:dyDescent="0.25">
      <c r="A5" s="11" t="s">
        <v>261</v>
      </c>
      <c r="B5" s="11" t="s">
        <v>275</v>
      </c>
      <c r="C5" s="11" t="s">
        <v>252</v>
      </c>
    </row>
    <row r="6" spans="1:5" x14ac:dyDescent="0.25">
      <c r="A6" s="11" t="s">
        <v>261</v>
      </c>
      <c r="B6" s="11" t="s">
        <v>276</v>
      </c>
      <c r="C6" s="11" t="s">
        <v>252</v>
      </c>
    </row>
    <row r="7" spans="1:5" x14ac:dyDescent="0.25">
      <c r="A7" s="11" t="s">
        <v>261</v>
      </c>
      <c r="B7" s="11" t="s">
        <v>277</v>
      </c>
      <c r="C7" s="11" t="s">
        <v>252</v>
      </c>
    </row>
    <row r="8" spans="1:5" outlineLevel="1" x14ac:dyDescent="0.25">
      <c r="A8" s="11" t="s">
        <v>253</v>
      </c>
      <c r="B8" s="11" t="s">
        <v>254</v>
      </c>
      <c r="C8" s="11" t="s">
        <v>252</v>
      </c>
    </row>
    <row r="9" spans="1:5" outlineLevel="1" x14ac:dyDescent="0.25">
      <c r="A9" s="11" t="s">
        <v>253</v>
      </c>
      <c r="B9" s="11" t="s">
        <v>278</v>
      </c>
      <c r="C9" s="11" t="s">
        <v>252</v>
      </c>
    </row>
    <row r="10" spans="1:5" x14ac:dyDescent="0.25">
      <c r="A10" s="142"/>
      <c r="B10" s="141"/>
      <c r="C10" s="142"/>
    </row>
    <row r="11" spans="1:5" x14ac:dyDescent="0.25">
      <c r="A11" s="142"/>
      <c r="B11" s="141"/>
      <c r="C11" s="142"/>
    </row>
    <row r="12" spans="1:5" x14ac:dyDescent="0.25">
      <c r="A12" s="142"/>
      <c r="B12" s="141"/>
      <c r="C12" s="142"/>
    </row>
    <row r="13" spans="1:5" ht="13.8" thickBot="1" x14ac:dyDescent="0.3"/>
    <row r="14" spans="1:5" ht="13.8" thickBot="1" x14ac:dyDescent="0.3">
      <c r="A14" s="128" t="s">
        <v>201</v>
      </c>
      <c r="B14" s="129"/>
      <c r="C14" s="130"/>
    </row>
    <row r="15" spans="1:5" x14ac:dyDescent="0.25">
      <c r="A15" s="14" t="s">
        <v>187</v>
      </c>
      <c r="B15" s="14" t="s">
        <v>200</v>
      </c>
      <c r="C15" s="14" t="s">
        <v>202</v>
      </c>
      <c r="D15" s="12" t="s">
        <v>20</v>
      </c>
      <c r="E15" s="13"/>
    </row>
    <row r="16" spans="1:5" x14ac:dyDescent="0.25">
      <c r="A16" s="11" t="s">
        <v>261</v>
      </c>
      <c r="B16" s="11" t="s">
        <v>262</v>
      </c>
      <c r="C16" s="11" t="s">
        <v>279</v>
      </c>
      <c r="D16" s="11" t="s">
        <v>252</v>
      </c>
    </row>
    <row r="17" spans="1:4" x14ac:dyDescent="0.25">
      <c r="A17" s="11"/>
      <c r="B17" s="11"/>
      <c r="C17" s="11"/>
      <c r="D17" s="11"/>
    </row>
    <row r="20" spans="1:4" x14ac:dyDescent="0.25">
      <c r="A20" s="19" t="s">
        <v>26</v>
      </c>
      <c r="B20" s="19" t="s">
        <v>177</v>
      </c>
    </row>
    <row r="21" spans="1:4" x14ac:dyDescent="0.25">
      <c r="A21" s="18"/>
      <c r="B21" s="18">
        <v>0</v>
      </c>
    </row>
  </sheetData>
  <mergeCells count="3">
    <mergeCell ref="A1:C1"/>
    <mergeCell ref="A14:C14"/>
    <mergeCell ref="A3:C3"/>
  </mergeCells>
  <phoneticPr fontId="2"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Y10"/>
  <sheetViews>
    <sheetView tabSelected="1" topLeftCell="P1" workbookViewId="0">
      <selection activeCell="B18" sqref="B18"/>
    </sheetView>
  </sheetViews>
  <sheetFormatPr defaultRowHeight="13.2" x14ac:dyDescent="0.25"/>
  <cols>
    <col min="1" max="1" width="12.109375" bestFit="1" customWidth="1"/>
    <col min="2" max="2" width="28.6640625" customWidth="1"/>
    <col min="3" max="3" width="14" bestFit="1" customWidth="1"/>
    <col min="4" max="4" width="17.88671875" bestFit="1" customWidth="1"/>
    <col min="5" max="5" width="26.44140625" bestFit="1" customWidth="1"/>
    <col min="6" max="6" width="12.33203125" customWidth="1"/>
    <col min="7" max="7" width="12.88671875" bestFit="1" customWidth="1"/>
    <col min="8" max="8" width="12.109375" bestFit="1" customWidth="1"/>
    <col min="9" max="9" width="19.5546875" bestFit="1" customWidth="1"/>
    <col min="10" max="10" width="16" customWidth="1"/>
    <col min="11" max="11" width="15.33203125" customWidth="1"/>
    <col min="12" max="12" width="8.109375" bestFit="1" customWidth="1"/>
    <col min="13" max="13" width="9.109375" bestFit="1" customWidth="1"/>
    <col min="14" max="16" width="9.109375" customWidth="1"/>
    <col min="17" max="17" width="11.44140625" bestFit="1" customWidth="1"/>
    <col min="18" max="19" width="11.44140625" customWidth="1"/>
    <col min="20" max="20" width="17.44140625" bestFit="1" customWidth="1"/>
    <col min="21" max="21" width="16.109375" customWidth="1"/>
    <col min="22" max="22" width="12" customWidth="1"/>
    <col min="23" max="23" width="13.109375" bestFit="1" customWidth="1"/>
    <col min="24" max="24" width="48.44140625" style="21" bestFit="1" customWidth="1"/>
  </cols>
  <sheetData>
    <row r="1" spans="1:25" ht="13.8" thickBot="1" x14ac:dyDescent="0.3">
      <c r="A1" s="128" t="s">
        <v>203</v>
      </c>
      <c r="B1" s="129"/>
      <c r="C1" s="130"/>
    </row>
    <row r="2" spans="1:25" x14ac:dyDescent="0.25">
      <c r="F2" s="137" t="s">
        <v>204</v>
      </c>
      <c r="G2" s="137"/>
      <c r="H2" s="137"/>
      <c r="I2" s="134" t="s">
        <v>205</v>
      </c>
      <c r="J2" s="135"/>
      <c r="K2" s="135"/>
      <c r="L2" s="134" t="s">
        <v>206</v>
      </c>
      <c r="M2" s="135"/>
      <c r="N2" s="135"/>
      <c r="O2" s="135"/>
      <c r="P2" s="135"/>
      <c r="Q2" s="136"/>
      <c r="R2" s="134" t="s">
        <v>207</v>
      </c>
      <c r="S2" s="135"/>
      <c r="T2" s="135"/>
      <c r="U2" s="136"/>
      <c r="V2" s="134" t="s">
        <v>208</v>
      </c>
      <c r="W2" s="136"/>
    </row>
    <row r="3" spans="1:25" s="44" customFormat="1" ht="34.200000000000003" x14ac:dyDescent="0.2">
      <c r="A3" s="40" t="s">
        <v>187</v>
      </c>
      <c r="B3" s="40" t="s">
        <v>200</v>
      </c>
      <c r="C3" s="40" t="s">
        <v>202</v>
      </c>
      <c r="D3" s="40" t="s">
        <v>209</v>
      </c>
      <c r="E3" s="40" t="s">
        <v>111</v>
      </c>
      <c r="F3" s="41" t="s">
        <v>210</v>
      </c>
      <c r="G3" s="41" t="s">
        <v>211</v>
      </c>
      <c r="H3" s="40" t="s">
        <v>212</v>
      </c>
      <c r="I3" s="41" t="s">
        <v>213</v>
      </c>
      <c r="J3" s="41" t="s">
        <v>214</v>
      </c>
      <c r="K3" s="41" t="s">
        <v>215</v>
      </c>
      <c r="L3" s="45" t="s">
        <v>216</v>
      </c>
      <c r="M3" s="45" t="s">
        <v>217</v>
      </c>
      <c r="N3" s="41" t="s">
        <v>218</v>
      </c>
      <c r="O3" s="41" t="s">
        <v>219</v>
      </c>
      <c r="P3" s="41" t="s">
        <v>220</v>
      </c>
      <c r="Q3" s="41" t="s">
        <v>221</v>
      </c>
      <c r="R3" s="42" t="s">
        <v>216</v>
      </c>
      <c r="S3" s="42" t="s">
        <v>217</v>
      </c>
      <c r="T3" s="42" t="s">
        <v>222</v>
      </c>
      <c r="U3" s="43" t="s">
        <v>223</v>
      </c>
      <c r="V3" s="43" t="s">
        <v>224</v>
      </c>
      <c r="W3" s="43" t="s">
        <v>225</v>
      </c>
      <c r="X3" s="41" t="s">
        <v>20</v>
      </c>
    </row>
    <row r="4" spans="1:25" x14ac:dyDescent="0.25">
      <c r="A4" s="11" t="s">
        <v>253</v>
      </c>
      <c r="B4" s="11" t="s">
        <v>281</v>
      </c>
      <c r="C4" s="11" t="s">
        <v>263</v>
      </c>
      <c r="D4" s="11" t="s">
        <v>264</v>
      </c>
      <c r="E4" s="11" t="s">
        <v>265</v>
      </c>
      <c r="F4" s="11" t="s">
        <v>266</v>
      </c>
      <c r="G4" s="11" t="s">
        <v>266</v>
      </c>
      <c r="H4" s="11" t="s">
        <v>266</v>
      </c>
      <c r="I4" s="11" t="s">
        <v>266</v>
      </c>
      <c r="J4" s="11" t="s">
        <v>267</v>
      </c>
      <c r="K4" s="11" t="s">
        <v>232</v>
      </c>
      <c r="L4" s="11" t="s">
        <v>266</v>
      </c>
      <c r="M4" s="11" t="s">
        <v>266</v>
      </c>
      <c r="N4" s="11" t="s">
        <v>266</v>
      </c>
      <c r="O4" s="11" t="s">
        <v>266</v>
      </c>
      <c r="P4" s="11" t="s">
        <v>266</v>
      </c>
      <c r="Q4" s="11" t="s">
        <v>266</v>
      </c>
      <c r="R4" s="11" t="s">
        <v>266</v>
      </c>
      <c r="S4" s="11" t="s">
        <v>266</v>
      </c>
      <c r="T4" s="11" t="s">
        <v>266</v>
      </c>
      <c r="U4" s="11" t="s">
        <v>266</v>
      </c>
      <c r="V4" s="11" t="s">
        <v>273</v>
      </c>
      <c r="W4" s="11"/>
      <c r="X4" s="20" t="s">
        <v>268</v>
      </c>
      <c r="Y4">
        <v>0.01</v>
      </c>
    </row>
    <row r="5" spans="1:25" x14ac:dyDescent="0.25">
      <c r="A5" s="11" t="s">
        <v>253</v>
      </c>
      <c r="B5" s="11" t="s">
        <v>281</v>
      </c>
      <c r="C5" s="11" t="s">
        <v>263</v>
      </c>
      <c r="D5" s="11" t="s">
        <v>264</v>
      </c>
      <c r="E5" s="11" t="s">
        <v>265</v>
      </c>
      <c r="F5" s="11" t="s">
        <v>266</v>
      </c>
      <c r="G5" s="11" t="s">
        <v>266</v>
      </c>
      <c r="H5" s="11" t="s">
        <v>266</v>
      </c>
      <c r="I5" s="11" t="s">
        <v>266</v>
      </c>
      <c r="J5" s="11" t="s">
        <v>267</v>
      </c>
      <c r="K5" s="11" t="s">
        <v>232</v>
      </c>
      <c r="L5" s="11" t="s">
        <v>266</v>
      </c>
      <c r="M5" s="11" t="s">
        <v>266</v>
      </c>
      <c r="N5" s="11" t="s">
        <v>266</v>
      </c>
      <c r="O5" s="11" t="s">
        <v>266</v>
      </c>
      <c r="P5" s="11" t="s">
        <v>266</v>
      </c>
      <c r="Q5" s="11" t="s">
        <v>266</v>
      </c>
      <c r="R5" s="11" t="s">
        <v>266</v>
      </c>
      <c r="S5" s="11" t="s">
        <v>266</v>
      </c>
      <c r="T5" s="11" t="s">
        <v>266</v>
      </c>
      <c r="U5" s="11" t="s">
        <v>266</v>
      </c>
      <c r="V5" s="11" t="s">
        <v>274</v>
      </c>
      <c r="W5" s="11"/>
      <c r="X5" s="20" t="s">
        <v>268</v>
      </c>
      <c r="Y5">
        <v>0.01</v>
      </c>
    </row>
    <row r="6" spans="1:25" x14ac:dyDescent="0.25">
      <c r="A6" s="11" t="s">
        <v>261</v>
      </c>
      <c r="B6" s="11" t="s">
        <v>280</v>
      </c>
      <c r="C6" s="11" t="s">
        <v>269</v>
      </c>
      <c r="D6" s="11" t="s">
        <v>264</v>
      </c>
      <c r="E6" s="11" t="s">
        <v>270</v>
      </c>
      <c r="F6" s="11" t="s">
        <v>266</v>
      </c>
      <c r="G6" s="11" t="s">
        <v>266</v>
      </c>
      <c r="H6" s="11" t="s">
        <v>266</v>
      </c>
      <c r="I6" s="11" t="s">
        <v>266</v>
      </c>
      <c r="J6" s="11" t="s">
        <v>267</v>
      </c>
      <c r="K6" s="11" t="s">
        <v>232</v>
      </c>
      <c r="L6" s="11" t="s">
        <v>266</v>
      </c>
      <c r="M6" s="11" t="s">
        <v>266</v>
      </c>
      <c r="N6" s="11" t="s">
        <v>266</v>
      </c>
      <c r="O6" s="11" t="s">
        <v>266</v>
      </c>
      <c r="P6" s="11" t="s">
        <v>266</v>
      </c>
      <c r="Q6" s="11" t="s">
        <v>266</v>
      </c>
      <c r="R6" s="11" t="s">
        <v>266</v>
      </c>
      <c r="S6" s="11" t="s">
        <v>266</v>
      </c>
      <c r="T6" s="11" t="s">
        <v>266</v>
      </c>
      <c r="U6" s="11" t="s">
        <v>266</v>
      </c>
      <c r="V6" s="11" t="s">
        <v>273</v>
      </c>
      <c r="W6" t="s">
        <v>271</v>
      </c>
      <c r="X6" s="20" t="s">
        <v>268</v>
      </c>
      <c r="Y6">
        <v>0.01</v>
      </c>
    </row>
    <row r="7" spans="1:25" x14ac:dyDescent="0.25">
      <c r="A7" s="11" t="s">
        <v>261</v>
      </c>
      <c r="B7" s="11" t="s">
        <v>280</v>
      </c>
      <c r="C7" s="11" t="s">
        <v>269</v>
      </c>
      <c r="D7" s="11" t="s">
        <v>264</v>
      </c>
      <c r="E7" s="11" t="s">
        <v>270</v>
      </c>
      <c r="F7" s="11" t="s">
        <v>266</v>
      </c>
      <c r="G7" s="11" t="s">
        <v>266</v>
      </c>
      <c r="H7" s="11" t="s">
        <v>266</v>
      </c>
      <c r="I7" s="11" t="s">
        <v>266</v>
      </c>
      <c r="J7" s="11" t="s">
        <v>267</v>
      </c>
      <c r="K7" s="11" t="s">
        <v>232</v>
      </c>
      <c r="L7" s="11" t="s">
        <v>266</v>
      </c>
      <c r="M7" s="11" t="s">
        <v>266</v>
      </c>
      <c r="N7" s="11" t="s">
        <v>266</v>
      </c>
      <c r="O7" s="11" t="s">
        <v>266</v>
      </c>
      <c r="P7" s="11" t="s">
        <v>266</v>
      </c>
      <c r="Q7" s="11" t="s">
        <v>266</v>
      </c>
      <c r="R7" s="11" t="s">
        <v>266</v>
      </c>
      <c r="S7" s="11" t="s">
        <v>266</v>
      </c>
      <c r="T7" s="11" t="s">
        <v>266</v>
      </c>
      <c r="U7" s="11" t="s">
        <v>266</v>
      </c>
      <c r="V7" s="11" t="s">
        <v>274</v>
      </c>
      <c r="W7" t="s">
        <v>272</v>
      </c>
      <c r="X7" s="20" t="s">
        <v>268</v>
      </c>
      <c r="Y7">
        <v>0.01</v>
      </c>
    </row>
    <row r="9" spans="1:25" x14ac:dyDescent="0.25">
      <c r="A9" s="19" t="s">
        <v>26</v>
      </c>
      <c r="B9" s="19" t="s">
        <v>177</v>
      </c>
    </row>
    <row r="10" spans="1:25" x14ac:dyDescent="0.25">
      <c r="A10" s="18"/>
      <c r="B10" s="18">
        <f>SUM(Y:Y)</f>
        <v>0.04</v>
      </c>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C10"/>
  <sheetViews>
    <sheetView workbookViewId="0">
      <selection activeCell="B10" sqref="B10"/>
    </sheetView>
  </sheetViews>
  <sheetFormatPr defaultRowHeight="13.2" x14ac:dyDescent="0.25"/>
  <cols>
    <col min="1" max="1" width="16.33203125" bestFit="1" customWidth="1"/>
    <col min="2" max="2" width="15.33203125" customWidth="1"/>
    <col min="3" max="3" width="44.5546875" bestFit="1" customWidth="1"/>
  </cols>
  <sheetData>
    <row r="1" spans="1:3" ht="13.8" thickBot="1" x14ac:dyDescent="0.3">
      <c r="A1" s="128" t="s">
        <v>115</v>
      </c>
      <c r="B1" s="129"/>
      <c r="C1" s="130"/>
    </row>
    <row r="3" spans="1:3" ht="39.6" x14ac:dyDescent="0.25">
      <c r="A3" s="26" t="s">
        <v>226</v>
      </c>
      <c r="B3" s="26" t="s">
        <v>162</v>
      </c>
      <c r="C3" s="26" t="s">
        <v>59</v>
      </c>
    </row>
    <row r="4" spans="1:3" x14ac:dyDescent="0.25">
      <c r="A4" s="39"/>
      <c r="B4" s="39"/>
      <c r="C4" s="39"/>
    </row>
    <row r="5" spans="1:3" x14ac:dyDescent="0.25">
      <c r="A5" s="11"/>
      <c r="B5" s="11"/>
      <c r="C5" s="20"/>
    </row>
    <row r="6" spans="1:3" x14ac:dyDescent="0.25">
      <c r="A6" s="11"/>
      <c r="B6" s="11"/>
      <c r="C6" s="11"/>
    </row>
    <row r="9" spans="1:3" x14ac:dyDescent="0.25">
      <c r="A9" s="19" t="s">
        <v>26</v>
      </c>
      <c r="B9" s="19" t="s">
        <v>177</v>
      </c>
    </row>
    <row r="10" spans="1:3" x14ac:dyDescent="0.25">
      <c r="A10" s="18"/>
      <c r="B10" s="18"/>
    </row>
  </sheetData>
  <mergeCells count="1">
    <mergeCell ref="A1:C1"/>
  </mergeCells>
  <phoneticPr fontId="2" type="noConversion"/>
  <pageMargins left="0.75" right="0.75" top="1" bottom="1" header="0.5" footer="0.5"/>
  <pageSetup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H18"/>
  <sheetViews>
    <sheetView workbookViewId="0">
      <selection activeCell="F5" sqref="F5:G5"/>
    </sheetView>
  </sheetViews>
  <sheetFormatPr defaultRowHeight="13.2" x14ac:dyDescent="0.25"/>
  <cols>
    <col min="1" max="1" width="21.88671875" bestFit="1" customWidth="1"/>
    <col min="2" max="2" width="27.88671875" bestFit="1" customWidth="1"/>
    <col min="3" max="3" width="16.44140625" bestFit="1" customWidth="1"/>
    <col min="4" max="4" width="14.6640625" bestFit="1" customWidth="1"/>
    <col min="5" max="5" width="22.88671875" customWidth="1"/>
    <col min="6" max="6" width="20.33203125" customWidth="1"/>
    <col min="8" max="8" width="22.33203125" bestFit="1" customWidth="1"/>
    <col min="30" max="30" width="23.44140625" bestFit="1" customWidth="1"/>
  </cols>
  <sheetData>
    <row r="1" spans="1:8" ht="13.8" thickBot="1" x14ac:dyDescent="0.3">
      <c r="A1" s="128" t="s">
        <v>117</v>
      </c>
      <c r="B1" s="129"/>
      <c r="C1" s="129"/>
      <c r="D1" s="130"/>
    </row>
    <row r="3" spans="1:8" x14ac:dyDescent="0.25">
      <c r="A3" s="12" t="s">
        <v>227</v>
      </c>
      <c r="B3" s="12" t="s">
        <v>228</v>
      </c>
      <c r="C3" s="12" t="s">
        <v>94</v>
      </c>
      <c r="D3" s="12" t="s">
        <v>229</v>
      </c>
      <c r="E3" s="12" t="s">
        <v>230</v>
      </c>
      <c r="F3" s="12" t="s">
        <v>231</v>
      </c>
    </row>
    <row r="4" spans="1:8" x14ac:dyDescent="0.25">
      <c r="A4" s="17" t="s">
        <v>233</v>
      </c>
      <c r="B4" s="38"/>
      <c r="C4" s="39"/>
      <c r="D4" s="39"/>
      <c r="E4" s="39"/>
      <c r="F4" s="11" t="s">
        <v>156</v>
      </c>
    </row>
    <row r="5" spans="1:8" x14ac:dyDescent="0.25">
      <c r="A5" s="17" t="s">
        <v>233</v>
      </c>
      <c r="B5" s="38"/>
      <c r="C5" s="39"/>
      <c r="D5" s="39"/>
      <c r="E5" s="39"/>
      <c r="F5" s="11" t="s">
        <v>156</v>
      </c>
    </row>
    <row r="8" spans="1:8" x14ac:dyDescent="0.25">
      <c r="A8" s="12" t="s">
        <v>234</v>
      </c>
      <c r="B8" s="36" t="s">
        <v>235</v>
      </c>
      <c r="C8" s="36" t="s">
        <v>236</v>
      </c>
      <c r="D8" s="36" t="s">
        <v>237</v>
      </c>
      <c r="E8" s="36" t="s">
        <v>238</v>
      </c>
      <c r="F8" s="36" t="s">
        <v>239</v>
      </c>
      <c r="G8" s="36" t="s">
        <v>240</v>
      </c>
      <c r="H8" s="36" t="s">
        <v>241</v>
      </c>
    </row>
    <row r="9" spans="1:8" x14ac:dyDescent="0.25">
      <c r="A9" s="12" t="s">
        <v>242</v>
      </c>
      <c r="B9" s="37"/>
      <c r="C9" s="37"/>
      <c r="D9" s="37"/>
      <c r="E9" s="37"/>
      <c r="F9" s="37"/>
      <c r="G9" s="37"/>
      <c r="H9" s="37"/>
    </row>
    <row r="10" spans="1:8" x14ac:dyDescent="0.25">
      <c r="A10" s="12" t="s">
        <v>242</v>
      </c>
      <c r="B10" s="37"/>
      <c r="C10" s="37"/>
      <c r="D10" s="37"/>
      <c r="E10" s="37"/>
      <c r="F10" s="37"/>
      <c r="G10" s="37"/>
      <c r="H10" s="37"/>
    </row>
    <row r="11" spans="1:8" x14ac:dyDescent="0.25">
      <c r="A11" s="12" t="s">
        <v>242</v>
      </c>
      <c r="B11" s="37"/>
      <c r="C11" s="37"/>
      <c r="D11" s="37"/>
      <c r="E11" s="37"/>
      <c r="F11" s="37"/>
      <c r="G11" s="37"/>
      <c r="H11" s="37"/>
    </row>
    <row r="15" spans="1:8" x14ac:dyDescent="0.25">
      <c r="B15" s="35" t="s">
        <v>243</v>
      </c>
      <c r="C15" s="138" t="s">
        <v>244</v>
      </c>
      <c r="D15" s="138"/>
      <c r="E15" s="138"/>
      <c r="F15" s="138"/>
      <c r="G15" s="138"/>
    </row>
    <row r="16" spans="1:8" x14ac:dyDescent="0.25">
      <c r="B16" s="35" t="s">
        <v>245</v>
      </c>
      <c r="C16" s="138"/>
      <c r="D16" s="138"/>
      <c r="E16" s="138"/>
      <c r="F16" s="138"/>
      <c r="G16" s="138"/>
    </row>
    <row r="17" spans="2:7" x14ac:dyDescent="0.25">
      <c r="B17" s="35" t="s">
        <v>246</v>
      </c>
      <c r="C17" s="138"/>
      <c r="D17" s="138"/>
      <c r="E17" s="138"/>
      <c r="F17" s="138"/>
      <c r="G17" s="138"/>
    </row>
    <row r="18" spans="2:7" x14ac:dyDescent="0.25">
      <c r="B18" s="35" t="s">
        <v>247</v>
      </c>
      <c r="C18" s="138"/>
      <c r="D18" s="138"/>
      <c r="E18" s="138"/>
      <c r="F18" s="138"/>
      <c r="G18" s="138"/>
    </row>
  </sheetData>
  <mergeCells count="2">
    <mergeCell ref="A1:D1"/>
    <mergeCell ref="C15:G18"/>
  </mergeCells>
  <phoneticPr fontId="2" type="noConversion"/>
  <dataValidations count="2">
    <dataValidation type="list" allowBlank="1" showInputMessage="1" showErrorMessage="1" sqref="F4:F5" xr:uid="{00000000-0002-0000-0D00-000000000000}">
      <formula1>"High (Y), Normal (N), N/A"</formula1>
    </dataValidation>
    <dataValidation type="list" allowBlank="1" showInputMessage="1" showErrorMessage="1" sqref="E4:E5" xr:uid="{00000000-0002-0000-0D00-000001000000}">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
  <sheetViews>
    <sheetView workbookViewId="0">
      <selection activeCell="C2" sqref="B2:C3"/>
    </sheetView>
  </sheetViews>
  <sheetFormatPr defaultRowHeight="13.2" x14ac:dyDescent="0.25"/>
  <cols>
    <col min="1" max="1" width="15.109375" bestFit="1" customWidth="1"/>
    <col min="2" max="2" width="48" customWidth="1"/>
  </cols>
  <sheetData>
    <row r="1" spans="1:2" x14ac:dyDescent="0.25">
      <c r="A1" s="139" t="s">
        <v>248</v>
      </c>
      <c r="B1" s="140"/>
    </row>
    <row r="2" spans="1:2" x14ac:dyDescent="0.25">
      <c r="A2" s="63" t="s">
        <v>249</v>
      </c>
      <c r="B2" s="78"/>
    </row>
    <row r="3" spans="1:2" x14ac:dyDescent="0.25">
      <c r="A3" s="63" t="s">
        <v>250</v>
      </c>
      <c r="B3" s="78"/>
    </row>
    <row r="4" spans="1:2" ht="13.8" thickBot="1" x14ac:dyDescent="0.3">
      <c r="A4" s="64" t="s">
        <v>251</v>
      </c>
      <c r="B4" s="88"/>
    </row>
  </sheetData>
  <mergeCells count="1">
    <mergeCell ref="A1:B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ME_Release xmlns="6d0617fb-1757-47f7-87ee-4de08b985d90">20191011</TME_Release>
    <docType xmlns="6d0617fb-1757-47f7-87ee-4de08b985d9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31A3EA1E996E4479135E1C508EDA24A" ma:contentTypeVersion="9" ma:contentTypeDescription="Create a new document." ma:contentTypeScope="" ma:versionID="56a8f7b4b4809e6d49e6414ae3ae5db0">
  <xsd:schema xmlns:xsd="http://www.w3.org/2001/XMLSchema" xmlns:xs="http://www.w3.org/2001/XMLSchema" xmlns:p="http://schemas.microsoft.com/office/2006/metadata/properties" xmlns:ns2="1a569788-0767-4c16-bd44-94994fd42c43" xmlns:ns3="6d0617fb-1757-47f7-87ee-4de08b985d90" targetNamespace="http://schemas.microsoft.com/office/2006/metadata/properties" ma:root="true" ma:fieldsID="4dfcd7dce8b93c82db1af275abb657b7" ns2:_="" ns3:_="">
    <xsd:import namespace="1a569788-0767-4c16-bd44-94994fd42c43"/>
    <xsd:import namespace="6d0617fb-1757-47f7-87ee-4de08b985d9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docType" minOccurs="0"/>
                <xsd:element ref="ns3:TME_Release" minOccurs="0"/>
                <xsd:element ref="ns3:MediaServiceDateTake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569788-0767-4c16-bd44-94994fd42c43"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d0617fb-1757-47f7-87ee-4de08b985d9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docType" ma:index="12" nillable="true" ma:displayName="doc Type" ma:format="Dropdown" ma:internalName="docType">
      <xsd:simpleType>
        <xsd:restriction base="dms:Choice">
          <xsd:enumeration value="FD"/>
          <xsd:enumeration value="DTD"/>
          <xsd:enumeration value="blab lbal"/>
        </xsd:restriction>
      </xsd:simpleType>
    </xsd:element>
    <xsd:element name="TME_Release" ma:index="13" nillable="true" ma:displayName="TME_Release" ma:default="20191011" ma:format="Dropdown" ma:internalName="TME_Release">
      <xsd:simpleType>
        <xsd:restriction base="dms:Choice">
          <xsd:enumeration value="20190510"/>
          <xsd:enumeration value="20191011"/>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1DA038B-0D02-4A46-9984-E263D5F1CBF3}">
  <ds:schemaRefs>
    <ds:schemaRef ds:uri="http://schemas.microsoft.com/office/2006/metadata/properties"/>
    <ds:schemaRef ds:uri="http://schemas.microsoft.com/office/infopath/2007/PartnerControls"/>
    <ds:schemaRef ds:uri="6d0617fb-1757-47f7-87ee-4de08b985d90"/>
  </ds:schemaRefs>
</ds:datastoreItem>
</file>

<file path=customXml/itemProps2.xml><?xml version="1.0" encoding="utf-8"?>
<ds:datastoreItem xmlns:ds="http://schemas.openxmlformats.org/officeDocument/2006/customXml" ds:itemID="{2E3FF3FE-4DF8-45AA-836B-B794E5391AF2}">
  <ds:schemaRefs>
    <ds:schemaRef ds:uri="http://schemas.microsoft.com/sharepoint/v3/contenttype/forms"/>
  </ds:schemaRefs>
</ds:datastoreItem>
</file>

<file path=customXml/itemProps3.xml><?xml version="1.0" encoding="utf-8"?>
<ds:datastoreItem xmlns:ds="http://schemas.openxmlformats.org/officeDocument/2006/customXml" ds:itemID="{BD9B784F-9486-4C16-BD56-4663ABCB411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a569788-0767-4c16-bd44-94994fd42c43"/>
    <ds:schemaRef ds:uri="6d0617fb-1757-47f7-87ee-4de08b985d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Title</vt:lpstr>
      <vt:lpstr>Version Control</vt:lpstr>
      <vt:lpstr>Functional Specification</vt:lpstr>
      <vt:lpstr>DTD Review Checklist</vt:lpstr>
      <vt:lpstr>AppConfig</vt:lpstr>
      <vt:lpstr>Overview</vt:lpstr>
      <vt:lpstr>1.0 DB Schema</vt:lpstr>
      <vt:lpstr>2.0 Ifb &amp; PHP</vt:lpstr>
      <vt:lpstr>3.0 Mapping</vt:lpstr>
      <vt:lpstr>3.1 Mapping Details</vt:lpstr>
      <vt:lpstr>4.0 Worklet &amp; workflow</vt:lpstr>
      <vt:lpstr>4.1 Session Details</vt:lpstr>
      <vt:lpstr>5.0 Stored Procedure</vt:lpstr>
      <vt:lpstr>6.0 Data Update</vt:lpstr>
      <vt:lpstr>6.1 Data update Details</vt:lpstr>
      <vt:lpstr>AppCRN</vt:lpstr>
      <vt:lpstr>AppDateReviewed</vt:lpstr>
      <vt:lpstr>AppDevDReviewed</vt:lpstr>
      <vt:lpstr>AppDevNameReviewed</vt:lpstr>
      <vt:lpstr>AppMA</vt:lpstr>
      <vt:lpstr>AppPPRD</vt:lpstr>
      <vt:lpstr>AppReviewedBy</vt:lpstr>
      <vt:lpstr>Area</vt:lpstr>
      <vt:lpstr>CRNIRN</vt:lpstr>
      <vt:lpstr>DateReviewed</vt:lpstr>
      <vt:lpstr>DevDReviewed</vt:lpstr>
      <vt:lpstr>Entity</vt:lpstr>
      <vt:lpstr>MA</vt:lpstr>
      <vt:lpstr>PPRD</vt:lpstr>
    </vt:vector>
  </TitlesOfParts>
  <Manager/>
  <Company>Accenture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keywords/>
  <dc:description/>
  <cp:lastModifiedBy>Mingoué Tchagou, Frank</cp:lastModifiedBy>
  <cp:revision/>
  <dcterms:created xsi:type="dcterms:W3CDTF">2009-06-01T12:18:44Z</dcterms:created>
  <dcterms:modified xsi:type="dcterms:W3CDTF">2021-11-09T09:29:58Z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0x010100431A3EA1E996E4479135E1C508EDA24A</vt:lpwstr>
  </property>
  <property fmtid="{64440492-4C8B-11D1-8B70-080036B11A03}" pid="4">
    <vt:lpwstr>TME JTI</vt:lpwstr>
  </property>
</Properties>
</file>