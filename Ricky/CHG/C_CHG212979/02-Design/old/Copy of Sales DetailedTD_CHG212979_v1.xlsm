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2979\02-Design\"/>
    </mc:Choice>
  </mc:AlternateContent>
  <xr:revisionPtr revIDLastSave="0" documentId="13_ncr:1_{061EABC1-1D6F-4C2D-92E1-8F19265723F1}" xr6:coauthVersionLast="46" xr6:coauthVersionMax="46" xr10:uidLastSave="{00000000-0000-0000-0000-000000000000}"/>
  <bookViews>
    <workbookView xWindow="28680" yWindow="-120" windowWidth="24240" windowHeight="13290" tabRatio="932" activeTab="5" xr2:uid="{00000000-000D-0000-FFFF-FFFF00000000}"/>
  </bookViews>
  <sheets>
    <sheet name="Title" sheetId="1" r:id="rId1"/>
    <sheet name="Version Control" sheetId="2" r:id="rId2"/>
    <sheet name="Overview" sheetId="3" r:id="rId3"/>
    <sheet name="DTD Review Crosscheck" sheetId="101" r:id="rId4"/>
    <sheet name="1.0 LA " sheetId="25" r:id="rId5"/>
    <sheet name="2.0 BC" sheetId="86" r:id="rId6"/>
    <sheet name="3.0. Symbolic String" sheetId="91" r:id="rId7"/>
    <sheet name="4.Table" sheetId="102" r:id="rId8"/>
  </sheets>
  <definedNames>
    <definedName name="_xlnm._FilterDatabase" localSheetId="3" hidden="1">'DTD Review Crosscheck'!$A$4:$E$43</definedName>
    <definedName name="_xlnm.Print_Area" localSheetId="1">'Version Control'!$A$1:$H$6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 i="2" l="1"/>
  <c r="B16" i="2" s="1"/>
  <c r="B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tc={2B470845-7164-48BF-81DB-738D037D3BBC}</author>
    <author>tc={3BB4823B-338B-4FB0-9E38-50938A222BAA}</author>
  </authors>
  <commentList>
    <comment ref="F9" authorId="0" shapeId="0" xr:uid="{2B470845-7164-48BF-81DB-738D037D3BBC}">
      <text>
        <t>[Threaded comment]
Your version of Excel allows you to read this threaded comment; however, any edits to it will get removed if the file is opened in a newer version of Excel. Learn more: https://go.microsoft.com/fwlink/?linkid=870924
Comment:
    Confirm same column name is  Created as per CHG212558</t>
      </text>
    </comment>
    <comment ref="F10" authorId="1" shapeId="0" xr:uid="{3BB4823B-338B-4FB0-9E38-50938A222BAA}">
      <text>
        <t>[Threaded comment]
Your version of Excel allows you to read this threaded comment; however, any edits to it will get removed if the file is opened in a newer version of Excel. Learn more: https://go.microsoft.com/fwlink/?linkid=870924
Comment:
    Confirm same column name is  Created as per CHG212558</t>
      </text>
    </comment>
  </commentList>
</comments>
</file>

<file path=xl/sharedStrings.xml><?xml version="1.0" encoding="utf-8"?>
<sst xmlns="http://schemas.openxmlformats.org/spreadsheetml/2006/main" count="1236" uniqueCount="286">
  <si>
    <t>Display Name</t>
  </si>
  <si>
    <t>Description</t>
  </si>
  <si>
    <t>HTML Type</t>
  </si>
  <si>
    <t>Field</t>
  </si>
  <si>
    <t>Trade Marketing Excellence Programme</t>
  </si>
  <si>
    <t>Date:</t>
  </si>
  <si>
    <t>Status:</t>
  </si>
  <si>
    <t>Reviewer Control Section</t>
  </si>
  <si>
    <t>Name</t>
  </si>
  <si>
    <t>First Name</t>
  </si>
  <si>
    <t>Function</t>
  </si>
  <si>
    <t>Document Version</t>
  </si>
  <si>
    <t>Date</t>
  </si>
  <si>
    <t xml:space="preserve">Draft </t>
  </si>
  <si>
    <t>Functional Design</t>
  </si>
  <si>
    <t>Content</t>
  </si>
  <si>
    <t>Worksheet</t>
  </si>
  <si>
    <t>Ownership</t>
  </si>
  <si>
    <t>Area</t>
  </si>
  <si>
    <t>Purpose</t>
  </si>
  <si>
    <t>View</t>
  </si>
  <si>
    <t>Sequence</t>
  </si>
  <si>
    <t>Comments</t>
  </si>
  <si>
    <t>Applet</t>
  </si>
  <si>
    <t>List Applet Design</t>
  </si>
  <si>
    <t>Column</t>
  </si>
  <si>
    <t>Type</t>
  </si>
  <si>
    <t>Script</t>
  </si>
  <si>
    <t>Scripting</t>
  </si>
  <si>
    <t>Estimation</t>
  </si>
  <si>
    <t>Mandays</t>
  </si>
  <si>
    <t>Dev/Configuration</t>
  </si>
  <si>
    <t>Peer Review</t>
  </si>
  <si>
    <t>Manday</t>
  </si>
  <si>
    <t>Calculated Value</t>
  </si>
  <si>
    <t>Calculated</t>
  </si>
  <si>
    <t>Predefault Value</t>
  </si>
  <si>
    <t>Precision</t>
  </si>
  <si>
    <t>Text Length</t>
  </si>
  <si>
    <t>Validation</t>
  </si>
  <si>
    <t>Business Component Design</t>
  </si>
  <si>
    <t>Fields</t>
  </si>
  <si>
    <t>Value</t>
  </si>
  <si>
    <t>Bus Comp User Prop</t>
  </si>
  <si>
    <t>Table</t>
  </si>
  <si>
    <t>TOTAL Estimation</t>
  </si>
  <si>
    <t>Runtime</t>
  </si>
  <si>
    <t>List Column</t>
  </si>
  <si>
    <t>Available</t>
  </si>
  <si>
    <t>Available - Language Override</t>
  </si>
  <si>
    <t>Display Name - String Reference</t>
  </si>
  <si>
    <t>Show in List</t>
  </si>
  <si>
    <t>Order</t>
  </si>
  <si>
    <t>Language</t>
  </si>
  <si>
    <t>LOV</t>
  </si>
  <si>
    <t>Active</t>
  </si>
  <si>
    <t>Status</t>
  </si>
  <si>
    <t>Symbolic Strings Design</t>
  </si>
  <si>
    <t>Symbolic String</t>
  </si>
  <si>
    <t>Symbolic String Locale</t>
  </si>
  <si>
    <t>String Value</t>
  </si>
  <si>
    <t>Technical Design Screens, Views and Applets</t>
  </si>
  <si>
    <t>SALES</t>
  </si>
  <si>
    <t>Title:</t>
  </si>
  <si>
    <t>Market Affected:</t>
  </si>
  <si>
    <t>CHF</t>
  </si>
  <si>
    <t>CHT</t>
  </si>
  <si>
    <t>CSY</t>
  </si>
  <si>
    <t>DEU</t>
  </si>
  <si>
    <t>EIR</t>
  </si>
  <si>
    <t>EKR</t>
  </si>
  <si>
    <t>EMA</t>
  </si>
  <si>
    <t>ENC</t>
  </si>
  <si>
    <t>ESN</t>
  </si>
  <si>
    <t>ETW</t>
  </si>
  <si>
    <t>EWW</t>
  </si>
  <si>
    <t>FLB</t>
  </si>
  <si>
    <t>FRA</t>
  </si>
  <si>
    <t>FRB</t>
  </si>
  <si>
    <t>FRC</t>
  </si>
  <si>
    <t>ITA</t>
  </si>
  <si>
    <t>KOR</t>
  </si>
  <si>
    <t>KZA</t>
  </si>
  <si>
    <t>NLD</t>
  </si>
  <si>
    <t>PLK</t>
  </si>
  <si>
    <t>ROM</t>
  </si>
  <si>
    <t>RUS</t>
  </si>
  <si>
    <t>UKR</t>
  </si>
  <si>
    <t>Post Release Tasks</t>
  </si>
  <si>
    <t>AUT</t>
  </si>
  <si>
    <t>PTG</t>
  </si>
  <si>
    <t>SER</t>
  </si>
  <si>
    <t>GER</t>
  </si>
  <si>
    <t>Test Script</t>
  </si>
  <si>
    <t>Unit Test</t>
  </si>
  <si>
    <t>SVE</t>
  </si>
  <si>
    <t>ENU</t>
  </si>
  <si>
    <t>ENG</t>
  </si>
  <si>
    <t>Non Pilot Impact Analysis - Post Tasks</t>
  </si>
  <si>
    <t>Comment</t>
  </si>
  <si>
    <t>DTD Review CheckList</t>
  </si>
  <si>
    <t>Checklist</t>
  </si>
  <si>
    <t>Details</t>
  </si>
  <si>
    <t>Table Column Naming Convention</t>
  </si>
  <si>
    <t>New Boolean Column &gt;&gt; X_&lt;COLUMNNAME&gt;_FLG
New Text Column &gt;&gt; X_&lt;COLUMNNAME&gt;_TEXT
New Date Column &gt;&gt; X_&lt;COLUMNNAME&gt;_DT
New Numeric Column &gt;&gt; X_&lt;COLUMNNAME&gt;_NUM
New LOV Column &gt;&gt; X_&lt;COLUMNNAME&gt;_CD
New ID Column &gt;&gt; X_&lt;COLUMNNAME&gt;_ID
New Attribute Column &gt;&gt; X_ATTRIB_&lt;Number&gt;</t>
  </si>
  <si>
    <t>Runtime Check</t>
  </si>
  <si>
    <t>Level</t>
  </si>
  <si>
    <t>Object Naming Convention</t>
  </si>
  <si>
    <t>All</t>
  </si>
  <si>
    <t>All new Object must have JTI prefix. Ex: JTI Account</t>
  </si>
  <si>
    <t>In List Applets all number and currency controls should be aligned to the right, check boxes centered and all other aligned to the left.</t>
  </si>
  <si>
    <t>In Form Applets controls should be aligned to the left, except for check boxes (centered)</t>
  </si>
  <si>
    <t>List Colums Alignment</t>
  </si>
  <si>
    <t>Control Alignment</t>
  </si>
  <si>
    <t>Upgrade Ancestor</t>
  </si>
  <si>
    <t>Visibity Setup</t>
  </si>
  <si>
    <t>Verify Visibility Applet &amp; Visibility Applet Type</t>
  </si>
  <si>
    <t>Impact Analysis on Post Tasks</t>
  </si>
  <si>
    <t>Post Tasks</t>
  </si>
  <si>
    <t>Verify that Impact Analysis was set on each Post Release Tasks</t>
  </si>
  <si>
    <t>Script Check</t>
  </si>
  <si>
    <t>Use of – in Object/Property Name</t>
  </si>
  <si>
    <t>BC</t>
  </si>
  <si>
    <t>For New Field, verify that same column is not already used by another field</t>
  </si>
  <si>
    <t>Field Creation</t>
  </si>
  <si>
    <t>List Columns/Control Update</t>
  </si>
  <si>
    <t>Verify if there are different List Columns/Controls that uses the same field.</t>
  </si>
  <si>
    <t>Translation Update</t>
  </si>
  <si>
    <t>Verify that Symbolic String to be updated is not used by other Object (Symbolic String Finder Tool)</t>
  </si>
  <si>
    <t>DOC: Change Log</t>
  </si>
  <si>
    <t>Impact on Non-Pilot</t>
  </si>
  <si>
    <t>Proposal</t>
  </si>
  <si>
    <t>DTD Format - Grouping</t>
  </si>
  <si>
    <t>Group similar Object Change together (Applets/BC/etc..)</t>
  </si>
  <si>
    <t>Current String Value</t>
  </si>
  <si>
    <t>SCI</t>
  </si>
  <si>
    <t>Applet Name</t>
  </si>
  <si>
    <t>BC Name</t>
  </si>
  <si>
    <t>New Column in S_EVT_ACT</t>
  </si>
  <si>
    <t>Verify that New Column in S_EVT_ACT needs to be added in Data CAP Process</t>
  </si>
  <si>
    <t>Dock Object Impacted</t>
  </si>
  <si>
    <t>Tech Arch Intervention?</t>
  </si>
  <si>
    <t>New Column in S_ORG_EXT</t>
  </si>
  <si>
    <r>
      <t xml:space="preserve">New column should </t>
    </r>
    <r>
      <rPr>
        <b/>
        <sz val="10"/>
        <rFont val="Arial"/>
        <family val="2"/>
      </rPr>
      <t>NOT</t>
    </r>
    <r>
      <rPr>
        <sz val="10"/>
        <rFont val="Arial"/>
        <family val="2"/>
      </rPr>
      <t xml:space="preserve"> be created in S_ORG_EXT
Column should be created in S_ORG_EXT_X instead</t>
    </r>
  </si>
  <si>
    <t>EUS</t>
  </si>
  <si>
    <t>Visibity Applet</t>
  </si>
  <si>
    <t>Verify that Visibility Applet is updated as well when applet in view web template item is updated (for the case where applet in view web template item was the same as the Visibility applet)</t>
  </si>
  <si>
    <t>For fields using new column and having a predefault value, assess impact on existing records.</t>
  </si>
  <si>
    <t>Visibility Check (Bus Comp View Mode)</t>
  </si>
  <si>
    <t>Check if Visibility Applet Type setup v/s Bus Comp View Mode</t>
  </si>
  <si>
    <t>AZE</t>
  </si>
  <si>
    <t>All Date/Numeric/Flag/LOV List Columns/Control should have RUNTIME set to TRUE (at applet level)</t>
  </si>
  <si>
    <t>CR #:</t>
  </si>
  <si>
    <t>EMN</t>
  </si>
  <si>
    <t>Use of comment is properly done on new lines of code</t>
  </si>
  <si>
    <t>Use Switch instead of several nested if/then/else</t>
  </si>
  <si>
    <t>The use of ‘With‘ way to group operations performed within the same business component.</t>
  </si>
  <si>
    <t xml:space="preserve">Only one Return/Exit statement per function </t>
  </si>
  <si>
    <t>All objects set to nothing in finally clause in reverse order of creation</t>
  </si>
  <si>
    <t>ExecuteQuery should be used with ForwardOnly mode</t>
  </si>
  <si>
    <t>When using this.GetFieldValue make sure field is activated (Force Active set to TRUE on BC)</t>
  </si>
  <si>
    <t>Code properly indented to imprve readibility</t>
  </si>
  <si>
    <t>Script Required?</t>
  </si>
  <si>
    <r>
      <t xml:space="preserve">Upgrade Ancestor should be set for each object cloned when future changes to the source object shall be applied to the cloned object. Kindly note that Upgrade Ancestor should be set </t>
    </r>
    <r>
      <rPr>
        <b/>
        <sz val="10"/>
        <rFont val="Arial"/>
        <family val="2"/>
      </rPr>
      <t>ONLY to VANILLA objects</t>
    </r>
  </si>
  <si>
    <t>System Preference</t>
  </si>
  <si>
    <r>
      <t xml:space="preserve">Verify that new System Pref Name is prefix with </t>
    </r>
    <r>
      <rPr>
        <b/>
        <sz val="10"/>
        <rFont val="Arial"/>
        <family val="2"/>
      </rPr>
      <t>Company</t>
    </r>
    <r>
      <rPr>
        <sz val="10"/>
        <rFont val="Arial"/>
        <family val="2"/>
      </rPr>
      <t xml:space="preserve"> (for those that is going to be used by offline user)</t>
    </r>
  </si>
  <si>
    <t>List Colums Creation</t>
  </si>
  <si>
    <t>Verify that List Column Name &amp; Field Name is not the same for currency fields</t>
  </si>
  <si>
    <t>KGZ</t>
  </si>
  <si>
    <t>TJK</t>
  </si>
  <si>
    <r>
      <t xml:space="preserve">When using ParentBusComp method, a check should be done first to verify there is a Parent Bus Comp associated. Example Below:-
</t>
    </r>
    <r>
      <rPr>
        <b/>
        <i/>
        <sz val="10"/>
        <rFont val="Arial"/>
        <family val="2"/>
      </rPr>
      <t>if (this.ParentBusComp() != null &amp;&amp; this.ParentBusComp() != "")</t>
    </r>
  </si>
  <si>
    <t>Personalization/Toggle Check</t>
  </si>
  <si>
    <r>
      <t>Verify using</t>
    </r>
    <r>
      <rPr>
        <b/>
        <i/>
        <sz val="10"/>
        <rFont val="Arial"/>
        <family val="2"/>
      </rPr>
      <t xml:space="preserve"> Personalization &amp; Toggle Tool</t>
    </r>
    <r>
      <rPr>
        <sz val="10"/>
        <rFont val="Arial"/>
        <family val="2"/>
      </rPr>
      <t xml:space="preserve"> that applet being modified is in Applet Personalization or Toggle Applet
</t>
    </r>
    <r>
      <rPr>
        <b/>
        <i/>
        <sz val="10"/>
        <rFont val="Arial"/>
        <family val="2"/>
      </rPr>
      <t>This will let us know if our modifications need to be done on any other applets</t>
    </r>
  </si>
  <si>
    <t>Verify that impacted field is correctly mapped and visible for the market requested.</t>
  </si>
  <si>
    <t>Do not use "–" in Object/Property Name</t>
  </si>
  <si>
    <r>
      <t xml:space="preserve">When using </t>
    </r>
    <r>
      <rPr>
        <b/>
        <i/>
        <sz val="10"/>
        <rFont val="Arial"/>
        <family val="2"/>
      </rPr>
      <t>TheApplication().ActiveBusObject()</t>
    </r>
    <r>
      <rPr>
        <sz val="10"/>
        <rFont val="Arial"/>
        <family val="2"/>
      </rPr>
      <t xml:space="preserve"> method, a check should be done first to verify there is an Active Bus Object. Example Below:-
</t>
    </r>
    <r>
      <rPr>
        <b/>
        <i/>
        <sz val="10"/>
        <rFont val="Arial"/>
        <family val="2"/>
      </rPr>
      <t>if (TheApplication().ActiveBusObject()  != null &amp;&amp; TheApplication().ActiveBusObject() != “”)</t>
    </r>
  </si>
  <si>
    <t>When using ToFixed() method make sure that result is converted to number.</t>
  </si>
  <si>
    <t>For fields having Immediate Post Change checked, verify that there is no field validation (message does no appear correctly). 
If any, move Validation to script (PresetFieldValue)</t>
  </si>
  <si>
    <t>When using try and catch, ensure that "RaiseErrorText" is called only once throughout the process when doing any validation</t>
  </si>
  <si>
    <t>Verify that subtype is populated for LOVs with same type, display and language; for example  "JTI_MARKET_SETTINGS" with value "TRUE"</t>
  </si>
  <si>
    <t>Use Event Handler (Try, Catch &amp; Finally). In RaiseErrorText use e.ErrText instead of e.ToString()</t>
  </si>
  <si>
    <t>When including logic in a button, make sure that WriteRecord is present to save the record before executing the logic</t>
  </si>
  <si>
    <t>Predefault/Postdefault Value</t>
  </si>
  <si>
    <t>For fields in activity, make sure that default values are considered as well when a Visit activity is created from an objective activity</t>
  </si>
  <si>
    <t>Change of Method Invoked for Control</t>
  </si>
  <si>
    <t>Changing the Name of Method Invoked in control, crosscheck if Method Name is also used in JS</t>
  </si>
  <si>
    <t>CHG212979</t>
  </si>
  <si>
    <t>CHG OM:  Transfer - Shopping Cart: UOM transfer further enhancement</t>
  </si>
  <si>
    <t>ESN;CZ;ITA</t>
  </si>
  <si>
    <t>Calleechurrun</t>
  </si>
  <si>
    <t>Vishwanee</t>
  </si>
  <si>
    <t>V1</t>
  </si>
  <si>
    <t>20.10.2021</t>
  </si>
  <si>
    <t>DTD Created</t>
  </si>
  <si>
    <t>JTI NUI Order Entry Line Item List Applet (Sales)</t>
  </si>
  <si>
    <t>Order Entry - Line Item List Applet (Sales)</t>
  </si>
  <si>
    <t>JTI Order Entry - Line Item List Applet (Sales) – Signature</t>
  </si>
  <si>
    <t>JTI NUI Order Entry Line Item Summary List Applet</t>
  </si>
  <si>
    <t>SLK</t>
  </si>
  <si>
    <t>HUN</t>
  </si>
  <si>
    <t>UZB</t>
  </si>
  <si>
    <t>[&lt;Developer's Initial &gt;&lt;Date&gt;] CHG212979 : New Symbolic String created</t>
  </si>
  <si>
    <t>Conversion</t>
  </si>
  <si>
    <t>X_JTI_BASIC_UOM</t>
  </si>
  <si>
    <t>Order UOM</t>
  </si>
  <si>
    <t>X_JTI_ORDER UOM</t>
  </si>
  <si>
    <t>Order Quantity</t>
  </si>
  <si>
    <t>X_JTI_ORDER_QUANTITY</t>
  </si>
  <si>
    <t>X_JTI_BASIC_UOM_QUANTITY</t>
  </si>
  <si>
    <t>Basic UOM Quantity</t>
  </si>
  <si>
    <t>JTI Basic UOM</t>
  </si>
  <si>
    <t>Basic UOM</t>
  </si>
  <si>
    <t>N</t>
  </si>
  <si>
    <t>Y</t>
  </si>
  <si>
    <t>Text</t>
  </si>
  <si>
    <t>JTI Conversion</t>
  </si>
  <si>
    <t>JTI Order UOM</t>
  </si>
  <si>
    <t>JTI Order Quantity</t>
  </si>
  <si>
    <t>JTI Basic UOM Quantity</t>
  </si>
  <si>
    <t>Order Entry - Line Items</t>
  </si>
  <si>
    <t>IIF([JTI Order UOM] = LookupValue ('FS_ORDER_STATUS', 'Submitted') OR LookupValue ('JTI_ORDER_EXPORT_STATUS', 'Exported')  = 'Y', 'Y', 'N')</t>
  </si>
  <si>
    <t>IIF([JTI Order Quantity] = LookupValue ('FS_ORDER_STATUS', 'Submitted') OR LookupValue ('JTI_ORDER_EXPORT_STATUS', 'Exported')  = 'Y', 'Y', 'N')</t>
  </si>
  <si>
    <t>IIF([JTI Basic UOM Quantity] = LookupValue ('FS_ORDER_STATUS', 'Submitted') OR LookupValue ('JTI_ORDER_EXPORT_STATUS', 'Exported')  = 'Y', 'Y', 'N')</t>
  </si>
  <si>
    <t>JTI Order UOM Calc</t>
  </si>
  <si>
    <t>JTI Order Quantity Calc</t>
  </si>
  <si>
    <t>JTI Basic UOM Quantity Calc</t>
  </si>
  <si>
    <t>X_JTI_ORDER_UOM_TEXT</t>
  </si>
  <si>
    <t>X_JTI_ORDER_QUANTITY_NUM</t>
  </si>
  <si>
    <t>X_JTI_BASIC_UOM_QUANTITY_NUM</t>
  </si>
  <si>
    <t>DTYPE_NUMBER</t>
  </si>
  <si>
    <t>[&lt;Developer's Initial &gt;&lt;Date&gt;] CHG212979 : NewField</t>
  </si>
  <si>
    <t>[&lt;Developer's Initial &gt;&lt;Date&gt;] CHG212979 : New Calculated Field</t>
  </si>
  <si>
    <t>DTYPE_TEXT</t>
  </si>
  <si>
    <t>`</t>
  </si>
  <si>
    <t>OK</t>
  </si>
  <si>
    <t>JTI Conversion Value</t>
  </si>
  <si>
    <t>Conversion Value</t>
  </si>
  <si>
    <t>Field Read Only Field: JTI Order UOM</t>
  </si>
  <si>
    <t>Field Read Only Field: JTI Order Quantity</t>
  </si>
  <si>
    <t>Field Read Only Field: JTI Basic UOM Quantity</t>
  </si>
  <si>
    <t>[&lt;Developer's Initial &gt;&lt;Date&gt;] CHG212979 : New Bc User Prop</t>
  </si>
  <si>
    <t>JTI Basic UOM Quantity SUM</t>
  </si>
  <si>
    <t>IfNull([JTI Order Quantity] * [JTI Conversion Value], 0.0)</t>
  </si>
  <si>
    <t>Table Design</t>
  </si>
  <si>
    <t>Table (Name of table)</t>
  </si>
  <si>
    <t>Nullable</t>
  </si>
  <si>
    <t>Physical Type</t>
  </si>
  <si>
    <t>Length</t>
  </si>
  <si>
    <t>Cascade Clear</t>
  </si>
  <si>
    <t>Ignore</t>
  </si>
  <si>
    <t>&lt;Last Sequence +1&gt;</t>
  </si>
  <si>
    <t xml:space="preserve">Varchar </t>
  </si>
  <si>
    <t>EIM Table Design</t>
  </si>
  <si>
    <t>EIM Interface Table Design</t>
  </si>
  <si>
    <t>Attribute Mapping</t>
  </si>
  <si>
    <t>EIM Interface Table</t>
  </si>
  <si>
    <t>EIM Table Mapping</t>
  </si>
  <si>
    <t>Interface Table Data Column</t>
  </si>
  <si>
    <t>Base Table Attribute Column</t>
  </si>
  <si>
    <t>S_ORDER_ITEM</t>
  </si>
  <si>
    <t>Number</t>
  </si>
  <si>
    <t>Scale</t>
  </si>
  <si>
    <t>[&lt;Developer's Initial &gt;&lt;Date&gt;] CHG212979 : New Column</t>
  </si>
  <si>
    <t>EIM_ORDER_ITEM</t>
  </si>
  <si>
    <t>[&lt;Developer's Initial &gt;&lt;Date&gt;] CHG212979 :New EIM Mapping</t>
  </si>
  <si>
    <t>N/A</t>
  </si>
  <si>
    <t>1.LA</t>
  </si>
  <si>
    <t>3.Table</t>
  </si>
  <si>
    <t>4.SS</t>
  </si>
  <si>
    <t>JTI NUI Order Entry Line Item List Applet (Sales)
Order Entry - Line Item List Applet (Sales)
JTI Order Entry - Line Item List Applet (Sales) – Signature
JTI NUI Order Entry Line Item Summary List Applet</t>
  </si>
  <si>
    <t>Add new Field</t>
  </si>
  <si>
    <t>Add new List Column</t>
  </si>
  <si>
    <t>Add new Column</t>
  </si>
  <si>
    <t>Add new Symbolic String</t>
  </si>
  <si>
    <t>2.BC</t>
  </si>
  <si>
    <t>Read Only</t>
  </si>
  <si>
    <t>X_BASIS_UOM_CD</t>
  </si>
  <si>
    <t>Join</t>
  </si>
  <si>
    <t>X_CONVERSION_VAL_NUM</t>
  </si>
  <si>
    <t>S_PROD_INT</t>
  </si>
  <si>
    <t>On Field Update Set 100</t>
  </si>
  <si>
    <t>On Field Update Set 102</t>
  </si>
  <si>
    <t>X_JTI_UOM_CONV_VAL</t>
  </si>
  <si>
    <t>"Order Quantity", "Basic UOM Quantity", [JTI Basic UOM Quantity SUM]</t>
  </si>
  <si>
    <t>"Basic UOM Quantity", "Quantity", [Basic UOM Quantity]</t>
  </si>
  <si>
    <t>X_JTI_ORDER UOM
X_JTI_ORDER_QUANTITY
X_JTI_BASIC_UOM_QUANTITY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</si>
</sst>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 _B_F_-;\-* #,##0.00\ _B_F_-;_-* &quot;-&quot;??\ _B_F_-;_-@_-"/>
    <numFmt numFmtId="165" formatCode="mm/dd/yy"/>
  </numFmts>
  <fonts count="68" x14ac:knownFonts="1">
    <font>
      <sz val="10"/>
      <name val="Arial"/>
    </font>
    <font>
      <sz val="11"/>
      <color theme="1"/>
      <name val="Calibri"/>
      <family val="2"/>
      <scheme val="minor"/>
    </font>
    <font>
      <sz val="10"/>
      <name val="Arial"/>
      <family val="2"/>
    </font>
    <font>
      <b/>
      <sz val="14"/>
      <name val="Arial"/>
      <family val="2"/>
    </font>
    <font>
      <b/>
      <sz val="10"/>
      <name val="Arial"/>
      <family val="2"/>
    </font>
    <font>
      <b/>
      <sz val="12"/>
      <name val="Arial"/>
      <family val="2"/>
    </font>
    <font>
      <sz val="10"/>
      <name val="Arial"/>
      <family val="2"/>
    </font>
    <font>
      <sz val="10"/>
      <name val="Book Antiqua"/>
      <family val="1"/>
    </font>
    <font>
      <b/>
      <sz val="10"/>
      <color indexed="9"/>
      <name val="Arial"/>
      <family val="2"/>
    </font>
    <font>
      <b/>
      <sz val="10"/>
      <color indexed="9"/>
      <name val="Book Antiqua"/>
      <family val="1"/>
    </font>
    <font>
      <b/>
      <i/>
      <sz val="24"/>
      <color indexed="57"/>
      <name val="Arial"/>
      <family val="2"/>
    </font>
    <font>
      <b/>
      <sz val="24"/>
      <name val="Book Antiqua"/>
      <family val="1"/>
    </font>
    <font>
      <b/>
      <sz val="12"/>
      <name val="Book Antiqua"/>
      <family val="1"/>
    </font>
    <font>
      <sz val="12"/>
      <name val="Book Antiqua"/>
      <family val="1"/>
    </font>
    <font>
      <b/>
      <i/>
      <sz val="10"/>
      <name val="Book Antiqua"/>
      <family val="1"/>
    </font>
    <font>
      <sz val="11"/>
      <name val="Calibri"/>
      <family val="2"/>
    </font>
    <font>
      <sz val="11"/>
      <color indexed="17"/>
      <name val="Calibri"/>
      <family val="2"/>
    </font>
    <font>
      <sz val="11"/>
      <color indexed="20"/>
      <name val="Calibri"/>
      <family val="2"/>
    </font>
    <font>
      <b/>
      <i/>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0"/>
      <name val="Book Antiqua"/>
      <family val="1"/>
    </font>
    <font>
      <b/>
      <sz val="10"/>
      <name val="Tahoma"/>
      <family val="2"/>
    </font>
    <font>
      <sz val="10"/>
      <color indexed="10"/>
      <name val="Arial"/>
      <family val="2"/>
    </font>
    <font>
      <sz val="10"/>
      <color indexed="12"/>
      <name val="Arial"/>
      <family val="2"/>
    </font>
    <font>
      <sz val="10"/>
      <color indexed="12"/>
      <name val="Arial"/>
      <family val="2"/>
    </font>
    <font>
      <sz val="22"/>
      <name val="Arial"/>
      <family val="2"/>
    </font>
    <font>
      <b/>
      <sz val="24"/>
      <color indexed="12"/>
      <name val="Book Antiqua"/>
      <family val="1"/>
    </font>
    <font>
      <b/>
      <sz val="20"/>
      <color indexed="12"/>
      <name val="Book Antiqua"/>
      <family val="1"/>
    </font>
    <font>
      <b/>
      <sz val="22"/>
      <color indexed="12"/>
      <name val="Book Antiqua"/>
      <family val="1"/>
    </font>
    <font>
      <b/>
      <sz val="16"/>
      <color indexed="12"/>
      <name val="Book Antiqua"/>
      <family val="1"/>
    </font>
    <font>
      <b/>
      <sz val="12"/>
      <color indexed="12"/>
      <name val="Book Antiqua"/>
      <family val="1"/>
    </font>
    <font>
      <sz val="14"/>
      <color indexed="12"/>
      <name val="Book Antiqua"/>
      <family val="1"/>
    </font>
    <font>
      <b/>
      <sz val="20"/>
      <name val="Book Antiqua"/>
      <family val="1"/>
    </font>
    <font>
      <b/>
      <sz val="16"/>
      <name val="Book Antiqua"/>
      <family val="1"/>
    </font>
    <font>
      <sz val="10"/>
      <color rgb="FF0000FF"/>
      <name val="Arial"/>
      <family val="2"/>
    </font>
    <font>
      <sz val="10"/>
      <color rgb="FF000000"/>
      <name val="Roboto"/>
    </font>
    <font>
      <b/>
      <sz val="14"/>
      <color indexed="1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sz val="9"/>
      <color indexed="81"/>
      <name val="Tahoma"/>
      <charset val="1"/>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1"/>
        <bgColor indexed="64"/>
      </patternFill>
    </fill>
    <fill>
      <patternFill patternType="solid">
        <fgColor indexed="12"/>
        <bgColor indexed="64"/>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rgb="FFFFFF00"/>
        <bgColor indexed="64"/>
      </patternFill>
    </fill>
    <fill>
      <patternFill patternType="solid">
        <fgColor indexed="4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top/>
      <bottom style="thick">
        <color indexed="17"/>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style="dashed">
        <color indexed="64"/>
      </top>
      <bottom style="dashed">
        <color indexed="64"/>
      </bottom>
      <diagonal/>
    </border>
    <border>
      <left style="medium">
        <color indexed="64"/>
      </left>
      <right style="thin">
        <color indexed="64"/>
      </right>
      <top/>
      <bottom style="thin">
        <color indexed="64"/>
      </bottom>
      <diagonal/>
    </border>
  </borders>
  <cellStyleXfs count="93">
    <xf numFmtId="0" fontId="0" fillId="0" borderId="0" applyAlignment="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20" borderId="1" applyNumberFormat="0" applyAlignment="0" applyProtection="0"/>
    <xf numFmtId="0" fontId="22" fillId="20" borderId="2" applyNumberFormat="0" applyAlignment="0" applyProtection="0"/>
    <xf numFmtId="164" fontId="2" fillId="0" borderId="0" applyFont="0" applyFill="0" applyBorder="0" applyAlignment="0" applyProtection="0"/>
    <xf numFmtId="0" fontId="23" fillId="7" borderId="2" applyNumberFormat="0" applyAlignment="0" applyProtection="0"/>
    <xf numFmtId="0" fontId="24" fillId="0" borderId="4" applyNumberFormat="0" applyFill="0" applyAlignment="0" applyProtection="0"/>
    <xf numFmtId="0" fontId="25" fillId="0" borderId="0" applyNumberFormat="0" applyFill="0" applyBorder="0" applyAlignment="0" applyProtection="0"/>
    <xf numFmtId="0" fontId="16" fillId="4" borderId="0" applyNumberFormat="0" applyBorder="0" applyAlignment="0" applyProtection="0"/>
    <xf numFmtId="0" fontId="26" fillId="22" borderId="0" applyNumberFormat="0" applyBorder="0" applyAlignment="0" applyProtection="0"/>
    <xf numFmtId="0" fontId="6" fillId="0" borderId="0" applyAlignment="0"/>
    <xf numFmtId="0" fontId="6" fillId="23" borderId="9" applyNumberFormat="0" applyFont="0" applyAlignment="0" applyProtection="0"/>
    <xf numFmtId="0" fontId="17" fillId="3" borderId="0" applyNumberFormat="0" applyBorder="0" applyAlignment="0" applyProtection="0"/>
    <xf numFmtId="0" fontId="6" fillId="0" borderId="0"/>
    <xf numFmtId="0" fontId="27" fillId="0" borderId="0" applyNumberFormat="0" applyFill="0" applyBorder="0" applyAlignment="0" applyProtection="0"/>
    <xf numFmtId="0" fontId="28" fillId="0" borderId="5"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0" applyNumberFormat="0" applyFill="0" applyBorder="0" applyAlignment="0" applyProtection="0"/>
    <xf numFmtId="0" fontId="31" fillId="0" borderId="8" applyNumberFormat="0" applyFill="0" applyAlignment="0" applyProtection="0"/>
    <xf numFmtId="0" fontId="32" fillId="0" borderId="0" applyNumberFormat="0" applyFill="0" applyBorder="0" applyAlignment="0" applyProtection="0"/>
    <xf numFmtId="0" fontId="33" fillId="21" borderId="3" applyNumberFormat="0" applyAlignment="0" applyProtection="0"/>
    <xf numFmtId="0" fontId="2" fillId="0" borderId="0" applyAlignment="0"/>
    <xf numFmtId="0" fontId="2" fillId="0" borderId="0" applyAlignment="0"/>
    <xf numFmtId="0" fontId="26" fillId="22" borderId="0" applyNumberFormat="0" applyBorder="0" applyAlignment="0" applyProtection="0"/>
    <xf numFmtId="0" fontId="2" fillId="23" borderId="9" applyNumberFormat="0" applyFont="0" applyAlignment="0" applyProtection="0"/>
    <xf numFmtId="0" fontId="2" fillId="0" borderId="0"/>
    <xf numFmtId="0" fontId="2" fillId="0" borderId="0" applyAlignment="0"/>
    <xf numFmtId="0" fontId="51" fillId="0" borderId="0" applyNumberFormat="0" applyFill="0" applyBorder="0" applyAlignment="0" applyProtection="0"/>
    <xf numFmtId="0" fontId="52" fillId="0" borderId="32" applyNumberFormat="0" applyFill="0" applyAlignment="0" applyProtection="0"/>
    <xf numFmtId="0" fontId="53" fillId="0" borderId="33" applyNumberFormat="0" applyFill="0" applyAlignment="0" applyProtection="0"/>
    <xf numFmtId="0" fontId="54" fillId="0" borderId="34" applyNumberFormat="0" applyFill="0" applyAlignment="0" applyProtection="0"/>
    <xf numFmtId="0" fontId="54" fillId="0" borderId="0" applyNumberFormat="0" applyFill="0" applyBorder="0" applyAlignment="0" applyProtection="0"/>
    <xf numFmtId="0" fontId="55" fillId="32" borderId="0" applyNumberFormat="0" applyBorder="0" applyAlignment="0" applyProtection="0"/>
    <xf numFmtId="0" fontId="56" fillId="33" borderId="0" applyNumberFormat="0" applyBorder="0" applyAlignment="0" applyProtection="0"/>
    <xf numFmtId="0" fontId="57" fillId="34" borderId="35" applyNumberFormat="0" applyAlignment="0" applyProtection="0"/>
    <xf numFmtId="0" fontId="58" fillId="35" borderId="36" applyNumberFormat="0" applyAlignment="0" applyProtection="0"/>
    <xf numFmtId="0" fontId="59" fillId="35" borderId="35" applyNumberFormat="0" applyAlignment="0" applyProtection="0"/>
    <xf numFmtId="0" fontId="60" fillId="0" borderId="37" applyNumberFormat="0" applyFill="0" applyAlignment="0" applyProtection="0"/>
    <xf numFmtId="0" fontId="61" fillId="36" borderId="38"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40" applyNumberFormat="0" applyFill="0" applyAlignment="0" applyProtection="0"/>
    <xf numFmtId="0" fontId="65"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65"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65"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65"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0" borderId="0"/>
    <xf numFmtId="0" fontId="66" fillId="62" borderId="0" applyNumberFormat="0" applyBorder="0" applyAlignment="0" applyProtection="0"/>
    <xf numFmtId="0" fontId="1" fillId="37" borderId="39" applyNumberFormat="0" applyFont="0" applyAlignment="0" applyProtection="0"/>
  </cellStyleXfs>
  <cellXfs count="174">
    <xf numFmtId="0" fontId="0" fillId="0" borderId="0" xfId="0"/>
    <xf numFmtId="0" fontId="2" fillId="0" borderId="0" xfId="0" applyFont="1"/>
    <xf numFmtId="0" fontId="3" fillId="0" borderId="0" xfId="0" applyFont="1"/>
    <xf numFmtId="164" fontId="7" fillId="0" borderId="0" xfId="27" applyFont="1"/>
    <xf numFmtId="164" fontId="2" fillId="0" borderId="0" xfId="27"/>
    <xf numFmtId="164" fontId="13" fillId="0" borderId="0" xfId="27" applyFont="1"/>
    <xf numFmtId="165" fontId="13" fillId="0" borderId="0" xfId="27" applyNumberFormat="1" applyFont="1" applyAlignment="1">
      <alignment horizontal="left"/>
    </xf>
    <xf numFmtId="164" fontId="13" fillId="0" borderId="0" xfId="27" applyFont="1" applyAlignment="1">
      <alignment horizontal="left" vertical="top"/>
    </xf>
    <xf numFmtId="0" fontId="6" fillId="0" borderId="0" xfId="0" applyFont="1" applyFill="1" applyBorder="1"/>
    <xf numFmtId="0" fontId="6" fillId="0" borderId="0" xfId="0" applyFont="1" applyFill="1" applyBorder="1" applyAlignment="1">
      <alignment horizontal="left"/>
    </xf>
    <xf numFmtId="0" fontId="6" fillId="0" borderId="0" xfId="0" applyFont="1" applyFill="1" applyBorder="1" applyAlignment="1">
      <alignment horizontal="center"/>
    </xf>
    <xf numFmtId="0" fontId="12" fillId="0" borderId="0" xfId="0" applyFont="1" applyFill="1" applyBorder="1" applyAlignment="1">
      <alignment vertical="top"/>
    </xf>
    <xf numFmtId="0" fontId="7" fillId="0" borderId="0" xfId="0" applyFont="1" applyFill="1" applyBorder="1" applyAlignment="1">
      <alignment vertical="top"/>
    </xf>
    <xf numFmtId="0" fontId="7" fillId="0" borderId="0" xfId="0" applyFont="1" applyAlignment="1">
      <alignment vertical="top"/>
    </xf>
    <xf numFmtId="0" fontId="14" fillId="0" borderId="0" xfId="0" applyFont="1" applyFill="1" applyBorder="1" applyAlignment="1">
      <alignment vertical="top"/>
    </xf>
    <xf numFmtId="0" fontId="7" fillId="0" borderId="12" xfId="0" applyFont="1" applyBorder="1" applyAlignment="1">
      <alignment horizontal="left" vertical="top"/>
    </xf>
    <xf numFmtId="0" fontId="9" fillId="24" borderId="12" xfId="0" applyFont="1" applyFill="1" applyBorder="1" applyAlignment="1">
      <alignment horizontal="left" vertical="top"/>
    </xf>
    <xf numFmtId="16" fontId="7" fillId="27" borderId="12" xfId="0" applyNumberFormat="1" applyFont="1" applyFill="1" applyBorder="1" applyAlignment="1">
      <alignment horizontal="left" vertical="top" wrapText="1"/>
    </xf>
    <xf numFmtId="0" fontId="0" fillId="28" borderId="13" xfId="0" applyFill="1" applyBorder="1"/>
    <xf numFmtId="0" fontId="0" fillId="28" borderId="14" xfId="0" applyFill="1" applyBorder="1"/>
    <xf numFmtId="0" fontId="7" fillId="29" borderId="0" xfId="0" applyFont="1" applyFill="1" applyAlignment="1">
      <alignment vertical="top"/>
    </xf>
    <xf numFmtId="0" fontId="0" fillId="29" borderId="0" xfId="0" applyFill="1" applyBorder="1"/>
    <xf numFmtId="0" fontId="0" fillId="29" borderId="16" xfId="0" applyFill="1" applyBorder="1"/>
    <xf numFmtId="0" fontId="0" fillId="29" borderId="17" xfId="0" applyFill="1" applyBorder="1"/>
    <xf numFmtId="0" fontId="5" fillId="29" borderId="0" xfId="0" applyFont="1" applyFill="1" applyAlignment="1">
      <alignment vertical="top" wrapText="1"/>
    </xf>
    <xf numFmtId="0" fontId="0" fillId="29" borderId="0" xfId="0" applyFill="1" applyAlignment="1">
      <alignment vertical="top" wrapText="1"/>
    </xf>
    <xf numFmtId="0" fontId="0" fillId="29" borderId="12" xfId="0" applyFill="1" applyBorder="1" applyAlignment="1">
      <alignment vertical="top" wrapText="1"/>
    </xf>
    <xf numFmtId="0" fontId="0" fillId="29" borderId="20" xfId="0" applyFill="1" applyBorder="1" applyAlignment="1">
      <alignment vertical="top" wrapText="1"/>
    </xf>
    <xf numFmtId="0" fontId="6" fillId="29" borderId="0" xfId="0" applyFont="1" applyFill="1" applyBorder="1" applyAlignment="1">
      <alignment horizontal="left"/>
    </xf>
    <xf numFmtId="0" fontId="2" fillId="29" borderId="0" xfId="0" applyFont="1" applyFill="1" applyBorder="1" applyAlignment="1">
      <alignment horizontal="left"/>
    </xf>
    <xf numFmtId="0" fontId="15" fillId="29" borderId="0" xfId="31" applyFont="1" applyFill="1" applyBorder="1" applyAlignment="1">
      <alignment horizontal="left" wrapText="1"/>
    </xf>
    <xf numFmtId="0" fontId="6" fillId="29" borderId="0" xfId="0" applyFont="1" applyFill="1" applyBorder="1"/>
    <xf numFmtId="0" fontId="6" fillId="29" borderId="0" xfId="0" applyFont="1" applyFill="1" applyBorder="1" applyAlignment="1">
      <alignment horizontal="center"/>
    </xf>
    <xf numFmtId="0" fontId="0" fillId="28" borderId="12" xfId="0" applyFill="1" applyBorder="1"/>
    <xf numFmtId="0" fontId="0" fillId="29" borderId="12" xfId="0" applyFill="1" applyBorder="1"/>
    <xf numFmtId="0" fontId="5" fillId="29" borderId="0" xfId="0" applyFont="1" applyFill="1" applyBorder="1" applyAlignment="1">
      <alignment horizontal="left"/>
    </xf>
    <xf numFmtId="0" fontId="0" fillId="29" borderId="0" xfId="0" applyFill="1" applyBorder="1" applyAlignment="1">
      <alignment vertical="top" wrapText="1"/>
    </xf>
    <xf numFmtId="0" fontId="3" fillId="29" borderId="0" xfId="0" applyFont="1" applyFill="1"/>
    <xf numFmtId="164" fontId="39" fillId="0" borderId="0" xfId="27" applyFont="1"/>
    <xf numFmtId="164" fontId="42" fillId="0" borderId="0" xfId="27" applyFont="1" applyAlignment="1"/>
    <xf numFmtId="164" fontId="38" fillId="0" borderId="0" xfId="27" applyFont="1"/>
    <xf numFmtId="0" fontId="9" fillId="24" borderId="22" xfId="0" applyFont="1" applyFill="1" applyBorder="1" applyAlignment="1">
      <alignment horizontal="left" vertical="top"/>
    </xf>
    <xf numFmtId="0" fontId="9" fillId="24" borderId="12" xfId="0" applyFont="1" applyFill="1" applyBorder="1" applyAlignment="1">
      <alignment horizontal="left" vertical="top"/>
    </xf>
    <xf numFmtId="14" fontId="7" fillId="0" borderId="22" xfId="0" applyNumberFormat="1" applyFont="1" applyBorder="1" applyAlignment="1">
      <alignment horizontal="left" vertical="top"/>
    </xf>
    <xf numFmtId="49" fontId="7" fillId="0" borderId="22" xfId="0" applyNumberFormat="1" applyFont="1" applyBorder="1" applyAlignment="1">
      <alignment horizontal="left" vertical="top"/>
    </xf>
    <xf numFmtId="0" fontId="7" fillId="0" borderId="22" xfId="0" applyNumberFormat="1" applyFont="1" applyBorder="1" applyAlignment="1">
      <alignment horizontal="left" vertical="top"/>
    </xf>
    <xf numFmtId="0" fontId="7" fillId="0" borderId="22" xfId="0" applyFont="1" applyFill="1" applyBorder="1" applyAlignment="1">
      <alignment horizontal="left" vertical="top"/>
    </xf>
    <xf numFmtId="0" fontId="7" fillId="28" borderId="22" xfId="0" applyFont="1" applyFill="1" applyBorder="1" applyAlignment="1">
      <alignment vertical="top"/>
    </xf>
    <xf numFmtId="0" fontId="7" fillId="0" borderId="22" xfId="0" applyFont="1" applyBorder="1" applyAlignment="1">
      <alignment vertical="top"/>
    </xf>
    <xf numFmtId="0" fontId="34" fillId="27" borderId="22" xfId="0" applyFont="1" applyFill="1" applyBorder="1" applyAlignment="1">
      <alignment vertical="top"/>
    </xf>
    <xf numFmtId="0" fontId="7" fillId="28" borderId="12" xfId="0" applyFont="1" applyFill="1" applyBorder="1" applyAlignment="1">
      <alignment vertical="top"/>
    </xf>
    <xf numFmtId="0" fontId="7" fillId="0" borderId="12" xfId="0" applyFont="1" applyBorder="1" applyAlignment="1">
      <alignment vertical="top"/>
    </xf>
    <xf numFmtId="0" fontId="7" fillId="27" borderId="12" xfId="0" applyFont="1" applyFill="1" applyBorder="1" applyAlignment="1">
      <alignment vertical="top"/>
    </xf>
    <xf numFmtId="0" fontId="7" fillId="30" borderId="12" xfId="0" applyFont="1" applyFill="1" applyBorder="1" applyAlignment="1">
      <alignment vertical="top"/>
    </xf>
    <xf numFmtId="0" fontId="0" fillId="0" borderId="12" xfId="0" applyBorder="1" applyAlignment="1">
      <alignment vertical="center"/>
    </xf>
    <xf numFmtId="0" fontId="6" fillId="29" borderId="0" xfId="0" applyFont="1" applyFill="1" applyBorder="1" applyAlignment="1">
      <alignment horizontal="center"/>
    </xf>
    <xf numFmtId="0" fontId="2" fillId="0" borderId="0" xfId="0" applyFont="1" applyFill="1" applyBorder="1"/>
    <xf numFmtId="0" fontId="48" fillId="0" borderId="0" xfId="0" applyFont="1" applyFill="1" applyBorder="1"/>
    <xf numFmtId="0" fontId="0" fillId="0" borderId="0" xfId="0" applyAlignment="1">
      <alignment vertical="center"/>
    </xf>
    <xf numFmtId="0" fontId="5" fillId="29" borderId="0" xfId="0" applyFont="1" applyFill="1" applyBorder="1" applyAlignment="1">
      <alignment horizontal="left" vertical="center"/>
    </xf>
    <xf numFmtId="0" fontId="3" fillId="0" borderId="0" xfId="0" applyFont="1" applyAlignment="1">
      <alignment vertical="center"/>
    </xf>
    <xf numFmtId="0" fontId="6" fillId="29" borderId="0" xfId="0" applyFont="1" applyFill="1" applyBorder="1" applyAlignment="1">
      <alignment vertical="center"/>
    </xf>
    <xf numFmtId="0" fontId="6" fillId="0" borderId="0" xfId="0" applyFont="1" applyFill="1" applyBorder="1" applyAlignment="1">
      <alignment vertical="center"/>
    </xf>
    <xf numFmtId="0" fontId="0" fillId="28" borderId="12" xfId="0" applyFill="1" applyBorder="1" applyAlignment="1">
      <alignment vertical="center"/>
    </xf>
    <xf numFmtId="0" fontId="0" fillId="29" borderId="12" xfId="0" applyFill="1" applyBorder="1" applyAlignment="1">
      <alignment vertical="center"/>
    </xf>
    <xf numFmtId="0" fontId="0" fillId="29" borderId="0" xfId="0" applyFill="1" applyBorder="1" applyAlignment="1">
      <alignment vertical="center"/>
    </xf>
    <xf numFmtId="0" fontId="6" fillId="0" borderId="0" xfId="0" applyFont="1" applyFill="1" applyBorder="1" applyAlignment="1">
      <alignment horizontal="left" vertical="center"/>
    </xf>
    <xf numFmtId="0" fontId="0" fillId="0" borderId="0" xfId="0" applyAlignment="1">
      <alignment vertical="center" wrapText="1"/>
    </xf>
    <xf numFmtId="0" fontId="35" fillId="27" borderId="26" xfId="0" applyFont="1" applyFill="1" applyBorder="1" applyAlignment="1">
      <alignment horizontal="center" vertical="center"/>
    </xf>
    <xf numFmtId="0" fontId="35" fillId="0" borderId="0" xfId="0" applyFont="1" applyFill="1" applyAlignment="1">
      <alignment vertical="center" wrapText="1"/>
    </xf>
    <xf numFmtId="0" fontId="35" fillId="31" borderId="12" xfId="0" applyFont="1" applyFill="1" applyBorder="1" applyAlignment="1">
      <alignment vertical="center"/>
    </xf>
    <xf numFmtId="0" fontId="35" fillId="31" borderId="12" xfId="0" applyFont="1" applyFill="1" applyBorder="1" applyAlignment="1">
      <alignment vertical="center" wrapText="1"/>
    </xf>
    <xf numFmtId="0" fontId="2" fillId="0" borderId="12" xfId="0" applyFont="1" applyBorder="1" applyAlignment="1">
      <alignment vertical="center"/>
    </xf>
    <xf numFmtId="0" fontId="2" fillId="0" borderId="12" xfId="0" applyFont="1" applyBorder="1" applyAlignment="1">
      <alignment vertical="center" wrapText="1"/>
    </xf>
    <xf numFmtId="0" fontId="2" fillId="0" borderId="19" xfId="0" applyFont="1" applyFill="1" applyBorder="1" applyAlignment="1">
      <alignment vertical="center"/>
    </xf>
    <xf numFmtId="0" fontId="2" fillId="0" borderId="12" xfId="0" applyFont="1" applyBorder="1"/>
    <xf numFmtId="0" fontId="48" fillId="0" borderId="12" xfId="0" applyFont="1" applyFill="1" applyBorder="1" applyAlignment="1">
      <alignment horizontal="left" vertical="center"/>
    </xf>
    <xf numFmtId="0" fontId="48" fillId="0" borderId="12" xfId="0" applyFont="1" applyFill="1" applyBorder="1" applyAlignment="1">
      <alignment vertical="center"/>
    </xf>
    <xf numFmtId="0" fontId="48" fillId="0" borderId="12" xfId="0" applyFont="1" applyBorder="1"/>
    <xf numFmtId="0" fontId="48" fillId="0" borderId="12" xfId="0" applyFont="1" applyFill="1" applyBorder="1" applyAlignment="1">
      <alignment horizontal="left"/>
    </xf>
    <xf numFmtId="0" fontId="6" fillId="0" borderId="12" xfId="0" applyFont="1" applyFill="1" applyBorder="1"/>
    <xf numFmtId="0" fontId="48" fillId="29" borderId="12" xfId="0" applyFont="1" applyFill="1" applyBorder="1"/>
    <xf numFmtId="0" fontId="37" fillId="0" borderId="12" xfId="0" applyFont="1" applyFill="1" applyBorder="1" applyAlignment="1">
      <alignment horizontal="left"/>
    </xf>
    <xf numFmtId="0" fontId="6" fillId="0" borderId="12" xfId="0" applyFont="1" applyFill="1" applyBorder="1" applyAlignment="1">
      <alignment horizontal="left"/>
    </xf>
    <xf numFmtId="0" fontId="48" fillId="29" borderId="12" xfId="0" applyFont="1" applyFill="1" applyBorder="1" applyAlignment="1">
      <alignment horizontal="left"/>
    </xf>
    <xf numFmtId="0" fontId="48" fillId="0" borderId="12" xfId="0" applyFont="1" applyFill="1" applyBorder="1"/>
    <xf numFmtId="0" fontId="37" fillId="0" borderId="12" xfId="0" applyFont="1" applyFill="1" applyBorder="1" applyAlignment="1">
      <alignment wrapText="1"/>
    </xf>
    <xf numFmtId="0" fontId="2" fillId="25" borderId="13" xfId="0" applyFont="1" applyFill="1" applyBorder="1" applyAlignment="1">
      <alignment vertical="center"/>
    </xf>
    <xf numFmtId="0" fontId="2" fillId="25" borderId="18" xfId="0" applyFont="1" applyFill="1" applyBorder="1" applyAlignment="1">
      <alignment vertical="center"/>
    </xf>
    <xf numFmtId="0" fontId="0" fillId="24" borderId="18" xfId="0" applyFill="1" applyBorder="1" applyAlignment="1">
      <alignment vertical="center"/>
    </xf>
    <xf numFmtId="0" fontId="0" fillId="24" borderId="14" xfId="0" applyFill="1" applyBorder="1" applyAlignment="1">
      <alignment vertical="center"/>
    </xf>
    <xf numFmtId="0" fontId="48" fillId="0" borderId="25" xfId="0" applyFont="1" applyBorder="1"/>
    <xf numFmtId="0" fontId="48" fillId="0" borderId="15" xfId="0" applyFont="1" applyFill="1" applyBorder="1" applyAlignment="1">
      <alignment horizontal="left" vertical="center"/>
    </xf>
    <xf numFmtId="0" fontId="48" fillId="0" borderId="17" xfId="0" applyFont="1" applyFill="1" applyBorder="1" applyAlignment="1">
      <alignment horizontal="left" vertical="center"/>
    </xf>
    <xf numFmtId="0" fontId="5" fillId="29" borderId="0" xfId="0" applyFont="1" applyFill="1" applyAlignment="1">
      <alignment horizontal="left"/>
    </xf>
    <xf numFmtId="0" fontId="2" fillId="29" borderId="0" xfId="0" applyFont="1" applyFill="1"/>
    <xf numFmtId="0" fontId="2" fillId="25" borderId="13" xfId="0" applyFont="1" applyFill="1" applyBorder="1"/>
    <xf numFmtId="0" fontId="2" fillId="24" borderId="18" xfId="0" applyFont="1" applyFill="1" applyBorder="1"/>
    <xf numFmtId="0" fontId="2" fillId="0" borderId="25" xfId="0" applyFont="1" applyBorder="1"/>
    <xf numFmtId="0" fontId="2" fillId="0" borderId="16" xfId="0" applyFont="1" applyBorder="1"/>
    <xf numFmtId="0" fontId="6" fillId="0" borderId="20" xfId="0" applyFont="1" applyFill="1" applyBorder="1"/>
    <xf numFmtId="0" fontId="48" fillId="0" borderId="12" xfId="0" applyFont="1" applyBorder="1" applyAlignment="1">
      <alignment horizontal="left"/>
    </xf>
    <xf numFmtId="0" fontId="48" fillId="0" borderId="15" xfId="0" applyFont="1" applyBorder="1" applyAlignment="1">
      <alignment horizontal="left"/>
    </xf>
    <xf numFmtId="0" fontId="48" fillId="0" borderId="17" xfId="0" applyFont="1" applyBorder="1" applyAlignment="1">
      <alignment horizontal="left"/>
    </xf>
    <xf numFmtId="0" fontId="0" fillId="24" borderId="18" xfId="0" applyFill="1" applyBorder="1"/>
    <xf numFmtId="0" fontId="0" fillId="24" borderId="14" xfId="0" applyFill="1" applyBorder="1"/>
    <xf numFmtId="0" fontId="0" fillId="24" borderId="27" xfId="0" applyFill="1" applyBorder="1"/>
    <xf numFmtId="0" fontId="48" fillId="0" borderId="21" xfId="0" applyFont="1" applyFill="1" applyBorder="1" applyAlignment="1">
      <alignment horizontal="left"/>
    </xf>
    <xf numFmtId="0" fontId="48" fillId="0" borderId="21" xfId="0" applyFont="1" applyBorder="1"/>
    <xf numFmtId="0" fontId="48" fillId="29" borderId="21" xfId="0" applyFont="1" applyFill="1" applyBorder="1"/>
    <xf numFmtId="0" fontId="2" fillId="25" borderId="29" xfId="0" applyFont="1" applyFill="1" applyBorder="1"/>
    <xf numFmtId="0" fontId="2" fillId="0" borderId="30" xfId="0" applyFont="1" applyBorder="1"/>
    <xf numFmtId="0" fontId="49" fillId="0" borderId="30" xfId="0" applyFont="1" applyBorder="1"/>
    <xf numFmtId="0" fontId="37" fillId="0" borderId="15" xfId="0" applyFont="1" applyFill="1" applyBorder="1" applyAlignment="1">
      <alignment horizontal="left"/>
    </xf>
    <xf numFmtId="0" fontId="37" fillId="0" borderId="20" xfId="0" applyFont="1" applyFill="1" applyBorder="1" applyAlignment="1">
      <alignment wrapText="1"/>
    </xf>
    <xf numFmtId="0" fontId="37" fillId="0" borderId="20" xfId="0" applyFont="1" applyFill="1" applyBorder="1" applyAlignment="1">
      <alignment horizontal="left"/>
    </xf>
    <xf numFmtId="0" fontId="48" fillId="0" borderId="20" xfId="0" applyFont="1" applyFill="1" applyBorder="1"/>
    <xf numFmtId="0" fontId="37" fillId="0" borderId="17" xfId="0" applyFont="1" applyFill="1" applyBorder="1" applyAlignment="1">
      <alignment horizontal="left"/>
    </xf>
    <xf numFmtId="0" fontId="48" fillId="29" borderId="28" xfId="0" applyFont="1" applyFill="1" applyBorder="1"/>
    <xf numFmtId="0" fontId="2" fillId="0" borderId="31" xfId="0" applyFont="1" applyBorder="1"/>
    <xf numFmtId="0" fontId="0" fillId="29" borderId="0" xfId="0" applyFill="1"/>
    <xf numFmtId="0" fontId="2" fillId="0" borderId="0" xfId="0" applyFont="1" applyAlignment="1">
      <alignment horizontal="left"/>
    </xf>
    <xf numFmtId="0" fontId="2" fillId="0" borderId="0" xfId="0" applyFont="1" applyAlignment="1">
      <alignment horizontal="center"/>
    </xf>
    <xf numFmtId="0" fontId="36" fillId="29" borderId="0" xfId="0" applyFont="1" applyFill="1"/>
    <xf numFmtId="0" fontId="50" fillId="29" borderId="0" xfId="0" applyFont="1" applyFill="1" applyAlignment="1">
      <alignment horizontal="left"/>
    </xf>
    <xf numFmtId="0" fontId="2" fillId="29" borderId="0" xfId="0" applyFont="1" applyFill="1" applyAlignment="1">
      <alignment horizontal="left"/>
    </xf>
    <xf numFmtId="0" fontId="2" fillId="25" borderId="18" xfId="0" applyFont="1" applyFill="1" applyBorder="1"/>
    <xf numFmtId="0" fontId="48" fillId="0" borderId="20" xfId="0" applyFont="1" applyBorder="1" applyAlignment="1">
      <alignment horizontal="left"/>
    </xf>
    <xf numFmtId="0" fontId="2" fillId="0" borderId="20" xfId="0" applyFont="1" applyBorder="1"/>
    <xf numFmtId="0" fontId="2" fillId="0" borderId="0" xfId="0" applyFont="1" applyBorder="1"/>
    <xf numFmtId="0" fontId="37" fillId="0" borderId="0" xfId="0" applyFont="1" applyFill="1" applyBorder="1" applyAlignment="1">
      <alignment horizontal="left"/>
    </xf>
    <xf numFmtId="0" fontId="48" fillId="0" borderId="0" xfId="0" applyFont="1" applyBorder="1" applyAlignment="1">
      <alignment horizontal="left"/>
    </xf>
    <xf numFmtId="0" fontId="8" fillId="26" borderId="13" xfId="0" applyFont="1" applyFill="1" applyBorder="1" applyAlignment="1">
      <alignment vertical="top" wrapText="1"/>
    </xf>
    <xf numFmtId="0" fontId="8" fillId="26" borderId="18" xfId="0" applyFont="1" applyFill="1" applyBorder="1" applyAlignment="1">
      <alignment vertical="top" wrapText="1"/>
    </xf>
    <xf numFmtId="0" fontId="8" fillId="26" borderId="14" xfId="0" applyFont="1" applyFill="1" applyBorder="1" applyAlignment="1">
      <alignment vertical="top" wrapText="1"/>
    </xf>
    <xf numFmtId="0" fontId="0" fillId="29" borderId="25" xfId="0" applyFill="1" applyBorder="1" applyAlignment="1">
      <alignment horizontal="center" vertical="top" wrapText="1"/>
    </xf>
    <xf numFmtId="0" fontId="0" fillId="29" borderId="15" xfId="0" applyFill="1" applyBorder="1" applyAlignment="1">
      <alignment horizontal="center" vertical="top" wrapText="1"/>
    </xf>
    <xf numFmtId="0" fontId="0" fillId="29" borderId="25" xfId="0" applyFill="1" applyBorder="1" applyAlignment="1">
      <alignment vertical="top" wrapText="1"/>
    </xf>
    <xf numFmtId="0" fontId="0" fillId="29" borderId="15" xfId="0" applyFill="1" applyBorder="1" applyAlignment="1">
      <alignment vertical="top" wrapText="1"/>
    </xf>
    <xf numFmtId="0" fontId="0" fillId="29" borderId="16" xfId="0" applyFill="1" applyBorder="1" applyAlignment="1">
      <alignment vertical="top" wrapText="1"/>
    </xf>
    <xf numFmtId="0" fontId="0" fillId="29" borderId="17" xfId="0" applyFill="1" applyBorder="1" applyAlignment="1">
      <alignment vertical="top" wrapText="1"/>
    </xf>
    <xf numFmtId="164" fontId="43" fillId="0" borderId="0" xfId="27" applyFont="1" applyAlignment="1">
      <alignment horizontal="center" wrapText="1"/>
    </xf>
    <xf numFmtId="164" fontId="10" fillId="0" borderId="24" xfId="27" applyFont="1" applyBorder="1" applyAlignment="1">
      <alignment horizontal="center"/>
    </xf>
    <xf numFmtId="164" fontId="11" fillId="0" borderId="0" xfId="27" applyFont="1" applyAlignment="1">
      <alignment horizontal="center"/>
    </xf>
    <xf numFmtId="164" fontId="45" fillId="0" borderId="0" xfId="27" applyFont="1" applyAlignment="1">
      <alignment horizontal="center"/>
    </xf>
    <xf numFmtId="164" fontId="44" fillId="0" borderId="0" xfId="27" applyFont="1" applyAlignment="1">
      <alignment horizontal="center"/>
    </xf>
    <xf numFmtId="164" fontId="11" fillId="0" borderId="0" xfId="27" applyFont="1" applyAlignment="1">
      <alignment horizontal="right"/>
    </xf>
    <xf numFmtId="0" fontId="40" fillId="0" borderId="0" xfId="27" applyNumberFormat="1" applyFont="1" applyAlignment="1">
      <alignment horizontal="center"/>
    </xf>
    <xf numFmtId="164" fontId="46" fillId="0" borderId="0" xfId="27" applyFont="1" applyAlignment="1">
      <alignment horizontal="right"/>
    </xf>
    <xf numFmtId="164" fontId="41" fillId="0" borderId="0" xfId="27" applyFont="1" applyAlignment="1">
      <alignment horizontal="center"/>
    </xf>
    <xf numFmtId="164" fontId="47" fillId="0" borderId="0" xfId="27" applyFont="1" applyAlignment="1">
      <alignment horizontal="right"/>
    </xf>
    <xf numFmtId="0" fontId="7" fillId="0" borderId="12" xfId="0" applyFont="1" applyFill="1" applyBorder="1" applyAlignment="1">
      <alignment horizontal="left" vertical="top"/>
    </xf>
    <xf numFmtId="0" fontId="9" fillId="24" borderId="12" xfId="0" applyFont="1" applyFill="1" applyBorder="1" applyAlignment="1">
      <alignment horizontal="left" vertical="top"/>
    </xf>
    <xf numFmtId="0" fontId="9" fillId="24" borderId="22" xfId="0" applyFont="1" applyFill="1" applyBorder="1" applyAlignment="1">
      <alignment horizontal="left" vertical="top" wrapText="1"/>
    </xf>
    <xf numFmtId="0" fontId="9" fillId="24" borderId="21" xfId="0" applyFont="1" applyFill="1" applyBorder="1" applyAlignment="1">
      <alignment horizontal="left" vertical="top" wrapText="1"/>
    </xf>
    <xf numFmtId="0" fontId="35" fillId="27" borderId="10" xfId="0" applyFont="1" applyFill="1" applyBorder="1" applyAlignment="1">
      <alignment horizontal="left" vertical="center"/>
    </xf>
    <xf numFmtId="0" fontId="35" fillId="27" borderId="23" xfId="0" applyFont="1" applyFill="1" applyBorder="1" applyAlignment="1">
      <alignment horizontal="left" vertical="center"/>
    </xf>
    <xf numFmtId="0" fontId="35" fillId="27" borderId="11" xfId="0" applyFont="1" applyFill="1" applyBorder="1" applyAlignment="1">
      <alignment horizontal="left" vertical="center"/>
    </xf>
    <xf numFmtId="0" fontId="2" fillId="0" borderId="16" xfId="0" applyFont="1" applyFill="1" applyBorder="1"/>
    <xf numFmtId="0" fontId="2" fillId="25" borderId="12" xfId="0" applyFont="1" applyFill="1" applyBorder="1"/>
    <xf numFmtId="0" fontId="48" fillId="0" borderId="20" xfId="0" applyFont="1" applyFill="1" applyBorder="1" applyAlignment="1">
      <alignment horizontal="left"/>
    </xf>
    <xf numFmtId="0" fontId="48" fillId="0" borderId="28" xfId="0" applyFont="1" applyFill="1" applyBorder="1" applyAlignment="1">
      <alignment horizontal="left"/>
    </xf>
    <xf numFmtId="0" fontId="49" fillId="0" borderId="31" xfId="0" applyFont="1" applyFill="1" applyBorder="1"/>
    <xf numFmtId="0" fontId="49" fillId="0" borderId="30" xfId="0" applyFont="1" applyFill="1" applyBorder="1"/>
    <xf numFmtId="0" fontId="0" fillId="0" borderId="0" xfId="0" applyFill="1"/>
    <xf numFmtId="0" fontId="2" fillId="0" borderId="30" xfId="0" applyFont="1" applyFill="1" applyBorder="1"/>
    <xf numFmtId="0" fontId="48" fillId="0" borderId="21" xfId="0" applyFont="1" applyFill="1" applyBorder="1"/>
    <xf numFmtId="0" fontId="37" fillId="0" borderId="41" xfId="0" applyFont="1" applyFill="1" applyBorder="1" applyAlignment="1">
      <alignment horizontal="left"/>
    </xf>
    <xf numFmtId="0" fontId="2" fillId="24" borderId="12" xfId="0" applyFont="1" applyFill="1" applyBorder="1"/>
    <xf numFmtId="0" fontId="2" fillId="0" borderId="12" xfId="0" applyFont="1" applyBorder="1"/>
    <xf numFmtId="0" fontId="0" fillId="24" borderId="18" xfId="0" applyFill="1" applyBorder="1"/>
    <xf numFmtId="0" fontId="2" fillId="29" borderId="20" xfId="0" applyFont="1" applyFill="1" applyBorder="1" applyAlignment="1">
      <alignment vertical="top" wrapText="1"/>
    </xf>
    <xf numFmtId="0" fontId="48" fillId="0" borderId="17" xfId="0" applyFont="1" applyFill="1" applyBorder="1" applyAlignment="1">
      <alignment horizontal="left"/>
    </xf>
    <xf numFmtId="0" fontId="37" fillId="0" borderId="42" xfId="50" applyFont="1" applyFill="1" applyBorder="1" applyAlignment="1">
      <alignment horizontal="left" vertical="center"/>
    </xf>
  </cellXfs>
  <cellStyles count="93">
    <cellStyle name="20% - Accent1" xfId="67" builtinId="30" customBuiltin="1"/>
    <cellStyle name="20% - Accent2" xfId="71" builtinId="34" customBuiltin="1"/>
    <cellStyle name="20% - Accent3" xfId="75" builtinId="38" customBuiltin="1"/>
    <cellStyle name="20% - Accent4" xfId="79" builtinId="42" customBuiltin="1"/>
    <cellStyle name="20% - Accent5" xfId="83" builtinId="46" customBuiltin="1"/>
    <cellStyle name="20% - Accent6" xfId="87" builtinId="50" customBuiltin="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8" builtinId="31" customBuiltin="1"/>
    <cellStyle name="40% - Accent2" xfId="72" builtinId="35" customBuiltin="1"/>
    <cellStyle name="40% - Accent3" xfId="76" builtinId="39" customBuiltin="1"/>
    <cellStyle name="40% - Accent4" xfId="80" builtinId="43" customBuiltin="1"/>
    <cellStyle name="40% - Accent5" xfId="84" builtinId="47" customBuiltin="1"/>
    <cellStyle name="40% - Accent6" xfId="88" builtinId="51" customBuiltin="1"/>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xfId="69" builtinId="32" customBuiltin="1"/>
    <cellStyle name="60% - Accent2" xfId="73" builtinId="36" customBuiltin="1"/>
    <cellStyle name="60% - Accent3" xfId="77" builtinId="40" customBuiltin="1"/>
    <cellStyle name="60% - Accent4" xfId="81" builtinId="44" customBuiltin="1"/>
    <cellStyle name="60% - Accent5" xfId="85" builtinId="48" customBuiltin="1"/>
    <cellStyle name="60% - Accent6" xfId="89" builtinId="52" customBuiltin="1"/>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6" builtinId="29" customBuiltin="1"/>
    <cellStyle name="Accent2" xfId="70" builtinId="33" customBuiltin="1"/>
    <cellStyle name="Accent3" xfId="74" builtinId="37" customBuiltin="1"/>
    <cellStyle name="Accent4" xfId="78" builtinId="41" customBuiltin="1"/>
    <cellStyle name="Accent5" xfId="82" builtinId="45" customBuiltin="1"/>
    <cellStyle name="Accent6" xfId="86"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7" builtinId="27" customBuiltin="1"/>
    <cellStyle name="Berechnung" xfId="26" xr:uid="{00000000-0005-0000-0000-000019000000}"/>
    <cellStyle name="Calculation" xfId="60" builtinId="22" customBuiltin="1"/>
    <cellStyle name="Check Cell" xfId="62"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64" builtinId="53" customBuiltin="1"/>
    <cellStyle name="Good" xfId="56" builtinId="26" customBuiltin="1"/>
    <cellStyle name="Gut" xfId="31" xr:uid="{00000000-0005-0000-0000-00001E000000}"/>
    <cellStyle name="Heading 1" xfId="52" builtinId="16" customBuiltin="1"/>
    <cellStyle name="Heading 2" xfId="53" builtinId="17" customBuiltin="1"/>
    <cellStyle name="Heading 3" xfId="54" builtinId="18" customBuiltin="1"/>
    <cellStyle name="Heading 4" xfId="55" builtinId="19" customBuiltin="1"/>
    <cellStyle name="Input" xfId="58" builtinId="20" customBuiltin="1"/>
    <cellStyle name="Linked Cell" xfId="61" builtinId="24" customBuiltin="1"/>
    <cellStyle name="Neutral" xfId="32" builtinId="28" customBuiltin="1"/>
    <cellStyle name="Neutral 2" xfId="47" xr:uid="{00000000-0005-0000-0000-000020000000}"/>
    <cellStyle name="Neutral 3" xfId="91" xr:uid="{C9183369-BE9D-4FAD-AC7E-55BE1ABDA992}"/>
    <cellStyle name="Normal" xfId="0" builtinId="0"/>
    <cellStyle name="Normal 2" xfId="33" xr:uid="{00000000-0005-0000-0000-000022000000}"/>
    <cellStyle name="Normal 2 10" xfId="50" xr:uid="{00000000-0005-0000-0000-000023000000}"/>
    <cellStyle name="Normal 2 2" xfId="46" xr:uid="{00000000-0005-0000-0000-000024000000}"/>
    <cellStyle name="Normal 3" xfId="45" xr:uid="{00000000-0005-0000-0000-000025000000}"/>
    <cellStyle name="Normal 4" xfId="90" xr:uid="{3E7BFDED-E071-4058-AC1C-EB2F4C282DA7}"/>
    <cellStyle name="Note 2" xfId="92" xr:uid="{71BF2576-97B2-4308-8712-B74734A15E4D}"/>
    <cellStyle name="Notiz" xfId="34" xr:uid="{00000000-0005-0000-0000-000027000000}"/>
    <cellStyle name="Notiz 2" xfId="48" xr:uid="{00000000-0005-0000-0000-000028000000}"/>
    <cellStyle name="Output" xfId="59" builtinId="21" customBuiltin="1"/>
    <cellStyle name="Schlecht" xfId="35" xr:uid="{00000000-0005-0000-0000-000029000000}"/>
    <cellStyle name="Standard 2" xfId="36" xr:uid="{00000000-0005-0000-0000-00002A000000}"/>
    <cellStyle name="Standard 2 2" xfId="49" xr:uid="{00000000-0005-0000-0000-00002B000000}"/>
    <cellStyle name="Title" xfId="51" builtinId="15" customBuiltin="1"/>
    <cellStyle name="Total" xfId="65" builtinId="25" customBuiltin="1"/>
    <cellStyle name="Überschrift" xfId="37" xr:uid="{00000000-0005-0000-0000-00002C000000}"/>
    <cellStyle name="Überschrift 1" xfId="38" xr:uid="{00000000-0005-0000-0000-00002D000000}"/>
    <cellStyle name="Überschrift 2" xfId="39" xr:uid="{00000000-0005-0000-0000-00002E000000}"/>
    <cellStyle name="Überschrift 3" xfId="40" xr:uid="{00000000-0005-0000-0000-00002F000000}"/>
    <cellStyle name="Überschrift 4" xfId="41" xr:uid="{00000000-0005-0000-0000-000030000000}"/>
    <cellStyle name="Verknüpfte Zelle" xfId="42" xr:uid="{00000000-0005-0000-0000-000031000000}"/>
    <cellStyle name="Warnender Text" xfId="43" xr:uid="{00000000-0005-0000-0000-000032000000}"/>
    <cellStyle name="Warning Text" xfId="63" builtinId="11" customBuiltin="1"/>
    <cellStyle name="Zelle überprüfen" xfId="44" xr:uid="{00000000-0005-0000-0000-000033000000}"/>
  </cellStyles>
  <dxfs count="0"/>
  <tableStyles count="1" defaultTableStyle="TableStyleMedium9" defaultPivotStyle="PivotStyleLight16">
    <tableStyle name="Invisible" pivot="0" table="0" count="0" xr9:uid="{559D7AC1-1621-4B6E-AABD-5F53E40A0DBA}"/>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104775</xdr:rowOff>
    </xdr:from>
    <xdr:to>
      <xdr:col>6</xdr:col>
      <xdr:colOff>101600</xdr:colOff>
      <xdr:row>11</xdr:row>
      <xdr:rowOff>158750</xdr:rowOff>
    </xdr:to>
    <xdr:sp macro="" textlink="">
      <xdr:nvSpPr>
        <xdr:cNvPr id="12338" name="Rectangle 1">
          <a:extLst>
            <a:ext uri="{FF2B5EF4-FFF2-40B4-BE49-F238E27FC236}">
              <a16:creationId xmlns:a16="http://schemas.microsoft.com/office/drawing/2014/main" id="{00000000-0008-0000-0000-000032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5</xdr:col>
      <xdr:colOff>485775</xdr:colOff>
      <xdr:row>6</xdr:row>
      <xdr:rowOff>104775</xdr:rowOff>
    </xdr:from>
    <xdr:to>
      <xdr:col>6</xdr:col>
      <xdr:colOff>101600</xdr:colOff>
      <xdr:row>11</xdr:row>
      <xdr:rowOff>158750</xdr:rowOff>
    </xdr:to>
    <xdr:sp macro="" textlink="">
      <xdr:nvSpPr>
        <xdr:cNvPr id="12339" name="Rectangle 4">
          <a:extLst>
            <a:ext uri="{FF2B5EF4-FFF2-40B4-BE49-F238E27FC236}">
              <a16:creationId xmlns:a16="http://schemas.microsoft.com/office/drawing/2014/main" id="{00000000-0008-0000-0000-000033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13</xdr:col>
      <xdr:colOff>282575</xdr:colOff>
      <xdr:row>9</xdr:row>
      <xdr:rowOff>6350</xdr:rowOff>
    </xdr:to>
    <xdr:pic>
      <xdr:nvPicPr>
        <xdr:cNvPr id="12340" name="Picture 7">
          <a:extLst>
            <a:ext uri="{FF2B5EF4-FFF2-40B4-BE49-F238E27FC236}">
              <a16:creationId xmlns:a16="http://schemas.microsoft.com/office/drawing/2014/main" id="{00000000-0008-0000-0000-000034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1134725" cy="1476375"/>
        </a:xfrm>
        <a:prstGeom prst="rect">
          <a:avLst/>
        </a:prstGeom>
        <a:noFill/>
        <a:ln w="1">
          <a:noFill/>
          <a:miter lim="800000"/>
          <a:headEnd/>
          <a:tailEnd/>
        </a:ln>
      </xdr:spPr>
    </xdr:pic>
    <xdr:clientData/>
  </xdr:twoCellAnchor>
</xdr:wsDr>
</file>

<file path=xl/persons/person.xml><?xml version="1.0" encoding="utf-8"?>
<personList xmlns="http://schemas.microsoft.com/office/spreadsheetml/2018/threadedcomments" xmlns:x="http://schemas.openxmlformats.org/spreadsheetml/2006/main">
  <person displayName="Calleechurrun, Vishwanee" id="{9728E588-E699-4489-BFFA-F3FFCE44350B}" userId="S::v.calleechurrun@accenture.com::f9a7f3bd-26a9-4730-81c2-5d082486ef9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9" dT="2021-10-21T08:28:05.50" personId="{9728E588-E699-4489-BFFA-F3FFCE44350B}" id="{2B470845-7164-48BF-81DB-738D037D3BBC}">
    <text>Confirm same column name is  Created as per CHG212558</text>
  </threadedComment>
  <threadedComment ref="F10" dT="2021-10-21T08:32:44.42" personId="{9728E588-E699-4489-BFFA-F3FFCE44350B}" id="{3BB4823B-338B-4FB0-9E38-50938A222BAA}">
    <text>Confirm same column name is  Created as per CHG212558</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7" zoomScale="80" zoomScaleNormal="75" workbookViewId="0">
      <selection activeCell="S21" sqref="S21"/>
    </sheetView>
  </sheetViews>
  <sheetFormatPr defaultColWidth="9.1796875" defaultRowHeight="12.5" x14ac:dyDescent="0.25"/>
  <cols>
    <col min="1" max="1" width="11.54296875" style="4" customWidth="1"/>
    <col min="2" max="2" width="12.81640625" style="4" bestFit="1" customWidth="1"/>
    <col min="3" max="5" width="9.1796875" style="4"/>
    <col min="6" max="6" width="8.54296875" style="4" customWidth="1"/>
    <col min="7" max="7" width="45.90625" style="4" customWidth="1"/>
    <col min="8" max="9" width="9.1796875" style="4"/>
    <col min="10" max="10" width="10.26953125" style="4" bestFit="1" customWidth="1"/>
    <col min="11" max="12" width="9.1796875" style="4"/>
    <col min="13" max="13" width="9.1796875" style="4" customWidth="1"/>
    <col min="14" max="14" width="13.1796875" style="4" customWidth="1"/>
    <col min="15" max="16384" width="9.1796875" style="4"/>
  </cols>
  <sheetData>
    <row r="1" spans="1:15" ht="13" x14ac:dyDescent="0.3">
      <c r="A1" s="3"/>
    </row>
    <row r="10" spans="1:15" ht="13" x14ac:dyDescent="0.3">
      <c r="A10" s="3"/>
      <c r="B10" s="3"/>
      <c r="C10" s="3"/>
      <c r="D10" s="3"/>
      <c r="E10" s="3"/>
      <c r="F10" s="3"/>
      <c r="G10" s="3"/>
      <c r="H10" s="3"/>
      <c r="I10" s="3"/>
    </row>
    <row r="11" spans="1:15" ht="13" x14ac:dyDescent="0.3">
      <c r="A11" s="3"/>
      <c r="B11" s="3"/>
      <c r="C11" s="3"/>
      <c r="D11" s="3"/>
      <c r="E11" s="3"/>
      <c r="F11" s="3"/>
      <c r="G11" s="3"/>
      <c r="H11" s="3"/>
      <c r="I11" s="3"/>
    </row>
    <row r="12" spans="1:15" ht="13" x14ac:dyDescent="0.3">
      <c r="A12" s="3"/>
      <c r="B12" s="3"/>
      <c r="C12" s="3"/>
      <c r="D12" s="3"/>
      <c r="E12" s="3"/>
      <c r="F12" s="3"/>
      <c r="G12" s="3"/>
      <c r="H12" s="3"/>
      <c r="I12" s="3"/>
    </row>
    <row r="13" spans="1:15" ht="32.25" customHeight="1" thickBot="1" x14ac:dyDescent="0.6">
      <c r="A13" s="142" t="s">
        <v>4</v>
      </c>
      <c r="B13" s="142"/>
      <c r="C13" s="142"/>
      <c r="D13" s="142"/>
      <c r="E13" s="142"/>
      <c r="F13" s="142"/>
      <c r="G13" s="142"/>
      <c r="H13" s="142"/>
      <c r="I13" s="142"/>
      <c r="J13" s="142"/>
      <c r="K13" s="142"/>
      <c r="L13" s="142"/>
      <c r="M13" s="142"/>
      <c r="N13" s="142"/>
      <c r="O13" s="142"/>
    </row>
    <row r="14" spans="1:15" ht="13.5" thickTop="1" x14ac:dyDescent="0.3">
      <c r="A14" s="3"/>
      <c r="B14" s="3"/>
      <c r="C14" s="3"/>
      <c r="D14" s="3"/>
      <c r="E14" s="3"/>
      <c r="F14" s="3"/>
      <c r="G14" s="3"/>
      <c r="H14" s="3"/>
      <c r="I14" s="3"/>
    </row>
    <row r="15" spans="1:15" ht="13" x14ac:dyDescent="0.3">
      <c r="A15" s="3"/>
      <c r="B15" s="3"/>
      <c r="C15" s="3"/>
      <c r="D15" s="3"/>
      <c r="E15" s="3"/>
      <c r="F15" s="3"/>
      <c r="G15" s="3"/>
      <c r="H15" s="3"/>
      <c r="I15" s="3"/>
    </row>
    <row r="16" spans="1:15" ht="13.5" customHeight="1" x14ac:dyDescent="0.3">
      <c r="A16" s="3"/>
      <c r="B16" s="3"/>
      <c r="C16" s="3"/>
      <c r="D16" s="3"/>
      <c r="E16" s="3"/>
      <c r="F16" s="3"/>
      <c r="G16" s="3"/>
      <c r="H16" s="3"/>
      <c r="I16" s="3"/>
    </row>
    <row r="17" spans="1:15" ht="14.25" customHeight="1" x14ac:dyDescent="0.3">
      <c r="A17" s="3"/>
      <c r="B17" s="3"/>
      <c r="C17" s="3"/>
      <c r="D17" s="3"/>
      <c r="E17" s="3"/>
      <c r="F17" s="3"/>
      <c r="G17" s="3"/>
      <c r="H17" s="3"/>
      <c r="I17" s="3"/>
    </row>
    <row r="18" spans="1:15" ht="13" x14ac:dyDescent="0.3">
      <c r="A18" s="3"/>
      <c r="B18" s="3"/>
      <c r="C18" s="3"/>
      <c r="D18" s="3"/>
      <c r="E18" s="3"/>
      <c r="F18" s="3"/>
      <c r="G18" s="3"/>
      <c r="H18" s="3"/>
      <c r="I18" s="3"/>
    </row>
    <row r="19" spans="1:15" ht="13" x14ac:dyDescent="0.3">
      <c r="A19" s="3"/>
      <c r="B19" s="3"/>
      <c r="C19" s="3"/>
      <c r="D19" s="3"/>
      <c r="E19" s="3"/>
      <c r="F19" s="3"/>
      <c r="G19" s="3"/>
      <c r="H19" s="3"/>
      <c r="I19" s="3"/>
    </row>
    <row r="20" spans="1:15" ht="30.5" x14ac:dyDescent="0.65">
      <c r="A20" s="143" t="s">
        <v>62</v>
      </c>
      <c r="B20" s="143"/>
      <c r="C20" s="143"/>
      <c r="D20" s="143"/>
      <c r="E20" s="143"/>
      <c r="F20" s="143"/>
      <c r="G20" s="143"/>
      <c r="H20" s="143"/>
      <c r="I20" s="143"/>
      <c r="J20" s="143"/>
      <c r="K20" s="143"/>
      <c r="L20" s="143"/>
      <c r="M20" s="143"/>
      <c r="N20" s="143"/>
      <c r="O20" s="143"/>
    </row>
    <row r="21" spans="1:15" ht="30.5" x14ac:dyDescent="0.65">
      <c r="A21" s="143" t="s">
        <v>61</v>
      </c>
      <c r="B21" s="143"/>
      <c r="C21" s="143"/>
      <c r="D21" s="143"/>
      <c r="E21" s="143"/>
      <c r="F21" s="143"/>
      <c r="G21" s="143"/>
      <c r="H21" s="143"/>
      <c r="I21" s="143"/>
      <c r="J21" s="143"/>
      <c r="K21" s="143"/>
      <c r="L21" s="143"/>
      <c r="M21" s="143"/>
      <c r="N21" s="143"/>
      <c r="O21" s="143"/>
    </row>
    <row r="22" spans="1:15" ht="13" x14ac:dyDescent="0.3">
      <c r="A22" s="3"/>
      <c r="B22" s="3"/>
      <c r="C22" s="3"/>
      <c r="D22" s="3"/>
      <c r="E22" s="3"/>
      <c r="F22" s="3"/>
      <c r="G22" s="3"/>
      <c r="H22" s="3"/>
      <c r="I22" s="3"/>
    </row>
    <row r="23" spans="1:15" ht="30.5" x14ac:dyDescent="0.65">
      <c r="A23" s="146" t="s">
        <v>152</v>
      </c>
      <c r="B23" s="146"/>
      <c r="C23" s="146"/>
      <c r="D23" s="146"/>
      <c r="E23" s="146"/>
      <c r="F23" s="147" t="s">
        <v>186</v>
      </c>
      <c r="G23" s="147"/>
      <c r="H23" s="147"/>
      <c r="I23" s="147"/>
      <c r="J23" s="147"/>
      <c r="K23" s="147"/>
      <c r="L23" s="147"/>
      <c r="M23" s="147"/>
      <c r="N23" s="147"/>
      <c r="O23" s="147"/>
    </row>
    <row r="24" spans="1:15" s="38" customFormat="1" ht="28" x14ac:dyDescent="0.6">
      <c r="A24" s="148" t="s">
        <v>63</v>
      </c>
      <c r="B24" s="148"/>
      <c r="C24" s="148"/>
      <c r="D24" s="148"/>
      <c r="E24" s="148"/>
      <c r="F24" s="149" t="s">
        <v>187</v>
      </c>
      <c r="G24" s="149"/>
      <c r="H24" s="149"/>
      <c r="I24" s="149"/>
      <c r="J24" s="149"/>
      <c r="K24" s="149"/>
      <c r="L24" s="149"/>
      <c r="M24" s="149"/>
      <c r="N24" s="149"/>
      <c r="O24" s="39"/>
    </row>
    <row r="25" spans="1:15" s="38" customFormat="1" ht="28" x14ac:dyDescent="0.6">
      <c r="A25" s="150" t="s">
        <v>64</v>
      </c>
      <c r="B25" s="150"/>
      <c r="C25" s="150"/>
      <c r="D25" s="150"/>
      <c r="E25" s="150"/>
      <c r="F25" s="141" t="s">
        <v>188</v>
      </c>
      <c r="G25" s="141"/>
      <c r="H25" s="141"/>
      <c r="I25" s="141"/>
      <c r="J25" s="141"/>
      <c r="K25" s="141"/>
      <c r="L25" s="141"/>
      <c r="M25" s="141"/>
      <c r="N25" s="141"/>
      <c r="O25" s="39"/>
    </row>
    <row r="26" spans="1:15" x14ac:dyDescent="0.25">
      <c r="A26" s="40"/>
      <c r="B26" s="40"/>
      <c r="C26" s="40"/>
      <c r="D26" s="40"/>
      <c r="E26" s="40"/>
      <c r="F26" s="40"/>
      <c r="G26" s="40"/>
      <c r="H26" s="40"/>
      <c r="I26" s="40"/>
      <c r="J26" s="40"/>
      <c r="K26" s="40"/>
      <c r="L26" s="40"/>
      <c r="M26" s="40"/>
      <c r="N26" s="40"/>
      <c r="O26" s="40"/>
    </row>
    <row r="27" spans="1:15" ht="15.5" x14ac:dyDescent="0.35">
      <c r="A27" s="145"/>
      <c r="B27" s="145"/>
      <c r="C27" s="145"/>
      <c r="D27" s="145"/>
      <c r="E27" s="145"/>
      <c r="F27" s="145"/>
      <c r="G27" s="145"/>
      <c r="H27" s="145"/>
      <c r="I27" s="145"/>
      <c r="J27" s="40"/>
      <c r="K27" s="40"/>
      <c r="L27" s="40"/>
      <c r="M27" s="40"/>
      <c r="N27" s="40"/>
      <c r="O27" s="40"/>
    </row>
    <row r="28" spans="1:15" ht="18" customHeight="1" x14ac:dyDescent="0.45">
      <c r="A28" s="144"/>
      <c r="B28" s="144"/>
      <c r="C28" s="144"/>
      <c r="D28" s="144"/>
      <c r="E28" s="144"/>
      <c r="F28" s="144"/>
      <c r="G28" s="144"/>
      <c r="H28" s="144"/>
      <c r="I28" s="144"/>
      <c r="J28" s="40"/>
      <c r="K28" s="40"/>
      <c r="L28" s="40"/>
      <c r="M28" s="40"/>
      <c r="N28" s="40"/>
      <c r="O28" s="40"/>
    </row>
    <row r="37" spans="1:9" ht="18" customHeight="1" x14ac:dyDescent="0.25"/>
    <row r="38" spans="1:9" ht="15.5" x14ac:dyDescent="0.35">
      <c r="A38" s="5" t="s">
        <v>5</v>
      </c>
      <c r="B38" s="6">
        <f ca="1">TODAY()</f>
        <v>44490</v>
      </c>
      <c r="C38" s="3"/>
      <c r="D38" s="3"/>
      <c r="E38" s="3"/>
      <c r="F38" s="3"/>
      <c r="G38" s="3"/>
      <c r="H38" s="3"/>
      <c r="I38" s="3"/>
    </row>
    <row r="39" spans="1:9" ht="15.5" x14ac:dyDescent="0.35">
      <c r="A39" s="5" t="s">
        <v>6</v>
      </c>
      <c r="B39" s="7" t="s">
        <v>13</v>
      </c>
      <c r="C39" s="3"/>
      <c r="D39" s="3"/>
      <c r="E39" s="3"/>
      <c r="F39" s="3"/>
      <c r="G39" s="3"/>
      <c r="H39" s="3"/>
      <c r="I39" s="3"/>
    </row>
    <row r="40" spans="1:9" ht="15.5" x14ac:dyDescent="0.35">
      <c r="A40" s="5"/>
      <c r="B40" s="7"/>
      <c r="C40" s="3"/>
      <c r="D40" s="3"/>
      <c r="E40" s="3"/>
      <c r="F40" s="3"/>
      <c r="G40" s="3"/>
      <c r="H40" s="3"/>
      <c r="I40" s="3"/>
    </row>
  </sheetData>
  <mergeCells count="11">
    <mergeCell ref="F25:N25"/>
    <mergeCell ref="A13:O13"/>
    <mergeCell ref="A20:O20"/>
    <mergeCell ref="A21:O21"/>
    <mergeCell ref="A28:I28"/>
    <mergeCell ref="A27:I27"/>
    <mergeCell ref="A23:E23"/>
    <mergeCell ref="F23:O23"/>
    <mergeCell ref="A24:E24"/>
    <mergeCell ref="F24:N24"/>
    <mergeCell ref="A25:E25"/>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6"/>
  <sheetViews>
    <sheetView showGridLines="0" topLeftCell="B1" workbookViewId="0">
      <selection activeCell="C33" sqref="C33"/>
    </sheetView>
  </sheetViews>
  <sheetFormatPr defaultColWidth="9.1796875" defaultRowHeight="13" x14ac:dyDescent="0.25"/>
  <cols>
    <col min="1" max="1" width="34.1796875" style="13" bestFit="1" customWidth="1"/>
    <col min="2" max="2" width="29" style="13" customWidth="1"/>
    <col min="3" max="3" width="35.26953125" style="13" customWidth="1"/>
    <col min="4" max="4" width="9.1796875" style="13" hidden="1" customWidth="1"/>
    <col min="5" max="5" width="9.26953125" style="13" hidden="1" customWidth="1"/>
    <col min="6" max="6" width="11.1796875" style="13" customWidth="1"/>
    <col min="7" max="7" width="9.1796875" style="13" hidden="1" customWidth="1"/>
    <col min="8" max="8" width="21.54296875" style="13" customWidth="1"/>
    <col min="9" max="9" width="37.1796875" style="13" customWidth="1"/>
    <col min="10" max="10" width="21.453125" style="13" bestFit="1" customWidth="1"/>
    <col min="11" max="11" width="17.54296875" style="13" bestFit="1" customWidth="1"/>
    <col min="12" max="12" width="8" style="13" bestFit="1" customWidth="1"/>
    <col min="13" max="16384" width="9.1796875" style="13"/>
  </cols>
  <sheetData>
    <row r="1" spans="1:9" ht="15.5" x14ac:dyDescent="0.25">
      <c r="A1" s="11" t="s">
        <v>7</v>
      </c>
      <c r="B1" s="12"/>
      <c r="C1" s="12"/>
      <c r="D1" s="12"/>
      <c r="E1" s="12"/>
    </row>
    <row r="2" spans="1:9" x14ac:dyDescent="0.25">
      <c r="A2" s="14"/>
      <c r="B2" s="12"/>
      <c r="C2" s="12"/>
      <c r="D2" s="12"/>
      <c r="E2" s="12"/>
    </row>
    <row r="3" spans="1:9" x14ac:dyDescent="0.25">
      <c r="A3" s="41" t="s">
        <v>8</v>
      </c>
      <c r="B3" s="42" t="s">
        <v>9</v>
      </c>
      <c r="C3" s="152" t="s">
        <v>10</v>
      </c>
      <c r="D3" s="152"/>
      <c r="E3" s="152"/>
      <c r="F3" s="153" t="s">
        <v>11</v>
      </c>
      <c r="G3" s="154"/>
      <c r="H3" s="42" t="s">
        <v>12</v>
      </c>
      <c r="I3" s="16" t="s">
        <v>22</v>
      </c>
    </row>
    <row r="4" spans="1:9" x14ac:dyDescent="0.25">
      <c r="A4" s="46" t="s">
        <v>189</v>
      </c>
      <c r="B4" s="46" t="s">
        <v>190</v>
      </c>
      <c r="C4" s="151" t="s">
        <v>52</v>
      </c>
      <c r="D4" s="151"/>
      <c r="E4" s="151"/>
      <c r="F4" s="45" t="s">
        <v>191</v>
      </c>
      <c r="G4" s="15"/>
      <c r="H4" s="43" t="s">
        <v>192</v>
      </c>
      <c r="I4" s="17" t="s">
        <v>193</v>
      </c>
    </row>
    <row r="5" spans="1:9" x14ac:dyDescent="0.25">
      <c r="A5" s="46"/>
      <c r="B5" s="46"/>
      <c r="C5" s="151"/>
      <c r="D5" s="151"/>
      <c r="E5" s="151"/>
      <c r="F5" s="44"/>
      <c r="G5" s="15"/>
      <c r="H5" s="43"/>
      <c r="I5" s="17"/>
    </row>
    <row r="6" spans="1:9" x14ac:dyDescent="0.25">
      <c r="A6" s="12"/>
      <c r="B6" s="12"/>
      <c r="C6" s="12"/>
      <c r="D6" s="12"/>
      <c r="E6" s="12"/>
    </row>
    <row r="8" spans="1:9" x14ac:dyDescent="0.25">
      <c r="A8" s="47" t="s">
        <v>29</v>
      </c>
      <c r="B8" s="50" t="s">
        <v>33</v>
      </c>
    </row>
    <row r="9" spans="1:9" x14ac:dyDescent="0.25">
      <c r="A9" s="48" t="s">
        <v>129</v>
      </c>
      <c r="B9" s="51">
        <f>ROUNDUP(((5/100)*B10+(1/100)*B11),2)</f>
        <v>0</v>
      </c>
    </row>
    <row r="10" spans="1:9" x14ac:dyDescent="0.25">
      <c r="A10" s="48" t="s">
        <v>31</v>
      </c>
      <c r="B10" s="51"/>
    </row>
    <row r="11" spans="1:9" x14ac:dyDescent="0.25">
      <c r="A11" s="48" t="s">
        <v>28</v>
      </c>
      <c r="B11" s="51"/>
    </row>
    <row r="12" spans="1:9" x14ac:dyDescent="0.25">
      <c r="A12" s="48" t="s">
        <v>94</v>
      </c>
      <c r="B12" s="51"/>
    </row>
    <row r="13" spans="1:9" x14ac:dyDescent="0.25">
      <c r="A13" s="48" t="s">
        <v>93</v>
      </c>
      <c r="B13" s="51"/>
    </row>
    <row r="14" spans="1:9" x14ac:dyDescent="0.25">
      <c r="A14" s="48" t="s">
        <v>32</v>
      </c>
      <c r="B14" s="51"/>
    </row>
    <row r="15" spans="1:9" x14ac:dyDescent="0.25">
      <c r="A15" s="48" t="s">
        <v>88</v>
      </c>
      <c r="B15" s="51"/>
    </row>
    <row r="16" spans="1:9" x14ac:dyDescent="0.25">
      <c r="A16" s="49" t="s">
        <v>45</v>
      </c>
      <c r="B16" s="52">
        <f>ROUNDUP(SUM(B9:B15), 2)</f>
        <v>0</v>
      </c>
    </row>
    <row r="18" spans="1:10" x14ac:dyDescent="0.25">
      <c r="A18" s="53" t="s">
        <v>98</v>
      </c>
      <c r="B18" s="53" t="s">
        <v>130</v>
      </c>
      <c r="C18" s="53" t="s">
        <v>131</v>
      </c>
      <c r="I18" s="53" t="s">
        <v>140</v>
      </c>
      <c r="J18" s="53" t="s">
        <v>141</v>
      </c>
    </row>
    <row r="19" spans="1:10" x14ac:dyDescent="0.25">
      <c r="A19" s="51"/>
      <c r="B19" s="51"/>
      <c r="C19" s="51"/>
      <c r="I19" s="51"/>
      <c r="J19" s="51"/>
    </row>
    <row r="20" spans="1:10" x14ac:dyDescent="0.25">
      <c r="A20" s="51"/>
      <c r="B20" s="51"/>
      <c r="C20" s="51"/>
    </row>
    <row r="21" spans="1:10" x14ac:dyDescent="0.25">
      <c r="A21" s="51"/>
      <c r="B21" s="51"/>
      <c r="C21" s="51"/>
    </row>
    <row r="22" spans="1:10" x14ac:dyDescent="0.25">
      <c r="A22" s="51"/>
      <c r="B22" s="51"/>
      <c r="C22" s="51"/>
    </row>
    <row r="23" spans="1:10" x14ac:dyDescent="0.25">
      <c r="A23" s="51"/>
      <c r="B23" s="51"/>
      <c r="C23" s="51"/>
    </row>
    <row r="24" spans="1:10" x14ac:dyDescent="0.25">
      <c r="A24" s="51"/>
      <c r="B24" s="51"/>
      <c r="C24" s="51"/>
    </row>
    <row r="25" spans="1:10" x14ac:dyDescent="0.25">
      <c r="A25" s="51"/>
      <c r="B25" s="51"/>
      <c r="C25" s="51"/>
    </row>
    <row r="26" spans="1:10" x14ac:dyDescent="0.25">
      <c r="A26" s="51"/>
      <c r="B26" s="51"/>
      <c r="C26" s="51"/>
    </row>
  </sheetData>
  <mergeCells count="4">
    <mergeCell ref="C5:E5"/>
    <mergeCell ref="C3:E3"/>
    <mergeCell ref="F3:G3"/>
    <mergeCell ref="C4:E4"/>
  </mergeCells>
  <phoneticPr fontId="0" type="noConversion"/>
  <pageMargins left="0.75" right="0.75" top="1" bottom="1" header="0.5" footer="0.5"/>
  <pageSetup paperSize="9" orientation="landscape" r:id="rId1"/>
  <headerFooter alignWithMargins="0">
    <oddFooter>&amp;L&amp;"Book Antiqua,Regular"&amp;8Document: &amp;F&amp;R&amp;"Book Antiqua,Regular"&amp;8Page &amp;P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14"/>
  <sheetViews>
    <sheetView topLeftCell="A3" zoomScale="85" workbookViewId="0">
      <selection activeCell="I19" sqref="I19"/>
    </sheetView>
  </sheetViews>
  <sheetFormatPr defaultColWidth="9.1796875" defaultRowHeight="12.5" x14ac:dyDescent="0.25"/>
  <cols>
    <col min="1" max="1" width="25.453125" style="25" customWidth="1"/>
    <col min="2" max="2" width="27.453125" style="25" customWidth="1"/>
    <col min="3" max="3" width="48.26953125" style="25" customWidth="1"/>
    <col min="4" max="4" width="35.81640625" style="25" customWidth="1"/>
    <col min="5" max="5" width="27.453125" style="25" customWidth="1"/>
    <col min="6" max="16384" width="9.1796875" style="25"/>
  </cols>
  <sheetData>
    <row r="1" spans="1:6" ht="15.5" x14ac:dyDescent="0.25">
      <c r="A1" s="24" t="s">
        <v>15</v>
      </c>
    </row>
    <row r="2" spans="1:6" ht="13" thickBot="1" x14ac:dyDescent="0.3"/>
    <row r="3" spans="1:6" ht="13" x14ac:dyDescent="0.25">
      <c r="A3" s="132" t="s">
        <v>18</v>
      </c>
      <c r="B3" s="133" t="s">
        <v>16</v>
      </c>
      <c r="C3" s="133" t="s">
        <v>1</v>
      </c>
      <c r="D3" s="133" t="s">
        <v>19</v>
      </c>
      <c r="E3" s="134" t="s">
        <v>17</v>
      </c>
    </row>
    <row r="4" spans="1:6" ht="50" x14ac:dyDescent="0.25">
      <c r="A4" s="135" t="s">
        <v>14</v>
      </c>
      <c r="B4" s="26" t="s">
        <v>266</v>
      </c>
      <c r="C4" s="26" t="s">
        <v>269</v>
      </c>
      <c r="D4" s="26" t="s">
        <v>271</v>
      </c>
      <c r="E4" s="136" t="s">
        <v>14</v>
      </c>
      <c r="F4" s="36"/>
    </row>
    <row r="5" spans="1:6" x14ac:dyDescent="0.25">
      <c r="A5" s="137"/>
      <c r="B5" s="26" t="s">
        <v>274</v>
      </c>
      <c r="C5" s="26" t="s">
        <v>219</v>
      </c>
      <c r="D5" s="26" t="s">
        <v>270</v>
      </c>
      <c r="E5" s="138"/>
    </row>
    <row r="6" spans="1:6" x14ac:dyDescent="0.25">
      <c r="A6" s="137"/>
      <c r="B6" s="26" t="s">
        <v>267</v>
      </c>
      <c r="C6" s="26" t="s">
        <v>259</v>
      </c>
      <c r="D6" s="26" t="s">
        <v>272</v>
      </c>
      <c r="E6" s="138"/>
    </row>
    <row r="7" spans="1:6" ht="38" thickBot="1" x14ac:dyDescent="0.3">
      <c r="A7" s="139"/>
      <c r="B7" s="27" t="s">
        <v>268</v>
      </c>
      <c r="C7" s="171" t="s">
        <v>285</v>
      </c>
      <c r="D7" s="27" t="s">
        <v>273</v>
      </c>
      <c r="E7" s="140"/>
    </row>
    <row r="14" spans="1:6" s="20" customFormat="1" ht="13" x14ac:dyDescent="0.25"/>
  </sheetData>
  <phoneticPr fontId="0" type="noConversion"/>
  <pageMargins left="0.75" right="0.75" top="1" bottom="1" header="0.5" footer="0.5"/>
  <pageSetup paperSize="9" scale="80" fitToHeight="0" orientation="landscape" r:id="rId1"/>
  <headerFooter alignWithMargins="0">
    <oddHeader>&amp;C&amp;A</oddHeader>
    <oddFooter>&amp;L&amp;F&amp;C&amp;D&amp;R&amp;P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45"/>
  <sheetViews>
    <sheetView workbookViewId="0">
      <selection activeCell="C8" sqref="C8"/>
    </sheetView>
  </sheetViews>
  <sheetFormatPr defaultColWidth="9.1796875" defaultRowHeight="12.5" x14ac:dyDescent="0.25"/>
  <cols>
    <col min="1" max="1" width="32.453125" style="58" bestFit="1" customWidth="1"/>
    <col min="2" max="2" width="27.453125" style="58" bestFit="1" customWidth="1"/>
    <col min="3" max="3" width="120.1796875" style="58" bestFit="1" customWidth="1"/>
    <col min="4" max="4" width="7.1796875" style="58" bestFit="1" customWidth="1"/>
    <col min="5" max="5" width="9.54296875" style="58" bestFit="1" customWidth="1"/>
    <col min="6" max="16384" width="9.1796875" style="58"/>
  </cols>
  <sheetData>
    <row r="1" spans="1:5" ht="13" thickBot="1" x14ac:dyDescent="0.3">
      <c r="A1" s="155" t="s">
        <v>100</v>
      </c>
      <c r="B1" s="156"/>
      <c r="C1" s="156"/>
      <c r="D1" s="156"/>
      <c r="E1" s="157"/>
    </row>
    <row r="2" spans="1:5" ht="13" thickBot="1" x14ac:dyDescent="0.3">
      <c r="D2" s="67"/>
    </row>
    <row r="3" spans="1:5" x14ac:dyDescent="0.25">
      <c r="A3" s="68" t="s">
        <v>101</v>
      </c>
      <c r="B3" s="69"/>
      <c r="C3" s="69"/>
      <c r="D3" s="69"/>
    </row>
    <row r="4" spans="1:5" ht="25" x14ac:dyDescent="0.25">
      <c r="A4" s="70" t="s">
        <v>39</v>
      </c>
      <c r="B4" s="70" t="s">
        <v>106</v>
      </c>
      <c r="C4" s="70" t="s">
        <v>102</v>
      </c>
      <c r="D4" s="71" t="s">
        <v>56</v>
      </c>
      <c r="E4" s="71" t="s">
        <v>99</v>
      </c>
    </row>
    <row r="5" spans="1:5" x14ac:dyDescent="0.25">
      <c r="A5" s="72" t="s">
        <v>107</v>
      </c>
      <c r="B5" s="72" t="s">
        <v>108</v>
      </c>
      <c r="C5" s="72" t="s">
        <v>109</v>
      </c>
      <c r="D5" s="54" t="s">
        <v>234</v>
      </c>
      <c r="E5" s="54"/>
    </row>
    <row r="6" spans="1:5" ht="25.5" x14ac:dyDescent="0.25">
      <c r="A6" s="72" t="s">
        <v>114</v>
      </c>
      <c r="B6" s="72" t="s">
        <v>108</v>
      </c>
      <c r="C6" s="73" t="s">
        <v>163</v>
      </c>
      <c r="D6" s="54" t="s">
        <v>265</v>
      </c>
      <c r="E6" s="54"/>
    </row>
    <row r="7" spans="1:5" x14ac:dyDescent="0.25">
      <c r="A7" s="72" t="s">
        <v>121</v>
      </c>
      <c r="B7" s="72" t="s">
        <v>108</v>
      </c>
      <c r="C7" s="72" t="s">
        <v>174</v>
      </c>
      <c r="D7" s="54" t="s">
        <v>265</v>
      </c>
      <c r="E7" s="54"/>
    </row>
    <row r="8" spans="1:5" ht="87.5" x14ac:dyDescent="0.25">
      <c r="A8" s="72" t="s">
        <v>103</v>
      </c>
      <c r="B8" s="72" t="s">
        <v>44</v>
      </c>
      <c r="C8" s="73" t="s">
        <v>104</v>
      </c>
      <c r="D8" s="54" t="s">
        <v>234</v>
      </c>
      <c r="E8" s="54"/>
    </row>
    <row r="9" spans="1:5" x14ac:dyDescent="0.25">
      <c r="A9" s="72" t="s">
        <v>105</v>
      </c>
      <c r="B9" s="72" t="s">
        <v>23</v>
      </c>
      <c r="C9" s="72" t="s">
        <v>151</v>
      </c>
      <c r="D9" s="54" t="s">
        <v>234</v>
      </c>
      <c r="E9" s="54"/>
    </row>
    <row r="10" spans="1:5" x14ac:dyDescent="0.25">
      <c r="A10" s="72" t="s">
        <v>112</v>
      </c>
      <c r="B10" s="72" t="s">
        <v>23</v>
      </c>
      <c r="C10" s="73" t="s">
        <v>110</v>
      </c>
      <c r="D10" s="54" t="s">
        <v>234</v>
      </c>
      <c r="E10" s="54"/>
    </row>
    <row r="11" spans="1:5" x14ac:dyDescent="0.25">
      <c r="A11" s="72" t="s">
        <v>166</v>
      </c>
      <c r="B11" s="72" t="s">
        <v>23</v>
      </c>
      <c r="C11" s="73" t="s">
        <v>167</v>
      </c>
      <c r="D11" s="54" t="s">
        <v>234</v>
      </c>
      <c r="E11" s="54"/>
    </row>
    <row r="12" spans="1:5" x14ac:dyDescent="0.25">
      <c r="A12" s="72" t="s">
        <v>113</v>
      </c>
      <c r="B12" s="72" t="s">
        <v>23</v>
      </c>
      <c r="C12" s="72" t="s">
        <v>111</v>
      </c>
      <c r="D12" s="54" t="s">
        <v>234</v>
      </c>
      <c r="E12" s="54"/>
    </row>
    <row r="13" spans="1:5" x14ac:dyDescent="0.25">
      <c r="A13" s="72" t="s">
        <v>125</v>
      </c>
      <c r="B13" s="72" t="s">
        <v>23</v>
      </c>
      <c r="C13" s="72" t="s">
        <v>126</v>
      </c>
      <c r="D13" s="54" t="s">
        <v>265</v>
      </c>
      <c r="E13" s="54"/>
    </row>
    <row r="14" spans="1:5" ht="26" x14ac:dyDescent="0.25">
      <c r="A14" s="72" t="s">
        <v>171</v>
      </c>
      <c r="B14" s="72" t="s">
        <v>23</v>
      </c>
      <c r="C14" s="73" t="s">
        <v>172</v>
      </c>
      <c r="D14" s="54" t="s">
        <v>265</v>
      </c>
      <c r="E14" s="54"/>
    </row>
    <row r="15" spans="1:5" x14ac:dyDescent="0.25">
      <c r="A15" s="72" t="s">
        <v>184</v>
      </c>
      <c r="B15" s="72" t="s">
        <v>23</v>
      </c>
      <c r="C15" s="73" t="s">
        <v>185</v>
      </c>
      <c r="D15" s="54" t="s">
        <v>265</v>
      </c>
      <c r="E15" s="54"/>
    </row>
    <row r="16" spans="1:5" x14ac:dyDescent="0.25">
      <c r="A16" s="72" t="s">
        <v>124</v>
      </c>
      <c r="B16" s="72" t="s">
        <v>122</v>
      </c>
      <c r="C16" s="72" t="s">
        <v>123</v>
      </c>
      <c r="D16" s="54" t="s">
        <v>234</v>
      </c>
      <c r="E16" s="54"/>
    </row>
    <row r="17" spans="1:5" x14ac:dyDescent="0.25">
      <c r="A17" s="72" t="s">
        <v>36</v>
      </c>
      <c r="B17" s="72" t="s">
        <v>122</v>
      </c>
      <c r="C17" s="72" t="s">
        <v>147</v>
      </c>
      <c r="D17" s="54" t="s">
        <v>265</v>
      </c>
      <c r="E17" s="54"/>
    </row>
    <row r="18" spans="1:5" x14ac:dyDescent="0.25">
      <c r="A18" s="72" t="s">
        <v>182</v>
      </c>
      <c r="B18" s="72" t="s">
        <v>122</v>
      </c>
      <c r="C18" s="72" t="s">
        <v>183</v>
      </c>
      <c r="D18" s="54" t="s">
        <v>265</v>
      </c>
      <c r="E18" s="54"/>
    </row>
    <row r="19" spans="1:5" ht="25" x14ac:dyDescent="0.25">
      <c r="A19" s="72" t="s">
        <v>39</v>
      </c>
      <c r="B19" s="72" t="s">
        <v>122</v>
      </c>
      <c r="C19" s="73" t="s">
        <v>177</v>
      </c>
      <c r="D19" s="54" t="s">
        <v>265</v>
      </c>
      <c r="E19" s="54"/>
    </row>
    <row r="20" spans="1:5" x14ac:dyDescent="0.25">
      <c r="A20" s="72" t="s">
        <v>115</v>
      </c>
      <c r="B20" s="72" t="s">
        <v>20</v>
      </c>
      <c r="C20" s="73" t="s">
        <v>116</v>
      </c>
      <c r="D20" s="54" t="s">
        <v>265</v>
      </c>
      <c r="E20" s="54"/>
    </row>
    <row r="21" spans="1:5" ht="25" x14ac:dyDescent="0.25">
      <c r="A21" s="72" t="s">
        <v>145</v>
      </c>
      <c r="B21" s="72" t="s">
        <v>20</v>
      </c>
      <c r="C21" s="73" t="s">
        <v>146</v>
      </c>
      <c r="D21" s="54" t="s">
        <v>265</v>
      </c>
      <c r="E21" s="54"/>
    </row>
    <row r="22" spans="1:5" ht="25" x14ac:dyDescent="0.25">
      <c r="A22" s="73" t="s">
        <v>148</v>
      </c>
      <c r="B22" s="72" t="s">
        <v>20</v>
      </c>
      <c r="C22" s="73" t="s">
        <v>149</v>
      </c>
      <c r="D22" s="54" t="s">
        <v>265</v>
      </c>
      <c r="E22" s="54"/>
    </row>
    <row r="23" spans="1:5" x14ac:dyDescent="0.25">
      <c r="A23" s="72" t="s">
        <v>118</v>
      </c>
      <c r="B23" s="72" t="s">
        <v>117</v>
      </c>
      <c r="C23" s="72" t="s">
        <v>119</v>
      </c>
      <c r="D23" s="54" t="s">
        <v>265</v>
      </c>
      <c r="E23" s="54"/>
    </row>
    <row r="24" spans="1:5" ht="13" x14ac:dyDescent="0.25">
      <c r="A24" s="72"/>
      <c r="B24" s="72" t="s">
        <v>164</v>
      </c>
      <c r="C24" s="72" t="s">
        <v>165</v>
      </c>
      <c r="D24" s="54" t="s">
        <v>265</v>
      </c>
      <c r="E24" s="54"/>
    </row>
    <row r="25" spans="1:5" x14ac:dyDescent="0.25">
      <c r="A25" s="72"/>
      <c r="B25" s="72" t="s">
        <v>54</v>
      </c>
      <c r="C25" s="72" t="s">
        <v>179</v>
      </c>
      <c r="D25" s="54" t="s">
        <v>265</v>
      </c>
      <c r="E25" s="54"/>
    </row>
    <row r="26" spans="1:5" x14ac:dyDescent="0.25">
      <c r="A26" s="72" t="s">
        <v>127</v>
      </c>
      <c r="B26" s="72" t="s">
        <v>58</v>
      </c>
      <c r="C26" s="72" t="s">
        <v>128</v>
      </c>
      <c r="D26" s="54" t="s">
        <v>265</v>
      </c>
      <c r="E26" s="54"/>
    </row>
    <row r="27" spans="1:5" x14ac:dyDescent="0.25">
      <c r="A27" s="72"/>
      <c r="B27" s="72" t="s">
        <v>58</v>
      </c>
      <c r="C27" s="72" t="s">
        <v>173</v>
      </c>
      <c r="D27" s="54" t="s">
        <v>234</v>
      </c>
      <c r="E27" s="54"/>
    </row>
    <row r="28" spans="1:5" x14ac:dyDescent="0.25">
      <c r="A28" s="72" t="s">
        <v>138</v>
      </c>
      <c r="B28" s="72" t="s">
        <v>44</v>
      </c>
      <c r="C28" s="72" t="s">
        <v>139</v>
      </c>
      <c r="D28" s="54" t="s">
        <v>265</v>
      </c>
      <c r="E28" s="54"/>
    </row>
    <row r="29" spans="1:5" ht="25.5" x14ac:dyDescent="0.25">
      <c r="A29" s="72" t="s">
        <v>142</v>
      </c>
      <c r="B29" s="72" t="s">
        <v>44</v>
      </c>
      <c r="C29" s="73" t="s">
        <v>143</v>
      </c>
      <c r="D29" s="54" t="s">
        <v>265</v>
      </c>
      <c r="E29" s="54"/>
    </row>
    <row r="30" spans="1:5" x14ac:dyDescent="0.25">
      <c r="A30" s="72" t="s">
        <v>132</v>
      </c>
      <c r="B30" s="72" t="s">
        <v>108</v>
      </c>
      <c r="C30" s="72" t="s">
        <v>133</v>
      </c>
      <c r="D30" s="54" t="s">
        <v>234</v>
      </c>
      <c r="E30" s="54"/>
    </row>
    <row r="31" spans="1:5" x14ac:dyDescent="0.25">
      <c r="A31" s="72" t="s">
        <v>120</v>
      </c>
      <c r="B31" s="72" t="s">
        <v>27</v>
      </c>
      <c r="C31" s="73" t="s">
        <v>162</v>
      </c>
      <c r="D31" s="54" t="s">
        <v>265</v>
      </c>
      <c r="E31" s="54"/>
    </row>
    <row r="32" spans="1:5" x14ac:dyDescent="0.25">
      <c r="A32" s="72"/>
      <c r="B32" s="72" t="s">
        <v>27</v>
      </c>
      <c r="C32" s="73" t="s">
        <v>154</v>
      </c>
      <c r="D32" s="54" t="s">
        <v>265</v>
      </c>
      <c r="E32" s="54"/>
    </row>
    <row r="33" spans="1:5" x14ac:dyDescent="0.25">
      <c r="A33" s="72"/>
      <c r="B33" s="72" t="s">
        <v>27</v>
      </c>
      <c r="C33" s="74" t="s">
        <v>161</v>
      </c>
      <c r="D33" s="54" t="s">
        <v>265</v>
      </c>
      <c r="E33" s="54"/>
    </row>
    <row r="34" spans="1:5" x14ac:dyDescent="0.25">
      <c r="A34" s="72"/>
      <c r="B34" s="72" t="s">
        <v>27</v>
      </c>
      <c r="C34" s="73" t="s">
        <v>155</v>
      </c>
      <c r="D34" s="54" t="s">
        <v>265</v>
      </c>
      <c r="E34" s="54"/>
    </row>
    <row r="35" spans="1:5" x14ac:dyDescent="0.25">
      <c r="A35" s="72"/>
      <c r="B35" s="72" t="s">
        <v>27</v>
      </c>
      <c r="C35" s="73" t="s">
        <v>156</v>
      </c>
      <c r="D35" s="54" t="s">
        <v>265</v>
      </c>
      <c r="E35" s="54"/>
    </row>
    <row r="36" spans="1:5" x14ac:dyDescent="0.25">
      <c r="A36" s="72"/>
      <c r="B36" s="72" t="s">
        <v>27</v>
      </c>
      <c r="C36" s="73" t="s">
        <v>180</v>
      </c>
      <c r="D36" s="54" t="s">
        <v>265</v>
      </c>
      <c r="E36" s="54"/>
    </row>
    <row r="37" spans="1:5" x14ac:dyDescent="0.25">
      <c r="A37" s="72"/>
      <c r="B37" s="72" t="s">
        <v>27</v>
      </c>
      <c r="C37" s="73" t="s">
        <v>157</v>
      </c>
      <c r="D37" s="54" t="s">
        <v>265</v>
      </c>
      <c r="E37" s="54"/>
    </row>
    <row r="38" spans="1:5" x14ac:dyDescent="0.25">
      <c r="A38" s="72"/>
      <c r="B38" s="72" t="s">
        <v>27</v>
      </c>
      <c r="C38" s="73" t="s">
        <v>158</v>
      </c>
      <c r="D38" s="54" t="s">
        <v>265</v>
      </c>
      <c r="E38" s="54"/>
    </row>
    <row r="39" spans="1:5" x14ac:dyDescent="0.25">
      <c r="A39" s="72"/>
      <c r="B39" s="72" t="s">
        <v>27</v>
      </c>
      <c r="C39" s="73" t="s">
        <v>159</v>
      </c>
      <c r="D39" s="54" t="s">
        <v>265</v>
      </c>
      <c r="E39" s="54"/>
    </row>
    <row r="40" spans="1:5" x14ac:dyDescent="0.25">
      <c r="A40" s="72"/>
      <c r="B40" s="72" t="s">
        <v>27</v>
      </c>
      <c r="C40" s="73" t="s">
        <v>160</v>
      </c>
      <c r="D40" s="54" t="s">
        <v>265</v>
      </c>
      <c r="E40" s="54"/>
    </row>
    <row r="41" spans="1:5" ht="25.5" x14ac:dyDescent="0.25">
      <c r="A41" s="72"/>
      <c r="B41" s="72" t="s">
        <v>27</v>
      </c>
      <c r="C41" s="73" t="s">
        <v>170</v>
      </c>
      <c r="D41" s="54" t="s">
        <v>265</v>
      </c>
      <c r="E41" s="54"/>
    </row>
    <row r="42" spans="1:5" ht="26" x14ac:dyDescent="0.25">
      <c r="A42" s="72"/>
      <c r="B42" s="72" t="s">
        <v>27</v>
      </c>
      <c r="C42" s="73" t="s">
        <v>175</v>
      </c>
      <c r="D42" s="54" t="s">
        <v>265</v>
      </c>
      <c r="E42" s="54"/>
    </row>
    <row r="43" spans="1:5" x14ac:dyDescent="0.25">
      <c r="A43" s="72"/>
      <c r="B43" s="72" t="s">
        <v>27</v>
      </c>
      <c r="C43" s="73" t="s">
        <v>176</v>
      </c>
      <c r="D43" s="54" t="s">
        <v>265</v>
      </c>
      <c r="E43" s="54"/>
    </row>
    <row r="44" spans="1:5" x14ac:dyDescent="0.25">
      <c r="A44" s="72"/>
      <c r="B44" s="72" t="s">
        <v>27</v>
      </c>
      <c r="C44" s="73" t="s">
        <v>178</v>
      </c>
      <c r="D44" s="54" t="s">
        <v>265</v>
      </c>
      <c r="E44" s="54"/>
    </row>
    <row r="45" spans="1:5" x14ac:dyDescent="0.25">
      <c r="A45" s="72"/>
      <c r="B45" s="72" t="s">
        <v>27</v>
      </c>
      <c r="C45" s="73" t="s">
        <v>181</v>
      </c>
      <c r="D45" s="54" t="s">
        <v>265</v>
      </c>
      <c r="E45" s="54"/>
    </row>
  </sheetData>
  <autoFilter ref="A4:E43" xr:uid="{00000000-0009-0000-0000-000003000000}"/>
  <mergeCells count="1">
    <mergeCell ref="A1:E1"/>
  </mergeCells>
  <dataValidations count="1">
    <dataValidation type="list" allowBlank="1" showInputMessage="1" showErrorMessage="1" sqref="D5:D45" xr:uid="{00000000-0002-0000-0300-000000000000}">
      <formula1>"OK, KO, N/A"</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pageSetUpPr fitToPage="1"/>
  </sheetPr>
  <dimension ref="A1:S37"/>
  <sheetViews>
    <sheetView zoomScale="99" zoomScaleNormal="99" workbookViewId="0">
      <selection activeCell="H23" sqref="H23:H24"/>
    </sheetView>
  </sheetViews>
  <sheetFormatPr defaultColWidth="7.81640625" defaultRowHeight="12.5" x14ac:dyDescent="0.25"/>
  <cols>
    <col min="1" max="1" width="48.90625" style="9" bestFit="1" customWidth="1"/>
    <col min="2" max="2" width="28.81640625" style="8" customWidth="1"/>
    <col min="3" max="3" width="23.1796875" style="8" bestFit="1" customWidth="1"/>
    <col min="4" max="4" width="19.1796875" style="8" customWidth="1"/>
    <col min="5" max="5" width="26.54296875" style="8" bestFit="1" customWidth="1"/>
    <col min="6" max="6" width="28.54296875" style="8" bestFit="1" customWidth="1"/>
    <col min="7" max="7" width="35.7265625" style="8" bestFit="1" customWidth="1"/>
    <col min="8" max="8" width="27.54296875" style="10" bestFit="1" customWidth="1"/>
    <col min="9" max="9" width="18.26953125" style="10" customWidth="1"/>
    <col min="10" max="10" width="14.1796875" style="10" customWidth="1"/>
    <col min="11" max="12" width="61.08984375" style="8" bestFit="1" customWidth="1"/>
    <col min="13" max="13" width="24.26953125" style="8" customWidth="1"/>
    <col min="14" max="14" width="39.26953125" style="8" bestFit="1" customWidth="1"/>
    <col min="15" max="15" width="10" style="8" bestFit="1" customWidth="1"/>
    <col min="16" max="16" width="13.54296875" style="8" bestFit="1" customWidth="1"/>
    <col min="17" max="17" width="5.26953125" style="8" bestFit="1" customWidth="1"/>
    <col min="18" max="18" width="11.26953125" style="8" bestFit="1" customWidth="1"/>
    <col min="19" max="19" width="8.7265625" bestFit="1" customWidth="1"/>
    <col min="20" max="20" width="11.1796875" bestFit="1" customWidth="1"/>
    <col min="21" max="21" width="9.7265625" bestFit="1" customWidth="1"/>
    <col min="22" max="22" width="27.1796875" bestFit="1" customWidth="1"/>
    <col min="23" max="23" width="7.81640625" bestFit="1" customWidth="1"/>
    <col min="24" max="24" width="25.54296875" bestFit="1" customWidth="1"/>
    <col min="25" max="25" width="12.26953125" bestFit="1" customWidth="1"/>
    <col min="26" max="26" width="13.54296875" bestFit="1" customWidth="1"/>
    <col min="27" max="27" width="31.26953125" bestFit="1" customWidth="1"/>
    <col min="28" max="28" width="28.26953125" bestFit="1" customWidth="1"/>
    <col min="29" max="29" width="12.81640625" bestFit="1" customWidth="1"/>
    <col min="30" max="30" width="11.26953125" bestFit="1" customWidth="1"/>
    <col min="31" max="31" width="29.26953125" bestFit="1" customWidth="1"/>
    <col min="32" max="32" width="7.453125" bestFit="1" customWidth="1"/>
    <col min="33" max="33" width="10" bestFit="1" customWidth="1"/>
    <col min="34" max="34" width="18.7265625" bestFit="1" customWidth="1"/>
    <col min="35" max="35" width="36.453125" bestFit="1" customWidth="1"/>
    <col min="36" max="37" width="8.54296875" customWidth="1"/>
  </cols>
  <sheetData>
    <row r="1" spans="1:19" ht="18" x14ac:dyDescent="0.4">
      <c r="A1" s="37" t="s">
        <v>24</v>
      </c>
      <c r="B1" s="31"/>
      <c r="C1" s="31"/>
      <c r="D1" s="31"/>
      <c r="E1" s="31"/>
      <c r="F1" s="31"/>
      <c r="G1" s="31"/>
      <c r="H1" s="32"/>
      <c r="I1" s="32"/>
      <c r="J1" s="32"/>
      <c r="K1" s="31"/>
      <c r="L1" s="31"/>
      <c r="M1" s="31"/>
      <c r="N1" s="31"/>
      <c r="O1" s="31"/>
      <c r="P1" s="31"/>
      <c r="Q1" s="31"/>
      <c r="R1" s="31"/>
    </row>
    <row r="2" spans="1:19" ht="13" thickBot="1" x14ac:dyDescent="0.3">
      <c r="A2" s="31"/>
      <c r="B2" s="31"/>
      <c r="C2" s="31"/>
      <c r="D2" s="31"/>
      <c r="E2" s="31"/>
      <c r="F2" s="31"/>
      <c r="G2" s="31"/>
      <c r="H2" s="31"/>
      <c r="I2" s="31"/>
      <c r="J2" s="31"/>
      <c r="K2" s="31"/>
      <c r="L2" s="31"/>
      <c r="M2" s="31"/>
      <c r="N2" s="31"/>
      <c r="O2" s="31"/>
      <c r="P2" s="31"/>
      <c r="Q2" s="31"/>
      <c r="R2" s="31"/>
    </row>
    <row r="3" spans="1:19" x14ac:dyDescent="0.25">
      <c r="A3" s="18" t="s">
        <v>29</v>
      </c>
      <c r="B3" s="19" t="s">
        <v>30</v>
      </c>
      <c r="C3" s="31"/>
      <c r="D3" s="31"/>
      <c r="E3" s="31"/>
      <c r="F3" s="31"/>
      <c r="G3" s="31"/>
      <c r="H3" s="31"/>
      <c r="I3" s="31"/>
      <c r="J3" s="31"/>
      <c r="K3" s="31"/>
      <c r="L3" s="31"/>
      <c r="M3" s="31"/>
      <c r="N3" s="31"/>
      <c r="O3" s="31"/>
    </row>
    <row r="4" spans="1:19" ht="13" thickBot="1" x14ac:dyDescent="0.3">
      <c r="A4" s="22"/>
      <c r="B4" s="23"/>
      <c r="C4" s="31"/>
      <c r="D4" s="31"/>
      <c r="E4" s="31"/>
      <c r="F4" s="31"/>
      <c r="G4" s="31"/>
      <c r="H4" s="32"/>
      <c r="I4" s="32"/>
      <c r="J4" s="32"/>
      <c r="K4" s="31"/>
      <c r="L4" s="31"/>
      <c r="M4" s="31"/>
      <c r="N4" s="31"/>
      <c r="O4" s="31"/>
    </row>
    <row r="5" spans="1:19" ht="15.75" customHeight="1" x14ac:dyDescent="0.25">
      <c r="A5" s="28"/>
      <c r="B5" s="28"/>
      <c r="C5" s="29"/>
      <c r="D5" s="29"/>
      <c r="E5" s="29"/>
      <c r="F5" s="29"/>
      <c r="H5" s="8"/>
      <c r="I5" s="8"/>
      <c r="J5" s="8"/>
    </row>
    <row r="6" spans="1:19" ht="16" thickBot="1" x14ac:dyDescent="0.4">
      <c r="A6" s="35" t="s">
        <v>47</v>
      </c>
      <c r="B6" s="31"/>
      <c r="C6" s="31"/>
      <c r="D6" s="31"/>
      <c r="E6" s="31"/>
      <c r="F6" s="31"/>
      <c r="G6" s="31"/>
      <c r="H6" s="32"/>
      <c r="I6" s="32"/>
      <c r="J6" s="32"/>
      <c r="K6" s="31"/>
      <c r="L6" s="31"/>
      <c r="M6" s="31"/>
    </row>
    <row r="7" spans="1:19" x14ac:dyDescent="0.25">
      <c r="A7" s="110" t="s">
        <v>136</v>
      </c>
      <c r="B7" s="106" t="s">
        <v>8</v>
      </c>
      <c r="C7" s="104" t="s">
        <v>3</v>
      </c>
      <c r="D7" s="104" t="s">
        <v>48</v>
      </c>
      <c r="E7" s="104" t="s">
        <v>275</v>
      </c>
      <c r="F7" s="104" t="s">
        <v>49</v>
      </c>
      <c r="G7" s="104" t="s">
        <v>0</v>
      </c>
      <c r="H7" s="104" t="s">
        <v>50</v>
      </c>
      <c r="I7" s="104" t="s">
        <v>2</v>
      </c>
      <c r="J7" s="104" t="s">
        <v>46</v>
      </c>
      <c r="K7" s="104" t="s">
        <v>51</v>
      </c>
      <c r="L7" s="105" t="s">
        <v>22</v>
      </c>
      <c r="Q7"/>
      <c r="R7"/>
    </row>
    <row r="8" spans="1:19" ht="15.75" customHeight="1" x14ac:dyDescent="0.25">
      <c r="A8" s="111" t="s">
        <v>194</v>
      </c>
      <c r="B8" s="107" t="s">
        <v>210</v>
      </c>
      <c r="C8" s="79" t="s">
        <v>210</v>
      </c>
      <c r="D8" s="78" t="s">
        <v>212</v>
      </c>
      <c r="E8" s="78"/>
      <c r="F8" s="78" t="s">
        <v>213</v>
      </c>
      <c r="G8" s="78" t="s">
        <v>211</v>
      </c>
      <c r="H8" s="78" t="s">
        <v>203</v>
      </c>
      <c r="I8" s="79" t="s">
        <v>214</v>
      </c>
      <c r="J8" s="79" t="s">
        <v>213</v>
      </c>
      <c r="K8" s="79" t="s">
        <v>212</v>
      </c>
      <c r="L8" s="92" t="s">
        <v>201</v>
      </c>
      <c r="M8" s="57"/>
      <c r="N8" s="57"/>
      <c r="O8" s="57"/>
      <c r="P8" s="57"/>
      <c r="Q8"/>
      <c r="R8"/>
    </row>
    <row r="9" spans="1:19" ht="15.75" customHeight="1" x14ac:dyDescent="0.25">
      <c r="A9" s="111" t="s">
        <v>194</v>
      </c>
      <c r="B9" s="107" t="s">
        <v>235</v>
      </c>
      <c r="C9" s="79" t="s">
        <v>235</v>
      </c>
      <c r="D9" s="78" t="s">
        <v>212</v>
      </c>
      <c r="E9" s="78"/>
      <c r="F9" s="78" t="s">
        <v>213</v>
      </c>
      <c r="G9" s="79" t="s">
        <v>236</v>
      </c>
      <c r="H9" s="173" t="s">
        <v>282</v>
      </c>
      <c r="I9" s="79" t="s">
        <v>3</v>
      </c>
      <c r="J9" s="79" t="s">
        <v>213</v>
      </c>
      <c r="K9" s="79" t="s">
        <v>212</v>
      </c>
      <c r="L9" s="92" t="s">
        <v>201</v>
      </c>
      <c r="Q9"/>
      <c r="R9"/>
    </row>
    <row r="10" spans="1:19" ht="15.75" customHeight="1" x14ac:dyDescent="0.25">
      <c r="A10" s="111" t="s">
        <v>194</v>
      </c>
      <c r="B10" s="108" t="s">
        <v>216</v>
      </c>
      <c r="C10" s="78" t="s">
        <v>216</v>
      </c>
      <c r="D10" s="78" t="s">
        <v>212</v>
      </c>
      <c r="E10" s="78"/>
      <c r="F10" s="78" t="s">
        <v>213</v>
      </c>
      <c r="G10" s="78" t="s">
        <v>204</v>
      </c>
      <c r="H10" s="78" t="s">
        <v>205</v>
      </c>
      <c r="I10" s="79" t="s">
        <v>214</v>
      </c>
      <c r="J10" s="79" t="s">
        <v>213</v>
      </c>
      <c r="K10" s="79" t="s">
        <v>212</v>
      </c>
      <c r="L10" s="92" t="s">
        <v>201</v>
      </c>
      <c r="Q10"/>
      <c r="R10"/>
    </row>
    <row r="11" spans="1:19" ht="16" customHeight="1" x14ac:dyDescent="0.25">
      <c r="A11" s="111" t="s">
        <v>194</v>
      </c>
      <c r="B11" s="109" t="s">
        <v>217</v>
      </c>
      <c r="C11" s="81" t="s">
        <v>217</v>
      </c>
      <c r="D11" s="78" t="s">
        <v>212</v>
      </c>
      <c r="E11" s="78"/>
      <c r="F11" s="78" t="s">
        <v>213</v>
      </c>
      <c r="G11" s="78" t="s">
        <v>206</v>
      </c>
      <c r="H11" s="78" t="s">
        <v>207</v>
      </c>
      <c r="I11" s="79" t="s">
        <v>3</v>
      </c>
      <c r="J11" s="79" t="s">
        <v>213</v>
      </c>
      <c r="K11" s="79" t="s">
        <v>212</v>
      </c>
      <c r="L11" s="92" t="s">
        <v>201</v>
      </c>
      <c r="Q11"/>
      <c r="R11"/>
    </row>
    <row r="12" spans="1:19" s="164" customFormat="1" ht="16" customHeight="1" x14ac:dyDescent="0.25">
      <c r="A12" s="165" t="s">
        <v>194</v>
      </c>
      <c r="B12" s="166" t="s">
        <v>218</v>
      </c>
      <c r="C12" s="85" t="s">
        <v>218</v>
      </c>
      <c r="D12" s="85" t="s">
        <v>212</v>
      </c>
      <c r="E12" s="85" t="s">
        <v>213</v>
      </c>
      <c r="F12" s="85" t="s">
        <v>213</v>
      </c>
      <c r="G12" s="85" t="s">
        <v>209</v>
      </c>
      <c r="H12" s="85" t="s">
        <v>208</v>
      </c>
      <c r="I12" s="79" t="s">
        <v>3</v>
      </c>
      <c r="J12" s="79" t="s">
        <v>213</v>
      </c>
      <c r="K12" s="79" t="s">
        <v>212</v>
      </c>
      <c r="L12" s="92" t="s">
        <v>201</v>
      </c>
      <c r="M12" s="8"/>
      <c r="N12" s="8"/>
      <c r="O12" s="8"/>
      <c r="P12" s="8"/>
    </row>
    <row r="13" spans="1:19" ht="16" customHeight="1" x14ac:dyDescent="0.25">
      <c r="A13" s="111" t="s">
        <v>195</v>
      </c>
      <c r="B13" s="107" t="s">
        <v>210</v>
      </c>
      <c r="C13" s="79" t="s">
        <v>210</v>
      </c>
      <c r="D13" s="78" t="s">
        <v>212</v>
      </c>
      <c r="E13" s="78"/>
      <c r="F13" s="78" t="s">
        <v>213</v>
      </c>
      <c r="G13" s="78" t="s">
        <v>211</v>
      </c>
      <c r="H13" s="78" t="s">
        <v>203</v>
      </c>
      <c r="I13" s="79" t="s">
        <v>214</v>
      </c>
      <c r="J13" s="79" t="s">
        <v>213</v>
      </c>
      <c r="K13" s="79" t="s">
        <v>212</v>
      </c>
      <c r="L13" s="92" t="s">
        <v>201</v>
      </c>
      <c r="Q13"/>
      <c r="R13"/>
    </row>
    <row r="14" spans="1:19" x14ac:dyDescent="0.25">
      <c r="A14" s="111" t="s">
        <v>195</v>
      </c>
      <c r="B14" s="107" t="s">
        <v>215</v>
      </c>
      <c r="C14" s="79" t="s">
        <v>215</v>
      </c>
      <c r="D14" s="78" t="s">
        <v>212</v>
      </c>
      <c r="E14" s="78"/>
      <c r="F14" s="78" t="s">
        <v>213</v>
      </c>
      <c r="G14" s="79" t="s">
        <v>202</v>
      </c>
      <c r="H14" s="173" t="s">
        <v>282</v>
      </c>
      <c r="I14" s="79" t="s">
        <v>3</v>
      </c>
      <c r="J14" s="79" t="s">
        <v>213</v>
      </c>
      <c r="K14" s="79" t="s">
        <v>212</v>
      </c>
      <c r="L14" s="92" t="s">
        <v>201</v>
      </c>
      <c r="S14" s="8"/>
    </row>
    <row r="15" spans="1:19" x14ac:dyDescent="0.25">
      <c r="A15" s="111" t="s">
        <v>195</v>
      </c>
      <c r="B15" s="108" t="s">
        <v>216</v>
      </c>
      <c r="C15" s="78" t="s">
        <v>216</v>
      </c>
      <c r="D15" s="78" t="s">
        <v>212</v>
      </c>
      <c r="E15" s="78"/>
      <c r="F15" s="78" t="s">
        <v>213</v>
      </c>
      <c r="G15" s="78" t="s">
        <v>204</v>
      </c>
      <c r="H15" s="78" t="s">
        <v>205</v>
      </c>
      <c r="I15" s="79" t="s">
        <v>214</v>
      </c>
      <c r="J15" s="79" t="s">
        <v>213</v>
      </c>
      <c r="K15" s="79" t="s">
        <v>212</v>
      </c>
      <c r="L15" s="92" t="s">
        <v>201</v>
      </c>
      <c r="S15" s="8"/>
    </row>
    <row r="16" spans="1:19" x14ac:dyDescent="0.25">
      <c r="A16" s="111" t="s">
        <v>195</v>
      </c>
      <c r="B16" s="109" t="s">
        <v>217</v>
      </c>
      <c r="C16" s="81" t="s">
        <v>217</v>
      </c>
      <c r="D16" s="78" t="s">
        <v>212</v>
      </c>
      <c r="E16" s="78"/>
      <c r="F16" s="78" t="s">
        <v>213</v>
      </c>
      <c r="G16" s="78" t="s">
        <v>206</v>
      </c>
      <c r="H16" s="78" t="s">
        <v>207</v>
      </c>
      <c r="I16" s="79" t="s">
        <v>3</v>
      </c>
      <c r="J16" s="79" t="s">
        <v>213</v>
      </c>
      <c r="K16" s="79" t="s">
        <v>212</v>
      </c>
      <c r="L16" s="92" t="s">
        <v>201</v>
      </c>
      <c r="S16" s="8"/>
    </row>
    <row r="17" spans="1:19" s="164" customFormat="1" x14ac:dyDescent="0.25">
      <c r="A17" s="165" t="s">
        <v>195</v>
      </c>
      <c r="B17" s="166" t="s">
        <v>218</v>
      </c>
      <c r="C17" s="85" t="s">
        <v>218</v>
      </c>
      <c r="D17" s="85" t="s">
        <v>212</v>
      </c>
      <c r="E17" s="85" t="s">
        <v>213</v>
      </c>
      <c r="F17" s="85" t="s">
        <v>213</v>
      </c>
      <c r="G17" s="85" t="s">
        <v>209</v>
      </c>
      <c r="H17" s="85" t="s">
        <v>208</v>
      </c>
      <c r="I17" s="79" t="s">
        <v>3</v>
      </c>
      <c r="J17" s="79" t="s">
        <v>213</v>
      </c>
      <c r="K17" s="79" t="s">
        <v>212</v>
      </c>
      <c r="L17" s="92" t="s">
        <v>201</v>
      </c>
      <c r="M17" s="8"/>
      <c r="N17" s="8"/>
      <c r="O17" s="8"/>
      <c r="P17" s="8"/>
      <c r="Q17" s="8"/>
      <c r="R17" s="8"/>
      <c r="S17" s="8"/>
    </row>
    <row r="18" spans="1:19" ht="13" x14ac:dyDescent="0.3">
      <c r="A18" s="112" t="s">
        <v>196</v>
      </c>
      <c r="B18" s="107" t="s">
        <v>210</v>
      </c>
      <c r="C18" s="79" t="s">
        <v>210</v>
      </c>
      <c r="D18" s="78" t="s">
        <v>212</v>
      </c>
      <c r="E18" s="78"/>
      <c r="F18" s="78" t="s">
        <v>213</v>
      </c>
      <c r="G18" s="78" t="s">
        <v>211</v>
      </c>
      <c r="H18" s="78" t="s">
        <v>203</v>
      </c>
      <c r="I18" s="79" t="s">
        <v>214</v>
      </c>
      <c r="J18" s="79" t="s">
        <v>213</v>
      </c>
      <c r="K18" s="79" t="s">
        <v>212</v>
      </c>
      <c r="L18" s="92" t="s">
        <v>201</v>
      </c>
      <c r="S18" s="8"/>
    </row>
    <row r="19" spans="1:19" ht="13" x14ac:dyDescent="0.3">
      <c r="A19" s="112" t="s">
        <v>196</v>
      </c>
      <c r="B19" s="107" t="s">
        <v>215</v>
      </c>
      <c r="C19" s="79" t="s">
        <v>215</v>
      </c>
      <c r="D19" s="78" t="s">
        <v>212</v>
      </c>
      <c r="E19" s="78"/>
      <c r="F19" s="78" t="s">
        <v>213</v>
      </c>
      <c r="G19" s="79" t="s">
        <v>202</v>
      </c>
      <c r="H19" s="173" t="s">
        <v>282</v>
      </c>
      <c r="I19" s="79" t="s">
        <v>3</v>
      </c>
      <c r="J19" s="79" t="s">
        <v>213</v>
      </c>
      <c r="K19" s="79" t="s">
        <v>212</v>
      </c>
      <c r="L19" s="92" t="s">
        <v>201</v>
      </c>
      <c r="S19" s="8"/>
    </row>
    <row r="20" spans="1:19" ht="13" x14ac:dyDescent="0.3">
      <c r="A20" s="112" t="s">
        <v>196</v>
      </c>
      <c r="B20" s="108" t="s">
        <v>216</v>
      </c>
      <c r="C20" s="78" t="s">
        <v>216</v>
      </c>
      <c r="D20" s="78" t="s">
        <v>212</v>
      </c>
      <c r="E20" s="78"/>
      <c r="F20" s="78" t="s">
        <v>213</v>
      </c>
      <c r="G20" s="78" t="s">
        <v>204</v>
      </c>
      <c r="H20" s="78" t="s">
        <v>205</v>
      </c>
      <c r="I20" s="79" t="s">
        <v>214</v>
      </c>
      <c r="J20" s="79" t="s">
        <v>213</v>
      </c>
      <c r="K20" s="79" t="s">
        <v>212</v>
      </c>
      <c r="L20" s="92" t="s">
        <v>201</v>
      </c>
      <c r="S20" s="8"/>
    </row>
    <row r="21" spans="1:19" ht="13" x14ac:dyDescent="0.3">
      <c r="A21" s="112" t="s">
        <v>196</v>
      </c>
      <c r="B21" s="109" t="s">
        <v>217</v>
      </c>
      <c r="C21" s="81" t="s">
        <v>217</v>
      </c>
      <c r="D21" s="78" t="s">
        <v>212</v>
      </c>
      <c r="E21" s="78"/>
      <c r="F21" s="78" t="s">
        <v>213</v>
      </c>
      <c r="G21" s="78" t="s">
        <v>206</v>
      </c>
      <c r="H21" s="78" t="s">
        <v>207</v>
      </c>
      <c r="I21" s="79" t="s">
        <v>3</v>
      </c>
      <c r="J21" s="79" t="s">
        <v>213</v>
      </c>
      <c r="K21" s="79" t="s">
        <v>212</v>
      </c>
      <c r="L21" s="92" t="s">
        <v>201</v>
      </c>
      <c r="S21" s="8"/>
    </row>
    <row r="22" spans="1:19" s="164" customFormat="1" ht="13" x14ac:dyDescent="0.3">
      <c r="A22" s="163" t="s">
        <v>196</v>
      </c>
      <c r="B22" s="166" t="s">
        <v>218</v>
      </c>
      <c r="C22" s="85" t="s">
        <v>218</v>
      </c>
      <c r="D22" s="85" t="s">
        <v>212</v>
      </c>
      <c r="E22" s="85" t="s">
        <v>213</v>
      </c>
      <c r="F22" s="85" t="s">
        <v>213</v>
      </c>
      <c r="G22" s="85" t="s">
        <v>209</v>
      </c>
      <c r="H22" s="85" t="s">
        <v>208</v>
      </c>
      <c r="I22" s="79" t="s">
        <v>3</v>
      </c>
      <c r="J22" s="79" t="s">
        <v>213</v>
      </c>
      <c r="K22" s="79" t="s">
        <v>212</v>
      </c>
      <c r="L22" s="92" t="s">
        <v>201</v>
      </c>
      <c r="M22" s="8"/>
      <c r="N22" s="8"/>
      <c r="O22" s="8"/>
      <c r="P22" s="8"/>
      <c r="Q22" s="8"/>
      <c r="R22" s="8"/>
      <c r="S22" s="8"/>
    </row>
    <row r="23" spans="1:19" ht="13" x14ac:dyDescent="0.3">
      <c r="A23" s="112" t="s">
        <v>197</v>
      </c>
      <c r="B23" s="107" t="s">
        <v>210</v>
      </c>
      <c r="C23" s="79" t="s">
        <v>210</v>
      </c>
      <c r="D23" s="78" t="s">
        <v>212</v>
      </c>
      <c r="E23" s="78"/>
      <c r="F23" s="78" t="s">
        <v>213</v>
      </c>
      <c r="G23" s="78" t="s">
        <v>211</v>
      </c>
      <c r="H23" s="78" t="s">
        <v>203</v>
      </c>
      <c r="I23" s="79" t="s">
        <v>214</v>
      </c>
      <c r="J23" s="79" t="s">
        <v>213</v>
      </c>
      <c r="K23" s="79" t="s">
        <v>212</v>
      </c>
      <c r="L23" s="92" t="s">
        <v>201</v>
      </c>
      <c r="S23" s="8"/>
    </row>
    <row r="24" spans="1:19" ht="13" x14ac:dyDescent="0.3">
      <c r="A24" s="112" t="s">
        <v>197</v>
      </c>
      <c r="B24" s="107" t="s">
        <v>215</v>
      </c>
      <c r="C24" s="79" t="s">
        <v>215</v>
      </c>
      <c r="D24" s="78" t="s">
        <v>212</v>
      </c>
      <c r="E24" s="78"/>
      <c r="F24" s="78" t="s">
        <v>213</v>
      </c>
      <c r="G24" s="79" t="s">
        <v>202</v>
      </c>
      <c r="H24" s="173" t="s">
        <v>282</v>
      </c>
      <c r="I24" s="79" t="s">
        <v>3</v>
      </c>
      <c r="J24" s="79" t="s">
        <v>213</v>
      </c>
      <c r="K24" s="79" t="s">
        <v>212</v>
      </c>
      <c r="L24" s="92" t="s">
        <v>201</v>
      </c>
      <c r="S24" s="8"/>
    </row>
    <row r="25" spans="1:19" ht="13" x14ac:dyDescent="0.3">
      <c r="A25" s="112" t="s">
        <v>197</v>
      </c>
      <c r="B25" s="107" t="s">
        <v>216</v>
      </c>
      <c r="C25" s="78" t="s">
        <v>216</v>
      </c>
      <c r="D25" s="78" t="s">
        <v>212</v>
      </c>
      <c r="E25" s="78"/>
      <c r="F25" s="78" t="s">
        <v>213</v>
      </c>
      <c r="G25" s="78" t="s">
        <v>204</v>
      </c>
      <c r="H25" s="78" t="s">
        <v>205</v>
      </c>
      <c r="I25" s="79" t="s">
        <v>214</v>
      </c>
      <c r="J25" s="79" t="s">
        <v>213</v>
      </c>
      <c r="K25" s="79" t="s">
        <v>212</v>
      </c>
      <c r="L25" s="92" t="s">
        <v>201</v>
      </c>
      <c r="S25" s="8"/>
    </row>
    <row r="26" spans="1:19" ht="13" x14ac:dyDescent="0.3">
      <c r="A26" s="112" t="s">
        <v>197</v>
      </c>
      <c r="B26" s="107" t="s">
        <v>217</v>
      </c>
      <c r="C26" s="81" t="s">
        <v>217</v>
      </c>
      <c r="D26" s="78" t="s">
        <v>212</v>
      </c>
      <c r="E26" s="78"/>
      <c r="F26" s="78" t="s">
        <v>213</v>
      </c>
      <c r="G26" s="78" t="s">
        <v>206</v>
      </c>
      <c r="H26" s="78" t="s">
        <v>207</v>
      </c>
      <c r="I26" s="79" t="s">
        <v>3</v>
      </c>
      <c r="J26" s="79" t="s">
        <v>213</v>
      </c>
      <c r="K26" s="79" t="s">
        <v>212</v>
      </c>
      <c r="L26" s="92" t="s">
        <v>201</v>
      </c>
      <c r="S26" s="8"/>
    </row>
    <row r="27" spans="1:19" s="164" customFormat="1" ht="13.5" thickBot="1" x14ac:dyDescent="0.35">
      <c r="A27" s="162" t="s">
        <v>197</v>
      </c>
      <c r="B27" s="161" t="s">
        <v>218</v>
      </c>
      <c r="C27" s="116" t="s">
        <v>218</v>
      </c>
      <c r="D27" s="116" t="s">
        <v>212</v>
      </c>
      <c r="E27" s="116" t="s">
        <v>213</v>
      </c>
      <c r="F27" s="116" t="s">
        <v>213</v>
      </c>
      <c r="G27" s="116" t="s">
        <v>209</v>
      </c>
      <c r="H27" s="116" t="s">
        <v>208</v>
      </c>
      <c r="I27" s="160" t="s">
        <v>3</v>
      </c>
      <c r="J27" s="160" t="s">
        <v>213</v>
      </c>
      <c r="K27" s="160" t="s">
        <v>212</v>
      </c>
      <c r="L27" s="93" t="s">
        <v>201</v>
      </c>
      <c r="M27" s="8"/>
      <c r="N27" s="8"/>
      <c r="O27" s="8"/>
      <c r="P27" s="8"/>
      <c r="Q27" s="8"/>
      <c r="R27" s="8"/>
      <c r="S27" s="8"/>
    </row>
    <row r="28" spans="1:19" x14ac:dyDescent="0.25">
      <c r="A28" s="8"/>
    </row>
    <row r="29" spans="1:19" x14ac:dyDescent="0.25">
      <c r="A29" s="8"/>
    </row>
    <row r="30" spans="1:19" x14ac:dyDescent="0.25">
      <c r="A30" s="8"/>
    </row>
    <row r="31" spans="1:19" x14ac:dyDescent="0.25">
      <c r="A31" s="8"/>
    </row>
    <row r="32" spans="1:19" x14ac:dyDescent="0.25">
      <c r="A32" s="8"/>
    </row>
    <row r="33" spans="1:1" x14ac:dyDescent="0.25">
      <c r="A33" s="8"/>
    </row>
    <row r="34" spans="1:1" x14ac:dyDescent="0.25">
      <c r="A34" s="8"/>
    </row>
    <row r="35" spans="1:1" x14ac:dyDescent="0.25">
      <c r="A35" s="8"/>
    </row>
    <row r="36" spans="1:1" x14ac:dyDescent="0.25">
      <c r="A36" s="8"/>
    </row>
    <row r="37" spans="1:1" x14ac:dyDescent="0.25">
      <c r="A37" s="8"/>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pageSetUpPr fitToPage="1"/>
  </sheetPr>
  <dimension ref="A1:AA26"/>
  <sheetViews>
    <sheetView tabSelected="1" topLeftCell="A4" zoomScale="85" workbookViewId="0">
      <selection activeCell="D15" sqref="D15"/>
    </sheetView>
  </sheetViews>
  <sheetFormatPr defaultRowHeight="12.5" x14ac:dyDescent="0.25"/>
  <cols>
    <col min="1" max="1" width="45.81640625" style="9" bestFit="1" customWidth="1"/>
    <col min="2" max="2" width="41.81640625" style="8" bestFit="1" customWidth="1"/>
    <col min="3" max="3" width="56.1796875" style="8" customWidth="1"/>
    <col min="4" max="4" width="54.54296875" style="8" bestFit="1" customWidth="1"/>
    <col min="5" max="5" width="29.54296875" style="8" customWidth="1"/>
    <col min="6" max="6" width="32.453125" style="8" bestFit="1" customWidth="1"/>
    <col min="7" max="7" width="18.54296875" style="8" customWidth="1"/>
    <col min="8" max="8" width="60.90625" style="10" bestFit="1" customWidth="1"/>
    <col min="9" max="9" width="54.54296875" style="10" bestFit="1" customWidth="1"/>
    <col min="10" max="10" width="17.453125" style="10" bestFit="1" customWidth="1"/>
    <col min="11" max="11" width="14.453125" style="10" bestFit="1" customWidth="1"/>
    <col min="12" max="12" width="11.453125" style="8" bestFit="1" customWidth="1"/>
    <col min="13" max="13" width="9.54296875" style="10" bestFit="1" customWidth="1"/>
    <col min="14" max="14" width="10.453125" style="10" bestFit="1" customWidth="1"/>
    <col min="15" max="15" width="16.54296875" style="10" bestFit="1" customWidth="1"/>
    <col min="16" max="16" width="14.7265625" style="8" customWidth="1"/>
    <col min="17" max="17" width="8.7265625" style="8" bestFit="1" customWidth="1"/>
    <col min="18" max="18" width="9.7265625" style="8" bestFit="1" customWidth="1"/>
    <col min="19" max="19" width="8.453125" style="8" bestFit="1" customWidth="1"/>
    <col min="20" max="20" width="10.7265625" style="8" bestFit="1" customWidth="1"/>
    <col min="21" max="21" width="5.1796875" style="8" bestFit="1" customWidth="1"/>
    <col min="22" max="22" width="9.1796875" style="8"/>
    <col min="23" max="23" width="10" style="8" bestFit="1" customWidth="1"/>
    <col min="24" max="26" width="9.1796875" style="8"/>
  </cols>
  <sheetData>
    <row r="1" spans="1:27" ht="18" x14ac:dyDescent="0.4">
      <c r="A1" s="2" t="s">
        <v>40</v>
      </c>
      <c r="B1" s="55"/>
      <c r="C1" s="55"/>
      <c r="D1" s="55"/>
      <c r="E1" s="55"/>
      <c r="F1" s="55"/>
      <c r="G1" s="55"/>
      <c r="H1" s="55"/>
      <c r="I1" s="55"/>
      <c r="J1" s="55"/>
      <c r="K1" s="55"/>
      <c r="L1" s="55"/>
      <c r="M1" s="55"/>
      <c r="N1" s="55"/>
      <c r="O1" s="55"/>
      <c r="P1" s="55"/>
      <c r="Q1" s="55"/>
      <c r="R1" s="55"/>
      <c r="S1" s="55"/>
      <c r="T1" s="55"/>
      <c r="U1" s="55"/>
      <c r="V1" s="55"/>
      <c r="W1" s="55"/>
      <c r="X1" s="55"/>
      <c r="Y1" s="55"/>
      <c r="Z1" s="55"/>
    </row>
    <row r="2" spans="1:27" x14ac:dyDescent="0.25">
      <c r="A2" s="55"/>
      <c r="B2" s="55"/>
      <c r="C2" s="55"/>
      <c r="D2" s="55"/>
      <c r="E2" s="55"/>
      <c r="F2" s="55"/>
      <c r="G2" s="55"/>
      <c r="H2" s="55"/>
      <c r="I2" s="55"/>
      <c r="J2" s="55"/>
      <c r="K2" s="55"/>
      <c r="L2" s="55"/>
      <c r="M2" s="55"/>
      <c r="N2" s="55"/>
      <c r="O2" s="55"/>
      <c r="P2" s="55"/>
      <c r="Q2" s="55"/>
      <c r="R2" s="55"/>
      <c r="S2" s="55"/>
      <c r="T2" s="55"/>
      <c r="U2" s="55"/>
      <c r="V2" s="55"/>
      <c r="W2" s="55"/>
      <c r="X2" s="55"/>
      <c r="Y2" s="55"/>
      <c r="Z2" s="55"/>
    </row>
    <row r="3" spans="1:27" x14ac:dyDescent="0.25">
      <c r="A3" s="33" t="s">
        <v>29</v>
      </c>
      <c r="B3" s="33" t="s">
        <v>30</v>
      </c>
      <c r="C3" s="55"/>
      <c r="D3" s="55"/>
      <c r="E3" s="55"/>
      <c r="F3" s="55"/>
      <c r="G3" s="55"/>
      <c r="H3" s="55"/>
      <c r="I3" s="55"/>
      <c r="J3" s="55"/>
      <c r="K3" s="55"/>
      <c r="L3" s="55"/>
      <c r="M3" s="55"/>
      <c r="N3" s="55"/>
      <c r="O3" s="55"/>
      <c r="P3" s="55"/>
      <c r="Q3" s="55"/>
      <c r="R3" s="55"/>
      <c r="S3" s="55"/>
      <c r="T3" s="55"/>
      <c r="U3" s="55"/>
      <c r="V3" s="55"/>
      <c r="W3" s="55"/>
      <c r="X3" s="55"/>
      <c r="Y3" s="55"/>
      <c r="Z3" s="55"/>
    </row>
    <row r="4" spans="1:27" x14ac:dyDescent="0.25">
      <c r="A4" s="34"/>
      <c r="B4" s="34"/>
      <c r="C4" s="55"/>
      <c r="D4" s="55"/>
      <c r="E4" s="55"/>
      <c r="F4" s="55"/>
      <c r="G4" s="55"/>
      <c r="H4" s="55"/>
      <c r="I4" s="55"/>
      <c r="J4" s="55"/>
      <c r="K4" s="55"/>
      <c r="L4" s="55"/>
      <c r="M4" s="55"/>
      <c r="N4" s="55"/>
      <c r="O4" s="55"/>
      <c r="P4" s="55"/>
      <c r="Q4" s="55"/>
      <c r="R4" s="55"/>
      <c r="S4" s="55"/>
      <c r="T4" s="55"/>
      <c r="U4" s="55"/>
      <c r="V4" s="55"/>
      <c r="W4" s="55"/>
      <c r="X4" s="55"/>
      <c r="Y4" s="55"/>
      <c r="Z4" s="55"/>
    </row>
    <row r="5" spans="1:27" x14ac:dyDescent="0.25">
      <c r="A5" s="8"/>
      <c r="C5" s="55"/>
      <c r="D5" s="55"/>
      <c r="E5" s="55"/>
      <c r="F5" s="55"/>
      <c r="G5" s="55"/>
      <c r="H5" s="55"/>
      <c r="I5" s="55"/>
      <c r="J5" s="55"/>
      <c r="K5" s="55"/>
      <c r="L5" s="55"/>
      <c r="M5" s="55"/>
      <c r="N5" s="55"/>
      <c r="O5" s="55"/>
      <c r="P5" s="55"/>
      <c r="Q5" s="55"/>
      <c r="R5" s="55"/>
      <c r="S5" s="55"/>
      <c r="T5" s="55"/>
      <c r="U5" s="55"/>
      <c r="V5" s="55"/>
      <c r="W5" s="55"/>
      <c r="X5" s="55"/>
      <c r="Y5" s="55"/>
      <c r="Z5" s="55"/>
    </row>
    <row r="6" spans="1:27" x14ac:dyDescent="0.25">
      <c r="A6" s="21"/>
      <c r="B6" s="21"/>
      <c r="C6" s="31"/>
      <c r="D6" s="31"/>
      <c r="E6" s="31"/>
      <c r="F6" s="31"/>
      <c r="G6" s="31"/>
      <c r="H6" s="55"/>
      <c r="I6" s="55"/>
      <c r="J6" s="55"/>
      <c r="K6" s="55"/>
      <c r="L6" s="55"/>
      <c r="M6" s="55"/>
      <c r="N6" s="55"/>
      <c r="O6" s="55"/>
      <c r="P6" s="55"/>
      <c r="Q6" s="55"/>
      <c r="R6" s="55"/>
      <c r="S6" s="55"/>
      <c r="T6" s="55"/>
      <c r="U6" s="55"/>
      <c r="V6" s="55"/>
      <c r="W6" s="55"/>
      <c r="X6" s="55"/>
      <c r="Y6" s="55"/>
      <c r="Z6" s="55"/>
    </row>
    <row r="7" spans="1:27" ht="16" thickBot="1" x14ac:dyDescent="0.4">
      <c r="A7" s="35" t="s">
        <v>41</v>
      </c>
      <c r="B7" s="31"/>
      <c r="C7" s="31"/>
      <c r="D7" s="31"/>
      <c r="E7" s="31"/>
      <c r="F7" s="31"/>
      <c r="G7" s="31"/>
      <c r="H7" s="55"/>
      <c r="I7" s="55"/>
      <c r="J7" s="55"/>
      <c r="K7" s="55"/>
      <c r="L7" s="55"/>
      <c r="M7" s="55"/>
      <c r="N7" s="55"/>
      <c r="O7" s="55"/>
      <c r="P7" s="55"/>
      <c r="Q7" s="55"/>
      <c r="R7" s="55"/>
      <c r="S7" s="55"/>
      <c r="T7" s="55"/>
      <c r="U7" s="55"/>
      <c r="V7" s="55"/>
      <c r="W7" s="55"/>
      <c r="X7" s="55"/>
      <c r="Y7" s="55"/>
      <c r="Z7" s="55"/>
    </row>
    <row r="8" spans="1:27" x14ac:dyDescent="0.25">
      <c r="A8" s="110" t="s">
        <v>137</v>
      </c>
      <c r="B8" s="106" t="s">
        <v>8</v>
      </c>
      <c r="C8" s="104" t="s">
        <v>34</v>
      </c>
      <c r="D8" s="170" t="s">
        <v>277</v>
      </c>
      <c r="E8" s="104" t="s">
        <v>35</v>
      </c>
      <c r="F8" s="104" t="s">
        <v>25</v>
      </c>
      <c r="G8" s="104" t="s">
        <v>38</v>
      </c>
      <c r="H8" s="104" t="s">
        <v>26</v>
      </c>
      <c r="I8" s="105" t="s">
        <v>22</v>
      </c>
      <c r="J8" s="55"/>
      <c r="K8" s="55"/>
      <c r="L8"/>
      <c r="M8"/>
      <c r="N8"/>
      <c r="O8"/>
      <c r="P8"/>
      <c r="Q8"/>
      <c r="R8"/>
      <c r="S8"/>
      <c r="T8"/>
      <c r="U8"/>
      <c r="V8"/>
      <c r="W8"/>
      <c r="X8"/>
      <c r="Y8"/>
      <c r="Z8"/>
    </row>
    <row r="9" spans="1:27" ht="15.75" customHeight="1" x14ac:dyDescent="0.25">
      <c r="A9" s="111" t="s">
        <v>219</v>
      </c>
      <c r="B9" s="107" t="s">
        <v>210</v>
      </c>
      <c r="C9" s="86"/>
      <c r="D9" s="86" t="s">
        <v>279</v>
      </c>
      <c r="E9" s="82"/>
      <c r="F9" s="167" t="s">
        <v>276</v>
      </c>
      <c r="G9" s="82">
        <v>30</v>
      </c>
      <c r="H9" s="82" t="s">
        <v>232</v>
      </c>
      <c r="I9" s="113" t="s">
        <v>230</v>
      </c>
      <c r="J9" s="55"/>
      <c r="K9" s="55"/>
      <c r="L9"/>
      <c r="M9"/>
      <c r="N9"/>
      <c r="O9"/>
      <c r="P9"/>
      <c r="Q9"/>
      <c r="R9"/>
      <c r="S9"/>
      <c r="T9"/>
      <c r="U9"/>
      <c r="V9"/>
      <c r="W9"/>
      <c r="X9"/>
      <c r="Y9"/>
      <c r="Z9"/>
    </row>
    <row r="10" spans="1:27" ht="15.75" customHeight="1" x14ac:dyDescent="0.25">
      <c r="A10" s="111" t="s">
        <v>219</v>
      </c>
      <c r="B10" s="79" t="s">
        <v>235</v>
      </c>
      <c r="C10" s="86"/>
      <c r="D10" s="86" t="s">
        <v>279</v>
      </c>
      <c r="E10" s="82"/>
      <c r="F10" s="82" t="s">
        <v>278</v>
      </c>
      <c r="G10" s="83"/>
      <c r="H10" s="79" t="s">
        <v>229</v>
      </c>
      <c r="I10" s="113" t="s">
        <v>230</v>
      </c>
      <c r="J10" s="55"/>
      <c r="K10" s="55"/>
      <c r="L10"/>
      <c r="M10"/>
      <c r="N10"/>
      <c r="O10"/>
      <c r="P10"/>
      <c r="Q10"/>
      <c r="R10"/>
      <c r="S10"/>
      <c r="T10"/>
      <c r="U10"/>
      <c r="V10"/>
      <c r="W10"/>
      <c r="X10"/>
      <c r="Y10"/>
      <c r="Z10"/>
    </row>
    <row r="11" spans="1:27" ht="15.75" customHeight="1" x14ac:dyDescent="0.35">
      <c r="A11" s="111" t="s">
        <v>219</v>
      </c>
      <c r="B11" s="108" t="s">
        <v>216</v>
      </c>
      <c r="C11" s="86"/>
      <c r="D11" s="86"/>
      <c r="E11" s="82"/>
      <c r="F11" s="82" t="s">
        <v>226</v>
      </c>
      <c r="G11" s="84">
        <v>30</v>
      </c>
      <c r="H11" s="82" t="s">
        <v>232</v>
      </c>
      <c r="I11" s="113" t="s">
        <v>230</v>
      </c>
      <c r="J11" s="28"/>
      <c r="K11" s="28"/>
      <c r="L11" s="28"/>
      <c r="M11" s="28"/>
      <c r="N11" s="28"/>
      <c r="O11" s="28"/>
      <c r="P11" s="29"/>
      <c r="Q11" s="28"/>
      <c r="R11" s="30"/>
      <c r="S11" s="31"/>
      <c r="T11" s="31"/>
      <c r="U11" s="31"/>
      <c r="V11" s="31"/>
      <c r="W11" s="31"/>
      <c r="X11" s="31"/>
      <c r="Y11" s="55"/>
      <c r="Z11" s="55"/>
      <c r="AA11" s="55"/>
    </row>
    <row r="12" spans="1:27" x14ac:dyDescent="0.25">
      <c r="A12" s="111" t="s">
        <v>219</v>
      </c>
      <c r="B12" s="109" t="s">
        <v>217</v>
      </c>
      <c r="C12" s="86"/>
      <c r="D12" s="86"/>
      <c r="E12" s="82"/>
      <c r="F12" s="82" t="s">
        <v>227</v>
      </c>
      <c r="G12" s="80"/>
      <c r="H12" s="85" t="s">
        <v>229</v>
      </c>
      <c r="I12" s="113" t="s">
        <v>230</v>
      </c>
      <c r="L12" s="10"/>
      <c r="M12" s="8"/>
      <c r="P12" s="10"/>
      <c r="AA12" s="8"/>
    </row>
    <row r="13" spans="1:27" s="164" customFormat="1" x14ac:dyDescent="0.25">
      <c r="A13" s="165" t="s">
        <v>219</v>
      </c>
      <c r="B13" s="166" t="s">
        <v>218</v>
      </c>
      <c r="C13" s="86"/>
      <c r="D13" s="86"/>
      <c r="E13" s="82"/>
      <c r="F13" s="82" t="s">
        <v>228</v>
      </c>
      <c r="G13" s="80"/>
      <c r="H13" s="85" t="s">
        <v>229</v>
      </c>
      <c r="I13" s="113" t="s">
        <v>230</v>
      </c>
      <c r="J13" s="10"/>
      <c r="K13" s="10"/>
      <c r="L13" s="10"/>
      <c r="M13" s="8"/>
      <c r="N13" s="10"/>
      <c r="O13" s="10"/>
      <c r="P13" s="10"/>
      <c r="Q13" s="8"/>
      <c r="R13" s="8"/>
      <c r="S13" s="8"/>
      <c r="T13" s="8"/>
      <c r="U13" s="8"/>
      <c r="V13" s="8"/>
      <c r="W13" s="8"/>
      <c r="X13" s="8"/>
      <c r="Y13" s="8"/>
      <c r="Z13" s="8"/>
      <c r="AA13" s="8"/>
    </row>
    <row r="14" spans="1:27" ht="37.5" x14ac:dyDescent="0.25">
      <c r="A14" s="111" t="s">
        <v>219</v>
      </c>
      <c r="B14" s="108" t="s">
        <v>223</v>
      </c>
      <c r="C14" s="86" t="s">
        <v>220</v>
      </c>
      <c r="D14" s="86"/>
      <c r="E14" s="82" t="s">
        <v>213</v>
      </c>
      <c r="F14" s="80"/>
      <c r="G14" s="84">
        <v>30</v>
      </c>
      <c r="H14" s="82" t="s">
        <v>232</v>
      </c>
      <c r="I14" s="113" t="s">
        <v>231</v>
      </c>
      <c r="L14" s="10"/>
      <c r="M14" s="8"/>
      <c r="P14" s="10"/>
      <c r="AA14" s="8"/>
    </row>
    <row r="15" spans="1:27" ht="37.5" x14ac:dyDescent="0.25">
      <c r="A15" s="111" t="s">
        <v>219</v>
      </c>
      <c r="B15" s="109" t="s">
        <v>224</v>
      </c>
      <c r="C15" s="86" t="s">
        <v>221</v>
      </c>
      <c r="D15" s="86"/>
      <c r="E15" s="82" t="s">
        <v>213</v>
      </c>
      <c r="F15" s="80"/>
      <c r="G15" s="80"/>
      <c r="H15" s="85" t="s">
        <v>229</v>
      </c>
      <c r="I15" s="113" t="s">
        <v>231</v>
      </c>
      <c r="L15" s="10"/>
      <c r="M15" s="8"/>
      <c r="P15" s="10"/>
      <c r="AA15" s="8"/>
    </row>
    <row r="16" spans="1:27" ht="37.5" x14ac:dyDescent="0.25">
      <c r="A16" s="111" t="s">
        <v>219</v>
      </c>
      <c r="B16" s="109" t="s">
        <v>225</v>
      </c>
      <c r="C16" s="86" t="s">
        <v>222</v>
      </c>
      <c r="D16" s="86"/>
      <c r="E16" s="82" t="s">
        <v>213</v>
      </c>
      <c r="F16" s="80"/>
      <c r="G16" s="80"/>
      <c r="H16" s="85" t="s">
        <v>229</v>
      </c>
      <c r="I16" s="113" t="s">
        <v>231</v>
      </c>
      <c r="L16" s="10"/>
      <c r="M16" s="8"/>
      <c r="P16" s="10"/>
      <c r="AA16" s="8"/>
    </row>
    <row r="17" spans="1:27" ht="26.5" customHeight="1" thickBot="1" x14ac:dyDescent="0.3">
      <c r="A17" s="119" t="s">
        <v>219</v>
      </c>
      <c r="B17" s="118" t="s">
        <v>241</v>
      </c>
      <c r="C17" s="114" t="s">
        <v>242</v>
      </c>
      <c r="D17" s="114"/>
      <c r="E17" s="115" t="s">
        <v>213</v>
      </c>
      <c r="F17" s="100"/>
      <c r="G17" s="100"/>
      <c r="H17" s="116" t="s">
        <v>229</v>
      </c>
      <c r="I17" s="117" t="s">
        <v>231</v>
      </c>
      <c r="L17" s="10"/>
      <c r="M17" s="8"/>
      <c r="P17" s="10"/>
      <c r="AA17" s="8"/>
    </row>
    <row r="19" spans="1:27" x14ac:dyDescent="0.25">
      <c r="G19" s="56" t="s">
        <v>233</v>
      </c>
    </row>
    <row r="20" spans="1:27" ht="15.5" x14ac:dyDescent="0.35">
      <c r="A20" s="94" t="s">
        <v>43</v>
      </c>
      <c r="B20" s="95"/>
      <c r="C20" s="95"/>
      <c r="D20" s="95"/>
      <c r="E20" s="95"/>
    </row>
    <row r="21" spans="1:27" x14ac:dyDescent="0.25">
      <c r="A21" s="159" t="s">
        <v>137</v>
      </c>
      <c r="B21" s="168" t="s">
        <v>8</v>
      </c>
      <c r="C21" s="168" t="s">
        <v>42</v>
      </c>
      <c r="D21" s="168" t="s">
        <v>22</v>
      </c>
      <c r="G21" s="10"/>
      <c r="K21" s="8"/>
      <c r="L21" s="10"/>
      <c r="O21" s="8"/>
      <c r="Z21"/>
    </row>
    <row r="22" spans="1:27" x14ac:dyDescent="0.25">
      <c r="A22" s="169" t="s">
        <v>219</v>
      </c>
      <c r="B22" s="78" t="s">
        <v>237</v>
      </c>
      <c r="C22" s="78" t="s">
        <v>223</v>
      </c>
      <c r="D22" s="101" t="s">
        <v>240</v>
      </c>
      <c r="G22" s="10"/>
      <c r="K22" s="8"/>
      <c r="L22" s="10"/>
      <c r="O22" s="8"/>
      <c r="Z22"/>
    </row>
    <row r="23" spans="1:27" x14ac:dyDescent="0.25">
      <c r="A23" s="169" t="s">
        <v>219</v>
      </c>
      <c r="B23" s="81" t="s">
        <v>238</v>
      </c>
      <c r="C23" s="81" t="s">
        <v>224</v>
      </c>
      <c r="D23" s="101" t="s">
        <v>240</v>
      </c>
      <c r="G23" s="10"/>
      <c r="K23" s="8"/>
      <c r="L23" s="10"/>
      <c r="O23" s="8"/>
      <c r="Z23"/>
    </row>
    <row r="24" spans="1:27" x14ac:dyDescent="0.25">
      <c r="A24" s="169" t="s">
        <v>219</v>
      </c>
      <c r="B24" s="81" t="s">
        <v>239</v>
      </c>
      <c r="C24" s="81" t="s">
        <v>225</v>
      </c>
      <c r="D24" s="101" t="s">
        <v>240</v>
      </c>
      <c r="G24" s="10"/>
      <c r="K24" s="8"/>
      <c r="L24" s="10"/>
      <c r="O24" s="8"/>
      <c r="Z24"/>
    </row>
    <row r="25" spans="1:27" x14ac:dyDescent="0.25">
      <c r="A25" s="169" t="s">
        <v>219</v>
      </c>
      <c r="B25" s="85" t="s">
        <v>280</v>
      </c>
      <c r="C25" s="81" t="s">
        <v>283</v>
      </c>
      <c r="D25" s="101" t="s">
        <v>240</v>
      </c>
    </row>
    <row r="26" spans="1:27" x14ac:dyDescent="0.25">
      <c r="A26" s="169" t="s">
        <v>219</v>
      </c>
      <c r="B26" s="85" t="s">
        <v>281</v>
      </c>
      <c r="C26" s="81" t="s">
        <v>284</v>
      </c>
      <c r="D26" s="101" t="s">
        <v>240</v>
      </c>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pageSetUpPr fitToPage="1"/>
  </sheetPr>
  <dimension ref="A1:G124"/>
  <sheetViews>
    <sheetView zoomScaleNormal="100" workbookViewId="0">
      <selection activeCell="I10" sqref="I10"/>
    </sheetView>
  </sheetViews>
  <sheetFormatPr defaultRowHeight="12.5" x14ac:dyDescent="0.25"/>
  <cols>
    <col min="1" max="1" width="34.81640625" style="66" bestFit="1" customWidth="1"/>
    <col min="2" max="2" width="18" style="62" bestFit="1" customWidth="1"/>
    <col min="3" max="3" width="9.26953125" style="62" bestFit="1" customWidth="1"/>
    <col min="4" max="4" width="20.54296875" style="62" bestFit="1" customWidth="1"/>
    <col min="5" max="5" width="60.81640625" style="62" bestFit="1" customWidth="1"/>
    <col min="6" max="6" width="18.54296875" style="62" bestFit="1" customWidth="1"/>
    <col min="7" max="7" width="11.54296875" style="62" bestFit="1" customWidth="1"/>
    <col min="8" max="8" width="22.26953125" bestFit="1" customWidth="1"/>
    <col min="9" max="9" width="7.453125" bestFit="1" customWidth="1"/>
    <col min="10" max="10" width="15.7265625" bestFit="1" customWidth="1"/>
    <col min="11" max="11" width="11" bestFit="1" customWidth="1"/>
    <col min="12" max="12" width="14.453125" bestFit="1" customWidth="1"/>
    <col min="13" max="13" width="11.453125" bestFit="1" customWidth="1"/>
    <col min="14" max="14" width="9.54296875" bestFit="1" customWidth="1"/>
    <col min="15" max="15" width="16.54296875" bestFit="1" customWidth="1"/>
    <col min="16" max="16" width="14.7265625" bestFit="1" customWidth="1"/>
    <col min="17" max="17" width="10" bestFit="1" customWidth="1"/>
    <col min="18" max="18" width="9.7265625" bestFit="1" customWidth="1"/>
    <col min="19" max="19" width="8.453125" bestFit="1" customWidth="1"/>
    <col min="20" max="20" width="10.7265625" bestFit="1" customWidth="1"/>
    <col min="21" max="21" width="5.1796875" bestFit="1" customWidth="1"/>
  </cols>
  <sheetData>
    <row r="1" spans="1:7" ht="18" x14ac:dyDescent="0.25">
      <c r="A1" s="60" t="s">
        <v>57</v>
      </c>
      <c r="B1" s="61"/>
      <c r="C1" s="61"/>
      <c r="D1" s="61"/>
      <c r="E1" s="61"/>
      <c r="F1" s="61"/>
      <c r="G1" s="61"/>
    </row>
    <row r="2" spans="1:7" x14ac:dyDescent="0.25">
      <c r="A2" s="61"/>
      <c r="B2" s="61"/>
      <c r="C2" s="61"/>
      <c r="D2" s="61"/>
      <c r="E2" s="61"/>
      <c r="F2" s="61"/>
      <c r="G2" s="61"/>
    </row>
    <row r="3" spans="1:7" x14ac:dyDescent="0.25">
      <c r="A3" s="63" t="s">
        <v>29</v>
      </c>
      <c r="B3" s="63" t="s">
        <v>30</v>
      </c>
      <c r="C3" s="61"/>
      <c r="D3" s="61"/>
      <c r="E3" s="61"/>
      <c r="F3" s="61"/>
      <c r="G3" s="61"/>
    </row>
    <row r="4" spans="1:7" x14ac:dyDescent="0.25">
      <c r="A4" s="64"/>
      <c r="B4" s="64"/>
      <c r="C4" s="61"/>
      <c r="D4" s="61"/>
      <c r="E4" s="61"/>
      <c r="F4" s="61"/>
      <c r="G4" s="61"/>
    </row>
    <row r="5" spans="1:7" x14ac:dyDescent="0.25">
      <c r="A5" s="65"/>
      <c r="B5" s="65"/>
      <c r="C5" s="61"/>
      <c r="D5" s="61"/>
      <c r="E5" s="61"/>
      <c r="F5" s="61"/>
      <c r="G5" s="61"/>
    </row>
    <row r="6" spans="1:7" ht="16" thickBot="1" x14ac:dyDescent="0.3">
      <c r="A6" s="59" t="s">
        <v>59</v>
      </c>
      <c r="B6" s="61"/>
      <c r="C6" s="61"/>
      <c r="D6" s="61"/>
      <c r="E6" s="61"/>
      <c r="F6" s="61"/>
      <c r="G6" s="61"/>
    </row>
    <row r="7" spans="1:7" x14ac:dyDescent="0.25">
      <c r="A7" s="87" t="s">
        <v>58</v>
      </c>
      <c r="B7" s="88" t="s">
        <v>134</v>
      </c>
      <c r="C7" s="89" t="s">
        <v>53</v>
      </c>
      <c r="D7" s="89" t="s">
        <v>60</v>
      </c>
      <c r="E7" s="90" t="s">
        <v>22</v>
      </c>
      <c r="F7" s="61"/>
      <c r="G7" s="61"/>
    </row>
    <row r="8" spans="1:7" x14ac:dyDescent="0.25">
      <c r="A8" s="91" t="s">
        <v>205</v>
      </c>
      <c r="B8" s="77" t="s">
        <v>204</v>
      </c>
      <c r="C8" s="76" t="s">
        <v>89</v>
      </c>
      <c r="D8" s="77" t="s">
        <v>204</v>
      </c>
      <c r="E8" s="92" t="s">
        <v>201</v>
      </c>
    </row>
    <row r="9" spans="1:7" x14ac:dyDescent="0.25">
      <c r="A9" s="91" t="s">
        <v>205</v>
      </c>
      <c r="B9" s="77" t="s">
        <v>204</v>
      </c>
      <c r="C9" s="76" t="s">
        <v>65</v>
      </c>
      <c r="D9" s="77" t="s">
        <v>204</v>
      </c>
      <c r="E9" s="92" t="s">
        <v>201</v>
      </c>
    </row>
    <row r="10" spans="1:7" x14ac:dyDescent="0.25">
      <c r="A10" s="91" t="s">
        <v>205</v>
      </c>
      <c r="B10" s="77" t="s">
        <v>204</v>
      </c>
      <c r="C10" s="76" t="s">
        <v>66</v>
      </c>
      <c r="D10" s="77" t="s">
        <v>204</v>
      </c>
      <c r="E10" s="92" t="s">
        <v>201</v>
      </c>
    </row>
    <row r="11" spans="1:7" x14ac:dyDescent="0.25">
      <c r="A11" s="91" t="s">
        <v>205</v>
      </c>
      <c r="B11" s="77" t="s">
        <v>204</v>
      </c>
      <c r="C11" s="76" t="s">
        <v>67</v>
      </c>
      <c r="D11" s="77" t="s">
        <v>204</v>
      </c>
      <c r="E11" s="92" t="s">
        <v>201</v>
      </c>
    </row>
    <row r="12" spans="1:7" x14ac:dyDescent="0.25">
      <c r="A12" s="91" t="s">
        <v>205</v>
      </c>
      <c r="B12" s="77" t="s">
        <v>204</v>
      </c>
      <c r="C12" s="76" t="s">
        <v>68</v>
      </c>
      <c r="D12" s="77" t="s">
        <v>204</v>
      </c>
      <c r="E12" s="92" t="s">
        <v>201</v>
      </c>
    </row>
    <row r="13" spans="1:7" x14ac:dyDescent="0.25">
      <c r="A13" s="91" t="s">
        <v>205</v>
      </c>
      <c r="B13" s="77" t="s">
        <v>204</v>
      </c>
      <c r="C13" s="76" t="s">
        <v>69</v>
      </c>
      <c r="D13" s="77" t="s">
        <v>204</v>
      </c>
      <c r="E13" s="92" t="s">
        <v>201</v>
      </c>
    </row>
    <row r="14" spans="1:7" x14ac:dyDescent="0.25">
      <c r="A14" s="91" t="s">
        <v>205</v>
      </c>
      <c r="B14" s="77" t="s">
        <v>204</v>
      </c>
      <c r="C14" s="76" t="s">
        <v>70</v>
      </c>
      <c r="D14" s="77" t="s">
        <v>204</v>
      </c>
      <c r="E14" s="92" t="s">
        <v>201</v>
      </c>
    </row>
    <row r="15" spans="1:7" x14ac:dyDescent="0.25">
      <c r="A15" s="91" t="s">
        <v>205</v>
      </c>
      <c r="B15" s="77" t="s">
        <v>204</v>
      </c>
      <c r="C15" s="76" t="s">
        <v>71</v>
      </c>
      <c r="D15" s="77" t="s">
        <v>204</v>
      </c>
      <c r="E15" s="92" t="s">
        <v>201</v>
      </c>
    </row>
    <row r="16" spans="1:7" x14ac:dyDescent="0.25">
      <c r="A16" s="91" t="s">
        <v>205</v>
      </c>
      <c r="B16" s="77" t="s">
        <v>204</v>
      </c>
      <c r="C16" s="76" t="s">
        <v>72</v>
      </c>
      <c r="D16" s="77" t="s">
        <v>204</v>
      </c>
      <c r="E16" s="92" t="s">
        <v>201</v>
      </c>
    </row>
    <row r="17" spans="1:5" x14ac:dyDescent="0.25">
      <c r="A17" s="91" t="s">
        <v>205</v>
      </c>
      <c r="B17" s="77" t="s">
        <v>204</v>
      </c>
      <c r="C17" s="76" t="s">
        <v>96</v>
      </c>
      <c r="D17" s="77" t="s">
        <v>204</v>
      </c>
      <c r="E17" s="92" t="s">
        <v>201</v>
      </c>
    </row>
    <row r="18" spans="1:5" x14ac:dyDescent="0.25">
      <c r="A18" s="91" t="s">
        <v>205</v>
      </c>
      <c r="B18" s="77" t="s">
        <v>204</v>
      </c>
      <c r="C18" s="76" t="s">
        <v>73</v>
      </c>
      <c r="D18" s="77" t="s">
        <v>204</v>
      </c>
      <c r="E18" s="92" t="s">
        <v>201</v>
      </c>
    </row>
    <row r="19" spans="1:5" x14ac:dyDescent="0.25">
      <c r="A19" s="91" t="s">
        <v>205</v>
      </c>
      <c r="B19" s="77" t="s">
        <v>204</v>
      </c>
      <c r="C19" s="76" t="s">
        <v>74</v>
      </c>
      <c r="D19" s="77" t="s">
        <v>204</v>
      </c>
      <c r="E19" s="92" t="s">
        <v>201</v>
      </c>
    </row>
    <row r="20" spans="1:5" x14ac:dyDescent="0.25">
      <c r="A20" s="91" t="s">
        <v>205</v>
      </c>
      <c r="B20" s="77" t="s">
        <v>204</v>
      </c>
      <c r="C20" s="76" t="s">
        <v>75</v>
      </c>
      <c r="D20" s="77" t="s">
        <v>204</v>
      </c>
      <c r="E20" s="92" t="s">
        <v>201</v>
      </c>
    </row>
    <row r="21" spans="1:5" x14ac:dyDescent="0.25">
      <c r="A21" s="91" t="s">
        <v>205</v>
      </c>
      <c r="B21" s="77" t="s">
        <v>204</v>
      </c>
      <c r="C21" s="76" t="s">
        <v>76</v>
      </c>
      <c r="D21" s="77" t="s">
        <v>204</v>
      </c>
      <c r="E21" s="92" t="s">
        <v>201</v>
      </c>
    </row>
    <row r="22" spans="1:5" x14ac:dyDescent="0.25">
      <c r="A22" s="91" t="s">
        <v>205</v>
      </c>
      <c r="B22" s="77" t="s">
        <v>204</v>
      </c>
      <c r="C22" s="76" t="s">
        <v>77</v>
      </c>
      <c r="D22" s="77" t="s">
        <v>204</v>
      </c>
      <c r="E22" s="92" t="s">
        <v>201</v>
      </c>
    </row>
    <row r="23" spans="1:5" x14ac:dyDescent="0.25">
      <c r="A23" s="91" t="s">
        <v>205</v>
      </c>
      <c r="B23" s="77" t="s">
        <v>204</v>
      </c>
      <c r="C23" s="76" t="s">
        <v>78</v>
      </c>
      <c r="D23" s="77" t="s">
        <v>204</v>
      </c>
      <c r="E23" s="92" t="s">
        <v>201</v>
      </c>
    </row>
    <row r="24" spans="1:5" x14ac:dyDescent="0.25">
      <c r="A24" s="91" t="s">
        <v>205</v>
      </c>
      <c r="B24" s="77" t="s">
        <v>204</v>
      </c>
      <c r="C24" s="76" t="s">
        <v>79</v>
      </c>
      <c r="D24" s="77" t="s">
        <v>204</v>
      </c>
      <c r="E24" s="92" t="s">
        <v>201</v>
      </c>
    </row>
    <row r="25" spans="1:5" x14ac:dyDescent="0.25">
      <c r="A25" s="91" t="s">
        <v>205</v>
      </c>
      <c r="B25" s="77" t="s">
        <v>204</v>
      </c>
      <c r="C25" s="76" t="s">
        <v>92</v>
      </c>
      <c r="D25" s="77" t="s">
        <v>204</v>
      </c>
      <c r="E25" s="92" t="s">
        <v>201</v>
      </c>
    </row>
    <row r="26" spans="1:5" x14ac:dyDescent="0.25">
      <c r="A26" s="91" t="s">
        <v>205</v>
      </c>
      <c r="B26" s="77" t="s">
        <v>204</v>
      </c>
      <c r="C26" s="76" t="s">
        <v>80</v>
      </c>
      <c r="D26" s="77" t="s">
        <v>204</v>
      </c>
      <c r="E26" s="92" t="s">
        <v>201</v>
      </c>
    </row>
    <row r="27" spans="1:5" x14ac:dyDescent="0.25">
      <c r="A27" s="91" t="s">
        <v>205</v>
      </c>
      <c r="B27" s="77" t="s">
        <v>204</v>
      </c>
      <c r="C27" s="76" t="s">
        <v>81</v>
      </c>
      <c r="D27" s="77" t="s">
        <v>204</v>
      </c>
      <c r="E27" s="92" t="s">
        <v>201</v>
      </c>
    </row>
    <row r="28" spans="1:5" x14ac:dyDescent="0.25">
      <c r="A28" s="91" t="s">
        <v>205</v>
      </c>
      <c r="B28" s="77" t="s">
        <v>204</v>
      </c>
      <c r="C28" s="76" t="s">
        <v>82</v>
      </c>
      <c r="D28" s="77" t="s">
        <v>204</v>
      </c>
      <c r="E28" s="92" t="s">
        <v>201</v>
      </c>
    </row>
    <row r="29" spans="1:5" x14ac:dyDescent="0.25">
      <c r="A29" s="91" t="s">
        <v>205</v>
      </c>
      <c r="B29" s="77" t="s">
        <v>204</v>
      </c>
      <c r="C29" s="76" t="s">
        <v>83</v>
      </c>
      <c r="D29" s="77" t="s">
        <v>204</v>
      </c>
      <c r="E29" s="92" t="s">
        <v>201</v>
      </c>
    </row>
    <row r="30" spans="1:5" x14ac:dyDescent="0.25">
      <c r="A30" s="91" t="s">
        <v>205</v>
      </c>
      <c r="B30" s="77" t="s">
        <v>204</v>
      </c>
      <c r="C30" s="76" t="s">
        <v>84</v>
      </c>
      <c r="D30" s="77" t="s">
        <v>204</v>
      </c>
      <c r="E30" s="92" t="s">
        <v>201</v>
      </c>
    </row>
    <row r="31" spans="1:5" x14ac:dyDescent="0.25">
      <c r="A31" s="91" t="s">
        <v>205</v>
      </c>
      <c r="B31" s="77" t="s">
        <v>204</v>
      </c>
      <c r="C31" s="76" t="s">
        <v>90</v>
      </c>
      <c r="D31" s="77" t="s">
        <v>204</v>
      </c>
      <c r="E31" s="92" t="s">
        <v>201</v>
      </c>
    </row>
    <row r="32" spans="1:5" x14ac:dyDescent="0.25">
      <c r="A32" s="91" t="s">
        <v>205</v>
      </c>
      <c r="B32" s="77" t="s">
        <v>204</v>
      </c>
      <c r="C32" s="76" t="s">
        <v>85</v>
      </c>
      <c r="D32" s="77" t="s">
        <v>204</v>
      </c>
      <c r="E32" s="92" t="s">
        <v>201</v>
      </c>
    </row>
    <row r="33" spans="1:5" x14ac:dyDescent="0.25">
      <c r="A33" s="91" t="s">
        <v>205</v>
      </c>
      <c r="B33" s="77" t="s">
        <v>204</v>
      </c>
      <c r="C33" s="76" t="s">
        <v>86</v>
      </c>
      <c r="D33" s="77" t="s">
        <v>204</v>
      </c>
      <c r="E33" s="92" t="s">
        <v>201</v>
      </c>
    </row>
    <row r="34" spans="1:5" x14ac:dyDescent="0.25">
      <c r="A34" s="91" t="s">
        <v>205</v>
      </c>
      <c r="B34" s="77" t="s">
        <v>204</v>
      </c>
      <c r="C34" s="76" t="s">
        <v>91</v>
      </c>
      <c r="D34" s="77" t="s">
        <v>204</v>
      </c>
      <c r="E34" s="92" t="s">
        <v>201</v>
      </c>
    </row>
    <row r="35" spans="1:5" x14ac:dyDescent="0.25">
      <c r="A35" s="91" t="s">
        <v>205</v>
      </c>
      <c r="B35" s="77" t="s">
        <v>204</v>
      </c>
      <c r="C35" s="76" t="s">
        <v>95</v>
      </c>
      <c r="D35" s="77" t="s">
        <v>204</v>
      </c>
      <c r="E35" s="92" t="s">
        <v>201</v>
      </c>
    </row>
    <row r="36" spans="1:5" x14ac:dyDescent="0.25">
      <c r="A36" s="91" t="s">
        <v>205</v>
      </c>
      <c r="B36" s="77" t="s">
        <v>204</v>
      </c>
      <c r="C36" s="76" t="s">
        <v>87</v>
      </c>
      <c r="D36" s="77" t="s">
        <v>204</v>
      </c>
      <c r="E36" s="92" t="s">
        <v>201</v>
      </c>
    </row>
    <row r="37" spans="1:5" x14ac:dyDescent="0.25">
      <c r="A37" s="91" t="s">
        <v>205</v>
      </c>
      <c r="B37" s="77" t="s">
        <v>204</v>
      </c>
      <c r="C37" s="76" t="s">
        <v>97</v>
      </c>
      <c r="D37" s="77" t="s">
        <v>204</v>
      </c>
      <c r="E37" s="92" t="s">
        <v>201</v>
      </c>
    </row>
    <row r="38" spans="1:5" x14ac:dyDescent="0.25">
      <c r="A38" s="91" t="s">
        <v>205</v>
      </c>
      <c r="B38" s="77" t="s">
        <v>204</v>
      </c>
      <c r="C38" s="76" t="s">
        <v>135</v>
      </c>
      <c r="D38" s="77" t="s">
        <v>204</v>
      </c>
      <c r="E38" s="92" t="s">
        <v>201</v>
      </c>
    </row>
    <row r="39" spans="1:5" x14ac:dyDescent="0.25">
      <c r="A39" s="91" t="s">
        <v>205</v>
      </c>
      <c r="B39" s="77" t="s">
        <v>204</v>
      </c>
      <c r="C39" s="76" t="s">
        <v>144</v>
      </c>
      <c r="D39" s="77" t="s">
        <v>204</v>
      </c>
      <c r="E39" s="92" t="s">
        <v>201</v>
      </c>
    </row>
    <row r="40" spans="1:5" x14ac:dyDescent="0.25">
      <c r="A40" s="91" t="s">
        <v>205</v>
      </c>
      <c r="B40" s="77" t="s">
        <v>204</v>
      </c>
      <c r="C40" s="76" t="s">
        <v>150</v>
      </c>
      <c r="D40" s="77" t="s">
        <v>204</v>
      </c>
      <c r="E40" s="92" t="s">
        <v>201</v>
      </c>
    </row>
    <row r="41" spans="1:5" x14ac:dyDescent="0.25">
      <c r="A41" s="91" t="s">
        <v>205</v>
      </c>
      <c r="B41" s="77" t="s">
        <v>204</v>
      </c>
      <c r="C41" s="76" t="s">
        <v>153</v>
      </c>
      <c r="D41" s="77" t="s">
        <v>204</v>
      </c>
      <c r="E41" s="92" t="s">
        <v>201</v>
      </c>
    </row>
    <row r="42" spans="1:5" x14ac:dyDescent="0.25">
      <c r="A42" s="91" t="s">
        <v>205</v>
      </c>
      <c r="B42" s="77" t="s">
        <v>204</v>
      </c>
      <c r="C42" s="76" t="s">
        <v>168</v>
      </c>
      <c r="D42" s="77" t="s">
        <v>204</v>
      </c>
      <c r="E42" s="92" t="s">
        <v>201</v>
      </c>
    </row>
    <row r="43" spans="1:5" x14ac:dyDescent="0.25">
      <c r="A43" s="91" t="s">
        <v>205</v>
      </c>
      <c r="B43" s="77" t="s">
        <v>204</v>
      </c>
      <c r="C43" s="76" t="s">
        <v>169</v>
      </c>
      <c r="D43" s="77" t="s">
        <v>204</v>
      </c>
      <c r="E43" s="92" t="s">
        <v>201</v>
      </c>
    </row>
    <row r="44" spans="1:5" x14ac:dyDescent="0.25">
      <c r="A44" s="91" t="s">
        <v>205</v>
      </c>
      <c r="B44" s="77" t="s">
        <v>204</v>
      </c>
      <c r="C44" s="77" t="s">
        <v>198</v>
      </c>
      <c r="D44" s="77" t="s">
        <v>204</v>
      </c>
      <c r="E44" s="92" t="s">
        <v>201</v>
      </c>
    </row>
    <row r="45" spans="1:5" x14ac:dyDescent="0.25">
      <c r="A45" s="91" t="s">
        <v>205</v>
      </c>
      <c r="B45" s="77" t="s">
        <v>204</v>
      </c>
      <c r="C45" s="77" t="s">
        <v>199</v>
      </c>
      <c r="D45" s="77" t="s">
        <v>204</v>
      </c>
      <c r="E45" s="92" t="s">
        <v>201</v>
      </c>
    </row>
    <row r="46" spans="1:5" x14ac:dyDescent="0.25">
      <c r="A46" s="91" t="s">
        <v>205</v>
      </c>
      <c r="B46" s="77" t="s">
        <v>204</v>
      </c>
      <c r="C46" s="77" t="s">
        <v>200</v>
      </c>
      <c r="D46" s="77" t="s">
        <v>204</v>
      </c>
      <c r="E46" s="92" t="s">
        <v>201</v>
      </c>
    </row>
    <row r="47" spans="1:5" x14ac:dyDescent="0.25">
      <c r="A47" s="91" t="s">
        <v>207</v>
      </c>
      <c r="B47" s="77" t="s">
        <v>206</v>
      </c>
      <c r="C47" s="76" t="s">
        <v>89</v>
      </c>
      <c r="D47" s="77" t="s">
        <v>206</v>
      </c>
      <c r="E47" s="92" t="s">
        <v>201</v>
      </c>
    </row>
    <row r="48" spans="1:5" x14ac:dyDescent="0.25">
      <c r="A48" s="91" t="s">
        <v>207</v>
      </c>
      <c r="B48" s="77" t="s">
        <v>206</v>
      </c>
      <c r="C48" s="76" t="s">
        <v>65</v>
      </c>
      <c r="D48" s="77" t="s">
        <v>206</v>
      </c>
      <c r="E48" s="92" t="s">
        <v>201</v>
      </c>
    </row>
    <row r="49" spans="1:5" x14ac:dyDescent="0.25">
      <c r="A49" s="91" t="s">
        <v>207</v>
      </c>
      <c r="B49" s="77" t="s">
        <v>206</v>
      </c>
      <c r="C49" s="76" t="s">
        <v>66</v>
      </c>
      <c r="D49" s="77" t="s">
        <v>206</v>
      </c>
      <c r="E49" s="92" t="s">
        <v>201</v>
      </c>
    </row>
    <row r="50" spans="1:5" x14ac:dyDescent="0.25">
      <c r="A50" s="91" t="s">
        <v>207</v>
      </c>
      <c r="B50" s="77" t="s">
        <v>206</v>
      </c>
      <c r="C50" s="76" t="s">
        <v>67</v>
      </c>
      <c r="D50" s="77" t="s">
        <v>206</v>
      </c>
      <c r="E50" s="92" t="s">
        <v>201</v>
      </c>
    </row>
    <row r="51" spans="1:5" x14ac:dyDescent="0.25">
      <c r="A51" s="91" t="s">
        <v>207</v>
      </c>
      <c r="B51" s="77" t="s">
        <v>206</v>
      </c>
      <c r="C51" s="76" t="s">
        <v>68</v>
      </c>
      <c r="D51" s="77" t="s">
        <v>206</v>
      </c>
      <c r="E51" s="92" t="s">
        <v>201</v>
      </c>
    </row>
    <row r="52" spans="1:5" x14ac:dyDescent="0.25">
      <c r="A52" s="91" t="s">
        <v>207</v>
      </c>
      <c r="B52" s="77" t="s">
        <v>206</v>
      </c>
      <c r="C52" s="76" t="s">
        <v>69</v>
      </c>
      <c r="D52" s="77" t="s">
        <v>206</v>
      </c>
      <c r="E52" s="92" t="s">
        <v>201</v>
      </c>
    </row>
    <row r="53" spans="1:5" x14ac:dyDescent="0.25">
      <c r="A53" s="91" t="s">
        <v>207</v>
      </c>
      <c r="B53" s="77" t="s">
        <v>206</v>
      </c>
      <c r="C53" s="76" t="s">
        <v>70</v>
      </c>
      <c r="D53" s="77" t="s">
        <v>206</v>
      </c>
      <c r="E53" s="92" t="s">
        <v>201</v>
      </c>
    </row>
    <row r="54" spans="1:5" x14ac:dyDescent="0.25">
      <c r="A54" s="91" t="s">
        <v>207</v>
      </c>
      <c r="B54" s="77" t="s">
        <v>206</v>
      </c>
      <c r="C54" s="76" t="s">
        <v>71</v>
      </c>
      <c r="D54" s="77" t="s">
        <v>206</v>
      </c>
      <c r="E54" s="92" t="s">
        <v>201</v>
      </c>
    </row>
    <row r="55" spans="1:5" x14ac:dyDescent="0.25">
      <c r="A55" s="91" t="s">
        <v>207</v>
      </c>
      <c r="B55" s="77" t="s">
        <v>206</v>
      </c>
      <c r="C55" s="76" t="s">
        <v>72</v>
      </c>
      <c r="D55" s="77" t="s">
        <v>206</v>
      </c>
      <c r="E55" s="92" t="s">
        <v>201</v>
      </c>
    </row>
    <row r="56" spans="1:5" x14ac:dyDescent="0.25">
      <c r="A56" s="91" t="s">
        <v>207</v>
      </c>
      <c r="B56" s="77" t="s">
        <v>206</v>
      </c>
      <c r="C56" s="76" t="s">
        <v>96</v>
      </c>
      <c r="D56" s="77" t="s">
        <v>206</v>
      </c>
      <c r="E56" s="92" t="s">
        <v>201</v>
      </c>
    </row>
    <row r="57" spans="1:5" x14ac:dyDescent="0.25">
      <c r="A57" s="91" t="s">
        <v>207</v>
      </c>
      <c r="B57" s="77" t="s">
        <v>206</v>
      </c>
      <c r="C57" s="76" t="s">
        <v>73</v>
      </c>
      <c r="D57" s="77" t="s">
        <v>206</v>
      </c>
      <c r="E57" s="92" t="s">
        <v>201</v>
      </c>
    </row>
    <row r="58" spans="1:5" x14ac:dyDescent="0.25">
      <c r="A58" s="91" t="s">
        <v>207</v>
      </c>
      <c r="B58" s="77" t="s">
        <v>206</v>
      </c>
      <c r="C58" s="76" t="s">
        <v>74</v>
      </c>
      <c r="D58" s="77" t="s">
        <v>206</v>
      </c>
      <c r="E58" s="92" t="s">
        <v>201</v>
      </c>
    </row>
    <row r="59" spans="1:5" x14ac:dyDescent="0.25">
      <c r="A59" s="91" t="s">
        <v>207</v>
      </c>
      <c r="B59" s="77" t="s">
        <v>206</v>
      </c>
      <c r="C59" s="76" t="s">
        <v>75</v>
      </c>
      <c r="D59" s="77" t="s">
        <v>206</v>
      </c>
      <c r="E59" s="92" t="s">
        <v>201</v>
      </c>
    </row>
    <row r="60" spans="1:5" x14ac:dyDescent="0.25">
      <c r="A60" s="91" t="s">
        <v>207</v>
      </c>
      <c r="B60" s="77" t="s">
        <v>206</v>
      </c>
      <c r="C60" s="76" t="s">
        <v>76</v>
      </c>
      <c r="D60" s="77" t="s">
        <v>206</v>
      </c>
      <c r="E60" s="92" t="s">
        <v>201</v>
      </c>
    </row>
    <row r="61" spans="1:5" x14ac:dyDescent="0.25">
      <c r="A61" s="91" t="s">
        <v>207</v>
      </c>
      <c r="B61" s="77" t="s">
        <v>206</v>
      </c>
      <c r="C61" s="76" t="s">
        <v>77</v>
      </c>
      <c r="D61" s="77" t="s">
        <v>206</v>
      </c>
      <c r="E61" s="92" t="s">
        <v>201</v>
      </c>
    </row>
    <row r="62" spans="1:5" x14ac:dyDescent="0.25">
      <c r="A62" s="91" t="s">
        <v>207</v>
      </c>
      <c r="B62" s="77" t="s">
        <v>206</v>
      </c>
      <c r="C62" s="76" t="s">
        <v>78</v>
      </c>
      <c r="D62" s="77" t="s">
        <v>206</v>
      </c>
      <c r="E62" s="92" t="s">
        <v>201</v>
      </c>
    </row>
    <row r="63" spans="1:5" x14ac:dyDescent="0.25">
      <c r="A63" s="91" t="s">
        <v>207</v>
      </c>
      <c r="B63" s="77" t="s">
        <v>206</v>
      </c>
      <c r="C63" s="76" t="s">
        <v>79</v>
      </c>
      <c r="D63" s="77" t="s">
        <v>206</v>
      </c>
      <c r="E63" s="92" t="s">
        <v>201</v>
      </c>
    </row>
    <row r="64" spans="1:5" x14ac:dyDescent="0.25">
      <c r="A64" s="91" t="s">
        <v>207</v>
      </c>
      <c r="B64" s="77" t="s">
        <v>206</v>
      </c>
      <c r="C64" s="76" t="s">
        <v>92</v>
      </c>
      <c r="D64" s="77" t="s">
        <v>206</v>
      </c>
      <c r="E64" s="92" t="s">
        <v>201</v>
      </c>
    </row>
    <row r="65" spans="1:5" x14ac:dyDescent="0.25">
      <c r="A65" s="91" t="s">
        <v>207</v>
      </c>
      <c r="B65" s="77" t="s">
        <v>206</v>
      </c>
      <c r="C65" s="76" t="s">
        <v>80</v>
      </c>
      <c r="D65" s="77" t="s">
        <v>206</v>
      </c>
      <c r="E65" s="92" t="s">
        <v>201</v>
      </c>
    </row>
    <row r="66" spans="1:5" x14ac:dyDescent="0.25">
      <c r="A66" s="91" t="s">
        <v>207</v>
      </c>
      <c r="B66" s="77" t="s">
        <v>206</v>
      </c>
      <c r="C66" s="76" t="s">
        <v>81</v>
      </c>
      <c r="D66" s="77" t="s">
        <v>206</v>
      </c>
      <c r="E66" s="92" t="s">
        <v>201</v>
      </c>
    </row>
    <row r="67" spans="1:5" x14ac:dyDescent="0.25">
      <c r="A67" s="91" t="s">
        <v>207</v>
      </c>
      <c r="B67" s="77" t="s">
        <v>206</v>
      </c>
      <c r="C67" s="76" t="s">
        <v>82</v>
      </c>
      <c r="D67" s="77" t="s">
        <v>206</v>
      </c>
      <c r="E67" s="92" t="s">
        <v>201</v>
      </c>
    </row>
    <row r="68" spans="1:5" x14ac:dyDescent="0.25">
      <c r="A68" s="91" t="s">
        <v>207</v>
      </c>
      <c r="B68" s="77" t="s">
        <v>206</v>
      </c>
      <c r="C68" s="76" t="s">
        <v>83</v>
      </c>
      <c r="D68" s="77" t="s">
        <v>206</v>
      </c>
      <c r="E68" s="92" t="s">
        <v>201</v>
      </c>
    </row>
    <row r="69" spans="1:5" x14ac:dyDescent="0.25">
      <c r="A69" s="91" t="s">
        <v>207</v>
      </c>
      <c r="B69" s="77" t="s">
        <v>206</v>
      </c>
      <c r="C69" s="76" t="s">
        <v>84</v>
      </c>
      <c r="D69" s="77" t="s">
        <v>206</v>
      </c>
      <c r="E69" s="92" t="s">
        <v>201</v>
      </c>
    </row>
    <row r="70" spans="1:5" x14ac:dyDescent="0.25">
      <c r="A70" s="91" t="s">
        <v>207</v>
      </c>
      <c r="B70" s="77" t="s">
        <v>206</v>
      </c>
      <c r="C70" s="76" t="s">
        <v>90</v>
      </c>
      <c r="D70" s="77" t="s">
        <v>206</v>
      </c>
      <c r="E70" s="92" t="s">
        <v>201</v>
      </c>
    </row>
    <row r="71" spans="1:5" x14ac:dyDescent="0.25">
      <c r="A71" s="91" t="s">
        <v>207</v>
      </c>
      <c r="B71" s="77" t="s">
        <v>206</v>
      </c>
      <c r="C71" s="76" t="s">
        <v>85</v>
      </c>
      <c r="D71" s="77" t="s">
        <v>206</v>
      </c>
      <c r="E71" s="92" t="s">
        <v>201</v>
      </c>
    </row>
    <row r="72" spans="1:5" x14ac:dyDescent="0.25">
      <c r="A72" s="91" t="s">
        <v>207</v>
      </c>
      <c r="B72" s="77" t="s">
        <v>206</v>
      </c>
      <c r="C72" s="76" t="s">
        <v>86</v>
      </c>
      <c r="D72" s="77" t="s">
        <v>206</v>
      </c>
      <c r="E72" s="92" t="s">
        <v>201</v>
      </c>
    </row>
    <row r="73" spans="1:5" x14ac:dyDescent="0.25">
      <c r="A73" s="91" t="s">
        <v>207</v>
      </c>
      <c r="B73" s="77" t="s">
        <v>206</v>
      </c>
      <c r="C73" s="76" t="s">
        <v>91</v>
      </c>
      <c r="D73" s="77" t="s">
        <v>206</v>
      </c>
      <c r="E73" s="92" t="s">
        <v>201</v>
      </c>
    </row>
    <row r="74" spans="1:5" x14ac:dyDescent="0.25">
      <c r="A74" s="91" t="s">
        <v>207</v>
      </c>
      <c r="B74" s="77" t="s">
        <v>206</v>
      </c>
      <c r="C74" s="76" t="s">
        <v>95</v>
      </c>
      <c r="D74" s="77" t="s">
        <v>206</v>
      </c>
      <c r="E74" s="92" t="s">
        <v>201</v>
      </c>
    </row>
    <row r="75" spans="1:5" x14ac:dyDescent="0.25">
      <c r="A75" s="91" t="s">
        <v>207</v>
      </c>
      <c r="B75" s="77" t="s">
        <v>206</v>
      </c>
      <c r="C75" s="76" t="s">
        <v>87</v>
      </c>
      <c r="D75" s="77" t="s">
        <v>206</v>
      </c>
      <c r="E75" s="92" t="s">
        <v>201</v>
      </c>
    </row>
    <row r="76" spans="1:5" x14ac:dyDescent="0.25">
      <c r="A76" s="91" t="s">
        <v>207</v>
      </c>
      <c r="B76" s="77" t="s">
        <v>206</v>
      </c>
      <c r="C76" s="76" t="s">
        <v>97</v>
      </c>
      <c r="D76" s="77" t="s">
        <v>206</v>
      </c>
      <c r="E76" s="92" t="s">
        <v>201</v>
      </c>
    </row>
    <row r="77" spans="1:5" x14ac:dyDescent="0.25">
      <c r="A77" s="91" t="s">
        <v>207</v>
      </c>
      <c r="B77" s="77" t="s">
        <v>206</v>
      </c>
      <c r="C77" s="76" t="s">
        <v>135</v>
      </c>
      <c r="D77" s="77" t="s">
        <v>206</v>
      </c>
      <c r="E77" s="92" t="s">
        <v>201</v>
      </c>
    </row>
    <row r="78" spans="1:5" x14ac:dyDescent="0.25">
      <c r="A78" s="91" t="s">
        <v>207</v>
      </c>
      <c r="B78" s="77" t="s">
        <v>206</v>
      </c>
      <c r="C78" s="76" t="s">
        <v>144</v>
      </c>
      <c r="D78" s="77" t="s">
        <v>206</v>
      </c>
      <c r="E78" s="92" t="s">
        <v>201</v>
      </c>
    </row>
    <row r="79" spans="1:5" x14ac:dyDescent="0.25">
      <c r="A79" s="91" t="s">
        <v>207</v>
      </c>
      <c r="B79" s="77" t="s">
        <v>206</v>
      </c>
      <c r="C79" s="76" t="s">
        <v>150</v>
      </c>
      <c r="D79" s="77" t="s">
        <v>206</v>
      </c>
      <c r="E79" s="92" t="s">
        <v>201</v>
      </c>
    </row>
    <row r="80" spans="1:5" x14ac:dyDescent="0.25">
      <c r="A80" s="91" t="s">
        <v>207</v>
      </c>
      <c r="B80" s="77" t="s">
        <v>206</v>
      </c>
      <c r="C80" s="76" t="s">
        <v>153</v>
      </c>
      <c r="D80" s="77" t="s">
        <v>206</v>
      </c>
      <c r="E80" s="92" t="s">
        <v>201</v>
      </c>
    </row>
    <row r="81" spans="1:5" x14ac:dyDescent="0.25">
      <c r="A81" s="91" t="s">
        <v>207</v>
      </c>
      <c r="B81" s="77" t="s">
        <v>206</v>
      </c>
      <c r="C81" s="76" t="s">
        <v>168</v>
      </c>
      <c r="D81" s="77" t="s">
        <v>206</v>
      </c>
      <c r="E81" s="92" t="s">
        <v>201</v>
      </c>
    </row>
    <row r="82" spans="1:5" x14ac:dyDescent="0.25">
      <c r="A82" s="91" t="s">
        <v>207</v>
      </c>
      <c r="B82" s="77" t="s">
        <v>206</v>
      </c>
      <c r="C82" s="76" t="s">
        <v>169</v>
      </c>
      <c r="D82" s="77" t="s">
        <v>206</v>
      </c>
      <c r="E82" s="92" t="s">
        <v>201</v>
      </c>
    </row>
    <row r="83" spans="1:5" x14ac:dyDescent="0.25">
      <c r="A83" s="91" t="s">
        <v>207</v>
      </c>
      <c r="B83" s="77" t="s">
        <v>206</v>
      </c>
      <c r="C83" s="77" t="s">
        <v>198</v>
      </c>
      <c r="D83" s="77" t="s">
        <v>206</v>
      </c>
      <c r="E83" s="92" t="s">
        <v>201</v>
      </c>
    </row>
    <row r="84" spans="1:5" x14ac:dyDescent="0.25">
      <c r="A84" s="91" t="s">
        <v>207</v>
      </c>
      <c r="B84" s="77" t="s">
        <v>206</v>
      </c>
      <c r="C84" s="77" t="s">
        <v>199</v>
      </c>
      <c r="D84" s="77" t="s">
        <v>206</v>
      </c>
      <c r="E84" s="92" t="s">
        <v>201</v>
      </c>
    </row>
    <row r="85" spans="1:5" x14ac:dyDescent="0.25">
      <c r="A85" s="91" t="s">
        <v>207</v>
      </c>
      <c r="B85" s="77" t="s">
        <v>206</v>
      </c>
      <c r="C85" s="77" t="s">
        <v>200</v>
      </c>
      <c r="D85" s="77" t="s">
        <v>206</v>
      </c>
      <c r="E85" s="92" t="s">
        <v>201</v>
      </c>
    </row>
    <row r="86" spans="1:5" x14ac:dyDescent="0.25">
      <c r="A86" s="91" t="s">
        <v>208</v>
      </c>
      <c r="B86" s="78" t="s">
        <v>209</v>
      </c>
      <c r="C86" s="76" t="s">
        <v>89</v>
      </c>
      <c r="D86" s="78" t="s">
        <v>209</v>
      </c>
      <c r="E86" s="92" t="s">
        <v>201</v>
      </c>
    </row>
    <row r="87" spans="1:5" x14ac:dyDescent="0.25">
      <c r="A87" s="91" t="s">
        <v>208</v>
      </c>
      <c r="B87" s="78" t="s">
        <v>209</v>
      </c>
      <c r="C87" s="76" t="s">
        <v>65</v>
      </c>
      <c r="D87" s="78" t="s">
        <v>209</v>
      </c>
      <c r="E87" s="92" t="s">
        <v>201</v>
      </c>
    </row>
    <row r="88" spans="1:5" x14ac:dyDescent="0.25">
      <c r="A88" s="91" t="s">
        <v>208</v>
      </c>
      <c r="B88" s="78" t="s">
        <v>209</v>
      </c>
      <c r="C88" s="76" t="s">
        <v>66</v>
      </c>
      <c r="D88" s="78" t="s">
        <v>209</v>
      </c>
      <c r="E88" s="92" t="s">
        <v>201</v>
      </c>
    </row>
    <row r="89" spans="1:5" x14ac:dyDescent="0.25">
      <c r="A89" s="91" t="s">
        <v>208</v>
      </c>
      <c r="B89" s="78" t="s">
        <v>209</v>
      </c>
      <c r="C89" s="76" t="s">
        <v>67</v>
      </c>
      <c r="D89" s="78" t="s">
        <v>209</v>
      </c>
      <c r="E89" s="92" t="s">
        <v>201</v>
      </c>
    </row>
    <row r="90" spans="1:5" x14ac:dyDescent="0.25">
      <c r="A90" s="91" t="s">
        <v>208</v>
      </c>
      <c r="B90" s="78" t="s">
        <v>209</v>
      </c>
      <c r="C90" s="76" t="s">
        <v>68</v>
      </c>
      <c r="D90" s="78" t="s">
        <v>209</v>
      </c>
      <c r="E90" s="92" t="s">
        <v>201</v>
      </c>
    </row>
    <row r="91" spans="1:5" x14ac:dyDescent="0.25">
      <c r="A91" s="91" t="s">
        <v>208</v>
      </c>
      <c r="B91" s="78" t="s">
        <v>209</v>
      </c>
      <c r="C91" s="76" t="s">
        <v>69</v>
      </c>
      <c r="D91" s="78" t="s">
        <v>209</v>
      </c>
      <c r="E91" s="92" t="s">
        <v>201</v>
      </c>
    </row>
    <row r="92" spans="1:5" x14ac:dyDescent="0.25">
      <c r="A92" s="91" t="s">
        <v>208</v>
      </c>
      <c r="B92" s="78" t="s">
        <v>209</v>
      </c>
      <c r="C92" s="76" t="s">
        <v>70</v>
      </c>
      <c r="D92" s="78" t="s">
        <v>209</v>
      </c>
      <c r="E92" s="92" t="s">
        <v>201</v>
      </c>
    </row>
    <row r="93" spans="1:5" x14ac:dyDescent="0.25">
      <c r="A93" s="91" t="s">
        <v>208</v>
      </c>
      <c r="B93" s="78" t="s">
        <v>209</v>
      </c>
      <c r="C93" s="76" t="s">
        <v>71</v>
      </c>
      <c r="D93" s="78" t="s">
        <v>209</v>
      </c>
      <c r="E93" s="92" t="s">
        <v>201</v>
      </c>
    </row>
    <row r="94" spans="1:5" x14ac:dyDescent="0.25">
      <c r="A94" s="91" t="s">
        <v>208</v>
      </c>
      <c r="B94" s="78" t="s">
        <v>209</v>
      </c>
      <c r="C94" s="76" t="s">
        <v>72</v>
      </c>
      <c r="D94" s="78" t="s">
        <v>209</v>
      </c>
      <c r="E94" s="92" t="s">
        <v>201</v>
      </c>
    </row>
    <row r="95" spans="1:5" x14ac:dyDescent="0.25">
      <c r="A95" s="91" t="s">
        <v>208</v>
      </c>
      <c r="B95" s="78" t="s">
        <v>209</v>
      </c>
      <c r="C95" s="76" t="s">
        <v>96</v>
      </c>
      <c r="D95" s="78" t="s">
        <v>209</v>
      </c>
      <c r="E95" s="92" t="s">
        <v>201</v>
      </c>
    </row>
    <row r="96" spans="1:5" x14ac:dyDescent="0.25">
      <c r="A96" s="91" t="s">
        <v>208</v>
      </c>
      <c r="B96" s="78" t="s">
        <v>209</v>
      </c>
      <c r="C96" s="76" t="s">
        <v>73</v>
      </c>
      <c r="D96" s="78" t="s">
        <v>209</v>
      </c>
      <c r="E96" s="92" t="s">
        <v>201</v>
      </c>
    </row>
    <row r="97" spans="1:5" x14ac:dyDescent="0.25">
      <c r="A97" s="91" t="s">
        <v>208</v>
      </c>
      <c r="B97" s="78" t="s">
        <v>209</v>
      </c>
      <c r="C97" s="76" t="s">
        <v>74</v>
      </c>
      <c r="D97" s="78" t="s">
        <v>209</v>
      </c>
      <c r="E97" s="92" t="s">
        <v>201</v>
      </c>
    </row>
    <row r="98" spans="1:5" x14ac:dyDescent="0.25">
      <c r="A98" s="91" t="s">
        <v>208</v>
      </c>
      <c r="B98" s="78" t="s">
        <v>209</v>
      </c>
      <c r="C98" s="76" t="s">
        <v>75</v>
      </c>
      <c r="D98" s="78" t="s">
        <v>209</v>
      </c>
      <c r="E98" s="92" t="s">
        <v>201</v>
      </c>
    </row>
    <row r="99" spans="1:5" x14ac:dyDescent="0.25">
      <c r="A99" s="91" t="s">
        <v>208</v>
      </c>
      <c r="B99" s="78" t="s">
        <v>209</v>
      </c>
      <c r="C99" s="76" t="s">
        <v>76</v>
      </c>
      <c r="D99" s="78" t="s">
        <v>209</v>
      </c>
      <c r="E99" s="92" t="s">
        <v>201</v>
      </c>
    </row>
    <row r="100" spans="1:5" x14ac:dyDescent="0.25">
      <c r="A100" s="91" t="s">
        <v>208</v>
      </c>
      <c r="B100" s="78" t="s">
        <v>209</v>
      </c>
      <c r="C100" s="76" t="s">
        <v>77</v>
      </c>
      <c r="D100" s="78" t="s">
        <v>209</v>
      </c>
      <c r="E100" s="92" t="s">
        <v>201</v>
      </c>
    </row>
    <row r="101" spans="1:5" x14ac:dyDescent="0.25">
      <c r="A101" s="91" t="s">
        <v>208</v>
      </c>
      <c r="B101" s="78" t="s">
        <v>209</v>
      </c>
      <c r="C101" s="76" t="s">
        <v>78</v>
      </c>
      <c r="D101" s="78" t="s">
        <v>209</v>
      </c>
      <c r="E101" s="92" t="s">
        <v>201</v>
      </c>
    </row>
    <row r="102" spans="1:5" x14ac:dyDescent="0.25">
      <c r="A102" s="91" t="s">
        <v>208</v>
      </c>
      <c r="B102" s="78" t="s">
        <v>209</v>
      </c>
      <c r="C102" s="76" t="s">
        <v>79</v>
      </c>
      <c r="D102" s="78" t="s">
        <v>209</v>
      </c>
      <c r="E102" s="92" t="s">
        <v>201</v>
      </c>
    </row>
    <row r="103" spans="1:5" x14ac:dyDescent="0.25">
      <c r="A103" s="91" t="s">
        <v>208</v>
      </c>
      <c r="B103" s="78" t="s">
        <v>209</v>
      </c>
      <c r="C103" s="76" t="s">
        <v>92</v>
      </c>
      <c r="D103" s="78" t="s">
        <v>209</v>
      </c>
      <c r="E103" s="92" t="s">
        <v>201</v>
      </c>
    </row>
    <row r="104" spans="1:5" x14ac:dyDescent="0.25">
      <c r="A104" s="91" t="s">
        <v>208</v>
      </c>
      <c r="B104" s="78" t="s">
        <v>209</v>
      </c>
      <c r="C104" s="76" t="s">
        <v>80</v>
      </c>
      <c r="D104" s="78" t="s">
        <v>209</v>
      </c>
      <c r="E104" s="92" t="s">
        <v>201</v>
      </c>
    </row>
    <row r="105" spans="1:5" x14ac:dyDescent="0.25">
      <c r="A105" s="91" t="s">
        <v>208</v>
      </c>
      <c r="B105" s="78" t="s">
        <v>209</v>
      </c>
      <c r="C105" s="76" t="s">
        <v>81</v>
      </c>
      <c r="D105" s="78" t="s">
        <v>209</v>
      </c>
      <c r="E105" s="92" t="s">
        <v>201</v>
      </c>
    </row>
    <row r="106" spans="1:5" x14ac:dyDescent="0.25">
      <c r="A106" s="91" t="s">
        <v>208</v>
      </c>
      <c r="B106" s="78" t="s">
        <v>209</v>
      </c>
      <c r="C106" s="76" t="s">
        <v>82</v>
      </c>
      <c r="D106" s="78" t="s">
        <v>209</v>
      </c>
      <c r="E106" s="92" t="s">
        <v>201</v>
      </c>
    </row>
    <row r="107" spans="1:5" x14ac:dyDescent="0.25">
      <c r="A107" s="91" t="s">
        <v>208</v>
      </c>
      <c r="B107" s="78" t="s">
        <v>209</v>
      </c>
      <c r="C107" s="76" t="s">
        <v>83</v>
      </c>
      <c r="D107" s="78" t="s">
        <v>209</v>
      </c>
      <c r="E107" s="92" t="s">
        <v>201</v>
      </c>
    </row>
    <row r="108" spans="1:5" x14ac:dyDescent="0.25">
      <c r="A108" s="91" t="s">
        <v>208</v>
      </c>
      <c r="B108" s="78" t="s">
        <v>209</v>
      </c>
      <c r="C108" s="76" t="s">
        <v>84</v>
      </c>
      <c r="D108" s="78" t="s">
        <v>209</v>
      </c>
      <c r="E108" s="92" t="s">
        <v>201</v>
      </c>
    </row>
    <row r="109" spans="1:5" x14ac:dyDescent="0.25">
      <c r="A109" s="91" t="s">
        <v>208</v>
      </c>
      <c r="B109" s="78" t="s">
        <v>209</v>
      </c>
      <c r="C109" s="76" t="s">
        <v>90</v>
      </c>
      <c r="D109" s="78" t="s">
        <v>209</v>
      </c>
      <c r="E109" s="92" t="s">
        <v>201</v>
      </c>
    </row>
    <row r="110" spans="1:5" x14ac:dyDescent="0.25">
      <c r="A110" s="91" t="s">
        <v>208</v>
      </c>
      <c r="B110" s="78" t="s">
        <v>209</v>
      </c>
      <c r="C110" s="76" t="s">
        <v>85</v>
      </c>
      <c r="D110" s="78" t="s">
        <v>209</v>
      </c>
      <c r="E110" s="92" t="s">
        <v>201</v>
      </c>
    </row>
    <row r="111" spans="1:5" x14ac:dyDescent="0.25">
      <c r="A111" s="91" t="s">
        <v>208</v>
      </c>
      <c r="B111" s="78" t="s">
        <v>209</v>
      </c>
      <c r="C111" s="76" t="s">
        <v>86</v>
      </c>
      <c r="D111" s="78" t="s">
        <v>209</v>
      </c>
      <c r="E111" s="92" t="s">
        <v>201</v>
      </c>
    </row>
    <row r="112" spans="1:5" x14ac:dyDescent="0.25">
      <c r="A112" s="91" t="s">
        <v>208</v>
      </c>
      <c r="B112" s="78" t="s">
        <v>209</v>
      </c>
      <c r="C112" s="76" t="s">
        <v>91</v>
      </c>
      <c r="D112" s="78" t="s">
        <v>209</v>
      </c>
      <c r="E112" s="92" t="s">
        <v>201</v>
      </c>
    </row>
    <row r="113" spans="1:5" x14ac:dyDescent="0.25">
      <c r="A113" s="91" t="s">
        <v>208</v>
      </c>
      <c r="B113" s="78" t="s">
        <v>209</v>
      </c>
      <c r="C113" s="76" t="s">
        <v>95</v>
      </c>
      <c r="D113" s="78" t="s">
        <v>209</v>
      </c>
      <c r="E113" s="92" t="s">
        <v>201</v>
      </c>
    </row>
    <row r="114" spans="1:5" x14ac:dyDescent="0.25">
      <c r="A114" s="91" t="s">
        <v>208</v>
      </c>
      <c r="B114" s="78" t="s">
        <v>209</v>
      </c>
      <c r="C114" s="76" t="s">
        <v>87</v>
      </c>
      <c r="D114" s="78" t="s">
        <v>209</v>
      </c>
      <c r="E114" s="92" t="s">
        <v>201</v>
      </c>
    </row>
    <row r="115" spans="1:5" x14ac:dyDescent="0.25">
      <c r="A115" s="91" t="s">
        <v>208</v>
      </c>
      <c r="B115" s="78" t="s">
        <v>209</v>
      </c>
      <c r="C115" s="76" t="s">
        <v>97</v>
      </c>
      <c r="D115" s="78" t="s">
        <v>209</v>
      </c>
      <c r="E115" s="92" t="s">
        <v>201</v>
      </c>
    </row>
    <row r="116" spans="1:5" x14ac:dyDescent="0.25">
      <c r="A116" s="91" t="s">
        <v>208</v>
      </c>
      <c r="B116" s="78" t="s">
        <v>209</v>
      </c>
      <c r="C116" s="76" t="s">
        <v>135</v>
      </c>
      <c r="D116" s="78" t="s">
        <v>209</v>
      </c>
      <c r="E116" s="92" t="s">
        <v>201</v>
      </c>
    </row>
    <row r="117" spans="1:5" x14ac:dyDescent="0.25">
      <c r="A117" s="91" t="s">
        <v>208</v>
      </c>
      <c r="B117" s="78" t="s">
        <v>209</v>
      </c>
      <c r="C117" s="76" t="s">
        <v>144</v>
      </c>
      <c r="D117" s="78" t="s">
        <v>209</v>
      </c>
      <c r="E117" s="92" t="s">
        <v>201</v>
      </c>
    </row>
    <row r="118" spans="1:5" x14ac:dyDescent="0.25">
      <c r="A118" s="91" t="s">
        <v>208</v>
      </c>
      <c r="B118" s="78" t="s">
        <v>209</v>
      </c>
      <c r="C118" s="76" t="s">
        <v>150</v>
      </c>
      <c r="D118" s="78" t="s">
        <v>209</v>
      </c>
      <c r="E118" s="92" t="s">
        <v>201</v>
      </c>
    </row>
    <row r="119" spans="1:5" x14ac:dyDescent="0.25">
      <c r="A119" s="91" t="s">
        <v>208</v>
      </c>
      <c r="B119" s="78" t="s">
        <v>209</v>
      </c>
      <c r="C119" s="76" t="s">
        <v>153</v>
      </c>
      <c r="D119" s="78" t="s">
        <v>209</v>
      </c>
      <c r="E119" s="92" t="s">
        <v>201</v>
      </c>
    </row>
    <row r="120" spans="1:5" x14ac:dyDescent="0.25">
      <c r="A120" s="91" t="s">
        <v>208</v>
      </c>
      <c r="B120" s="78" t="s">
        <v>209</v>
      </c>
      <c r="C120" s="76" t="s">
        <v>168</v>
      </c>
      <c r="D120" s="78" t="s">
        <v>209</v>
      </c>
      <c r="E120" s="92" t="s">
        <v>201</v>
      </c>
    </row>
    <row r="121" spans="1:5" x14ac:dyDescent="0.25">
      <c r="A121" s="91" t="s">
        <v>208</v>
      </c>
      <c r="B121" s="78" t="s">
        <v>209</v>
      </c>
      <c r="C121" s="76" t="s">
        <v>169</v>
      </c>
      <c r="D121" s="78" t="s">
        <v>209</v>
      </c>
      <c r="E121" s="92" t="s">
        <v>201</v>
      </c>
    </row>
    <row r="122" spans="1:5" x14ac:dyDescent="0.25">
      <c r="A122" s="91" t="s">
        <v>208</v>
      </c>
      <c r="B122" s="78" t="s">
        <v>209</v>
      </c>
      <c r="C122" s="77" t="s">
        <v>198</v>
      </c>
      <c r="D122" s="78" t="s">
        <v>209</v>
      </c>
      <c r="E122" s="92" t="s">
        <v>201</v>
      </c>
    </row>
    <row r="123" spans="1:5" x14ac:dyDescent="0.25">
      <c r="A123" s="91" t="s">
        <v>208</v>
      </c>
      <c r="B123" s="78" t="s">
        <v>209</v>
      </c>
      <c r="C123" s="77" t="s">
        <v>199</v>
      </c>
      <c r="D123" s="92" t="s">
        <v>209</v>
      </c>
      <c r="E123" s="92" t="s">
        <v>201</v>
      </c>
    </row>
    <row r="124" spans="1:5" x14ac:dyDescent="0.25">
      <c r="A124" s="91" t="s">
        <v>208</v>
      </c>
      <c r="B124" s="78" t="s">
        <v>209</v>
      </c>
      <c r="C124" s="77" t="s">
        <v>200</v>
      </c>
      <c r="D124" s="92" t="s">
        <v>209</v>
      </c>
      <c r="E124" s="92" t="s">
        <v>201</v>
      </c>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8BEE8-64F1-4FDB-A383-E48DFAB45AEF}">
  <dimension ref="A1:AS39"/>
  <sheetViews>
    <sheetView zoomScale="86" zoomScaleNormal="86" workbookViewId="0">
      <selection activeCell="F34" sqref="F34"/>
    </sheetView>
  </sheetViews>
  <sheetFormatPr defaultRowHeight="12.5" outlineLevelRow="1" x14ac:dyDescent="0.25"/>
  <cols>
    <col min="1" max="1" width="31.54296875" style="121" bestFit="1" customWidth="1"/>
    <col min="2" max="2" width="30" style="1" customWidth="1"/>
    <col min="3" max="4" width="32.453125" style="1" bestFit="1" customWidth="1"/>
    <col min="5" max="5" width="51.81640625" style="1" bestFit="1" customWidth="1"/>
    <col min="6" max="6" width="15.08984375" style="1" customWidth="1"/>
    <col min="7" max="7" width="13" style="1" bestFit="1" customWidth="1"/>
    <col min="8" max="8" width="7.08984375" style="1" bestFit="1" customWidth="1"/>
    <col min="9" max="9" width="10.90625" style="1" customWidth="1"/>
    <col min="10" max="10" width="20.26953125" style="1" customWidth="1"/>
    <col min="11" max="12" width="47.54296875" style="122" bestFit="1" customWidth="1"/>
    <col min="13" max="13" width="19.453125" style="122" bestFit="1" customWidth="1"/>
    <col min="14" max="14" width="52.1796875" style="122" bestFit="1" customWidth="1"/>
    <col min="15" max="15" width="16" style="1" bestFit="1" customWidth="1"/>
    <col min="16" max="16" width="12.81640625" style="122" bestFit="1" customWidth="1"/>
    <col min="17" max="17" width="6.54296875" style="122" bestFit="1" customWidth="1"/>
    <col min="18" max="18" width="8.81640625" style="122" bestFit="1" customWidth="1"/>
    <col min="19" max="19" width="5.81640625" style="1" bestFit="1" customWidth="1"/>
    <col min="20" max="20" width="6.81640625" style="1" bestFit="1" customWidth="1"/>
    <col min="21" max="21" width="20.90625" style="1" bestFit="1" customWidth="1"/>
    <col min="22" max="22" width="12.54296875" style="1" bestFit="1" customWidth="1"/>
    <col min="23" max="23" width="15.453125" style="1" bestFit="1" customWidth="1"/>
    <col min="24" max="24" width="10.54296875" style="1" bestFit="1" customWidth="1"/>
    <col min="25" max="25" width="13.1796875" style="1" bestFit="1" customWidth="1"/>
    <col min="26" max="26" width="19.1796875" style="1" bestFit="1" customWidth="1"/>
    <col min="27" max="27" width="16.81640625" style="1" bestFit="1" customWidth="1"/>
    <col min="28" max="28" width="19.1796875" style="1" bestFit="1" customWidth="1"/>
    <col min="29" max="29" width="13.54296875" style="1" bestFit="1" customWidth="1"/>
    <col min="30" max="30" width="19" style="1" bestFit="1" customWidth="1"/>
    <col min="31" max="31" width="17.453125" style="1" bestFit="1" customWidth="1"/>
    <col min="32" max="32" width="18.453125" style="1" bestFit="1" customWidth="1"/>
    <col min="33" max="33" width="6.453125" style="1" bestFit="1" customWidth="1"/>
    <col min="34" max="35" width="23.1796875" style="1" bestFit="1" customWidth="1"/>
    <col min="36" max="36" width="9.453125" style="1" bestFit="1" customWidth="1"/>
    <col min="37" max="37" width="10.1796875" style="1" bestFit="1" customWidth="1"/>
    <col min="38" max="38" width="7.453125" style="1" bestFit="1" customWidth="1"/>
    <col min="39" max="39" width="18.1796875" style="1" bestFit="1" customWidth="1"/>
    <col min="40" max="40" width="19.81640625" style="1" bestFit="1" customWidth="1"/>
    <col min="41" max="41" width="10" style="1" bestFit="1" customWidth="1"/>
    <col min="42" max="43" width="8.7265625" style="1"/>
    <col min="44" max="44" width="48.36328125" style="1" bestFit="1" customWidth="1"/>
    <col min="45" max="45" width="8.7265625" style="1"/>
  </cols>
  <sheetData>
    <row r="1" spans="1:45" ht="18" x14ac:dyDescent="0.4">
      <c r="A1" s="2" t="s">
        <v>243</v>
      </c>
      <c r="B1" s="120"/>
      <c r="C1" s="120"/>
      <c r="D1" s="120"/>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row>
    <row r="2" spans="1:45" x14ac:dyDescent="0.25">
      <c r="A2" s="120"/>
      <c r="B2" s="120"/>
      <c r="C2" s="120"/>
      <c r="D2" s="120"/>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row>
    <row r="3" spans="1:45" outlineLevel="1" x14ac:dyDescent="0.25">
      <c r="A3" s="33" t="s">
        <v>29</v>
      </c>
      <c r="B3" s="33" t="s">
        <v>30</v>
      </c>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120"/>
      <c r="AC3" s="120"/>
      <c r="AD3" s="120"/>
      <c r="AE3" s="120"/>
      <c r="AF3" s="120"/>
      <c r="AG3" s="120"/>
      <c r="AH3" s="120"/>
      <c r="AI3" s="120"/>
      <c r="AJ3" s="120"/>
      <c r="AK3" s="120"/>
      <c r="AL3" s="120"/>
      <c r="AM3" s="120"/>
      <c r="AN3" s="120"/>
      <c r="AO3" s="120"/>
      <c r="AP3" s="120"/>
      <c r="AQ3" s="120"/>
      <c r="AR3" s="120"/>
      <c r="AS3" s="120"/>
    </row>
    <row r="4" spans="1:45" outlineLevel="1" x14ac:dyDescent="0.25">
      <c r="A4" s="34"/>
      <c r="B4" s="34"/>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row>
    <row r="5" spans="1:45" outlineLevel="1" x14ac:dyDescent="0.25">
      <c r="A5" s="120"/>
      <c r="B5" s="120"/>
      <c r="C5" s="120"/>
      <c r="D5" s="120"/>
      <c r="E5" s="120"/>
      <c r="F5" s="120"/>
      <c r="G5" s="120"/>
      <c r="H5" s="120"/>
      <c r="I5" s="120"/>
      <c r="J5" s="120"/>
      <c r="K5" s="120"/>
      <c r="L5" s="120"/>
      <c r="M5" s="120"/>
      <c r="N5" s="120"/>
      <c r="O5" s="120"/>
      <c r="P5" s="120"/>
      <c r="Q5" s="120"/>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row>
    <row r="6" spans="1:45" ht="16" outlineLevel="1" thickBot="1" x14ac:dyDescent="0.4">
      <c r="A6" s="94" t="s">
        <v>25</v>
      </c>
      <c r="B6" s="95"/>
      <c r="C6" s="120"/>
      <c r="D6" s="120"/>
      <c r="E6" s="120"/>
      <c r="F6" s="120"/>
      <c r="G6" s="120"/>
      <c r="H6" s="120"/>
      <c r="I6" s="120"/>
      <c r="J6" s="120"/>
      <c r="K6" s="120"/>
      <c r="L6" s="120"/>
      <c r="M6" s="120"/>
      <c r="N6" s="120"/>
      <c r="O6" s="120"/>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row>
    <row r="7" spans="1:45" outlineLevel="1" x14ac:dyDescent="0.25">
      <c r="A7" s="96" t="s">
        <v>244</v>
      </c>
      <c r="B7" s="104" t="s">
        <v>8</v>
      </c>
      <c r="C7" s="104" t="s">
        <v>245</v>
      </c>
      <c r="D7" s="104" t="s">
        <v>246</v>
      </c>
      <c r="E7" s="97" t="s">
        <v>37</v>
      </c>
      <c r="F7" s="104" t="s">
        <v>247</v>
      </c>
      <c r="G7" s="97" t="s">
        <v>261</v>
      </c>
      <c r="H7" s="104" t="s">
        <v>248</v>
      </c>
      <c r="I7" s="104" t="s">
        <v>56</v>
      </c>
      <c r="J7" s="104" t="s">
        <v>21</v>
      </c>
      <c r="K7" s="105" t="s">
        <v>22</v>
      </c>
      <c r="L7" s="120"/>
      <c r="M7"/>
      <c r="N7"/>
      <c r="O7"/>
      <c r="P7"/>
      <c r="Q7"/>
      <c r="R7"/>
      <c r="S7"/>
      <c r="T7"/>
      <c r="U7"/>
      <c r="V7"/>
      <c r="W7"/>
      <c r="X7"/>
      <c r="Y7"/>
      <c r="Z7"/>
      <c r="AA7"/>
      <c r="AB7"/>
      <c r="AC7"/>
      <c r="AD7"/>
      <c r="AE7"/>
      <c r="AF7"/>
      <c r="AG7"/>
      <c r="AH7"/>
      <c r="AI7"/>
      <c r="AJ7"/>
      <c r="AK7"/>
      <c r="AL7"/>
      <c r="AM7"/>
      <c r="AN7"/>
      <c r="AO7"/>
      <c r="AP7"/>
      <c r="AQ7"/>
      <c r="AR7"/>
      <c r="AS7"/>
    </row>
    <row r="8" spans="1:45" outlineLevel="1" x14ac:dyDescent="0.25">
      <c r="A8" s="98" t="s">
        <v>259</v>
      </c>
      <c r="B8" s="82" t="s">
        <v>226</v>
      </c>
      <c r="C8" s="101" t="s">
        <v>213</v>
      </c>
      <c r="D8" s="101" t="s">
        <v>251</v>
      </c>
      <c r="E8" s="101"/>
      <c r="F8" s="101">
        <v>30</v>
      </c>
      <c r="G8" s="101">
        <v>30</v>
      </c>
      <c r="H8" s="101" t="s">
        <v>249</v>
      </c>
      <c r="I8" s="101" t="s">
        <v>55</v>
      </c>
      <c r="J8" s="101" t="s">
        <v>250</v>
      </c>
      <c r="K8" s="102" t="s">
        <v>262</v>
      </c>
      <c r="L8" s="120"/>
      <c r="M8"/>
      <c r="N8"/>
      <c r="O8"/>
      <c r="P8"/>
      <c r="Q8"/>
      <c r="R8"/>
      <c r="S8"/>
      <c r="T8"/>
      <c r="U8"/>
      <c r="V8"/>
      <c r="W8"/>
      <c r="X8"/>
      <c r="Y8"/>
      <c r="Z8"/>
      <c r="AA8"/>
      <c r="AB8"/>
      <c r="AC8"/>
      <c r="AD8"/>
      <c r="AE8"/>
      <c r="AF8"/>
      <c r="AG8"/>
      <c r="AH8"/>
      <c r="AI8"/>
      <c r="AJ8"/>
      <c r="AK8"/>
      <c r="AL8"/>
      <c r="AM8"/>
      <c r="AN8"/>
      <c r="AO8"/>
      <c r="AP8"/>
      <c r="AQ8"/>
      <c r="AR8"/>
      <c r="AS8"/>
    </row>
    <row r="9" spans="1:45" x14ac:dyDescent="0.25">
      <c r="A9" s="98" t="s">
        <v>259</v>
      </c>
      <c r="B9" s="82" t="s">
        <v>227</v>
      </c>
      <c r="C9" s="101" t="s">
        <v>213</v>
      </c>
      <c r="D9" s="101" t="s">
        <v>260</v>
      </c>
      <c r="E9" s="101">
        <v>22</v>
      </c>
      <c r="F9" s="101">
        <v>22</v>
      </c>
      <c r="G9" s="101">
        <v>7</v>
      </c>
      <c r="H9" s="101" t="s">
        <v>249</v>
      </c>
      <c r="I9" s="101" t="s">
        <v>55</v>
      </c>
      <c r="J9" s="101" t="s">
        <v>250</v>
      </c>
      <c r="K9" s="102" t="s">
        <v>262</v>
      </c>
      <c r="L9" s="120"/>
      <c r="M9"/>
      <c r="N9"/>
      <c r="O9"/>
      <c r="P9"/>
      <c r="Q9"/>
      <c r="R9"/>
      <c r="S9"/>
      <c r="T9"/>
      <c r="U9"/>
      <c r="V9"/>
      <c r="W9"/>
      <c r="X9"/>
      <c r="Y9"/>
      <c r="Z9"/>
      <c r="AA9"/>
      <c r="AB9"/>
      <c r="AC9"/>
      <c r="AD9"/>
      <c r="AE9"/>
      <c r="AF9"/>
      <c r="AG9"/>
      <c r="AH9"/>
      <c r="AI9"/>
      <c r="AJ9"/>
      <c r="AK9"/>
      <c r="AL9"/>
      <c r="AM9"/>
      <c r="AN9"/>
      <c r="AO9"/>
      <c r="AP9"/>
      <c r="AQ9"/>
      <c r="AR9"/>
      <c r="AS9"/>
    </row>
    <row r="10" spans="1:45" s="164" customFormat="1" ht="13" outlineLevel="1" thickBot="1" x14ac:dyDescent="0.3">
      <c r="A10" s="158" t="s">
        <v>259</v>
      </c>
      <c r="B10" s="115" t="s">
        <v>228</v>
      </c>
      <c r="C10" s="160" t="s">
        <v>213</v>
      </c>
      <c r="D10" s="160" t="s">
        <v>260</v>
      </c>
      <c r="E10" s="160">
        <v>22</v>
      </c>
      <c r="F10" s="160">
        <v>22</v>
      </c>
      <c r="G10" s="160">
        <v>7</v>
      </c>
      <c r="H10" s="160" t="s">
        <v>249</v>
      </c>
      <c r="I10" s="160" t="s">
        <v>55</v>
      </c>
      <c r="J10" s="160" t="s">
        <v>250</v>
      </c>
      <c r="K10" s="172" t="s">
        <v>262</v>
      </c>
    </row>
    <row r="11" spans="1:45" outlineLevel="1" x14ac:dyDescent="0.25">
      <c r="A11" s="129"/>
      <c r="B11" s="130"/>
      <c r="C11" s="131"/>
      <c r="D11" s="131"/>
      <c r="E11" s="131"/>
      <c r="F11" s="131"/>
      <c r="G11" s="131"/>
      <c r="H11" s="131"/>
      <c r="I11" s="131"/>
      <c r="J11" s="131"/>
      <c r="K11" s="131"/>
      <c r="L11" s="120"/>
      <c r="M11"/>
      <c r="N11"/>
      <c r="O11"/>
      <c r="P11"/>
      <c r="Q11"/>
      <c r="R11"/>
      <c r="S11"/>
      <c r="T11"/>
      <c r="U11"/>
      <c r="V11"/>
      <c r="W11"/>
      <c r="X11"/>
      <c r="Y11"/>
      <c r="Z11"/>
      <c r="AA11"/>
      <c r="AB11"/>
      <c r="AC11"/>
      <c r="AD11"/>
      <c r="AE11"/>
      <c r="AF11"/>
      <c r="AG11"/>
      <c r="AH11"/>
      <c r="AI11"/>
      <c r="AJ11"/>
      <c r="AK11"/>
      <c r="AL11"/>
      <c r="AM11"/>
      <c r="AN11"/>
      <c r="AO11"/>
      <c r="AP11"/>
      <c r="AQ11"/>
      <c r="AR11"/>
      <c r="AS11"/>
    </row>
    <row r="12" spans="1:45" ht="15.5" outlineLevel="1" x14ac:dyDescent="0.35">
      <c r="A12" s="94" t="s">
        <v>252</v>
      </c>
      <c r="B12" s="120"/>
      <c r="C12" s="120"/>
      <c r="D12" s="120"/>
      <c r="E12" s="120"/>
      <c r="F12" s="120"/>
      <c r="G12" s="120"/>
      <c r="H12" s="120"/>
      <c r="I12" s="120"/>
      <c r="J12" s="120"/>
      <c r="K12" s="120"/>
      <c r="L12" s="120"/>
      <c r="M12" s="120"/>
      <c r="N12"/>
      <c r="O12"/>
      <c r="P12"/>
      <c r="Q12"/>
      <c r="R12"/>
      <c r="S12"/>
      <c r="T12"/>
      <c r="U12"/>
      <c r="V12"/>
      <c r="W12"/>
      <c r="X12"/>
      <c r="Y12"/>
      <c r="Z12"/>
      <c r="AA12"/>
      <c r="AB12"/>
      <c r="AC12"/>
      <c r="AD12"/>
      <c r="AE12"/>
      <c r="AF12"/>
      <c r="AG12"/>
      <c r="AH12"/>
      <c r="AI12"/>
      <c r="AJ12"/>
      <c r="AK12"/>
      <c r="AL12"/>
      <c r="AM12"/>
      <c r="AN12"/>
      <c r="AO12"/>
      <c r="AP12"/>
      <c r="AQ12"/>
      <c r="AR12"/>
      <c r="AS12"/>
    </row>
    <row r="13" spans="1:45" ht="15.75" customHeight="1" outlineLevel="1" x14ac:dyDescent="0.25">
      <c r="A13" s="120"/>
      <c r="B13" s="120"/>
      <c r="C13" s="120"/>
      <c r="D13" s="120"/>
      <c r="E13" s="120"/>
      <c r="F13" s="120"/>
      <c r="G13" s="120"/>
      <c r="H13" s="120"/>
      <c r="I13" s="120"/>
      <c r="J13" s="120"/>
      <c r="K13" s="120"/>
      <c r="L13" s="120"/>
      <c r="M13" s="120"/>
      <c r="N13" s="120"/>
      <c r="O13" s="120"/>
      <c r="P13"/>
      <c r="Q13"/>
      <c r="R13"/>
      <c r="S13"/>
      <c r="T13"/>
      <c r="U13"/>
      <c r="V13"/>
      <c r="W13"/>
      <c r="X13"/>
      <c r="Y13"/>
      <c r="Z13"/>
      <c r="AA13"/>
      <c r="AB13"/>
      <c r="AC13"/>
      <c r="AD13"/>
      <c r="AE13"/>
      <c r="AF13"/>
      <c r="AG13"/>
      <c r="AH13"/>
      <c r="AI13"/>
      <c r="AJ13"/>
      <c r="AK13"/>
      <c r="AL13"/>
      <c r="AM13"/>
      <c r="AN13"/>
      <c r="AO13"/>
      <c r="AP13"/>
      <c r="AQ13"/>
      <c r="AR13"/>
      <c r="AS13"/>
    </row>
    <row r="14" spans="1:45" ht="16" outlineLevel="1" thickBot="1" x14ac:dyDescent="0.4">
      <c r="A14" s="94" t="s">
        <v>25</v>
      </c>
      <c r="B14" s="120"/>
      <c r="C14" s="120"/>
      <c r="D14" s="120"/>
      <c r="E14" s="120"/>
      <c r="F14" s="120"/>
      <c r="G14" s="120"/>
      <c r="H14" s="120"/>
      <c r="I14" s="120"/>
      <c r="J14" s="120"/>
      <c r="K14" s="120"/>
      <c r="L14" s="120"/>
      <c r="M14" s="120"/>
      <c r="N14" s="120"/>
      <c r="O14" s="120"/>
      <c r="P14"/>
      <c r="Q14"/>
      <c r="R14"/>
      <c r="S14"/>
      <c r="T14"/>
      <c r="U14"/>
      <c r="V14"/>
      <c r="W14"/>
      <c r="X14"/>
      <c r="Y14"/>
      <c r="Z14"/>
      <c r="AA14"/>
      <c r="AB14"/>
      <c r="AC14"/>
      <c r="AD14"/>
      <c r="AE14"/>
      <c r="AF14"/>
      <c r="AG14"/>
      <c r="AH14"/>
      <c r="AI14"/>
      <c r="AJ14"/>
      <c r="AK14"/>
      <c r="AL14"/>
      <c r="AM14"/>
      <c r="AN14"/>
      <c r="AO14"/>
      <c r="AP14"/>
      <c r="AQ14"/>
      <c r="AR14"/>
      <c r="AS14"/>
    </row>
    <row r="15" spans="1:45" x14ac:dyDescent="0.25">
      <c r="A15" s="96" t="s">
        <v>244</v>
      </c>
      <c r="B15" s="104" t="s">
        <v>8</v>
      </c>
      <c r="C15" s="104" t="s">
        <v>245</v>
      </c>
      <c r="D15" s="104" t="s">
        <v>246</v>
      </c>
      <c r="E15" s="97" t="s">
        <v>37</v>
      </c>
      <c r="F15" s="104" t="s">
        <v>247</v>
      </c>
      <c r="G15" s="97" t="s">
        <v>261</v>
      </c>
      <c r="H15" s="104" t="s">
        <v>248</v>
      </c>
      <c r="I15" s="104" t="s">
        <v>56</v>
      </c>
      <c r="J15" s="104" t="s">
        <v>21</v>
      </c>
      <c r="K15" s="105" t="s">
        <v>22</v>
      </c>
      <c r="L15"/>
      <c r="M15"/>
      <c r="N15"/>
      <c r="O15"/>
      <c r="P15"/>
      <c r="Q15"/>
      <c r="R15"/>
      <c r="S15"/>
      <c r="T15"/>
      <c r="U15"/>
      <c r="V15"/>
      <c r="W15"/>
      <c r="X15"/>
      <c r="Y15"/>
      <c r="Z15"/>
      <c r="AA15"/>
      <c r="AB15"/>
      <c r="AC15"/>
      <c r="AD15"/>
      <c r="AE15"/>
      <c r="AF15"/>
      <c r="AG15"/>
      <c r="AH15"/>
      <c r="AI15"/>
      <c r="AJ15"/>
      <c r="AK15"/>
      <c r="AL15"/>
      <c r="AM15"/>
      <c r="AN15"/>
      <c r="AO15"/>
      <c r="AP15"/>
      <c r="AQ15"/>
      <c r="AR15"/>
      <c r="AS15"/>
    </row>
    <row r="16" spans="1:45" x14ac:dyDescent="0.25">
      <c r="A16" s="98" t="s">
        <v>263</v>
      </c>
      <c r="B16" s="82" t="s">
        <v>226</v>
      </c>
      <c r="C16" s="101" t="s">
        <v>213</v>
      </c>
      <c r="D16" s="101" t="s">
        <v>251</v>
      </c>
      <c r="E16" s="101"/>
      <c r="F16" s="101">
        <v>30</v>
      </c>
      <c r="G16" s="101">
        <v>30</v>
      </c>
      <c r="H16" s="101" t="s">
        <v>249</v>
      </c>
      <c r="I16" s="101" t="s">
        <v>55</v>
      </c>
      <c r="J16" s="101" t="s">
        <v>250</v>
      </c>
      <c r="K16" s="102" t="s">
        <v>262</v>
      </c>
      <c r="L16"/>
      <c r="M16"/>
      <c r="N16"/>
      <c r="O16"/>
      <c r="P16"/>
      <c r="Q16"/>
      <c r="R16"/>
      <c r="S16"/>
      <c r="T16"/>
      <c r="U16"/>
      <c r="V16"/>
      <c r="W16"/>
      <c r="X16"/>
      <c r="Y16"/>
      <c r="Z16"/>
      <c r="AA16"/>
      <c r="AB16"/>
      <c r="AC16"/>
      <c r="AD16"/>
      <c r="AE16"/>
      <c r="AF16"/>
      <c r="AG16"/>
      <c r="AH16"/>
      <c r="AI16"/>
      <c r="AJ16"/>
      <c r="AK16"/>
      <c r="AL16"/>
      <c r="AM16"/>
      <c r="AN16"/>
      <c r="AO16"/>
      <c r="AP16"/>
      <c r="AQ16"/>
      <c r="AR16"/>
      <c r="AS16"/>
    </row>
    <row r="17" spans="1:45" x14ac:dyDescent="0.25">
      <c r="A17" s="98" t="s">
        <v>263</v>
      </c>
      <c r="B17" s="82" t="s">
        <v>227</v>
      </c>
      <c r="C17" s="101" t="s">
        <v>213</v>
      </c>
      <c r="D17" s="101" t="s">
        <v>260</v>
      </c>
      <c r="E17" s="101">
        <v>22</v>
      </c>
      <c r="F17" s="101">
        <v>22</v>
      </c>
      <c r="G17" s="101">
        <v>7</v>
      </c>
      <c r="H17" s="101" t="s">
        <v>249</v>
      </c>
      <c r="I17" s="101" t="s">
        <v>55</v>
      </c>
      <c r="J17" s="101" t="s">
        <v>250</v>
      </c>
      <c r="K17" s="102" t="s">
        <v>262</v>
      </c>
      <c r="L17"/>
      <c r="M17"/>
      <c r="N17"/>
      <c r="O17"/>
      <c r="P17"/>
      <c r="Q17"/>
      <c r="R17"/>
      <c r="S17"/>
      <c r="T17"/>
      <c r="U17"/>
      <c r="V17"/>
      <c r="W17"/>
      <c r="X17"/>
      <c r="Y17"/>
      <c r="Z17"/>
      <c r="AA17"/>
      <c r="AB17"/>
      <c r="AC17"/>
      <c r="AD17"/>
      <c r="AE17"/>
      <c r="AF17"/>
      <c r="AG17"/>
      <c r="AH17"/>
      <c r="AI17"/>
      <c r="AJ17"/>
      <c r="AK17"/>
      <c r="AL17"/>
      <c r="AM17"/>
      <c r="AN17"/>
      <c r="AO17"/>
      <c r="AP17"/>
      <c r="AQ17"/>
      <c r="AR17"/>
      <c r="AS17"/>
    </row>
    <row r="18" spans="1:45" ht="13" thickBot="1" x14ac:dyDescent="0.3">
      <c r="A18" s="99" t="s">
        <v>263</v>
      </c>
      <c r="B18" s="115" t="s">
        <v>228</v>
      </c>
      <c r="C18" s="127" t="s">
        <v>213</v>
      </c>
      <c r="D18" s="127" t="s">
        <v>260</v>
      </c>
      <c r="E18" s="127">
        <v>22</v>
      </c>
      <c r="F18" s="127">
        <v>22</v>
      </c>
      <c r="G18" s="127">
        <v>7</v>
      </c>
      <c r="H18" s="127" t="s">
        <v>249</v>
      </c>
      <c r="I18" s="127" t="s">
        <v>55</v>
      </c>
      <c r="J18" s="127" t="s">
        <v>250</v>
      </c>
      <c r="K18" s="103" t="s">
        <v>262</v>
      </c>
      <c r="L18" s="120"/>
      <c r="M18" s="120"/>
      <c r="N18" s="120"/>
      <c r="O18" s="120"/>
      <c r="P18" s="120"/>
      <c r="Q18" s="120"/>
      <c r="R18" s="120"/>
      <c r="S18" s="120"/>
      <c r="T18" s="120"/>
      <c r="U18" s="120"/>
      <c r="V18" s="120"/>
      <c r="W18" s="120"/>
      <c r="X18" s="120"/>
      <c r="Y18" s="120"/>
      <c r="Z18" s="120"/>
      <c r="AA18" s="120"/>
      <c r="AB18" s="120"/>
      <c r="AC18" s="120"/>
      <c r="AD18" s="120"/>
      <c r="AE18" s="120"/>
      <c r="AF18" s="120"/>
      <c r="AH18"/>
      <c r="AI18"/>
      <c r="AJ18"/>
      <c r="AK18"/>
      <c r="AL18"/>
      <c r="AM18"/>
      <c r="AN18"/>
      <c r="AO18"/>
      <c r="AP18"/>
      <c r="AQ18"/>
      <c r="AR18"/>
      <c r="AS18"/>
    </row>
    <row r="19" spans="1:45" x14ac:dyDescent="0.25">
      <c r="D19" s="120"/>
      <c r="E19" s="120"/>
      <c r="F19" s="120"/>
      <c r="G19" s="120"/>
      <c r="H19" s="120"/>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H19"/>
      <c r="AI19"/>
      <c r="AJ19"/>
      <c r="AK19"/>
      <c r="AL19"/>
      <c r="AM19"/>
      <c r="AN19"/>
      <c r="AO19"/>
      <c r="AP19"/>
      <c r="AQ19"/>
      <c r="AR19"/>
      <c r="AS19"/>
    </row>
    <row r="20" spans="1:45" x14ac:dyDescent="0.25">
      <c r="D20" s="120"/>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H20"/>
      <c r="AI20"/>
      <c r="AJ20"/>
      <c r="AK20"/>
      <c r="AL20"/>
      <c r="AM20"/>
      <c r="AN20"/>
      <c r="AO20"/>
      <c r="AP20"/>
      <c r="AQ20"/>
      <c r="AR20"/>
      <c r="AS20"/>
    </row>
    <row r="21" spans="1:45" ht="15.5" x14ac:dyDescent="0.35">
      <c r="A21" s="94" t="s">
        <v>253</v>
      </c>
      <c r="B21" s="120"/>
      <c r="C21" s="120"/>
      <c r="D21" s="120"/>
      <c r="E21" s="120"/>
      <c r="F21" s="120"/>
      <c r="G21" s="120"/>
      <c r="H21" s="120"/>
      <c r="I21" s="120"/>
    </row>
    <row r="22" spans="1:45" ht="16" thickBot="1" x14ac:dyDescent="0.4">
      <c r="A22" s="94" t="s">
        <v>254</v>
      </c>
      <c r="B22" s="95"/>
      <c r="C22" s="95"/>
      <c r="D22" s="95"/>
      <c r="E22" s="95"/>
      <c r="F22" s="95"/>
      <c r="G22" s="95"/>
      <c r="H22" s="95"/>
      <c r="I22" s="95"/>
    </row>
    <row r="23" spans="1:45" x14ac:dyDescent="0.25">
      <c r="A23" s="96" t="s">
        <v>255</v>
      </c>
      <c r="B23" s="126" t="s">
        <v>256</v>
      </c>
      <c r="C23" s="104" t="s">
        <v>257</v>
      </c>
      <c r="D23" s="104" t="s">
        <v>258</v>
      </c>
      <c r="E23" s="105" t="s">
        <v>22</v>
      </c>
      <c r="G23" s="122"/>
      <c r="H23" s="122"/>
      <c r="I23" s="122"/>
      <c r="J23" s="122"/>
      <c r="K23" s="1"/>
      <c r="P23" s="1"/>
      <c r="Q23" s="1"/>
      <c r="R23" s="1"/>
      <c r="AP23"/>
      <c r="AQ23"/>
      <c r="AR23"/>
      <c r="AS23"/>
    </row>
    <row r="24" spans="1:45" x14ac:dyDescent="0.25">
      <c r="A24" s="98" t="s">
        <v>263</v>
      </c>
      <c r="B24" s="75" t="s">
        <v>259</v>
      </c>
      <c r="C24" s="82" t="s">
        <v>226</v>
      </c>
      <c r="D24" s="82" t="s">
        <v>226</v>
      </c>
      <c r="E24" s="102" t="s">
        <v>264</v>
      </c>
      <c r="G24" s="122"/>
      <c r="H24" s="122"/>
      <c r="I24" s="122"/>
      <c r="J24" s="122"/>
      <c r="K24" s="1"/>
      <c r="P24" s="1"/>
      <c r="Q24" s="1"/>
      <c r="R24" s="1"/>
      <c r="AP24"/>
      <c r="AQ24"/>
      <c r="AR24"/>
      <c r="AS24"/>
    </row>
    <row r="25" spans="1:45" x14ac:dyDescent="0.25">
      <c r="A25" s="98" t="s">
        <v>263</v>
      </c>
      <c r="B25" s="75" t="s">
        <v>259</v>
      </c>
      <c r="C25" s="82" t="s">
        <v>227</v>
      </c>
      <c r="D25" s="82" t="s">
        <v>227</v>
      </c>
      <c r="E25" s="102" t="s">
        <v>264</v>
      </c>
      <c r="G25" s="122"/>
      <c r="H25" s="122"/>
      <c r="I25" s="122"/>
      <c r="J25" s="122"/>
      <c r="K25" s="1"/>
      <c r="P25" s="1"/>
      <c r="Q25" s="1"/>
      <c r="R25" s="1"/>
      <c r="AP25"/>
      <c r="AQ25"/>
      <c r="AR25"/>
      <c r="AS25"/>
    </row>
    <row r="26" spans="1:45" ht="13" thickBot="1" x14ac:dyDescent="0.3">
      <c r="A26" s="99" t="s">
        <v>263</v>
      </c>
      <c r="B26" s="128" t="s">
        <v>259</v>
      </c>
      <c r="C26" s="115" t="s">
        <v>228</v>
      </c>
      <c r="D26" s="115" t="s">
        <v>228</v>
      </c>
      <c r="E26" s="103" t="s">
        <v>264</v>
      </c>
      <c r="J26" s="122"/>
      <c r="N26" s="1"/>
      <c r="O26" s="122"/>
      <c r="R26" s="1"/>
      <c r="AS26"/>
    </row>
    <row r="27" spans="1:45" ht="18" x14ac:dyDescent="0.4">
      <c r="A27" s="124"/>
      <c r="B27" s="123"/>
      <c r="C27" s="123"/>
      <c r="D27" s="123"/>
      <c r="E27" s="123"/>
      <c r="F27" s="123"/>
      <c r="G27" s="123"/>
      <c r="H27" s="123"/>
      <c r="I27" s="123"/>
    </row>
    <row r="28" spans="1:45" x14ac:dyDescent="0.25">
      <c r="A28" s="125"/>
      <c r="B28" s="95"/>
      <c r="C28" s="95"/>
      <c r="D28" s="95"/>
      <c r="E28" s="95"/>
      <c r="F28" s="95"/>
      <c r="G28" s="95"/>
      <c r="H28" s="95"/>
      <c r="I28" s="95"/>
    </row>
    <row r="30" spans="1:45" x14ac:dyDescent="0.25">
      <c r="J30" s="120"/>
    </row>
    <row r="31" spans="1:45" x14ac:dyDescent="0.25">
      <c r="J31" s="120"/>
    </row>
    <row r="32" spans="1:45" x14ac:dyDescent="0.25">
      <c r="J32" s="120"/>
    </row>
    <row r="33" spans="10:10" x14ac:dyDescent="0.25">
      <c r="J33" s="120"/>
    </row>
    <row r="34" spans="10:10" x14ac:dyDescent="0.25">
      <c r="J34" s="120"/>
    </row>
    <row r="38" spans="10:10" x14ac:dyDescent="0.25">
      <c r="J38" s="123"/>
    </row>
    <row r="39" spans="10:10" x14ac:dyDescent="0.25">
      <c r="J39" s="9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Title</vt:lpstr>
      <vt:lpstr>Version Control</vt:lpstr>
      <vt:lpstr>Overview</vt:lpstr>
      <vt:lpstr>DTD Review Crosscheck</vt:lpstr>
      <vt:lpstr>1.0 LA </vt:lpstr>
      <vt:lpstr>2.0 BC</vt:lpstr>
      <vt:lpstr>3.0. Symbolic String</vt:lpstr>
      <vt:lpstr>4.Table</vt:lpstr>
      <vt:lpstr>'Version Control'!Print_Area</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Detailed FD - Accounts</dc:title>
  <dc:creator>Emmanuel Mauger</dc:creator>
  <cp:keywords/>
  <dc:description>Detailed FD - Accounts</dc:description>
  <cp:lastModifiedBy>Calleechurrun, V.</cp:lastModifiedBy>
  <cp:lastPrinted>2005-08-03T13:52:44Z</cp:lastPrinted>
  <dcterms:created xsi:type="dcterms:W3CDTF">2005-02-15T13:55:00Z</dcterms:created>
  <dcterms:modified xsi:type="dcterms:W3CDTF">2021-10-21T09:55:20Z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Type">
    <vt:lpwstr>Technical</vt:lpwstr>
  </property>
  <property fmtid="{D5CDD505-2E9C-101B-9397-08002B2CF9AE}" pid="3" name="_AdHocReviewCycleID">
    <vt:i4>-2090330415</vt:i4>
  </property>
  <property fmtid="{D5CDD505-2E9C-101B-9397-08002B2CF9AE}" pid="4" name="_NewReviewCycle">
    <vt:lpwstr/>
  </property>
  <property fmtid="{D5CDD505-2E9C-101B-9397-08002B2CF9AE}" pid="5" name="_EmailSubject">
    <vt:lpwstr>TME Phase 2 - Detailed FD - Pricing Administration v1_0.xls</vt:lpwstr>
  </property>
  <property fmtid="{D5CDD505-2E9C-101B-9397-08002B2CF9AE}" pid="6" name="_AuthorEmail">
    <vt:lpwstr>denny.volkardt@accenture.com</vt:lpwstr>
  </property>
  <property fmtid="{D5CDD505-2E9C-101B-9397-08002B2CF9AE}" pid="7" name="_AuthorEmailDisplayName">
    <vt:lpwstr>Volkardt, Denny</vt:lpwstr>
  </property>
  <property fmtid="{D5CDD505-2E9C-101B-9397-08002B2CF9AE}" pid="8" name="_PreviousAdHocReviewCycleID">
    <vt:i4>1950141634</vt:i4>
  </property>
  <property fmtid="{D5CDD505-2E9C-101B-9397-08002B2CF9AE}" pid="9" name="_ReviewingToolsShownOnce">
    <vt:lpwstr/>
  </property>
</Properties>
</file>