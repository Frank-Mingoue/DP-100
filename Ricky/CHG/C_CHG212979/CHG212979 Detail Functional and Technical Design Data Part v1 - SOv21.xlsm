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Outbound/SOv21/"/>
    </mc:Choice>
  </mc:AlternateContent>
  <xr:revisionPtr revIDLastSave="245" documentId="13_ncr:1_{E1C8E355-9691-4866-B34E-B32AD5D7E0D0}" xr6:coauthVersionLast="47" xr6:coauthVersionMax="47" xr10:uidLastSave="{EA54D117-1AD7-4609-A74A-41FF1CF9F853}"/>
  <bookViews>
    <workbookView xWindow="-120" yWindow="-120" windowWidth="29040" windowHeight="15840" tabRatio="893" firstSheet="6" activeTab="6"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7" i="12" l="1"/>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<sst xmlns="http://schemas.openxmlformats.org/spreadsheetml/2006/main" count="499" uniqueCount="301">
  <si>
    <t>Trade Marketing Excellence Programme</t>
  </si>
  <si>
    <t>DATA</t>
  </si>
  <si>
    <t>Technical Design Mapping, Workflow &amp; Stored Procedure</t>
  </si>
  <si>
    <t>CHG/INC:</t>
  </si>
  <si>
    <t>CHG212979</t>
  </si>
  <si>
    <t xml:space="preserve">        Title:</t>
  </si>
  <si>
    <t>TMEC: OM - Transfer - UOM conversion</t>
  </si>
  <si>
    <t>Planned Prod Release Date:</t>
  </si>
  <si>
    <t>Feb, 2022</t>
  </si>
  <si>
    <t xml:space="preserve">  Market Affected:</t>
  </si>
  <si>
    <t>ES</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</si>
  <si>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</si>
  <si>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</si>
  <si>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</si>
  <si>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</si>
  <si>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</si>
  <si>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</si>
  <si>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</si>
  <si>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</si>
  <si>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</si>
  <si>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</si>
  <si>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</si>
  <si>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</si>
  <si>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</si>
  <si>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</si>
  <si>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</si>
  <si>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</si>
  <si>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</si>
  <si>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</si>
  <si>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</si>
  <si>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</si>
  <si>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</si>
  <si>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</si>
  <si>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</si>
  <si>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</si>
  <si>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</si>
  <si>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</si>
  <si>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</si>
  <si>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</si>
  <si>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</si>
  <si>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</si>
  <si>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</si>
  <si>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</si>
  <si>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</si>
  <si>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</si>
  <si>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</si>
  <si>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</si>
  <si>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</si>
  <si>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</si>
  <si>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</si>
  <si>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</si>
  <si>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</si>
  <si>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</si>
  <si>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</si>
  <si>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</si>
  <si>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</si>
  <si>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</si>
  <si>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</si>
  <si>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 Export Version 21.0.docx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</si>
  <si>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</si>
  <si>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</si>
  <si>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</si>
  <si>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</si>
  <si>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</si>
  <si>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</si>
  <si>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</si>
  <si>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</si>
  <si>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</si>
  <si>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</si>
  <si>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</si>
  <si>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</si>
  <si>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</si>
  <si>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</si>
  <si>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</si>
  <si>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</si>
  <si>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</si>
  <si>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</si>
  <si>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</si>
  <si>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</si>
  <si>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</si>
  <si>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</si>
  <si>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</si>
  <si>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</si>
  <si>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</si>
  <si>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</si>
  <si>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</si>
  <si>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</si>
  <si>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</si>
  <si>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</si>
  <si>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</si>
  <si>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</si>
  <si>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</si>
  <si>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</si>
  <si>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</si>
  <si>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</si>
  <si>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</si>
  <si>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</si>
  <si>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</si>
  <si>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</si>
  <si>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</si>
  <si>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</si>
  <si>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</si>
  <si>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</si>
  <si>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</si>
  <si>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</si>
  <si>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</si>
  <si>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</si>
  <si>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</si>
  <si>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</si>
  <si>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</si>
  <si>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</si>
  <si>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</si>
  <si>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</si>
  <si>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</si>
  <si>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</si>
  <si>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</si>
  <si>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</si>
  <si>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</si>
  <si>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</si>
  <si>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</si>
  <si>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</si>
  <si>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</si>
  <si>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</si>
  <si>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</si>
  <si>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</si>
  <si>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</si>
  <si>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</si>
  <si>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</si>
  <si>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</si>
  <si>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</si>
  <si>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</si>
  <si>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</si>
  <si>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</si>
  <si>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</si>
  <si>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</si>
  <si>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</si>
  <si>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</si>
  <si>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</si>
  <si>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</si>
  <si>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</si>
  <si>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</si>
  <si>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</si>
  <si>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</si>
  <si>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</si>
  <si>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</si>
  <si>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</si>
  <si>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</si>
  <si>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</si>
  <si>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</si>
  <si>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</si>
  <si>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</si>
  <si>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</si>
  <si>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</si>
  <si>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</si>
  <si>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</si>
  <si>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</si>
  <si>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</si>
  <si>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</si>
  <si>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</si>
  <si>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</si>
  <si>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</si>
  <si>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</si>
  <si>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</si>
  <si>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</si>
  <si>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</si>
  <si>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</si>
  <si>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</si>
  <si>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</si>
  <si>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</si>
  <si>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</si>
  <si>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</si>
  <si>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ORDERS_EXPORT_V21_TXT</t>
  </si>
  <si>
    <t>Informatica</t>
  </si>
  <si>
    <t>add new fields. Already created in chg212943</t>
  </si>
  <si>
    <t>Vardecimal compression should be applied for OLAP</t>
  </si>
  <si>
    <t>When populating WC_FF_ENTITY_DETAILS, populate COUNTRY with value from WC_FF_COUNTRY_LANG_ID</t>
  </si>
  <si>
    <t>Columns</t>
  </si>
  <si>
    <t>Column Name</t>
  </si>
  <si>
    <t>Data Type</t>
  </si>
  <si>
    <t>Default column value</t>
  </si>
  <si>
    <t>X_ORDER_UOM_TEXT</t>
  </si>
  <si>
    <t>NVARCHAR(30)</t>
  </si>
  <si>
    <t>X_ORDER_QUANTITY_NUM</t>
  </si>
  <si>
    <t>NUMERIC(22,7)</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</si>
  <si>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</si>
  <si>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</si>
  <si>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</si>
  <si>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</si>
  <si>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</si>
  <si>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</si>
  <si>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</si>
  <si>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</si>
  <si>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</si>
  <si>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</si>
  <si>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</si>
  <si>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</si>
  <si>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</si>
  <si>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</si>
  <si>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SO_MarketBusinessRules.txt</t>
  </si>
  <si>
    <t xml:space="preserve">Rename the parameters (7 files)
[s_FDE_INT_ORDER_EXPORT_V11_ES] to [s_FDE_INT_ORDER_EXPORT_V21_ES]
Add additional conditon to include service order of type 'Stock Receive' </t>
  </si>
  <si>
    <t xml:space="preserve"> done as per CHG212943</t>
  </si>
  <si>
    <t>Configuration File (*.ini)</t>
  </si>
  <si>
    <t>Bat Files</t>
  </si>
  <si>
    <t xml:space="preserve">Mapping </t>
  </si>
  <si>
    <t>Folder Name</t>
  </si>
  <si>
    <t>Mapping Name</t>
  </si>
  <si>
    <t>EIM_INTERFACE</t>
  </si>
  <si>
    <t>FDE_INT_ORDER_EXPORT_V21</t>
  </si>
  <si>
    <t>Add new field Order UOM , Order Quantity </t>
  </si>
  <si>
    <t>Mapping Details</t>
  </si>
  <si>
    <t>Source Table</t>
  </si>
  <si>
    <t>Instance Name</t>
  </si>
  <si>
    <t>Source Column</t>
  </si>
  <si>
    <t>Datatype</t>
  </si>
  <si>
    <t>Target Table</t>
  </si>
  <si>
    <t>Target Column</t>
  </si>
  <si>
    <t>Functional
Summary</t>
  </si>
  <si>
    <t>Transformations</t>
  </si>
  <si>
    <t>Import source &amp; target table</t>
  </si>
  <si>
    <t xml:space="preserve">Add new fields in SQ:
</t>
  </si>
  <si>
    <t>S_ORDER_ITEM</t>
  </si>
  <si>
    <t>Transfer fields</t>
  </si>
  <si>
    <t>Session , worklet &amp; workflow</t>
  </si>
  <si>
    <t>Workflow</t>
  </si>
  <si>
    <t>Worflow Name</t>
  </si>
  <si>
    <t>EIM_INTERACE</t>
  </si>
  <si>
    <t>RUN_OUTBOUND</t>
  </si>
  <si>
    <t>Impacted</t>
  </si>
  <si>
    <t>Worklet</t>
  </si>
  <si>
    <t>Worklet Name</t>
  </si>
  <si>
    <t>wrk_Sales_Orders_Outbound</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</si>
  <si>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</si>
  <si>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</si>
  <si>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</si>
  <si>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</si>
  <si>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</si>
  <si>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</si>
  <si>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</si>
  <si>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</si>
  <si>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</si>
  <si>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</si>
  <si>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</si>
  <si>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</si>
  <si>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</si>
  <si>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</si>
  <si>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</si>
  <si>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</si>
  <si>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</si>
  <si>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</si>
  <si>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</si>
  <si>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</si>
  <si>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</si>
  <si>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</si>
  <si>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</si>
  <si>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RUN_OUTBOUND_SO</t>
  </si>
  <si>
    <t>Pre_Insert_ES</t>
  </si>
  <si>
    <t>DummyMap</t>
  </si>
  <si>
    <t>INSERT INTO WC_ETL_FILES_G SELECT ETL_PROC_WID,'ESSO2101.txt',0,0,GETDATE(),GETDATE(),NULL FROM W_PARAM_G</t>
  </si>
  <si>
    <t>Edit session and change file version from 11 to 21</t>
  </si>
  <si>
    <t>s_FDE_INT_ORDER_EXPORT_V11_ES</t>
  </si>
  <si>
    <t>FDE_INT_ORDER_EXPORT_V11</t>
  </si>
  <si>
    <t>N</t>
  </si>
  <si>
    <t>Y</t>
  </si>
  <si>
    <t xml:space="preserve">unlink,disable and decomission session </t>
  </si>
  <si>
    <t>s_FDE_INT_ORDER_EXPORT_V21_ES</t>
  </si>
  <si>
    <t xml:space="preserve">N </t>
  </si>
  <si>
    <t>Restart task</t>
  </si>
  <si>
    <t>DELETE FROM EIM_ORDER WHERE IF_ROW_BATCH_NUM BETWEEN 1000 AND 1999;
DELETE FROM EIM_ORDER_ITEM WHERE IF_ROW_BATCH_NUM BETWEEN 1000 AND 1999</t>
  </si>
  <si>
    <t>ESSO2101.txt</t>
  </si>
  <si>
    <t xml:space="preserve">Create new session + set output and reject filename, EIM batch cleanup </t>
  </si>
  <si>
    <t>rename_flatfile_ES</t>
  </si>
  <si>
    <t>$PMSourceFileDir\Scripts\renamefile.bat "$$STAGINGPATH\\ESSO2101.txt" "$$INTERFACESPATH\\Spain\\OUNP" "ES" "SO" "21" "01" "10"</t>
  </si>
  <si>
    <t xml:space="preserve">Change pre session command </t>
  </si>
  <si>
    <t>Post_Update_ES</t>
  </si>
  <si>
    <t>UPDATE WC_ETL_FILES_G SET LOAD_END_TIME=GETDATE() WHERE LOAD_END_TIME IS NULL AND FILENAME LIKE 'ESSO21%'</t>
  </si>
  <si>
    <t xml:space="preserve">Change post sql statement </t>
  </si>
  <si>
    <t>Done as per CHG212943</t>
  </si>
  <si>
    <t>Procedure Name</t>
  </si>
  <si>
    <t>Data Update Required</t>
  </si>
  <si>
    <t>Environment (OLTP or OLAP)</t>
  </si>
  <si>
    <t>Period (If any)</t>
  </si>
  <si>
    <t>Data Update type</t>
  </si>
  <si>
    <t>Data Update Priority</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</si>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</sst>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67">
    <font>
      <sz val="10"/>
      <name val="Arial"/>
    </font>
    <font>
      <sz val="11"/>
      <color theme="1"/>
      <name val="Calibri"/>
      <family val="2"/>
      <scheme val="minor"/>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FF0000"/>
      <name val="Arial"/>
      <family val="2"/>
    </font>
    <font>
      <sz val="11"/>
      <color rgb="FF9C6500"/>
      <name val="Calibri"/>
      <family val="2"/>
      <scheme val="minor"/>
    </font>
    <font>
      <u/>
      <sz val="11"/>
      <color theme="10"/>
      <name val="Calibri"/>
      <family val="2"/>
      <scheme val="minor"/>
    </font>
    <font>
      <sz val="10"/>
      <color rgb="FF0070C0"/>
      <name val="Calibri"/>
      <family val="2"/>
      <scheme val="minor"/>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2">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00">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20" borderId="1" applyNumberFormat="0" applyAlignment="0" applyProtection="0"/>
    <xf numFmtId="0" fontId="17" fillId="20" borderId="2" applyNumberFormat="0" applyAlignment="0" applyProtection="0"/>
    <xf numFmtId="164" fontId="2" fillId="0" borderId="0" applyFont="0" applyFill="0" applyBorder="0" applyAlignment="0" applyProtection="0"/>
    <xf numFmtId="0" fontId="18" fillId="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21" fillId="4" borderId="0" applyNumberFormat="0" applyBorder="0" applyAlignment="0" applyProtection="0"/>
    <xf numFmtId="0" fontId="4" fillId="0" borderId="0" applyNumberFormat="0" applyFill="0" applyBorder="0" applyAlignment="0" applyProtection="0">
      <alignment vertical="top"/>
      <protection locked="0"/>
    </xf>
    <xf numFmtId="0" fontId="22" fillId="21" borderId="0" applyNumberFormat="0" applyBorder="0" applyAlignment="0" applyProtection="0"/>
    <xf numFmtId="0" fontId="2" fillId="0" borderId="0" applyAlignment="0"/>
    <xf numFmtId="0" fontId="13" fillId="22" borderId="4" applyNumberFormat="0" applyFont="0" applyAlignment="0" applyProtection="0"/>
    <xf numFmtId="0" fontId="23" fillId="3" borderId="0" applyNumberFormat="0" applyBorder="0" applyAlignment="0" applyProtection="0"/>
    <xf numFmtId="0" fontId="13" fillId="0" borderId="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0" borderId="8" applyNumberFormat="0" applyFill="0" applyAlignment="0" applyProtection="0"/>
    <xf numFmtId="0" fontId="29" fillId="0" borderId="0" applyNumberFormat="0" applyFill="0" applyBorder="0" applyAlignment="0" applyProtection="0"/>
    <xf numFmtId="0" fontId="30" fillId="23" borderId="9" applyNumberFormat="0" applyAlignment="0" applyProtection="0"/>
    <xf numFmtId="0" fontId="48" fillId="0" borderId="0" applyNumberFormat="0" applyFill="0" applyBorder="0" applyAlignment="0" applyProtection="0"/>
    <xf numFmtId="0" fontId="49" fillId="0" borderId="33" applyNumberFormat="0" applyFill="0" applyAlignment="0" applyProtection="0"/>
    <xf numFmtId="0" fontId="50" fillId="0" borderId="34" applyNumberFormat="0" applyFill="0" applyAlignment="0" applyProtection="0"/>
    <xf numFmtId="0" fontId="51" fillId="0" borderId="35" applyNumberFormat="0" applyFill="0" applyAlignment="0" applyProtection="0"/>
    <xf numFmtId="0" fontId="51" fillId="0" borderId="0" applyNumberFormat="0" applyFill="0" applyBorder="0" applyAlignment="0" applyProtection="0"/>
    <xf numFmtId="0" fontId="52" fillId="35" borderId="0" applyNumberFormat="0" applyBorder="0" applyAlignment="0" applyProtection="0"/>
    <xf numFmtId="0" fontId="53" fillId="36" borderId="0" applyNumberFormat="0" applyBorder="0" applyAlignment="0" applyProtection="0"/>
    <xf numFmtId="0" fontId="54" fillId="37" borderId="36" applyNumberFormat="0" applyAlignment="0" applyProtection="0"/>
    <xf numFmtId="0" fontId="55" fillId="38" borderId="37" applyNumberFormat="0" applyAlignment="0" applyProtection="0"/>
    <xf numFmtId="0" fontId="56" fillId="38" borderId="36" applyNumberFormat="0" applyAlignment="0" applyProtection="0"/>
    <xf numFmtId="0" fontId="57" fillId="0" borderId="38" applyNumberFormat="0" applyFill="0" applyAlignment="0" applyProtection="0"/>
    <xf numFmtId="0" fontId="58" fillId="39" borderId="39" applyNumberFormat="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61" fillId="0" borderId="41" applyNumberFormat="0" applyFill="0" applyAlignment="0" applyProtection="0"/>
    <xf numFmtId="0" fontId="62"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2"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2"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2"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62"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62"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2" fillId="0" borderId="0"/>
    <xf numFmtId="0" fontId="2" fillId="0" borderId="0" applyAlignment="0"/>
    <xf numFmtId="0" fontId="2" fillId="0" borderId="0"/>
    <xf numFmtId="0" fontId="2" fillId="22" borderId="4" applyNumberFormat="0" applyFont="0" applyAlignment="0" applyProtection="0"/>
    <xf numFmtId="0" fontId="2" fillId="0" borderId="0"/>
    <xf numFmtId="0" fontId="2" fillId="0" borderId="0" applyAlignment="0"/>
    <xf numFmtId="0" fontId="22" fillId="21" borderId="0" applyNumberFormat="0" applyBorder="0" applyAlignment="0" applyProtection="0"/>
    <xf numFmtId="0" fontId="2" fillId="0" borderId="0" applyAlignment="0"/>
    <xf numFmtId="0" fontId="2" fillId="0" borderId="0"/>
    <xf numFmtId="0" fontId="1" fillId="0" borderId="0"/>
    <xf numFmtId="0" fontId="64" fillId="65" borderId="0" applyNumberFormat="0" applyBorder="0" applyAlignment="0" applyProtection="0"/>
    <xf numFmtId="0" fontId="1" fillId="40" borderId="40" applyNumberFormat="0" applyFont="0" applyAlignment="0" applyProtection="0"/>
    <xf numFmtId="0" fontId="62" fillId="44" borderId="0" applyNumberFormat="0" applyBorder="0" applyAlignment="0" applyProtection="0"/>
    <xf numFmtId="0" fontId="62" fillId="48" borderId="0" applyNumberFormat="0" applyBorder="0" applyAlignment="0" applyProtection="0"/>
    <xf numFmtId="0" fontId="62" fillId="52" borderId="0" applyNumberFormat="0" applyBorder="0" applyAlignment="0" applyProtection="0"/>
    <xf numFmtId="0" fontId="62" fillId="56" borderId="0" applyNumberFormat="0" applyBorder="0" applyAlignment="0" applyProtection="0"/>
    <xf numFmtId="0" fontId="62" fillId="60" borderId="0" applyNumberFormat="0" applyBorder="0" applyAlignment="0" applyProtection="0"/>
    <xf numFmtId="0" fontId="62" fillId="64" borderId="0" applyNumberFormat="0" applyBorder="0" applyAlignment="0" applyProtection="0"/>
    <xf numFmtId="0" fontId="65" fillId="0" borderId="0" applyNumberFormat="0" applyFill="0" applyBorder="0" applyAlignment="0" applyProtection="0"/>
    <xf numFmtId="0" fontId="2" fillId="0" borderId="0" applyAlignment="0"/>
    <xf numFmtId="0" fontId="2" fillId="0" borderId="0" applyAlignment="0"/>
  </cellStyleXfs>
  <cellXfs count="158">
    <xf numFmtId="0" fontId="0" fillId="0" borderId="0" xfId="0"/>
    <xf numFmtId="164" fontId="5" fillId="0" borderId="0" xfId="27" applyFont="1"/>
    <xf numFmtId="164" fontId="2" fillId="0" borderId="0" xfId="27"/>
    <xf numFmtId="164" fontId="10" fillId="0" borderId="0" xfId="27" applyFont="1"/>
    <xf numFmtId="165" fontId="10" fillId="0" borderId="0" xfId="27" applyNumberFormat="1" applyFont="1" applyAlignment="1">
      <alignment horizontal="left"/>
    </xf>
    <xf numFmtId="164" fontId="10" fillId="0" borderId="0" xfId="27" applyFont="1" applyAlignment="1">
      <alignment horizontal="left" vertical="top"/>
    </xf>
    <xf numFmtId="164" fontId="32" fillId="0" borderId="0" xfId="27" applyFont="1"/>
    <xf numFmtId="0" fontId="8" fillId="0" borderId="0" xfId="34" applyFont="1" applyAlignment="1">
      <alignment vertical="top"/>
    </xf>
    <xf numFmtId="0" fontId="5" fillId="0" borderId="0" xfId="34" applyFont="1" applyAlignment="1">
      <alignment vertical="top"/>
    </xf>
    <xf numFmtId="0" fontId="11" fillId="0" borderId="0" xfId="34" applyFont="1" applyAlignment="1">
      <alignment vertical="top"/>
    </xf>
    <xf numFmtId="0" fontId="12" fillId="24" borderId="10" xfId="34" applyFont="1" applyFill="1" applyBorder="1" applyAlignment="1">
      <alignment horizontal="left" vertical="top"/>
    </xf>
    <xf numFmtId="0" fontId="5" fillId="0" borderId="10" xfId="34" applyFont="1" applyBorder="1" applyAlignment="1">
      <alignment horizontal="left" vertical="top"/>
    </xf>
    <xf numFmtId="16" fontId="5" fillId="25" borderId="10" xfId="34" applyNumberFormat="1" applyFont="1" applyFill="1" applyBorder="1" applyAlignment="1">
      <alignment horizontal="left" vertical="top" wrapText="1"/>
    </xf>
    <xf numFmtId="0" fontId="0" fillId="0" borderId="10" xfId="0" applyBorder="1"/>
    <xf numFmtId="0" fontId="34" fillId="26" borderId="10" xfId="0" applyFont="1" applyFill="1" applyBorder="1"/>
    <xf numFmtId="0" fontId="34" fillId="0" borderId="0" xfId="0" applyFont="1"/>
    <xf numFmtId="0" fontId="34" fillId="26" borderId="11" xfId="0" applyFont="1" applyFill="1" applyBorder="1"/>
    <xf numFmtId="0" fontId="34" fillId="25" borderId="12" xfId="0" applyFont="1" applyFill="1" applyBorder="1"/>
    <xf numFmtId="0" fontId="34" fillId="25" borderId="12" xfId="0" applyFont="1" applyFill="1" applyBorder="1" applyAlignment="1">
      <alignment horizontal="center"/>
    </xf>
    <xf numFmtId="0" fontId="0" fillId="0" borderId="10" xfId="0" applyBorder="1" applyAlignment="1">
      <alignment horizontal="center"/>
    </xf>
    <xf numFmtId="0" fontId="35" fillId="0" borderId="10" xfId="0" applyFont="1" applyBorder="1"/>
    <xf numFmtId="0" fontId="36" fillId="27" borderId="10" xfId="0" applyFont="1" applyFill="1" applyBorder="1"/>
    <xf numFmtId="0" fontId="0" fillId="0" borderId="10" xfId="0" applyBorder="1" applyAlignment="1">
      <alignment wrapText="1"/>
    </xf>
    <xf numFmtId="0" fontId="0" fillId="0" borderId="0" xfId="0" applyAlignment="1">
      <alignment wrapText="1"/>
    </xf>
    <xf numFmtId="0" fontId="34" fillId="25" borderId="15" xfId="0" applyFont="1" applyFill="1" applyBorder="1" applyAlignment="1">
      <alignment wrapText="1"/>
    </xf>
    <xf numFmtId="0" fontId="34" fillId="25" borderId="10" xfId="0" applyFont="1" applyFill="1" applyBorder="1" applyAlignment="1">
      <alignment wrapText="1"/>
    </xf>
    <xf numFmtId="0" fontId="34" fillId="25" borderId="14" xfId="0" applyFont="1" applyFill="1" applyBorder="1" applyAlignment="1">
      <alignment wrapText="1"/>
    </xf>
    <xf numFmtId="0" fontId="2" fillId="0" borderId="10" xfId="0" applyFont="1" applyBorder="1" applyAlignment="1">
      <alignment wrapText="1"/>
    </xf>
    <xf numFmtId="0" fontId="34" fillId="26" borderId="10" xfId="0" applyFont="1" applyFill="1" applyBorder="1" applyAlignment="1">
      <alignment wrapText="1"/>
    </xf>
    <xf numFmtId="0" fontId="34" fillId="0" borderId="0" xfId="0" applyFont="1" applyAlignment="1">
      <alignment wrapText="1"/>
    </xf>
    <xf numFmtId="0" fontId="36" fillId="27" borderId="10" xfId="0" applyFont="1" applyFill="1" applyBorder="1" applyAlignment="1">
      <alignment wrapText="1"/>
    </xf>
    <xf numFmtId="0" fontId="35" fillId="0" borderId="10" xfId="0" applyFont="1" applyBorder="1" applyAlignment="1">
      <alignment wrapText="1"/>
    </xf>
    <xf numFmtId="0" fontId="34"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4" fillId="25" borderId="15" xfId="0" applyFont="1" applyFill="1" applyBorder="1" applyAlignment="1">
      <alignment horizontal="left" wrapText="1"/>
    </xf>
    <xf numFmtId="0" fontId="0" fillId="30" borderId="0" xfId="0" applyFill="1"/>
    <xf numFmtId="0" fontId="2" fillId="30" borderId="0" xfId="0" applyFont="1" applyFill="1"/>
    <xf numFmtId="0" fontId="39" fillId="30" borderId="10" xfId="0" applyFont="1" applyFill="1" applyBorder="1"/>
    <xf numFmtId="0" fontId="0" fillId="30" borderId="10" xfId="0" applyFill="1" applyBorder="1"/>
    <xf numFmtId="0" fontId="2" fillId="0" borderId="10" xfId="0" applyFont="1" applyBorder="1" applyAlignment="1">
      <alignment horizontal="center"/>
    </xf>
    <xf numFmtId="0" fontId="2" fillId="0" borderId="10" xfId="0" applyFont="1" applyBorder="1"/>
    <xf numFmtId="0" fontId="36" fillId="26" borderId="10" xfId="0" applyFont="1" applyFill="1" applyBorder="1"/>
    <xf numFmtId="0" fontId="36" fillId="26" borderId="10" xfId="0" applyFont="1" applyFill="1" applyBorder="1" applyAlignment="1">
      <alignment wrapText="1"/>
    </xf>
    <xf numFmtId="0" fontId="36" fillId="26" borderId="11" xfId="0" applyFont="1" applyFill="1" applyBorder="1"/>
    <xf numFmtId="0" fontId="36" fillId="26" borderId="11" xfId="0" applyFont="1" applyFill="1" applyBorder="1" applyAlignment="1">
      <alignment wrapText="1"/>
    </xf>
    <xf numFmtId="0" fontId="35" fillId="0" borderId="0" xfId="0" applyFont="1"/>
    <xf numFmtId="0" fontId="36"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4" fillId="25" borderId="15" xfId="0" applyFont="1" applyFill="1" applyBorder="1" applyAlignment="1">
      <alignment horizontal="center"/>
    </xf>
    <xf numFmtId="0" fontId="2" fillId="0" borderId="0" xfId="0" applyFont="1"/>
    <xf numFmtId="0" fontId="0" fillId="32" borderId="0" xfId="0" applyFill="1"/>
    <xf numFmtId="0" fontId="37" fillId="32" borderId="0" xfId="0" applyFont="1" applyFill="1"/>
    <xf numFmtId="0" fontId="4"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2" fillId="32" borderId="10" xfId="0" applyFont="1" applyFill="1" applyBorder="1"/>
    <xf numFmtId="0" fontId="36" fillId="26" borderId="29" xfId="0" applyFont="1" applyFill="1" applyBorder="1"/>
    <xf numFmtId="0" fontId="36"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2" fillId="34" borderId="10" xfId="0" quotePrefix="1" applyNumberFormat="1" applyFont="1" applyFill="1" applyBorder="1" applyAlignment="1">
      <alignment horizontal="center"/>
    </xf>
    <xf numFmtId="0" fontId="2" fillId="34" borderId="10" xfId="0" applyFont="1" applyFill="1" applyBorder="1" applyAlignment="1">
      <alignment horizontal="center"/>
    </xf>
    <xf numFmtId="164" fontId="7" fillId="0" borderId="0" xfId="27" applyFont="1" applyAlignment="1">
      <alignment horizontal="center"/>
    </xf>
    <xf numFmtId="0" fontId="0" fillId="0" borderId="0" xfId="0" applyAlignment="1">
      <alignment horizontal="center"/>
    </xf>
    <xf numFmtId="14" fontId="2" fillId="34" borderId="10" xfId="0" applyNumberFormat="1" applyFont="1" applyFill="1" applyBorder="1" applyAlignment="1">
      <alignment horizontal="center"/>
    </xf>
    <xf numFmtId="0" fontId="31" fillId="0" borderId="0" xfId="0" applyFont="1" applyAlignment="1">
      <alignment horizontal="left"/>
    </xf>
    <xf numFmtId="0" fontId="46" fillId="30" borderId="0" xfId="0" applyFont="1" applyFill="1"/>
    <xf numFmtId="0" fontId="47" fillId="30" borderId="0" xfId="0" applyFont="1" applyFill="1"/>
    <xf numFmtId="164" fontId="31" fillId="0" borderId="0" xfId="27" applyFont="1" applyAlignment="1"/>
    <xf numFmtId="14" fontId="31" fillId="0" borderId="0" xfId="27" applyNumberFormat="1" applyFont="1"/>
    <xf numFmtId="164" fontId="7" fillId="0" borderId="0" xfId="27" applyFont="1" applyAlignment="1"/>
    <xf numFmtId="0" fontId="2" fillId="0" borderId="30" xfId="0" applyFont="1" applyBorder="1"/>
    <xf numFmtId="0" fontId="2" fillId="0" borderId="32" xfId="0" applyFont="1" applyBorder="1"/>
    <xf numFmtId="167" fontId="5" fillId="0" borderId="19" xfId="34" applyNumberFormat="1" applyFont="1" applyBorder="1" applyAlignment="1">
      <alignment horizontal="left" vertical="top"/>
    </xf>
    <xf numFmtId="0" fontId="2" fillId="0" borderId="0" xfId="34" applyAlignment="1">
      <alignment vertical="top"/>
    </xf>
    <xf numFmtId="0" fontId="5" fillId="0" borderId="0" xfId="34" applyFont="1" applyAlignment="1">
      <alignment horizontal="center" vertical="top"/>
    </xf>
    <xf numFmtId="0" fontId="2" fillId="0" borderId="0" xfId="87" applyAlignment="1">
      <alignment vertical="center" wrapText="1"/>
    </xf>
    <xf numFmtId="0" fontId="2" fillId="0" borderId="0" xfId="87" applyAlignment="1">
      <alignment vertical="center"/>
    </xf>
    <xf numFmtId="0" fontId="2" fillId="0" borderId="10" xfId="87" applyBorder="1"/>
    <xf numFmtId="0" fontId="2" fillId="0" borderId="10" xfId="79" applyBorder="1" applyAlignment="1">
      <alignment vertical="center"/>
    </xf>
    <xf numFmtId="0" fontId="2" fillId="0" borderId="10" xfId="79" applyBorder="1" applyAlignment="1">
      <alignment vertical="center" wrapText="1"/>
    </xf>
    <xf numFmtId="0" fontId="2" fillId="0" borderId="0" xfId="87"/>
    <xf numFmtId="0" fontId="34" fillId="26" borderId="10" xfId="87" applyFont="1" applyFill="1" applyBorder="1"/>
    <xf numFmtId="0" fontId="2" fillId="0" borderId="0" xfId="87" applyAlignment="1">
      <alignment wrapText="1"/>
    </xf>
    <xf numFmtId="0" fontId="34" fillId="26" borderId="10" xfId="87" applyFont="1" applyFill="1" applyBorder="1" applyAlignment="1">
      <alignment wrapText="1"/>
    </xf>
    <xf numFmtId="0" fontId="2" fillId="0" borderId="10" xfId="87" applyBorder="1" applyAlignment="1">
      <alignment wrapText="1"/>
    </xf>
    <xf numFmtId="0" fontId="2" fillId="0" borderId="10" xfId="87" applyBorder="1" applyAlignment="1">
      <alignment vertical="center"/>
    </xf>
    <xf numFmtId="0" fontId="2" fillId="0" borderId="10" xfId="87" applyBorder="1" applyAlignment="1">
      <alignment vertical="center" wrapText="1"/>
    </xf>
    <xf numFmtId="0" fontId="2" fillId="0" borderId="10" xfId="87" applyBorder="1" applyAlignment="1">
      <alignment vertical="center" wrapText="1" shrinkToFit="1"/>
    </xf>
    <xf numFmtId="0" fontId="63" fillId="0" borderId="0" xfId="87" applyFont="1" applyAlignment="1">
      <alignment vertical="center"/>
    </xf>
    <xf numFmtId="0" fontId="66" fillId="0" borderId="10" xfId="87" applyFont="1" applyBorder="1"/>
    <xf numFmtId="0" fontId="2" fillId="0" borderId="0" xfId="87" applyAlignment="1">
      <alignment vertical="center" wrapText="1" shrinkToFit="1"/>
    </xf>
    <xf numFmtId="0" fontId="2" fillId="0" borderId="0" xfId="34" applyAlignment="1">
      <alignment horizontal="left"/>
    </xf>
    <xf numFmtId="164" fontId="6" fillId="0" borderId="16" xfId="27" applyFont="1" applyBorder="1" applyAlignment="1">
      <alignment horizontal="center"/>
    </xf>
    <xf numFmtId="164" fontId="7" fillId="0" borderId="0" xfId="27" applyFont="1" applyAlignment="1">
      <alignment horizontal="center"/>
    </xf>
    <xf numFmtId="164" fontId="9" fillId="0" borderId="0" xfId="27" applyFont="1" applyAlignment="1">
      <alignment horizontal="center"/>
    </xf>
    <xf numFmtId="164" fontId="8" fillId="0" borderId="0" xfId="27" applyFont="1" applyAlignment="1">
      <alignment horizontal="center"/>
    </xf>
    <xf numFmtId="0" fontId="0" fillId="0" borderId="0" xfId="0" applyAlignment="1">
      <alignment horizontal="center"/>
    </xf>
    <xf numFmtId="164" fontId="31" fillId="0" borderId="0" xfId="27" applyFont="1" applyAlignment="1"/>
    <xf numFmtId="164" fontId="31" fillId="0" borderId="0" xfId="27" applyFont="1" applyAlignment="1">
      <alignment horizontal="center"/>
    </xf>
    <xf numFmtId="164" fontId="31" fillId="0" borderId="0" xfId="27" applyFont="1" applyAlignment="1">
      <alignment horizontal="left"/>
    </xf>
    <xf numFmtId="0" fontId="33" fillId="27" borderId="10" xfId="34" applyFont="1" applyFill="1" applyBorder="1" applyAlignment="1">
      <alignment horizontal="center" vertical="top"/>
    </xf>
    <xf numFmtId="0" fontId="5" fillId="0" borderId="10" xfId="34" applyFont="1" applyBorder="1" applyAlignment="1">
      <alignment horizontal="left" vertical="top"/>
    </xf>
    <xf numFmtId="0" fontId="5" fillId="0" borderId="10" xfId="34" applyFont="1" applyBorder="1" applyAlignment="1">
      <alignment horizontal="center" vertical="top"/>
    </xf>
    <xf numFmtId="0" fontId="5" fillId="0" borderId="17" xfId="34" applyFont="1" applyBorder="1" applyAlignment="1">
      <alignment horizontal="left" vertical="top"/>
    </xf>
    <xf numFmtId="0" fontId="5" fillId="0" borderId="18" xfId="34" applyFont="1" applyBorder="1" applyAlignment="1">
      <alignment horizontal="left" vertical="top"/>
    </xf>
    <xf numFmtId="0" fontId="5" fillId="0" borderId="19" xfId="34" applyFont="1" applyBorder="1" applyAlignment="1">
      <alignment horizontal="left" vertical="top"/>
    </xf>
    <xf numFmtId="0" fontId="12" fillId="24" borderId="17" xfId="34" applyFont="1" applyFill="1" applyBorder="1" applyAlignment="1">
      <alignment horizontal="left" vertical="top" wrapText="1"/>
    </xf>
    <xf numFmtId="0" fontId="2" fillId="0" borderId="18" xfId="34" applyBorder="1" applyAlignment="1">
      <alignment vertical="top"/>
    </xf>
    <xf numFmtId="0" fontId="2" fillId="0" borderId="19" xfId="34" applyBorder="1" applyAlignment="1">
      <alignment vertical="top"/>
    </xf>
    <xf numFmtId="0" fontId="12" fillId="24" borderId="17" xfId="34" applyFont="1" applyFill="1" applyBorder="1" applyAlignment="1">
      <alignment horizontal="left" vertical="top"/>
    </xf>
    <xf numFmtId="0" fontId="12" fillId="24" borderId="18" xfId="34" applyFont="1" applyFill="1" applyBorder="1" applyAlignment="1">
      <alignment horizontal="left" vertical="top" wrapText="1"/>
    </xf>
    <xf numFmtId="0" fontId="12" fillId="24" borderId="19" xfId="34" applyFont="1" applyFill="1" applyBorder="1" applyAlignment="1">
      <alignment horizontal="left" vertical="top" wrapText="1"/>
    </xf>
    <xf numFmtId="0" fontId="12" fillId="24" borderId="10" xfId="34" applyFont="1" applyFill="1" applyBorder="1" applyAlignment="1">
      <alignment horizontal="left" vertical="top"/>
    </xf>
    <xf numFmtId="167" fontId="5" fillId="0" borderId="17" xfId="34" applyNumberFormat="1" applyFont="1" applyBorder="1" applyAlignment="1">
      <alignment horizontal="left" vertical="top"/>
    </xf>
    <xf numFmtId="167" fontId="5" fillId="0" borderId="18" xfId="34" applyNumberFormat="1" applyFont="1" applyBorder="1" applyAlignment="1">
      <alignment horizontal="left" vertical="top"/>
    </xf>
    <xf numFmtId="167" fontId="5" fillId="0" borderId="19" xfId="34" applyNumberFormat="1" applyFont="1" applyBorder="1" applyAlignment="1">
      <alignment horizontal="left" vertical="top"/>
    </xf>
    <xf numFmtId="166" fontId="5" fillId="0" borderId="17" xfId="34" applyNumberFormat="1" applyFont="1" applyBorder="1" applyAlignment="1">
      <alignment horizontal="left" vertical="top"/>
    </xf>
    <xf numFmtId="166" fontId="5" fillId="0" borderId="19" xfId="34" applyNumberFormat="1" applyFont="1" applyBorder="1" applyAlignment="1">
      <alignment horizontal="left" vertical="top"/>
    </xf>
    <xf numFmtId="0" fontId="33" fillId="27" borderId="10" xfId="34" applyFont="1" applyFill="1" applyBorder="1" applyAlignment="1">
      <alignment horizontal="left" vertical="top"/>
    </xf>
    <xf numFmtId="0" fontId="2" fillId="28" borderId="17" xfId="0" applyFont="1" applyFill="1" applyBorder="1" applyAlignment="1">
      <alignment horizontal="left" vertical="top" wrapText="1"/>
    </xf>
    <xf numFmtId="0" fontId="2" fillId="28" borderId="18" xfId="0" applyFont="1" applyFill="1" applyBorder="1" applyAlignment="1">
      <alignment horizontal="left" vertical="top" wrapText="1"/>
    </xf>
    <xf numFmtId="0" fontId="2" fillId="28" borderId="19" xfId="0" applyFont="1" applyFill="1" applyBorder="1" applyAlignment="1">
      <alignment horizontal="left" vertical="top" wrapText="1"/>
    </xf>
    <xf numFmtId="0" fontId="2" fillId="28" borderId="10" xfId="0" applyFont="1" applyFill="1" applyBorder="1" applyAlignment="1">
      <alignment horizontal="left" vertical="top" wrapText="1"/>
    </xf>
    <xf numFmtId="0" fontId="33" fillId="28" borderId="17" xfId="34" applyFont="1" applyFill="1" applyBorder="1" applyAlignment="1">
      <alignment horizontal="left" vertical="top"/>
    </xf>
    <xf numFmtId="0" fontId="33"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5" fillId="0" borderId="17" xfId="34" applyFont="1" applyBorder="1" applyAlignment="1">
      <alignment horizontal="center" vertical="top"/>
    </xf>
    <xf numFmtId="0" fontId="5" fillId="0" borderId="19" xfId="34" applyFont="1" applyBorder="1" applyAlignment="1">
      <alignment horizontal="center" vertical="top"/>
    </xf>
    <xf numFmtId="0" fontId="38" fillId="0" borderId="0" xfId="0" applyFont="1" applyAlignment="1">
      <alignment wrapText="1"/>
    </xf>
    <xf numFmtId="0" fontId="34" fillId="25" borderId="20" xfId="0" applyFont="1" applyFill="1" applyBorder="1" applyAlignment="1">
      <alignment horizontal="left"/>
    </xf>
    <xf numFmtId="0" fontId="34" fillId="25" borderId="21" xfId="0" applyFont="1" applyFill="1" applyBorder="1" applyAlignment="1">
      <alignment horizontal="left"/>
    </xf>
    <xf numFmtId="0" fontId="34" fillId="25" borderId="22" xfId="0" applyFont="1" applyFill="1" applyBorder="1" applyAlignment="1">
      <alignment horizontal="left"/>
    </xf>
    <xf numFmtId="0" fontId="0" fillId="0" borderId="22" xfId="0" applyBorder="1" applyAlignment="1">
      <alignment horizontal="left"/>
    </xf>
    <xf numFmtId="0" fontId="2" fillId="28" borderId="17" xfId="87" applyFill="1" applyBorder="1" applyAlignment="1">
      <alignment horizontal="center"/>
    </xf>
    <xf numFmtId="0" fontId="2" fillId="28" borderId="19" xfId="87" applyFill="1" applyBorder="1" applyAlignment="1">
      <alignment horizontal="center"/>
    </xf>
    <xf numFmtId="0" fontId="34" fillId="31" borderId="17" xfId="0" applyFont="1" applyFill="1" applyBorder="1" applyAlignment="1">
      <alignment horizontal="center"/>
    </xf>
    <xf numFmtId="0" fontId="34" fillId="31" borderId="18" xfId="0" applyFont="1" applyFill="1" applyBorder="1" applyAlignment="1">
      <alignment horizontal="center"/>
    </xf>
    <xf numFmtId="0" fontId="34" fillId="31" borderId="19" xfId="0" applyFont="1" applyFill="1" applyBorder="1" applyAlignment="1">
      <alignment horizontal="center"/>
    </xf>
    <xf numFmtId="0" fontId="34" fillId="31" borderId="10" xfId="0" applyFont="1" applyFill="1" applyBorder="1" applyAlignment="1">
      <alignment horizontal="center"/>
    </xf>
    <xf numFmtId="0" fontId="42" fillId="30" borderId="0" xfId="0" applyFont="1" applyFill="1" applyAlignment="1">
      <alignment horizontal="left" vertical="center" wrapText="1"/>
    </xf>
    <xf numFmtId="0" fontId="34" fillId="25" borderId="13" xfId="0" applyFont="1" applyFill="1" applyBorder="1" applyAlignment="1">
      <alignment horizontal="left"/>
    </xf>
    <xf numFmtId="0" fontId="34" fillId="25" borderId="14" xfId="0" applyFont="1" applyFill="1" applyBorder="1" applyAlignment="1">
      <alignment horizontal="left"/>
    </xf>
    <xf numFmtId="0" fontId="0" fillId="0" borderId="0" xfId="0" applyAlignment="1"/>
  </cellXfs>
  <cellStyles count="100">
    <cellStyle name="20% - Accent1" xfId="62" builtinId="30" customBuiltin="1"/>
    <cellStyle name="20% - Accent2" xfId="65" builtinId="34" customBuiltin="1"/>
    <cellStyle name="20% - Accent3" xfId="68" builtinId="38" customBuiltin="1"/>
    <cellStyle name="20% - Accent4" xfId="71" builtinId="42" customBuiltin="1"/>
    <cellStyle name="20% - Accent5" xfId="74" builtinId="46" customBuiltin="1"/>
    <cellStyle name="20% - Accent6" xfId="77" builtinId="50" customBuiltin="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3" builtinId="31" customBuiltin="1"/>
    <cellStyle name="40% - Accent2" xfId="66" builtinId="35" customBuiltin="1"/>
    <cellStyle name="40% - Accent3" xfId="69" builtinId="39" customBuiltin="1"/>
    <cellStyle name="40% - Accent4" xfId="72" builtinId="43" customBuiltin="1"/>
    <cellStyle name="40% - Accent5" xfId="75" builtinId="47" customBuiltin="1"/>
    <cellStyle name="40% - Accent6" xfId="78" builtinId="51" customBuiltin="1"/>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2" xfId="91" xr:uid="{765405DB-E380-4A8C-9D89-2E48F62322F2}"/>
    <cellStyle name="60% - Accent2 2" xfId="92" xr:uid="{8AB35901-F117-4130-9320-7F97FE2CA0EF}"/>
    <cellStyle name="60% - Accent3 2" xfId="93" xr:uid="{A26FA7D5-CE0B-4303-9DC3-74FA89F1EDB5}"/>
    <cellStyle name="60% - Accent4 2" xfId="94" xr:uid="{FD3EE5CF-CCD7-45B7-BCB7-B37EB5B97D3C}"/>
    <cellStyle name="60% - Accent5 2" xfId="95" xr:uid="{DFC9E6EA-DFA2-48A2-9A66-BCEDEED5FAF6}"/>
    <cellStyle name="60% - Accent6 2" xfId="96" xr:uid="{256ADB3A-4ACA-4728-A586-4AF174C8F6F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1" builtinId="29" customBuiltin="1"/>
    <cellStyle name="Accent2" xfId="64" builtinId="33" customBuiltin="1"/>
    <cellStyle name="Accent3" xfId="67" builtinId="37" customBuiltin="1"/>
    <cellStyle name="Accent4" xfId="70" builtinId="41" customBuiltin="1"/>
    <cellStyle name="Accent5" xfId="73" builtinId="45" customBuiltin="1"/>
    <cellStyle name="Accent6" xfId="76"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2" builtinId="27" customBuiltin="1"/>
    <cellStyle name="Berechnung" xfId="26" xr:uid="{00000000-0005-0000-0000-000019000000}"/>
    <cellStyle name="Calculation" xfId="55" builtinId="22" customBuiltin="1"/>
    <cellStyle name="Check Cell" xfId="57"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59" builtinId="53" customBuiltin="1"/>
    <cellStyle name="Good" xfId="51" builtinId="26" customBuiltin="1"/>
    <cellStyle name="Gut" xfId="31" xr:uid="{00000000-0005-0000-0000-00001E000000}"/>
    <cellStyle name="Heading 1" xfId="47" builtinId="16" customBuiltin="1"/>
    <cellStyle name="Heading 2" xfId="48" builtinId="17" customBuiltin="1"/>
    <cellStyle name="Heading 3" xfId="49" builtinId="18" customBuiltin="1"/>
    <cellStyle name="Heading 4" xfId="50" builtinId="19" customBuiltin="1"/>
    <cellStyle name="Hyperlink" xfId="32" builtinId="8"/>
    <cellStyle name="Hyperlink 2" xfId="97" xr:uid="{E9783A64-0546-45CF-A067-C647DFA977AE}"/>
    <cellStyle name="Input" xfId="53" builtinId="20" customBuiltin="1"/>
    <cellStyle name="Linked Cell" xfId="56" builtinId="24" customBuiltin="1"/>
    <cellStyle name="Neutral" xfId="33" builtinId="28" customBuiltin="1"/>
    <cellStyle name="Neutral 2" xfId="89" xr:uid="{F54CDFCC-3F86-443D-93DE-BEAAFC31891B}"/>
    <cellStyle name="Neutral 2 2" xfId="85" xr:uid="{85B5AEA1-0607-49A7-8EFD-1333B06C344E}"/>
    <cellStyle name="Normal" xfId="0" builtinId="0"/>
    <cellStyle name="Normal 2" xfId="87" xr:uid="{A3425382-07B6-4914-A27B-B439DC84C5FF}"/>
    <cellStyle name="Normal 2 10" xfId="99" xr:uid="{9B1E79D5-6D35-4B77-B90E-1CBD1285DAF2}"/>
    <cellStyle name="Normal 2 2" xfId="86" xr:uid="{B50396A3-FE20-45F6-B0EA-4B02ED6BBB24}"/>
    <cellStyle name="Normal 2 3" xfId="80" xr:uid="{9FA3BD8D-AC56-4BC6-9863-99E90486B861}"/>
    <cellStyle name="Normal 3" xfId="88" xr:uid="{DA8A6343-56CF-4328-9816-FC5B1D5B8B5E}"/>
    <cellStyle name="Normal 3 2" xfId="84" xr:uid="{5389E3F9-28CA-41B8-AE7E-571F911CA282}"/>
    <cellStyle name="Normal 4" xfId="79" xr:uid="{69453953-D33F-47CC-B907-FFC4FF278CA8}"/>
    <cellStyle name="Normal 5" xfId="98" xr:uid="{86FDC309-5D82-4360-8BF4-B574CFC383EA}"/>
    <cellStyle name="Normal 6" xfId="81" xr:uid="{79BBC477-5AE1-475D-A35C-56E4DF1A27C7}"/>
    <cellStyle name="Normal_Sales DetailedTD_CR_XXXX_Template" xfId="34" xr:uid="{00000000-0005-0000-0000-000022000000}"/>
    <cellStyle name="Note 2" xfId="90" xr:uid="{90F57F22-9CFD-49D6-BCEE-10EF3DB5C771}"/>
    <cellStyle name="Notiz" xfId="35" xr:uid="{00000000-0005-0000-0000-000023000000}"/>
    <cellStyle name="Notiz 2" xfId="82" xr:uid="{B6E53849-FE03-4EEC-AD82-5D8524D1BBCC}"/>
    <cellStyle name="Output" xfId="54" builtinId="21" customBuiltin="1"/>
    <cellStyle name="Schlecht" xfId="36" xr:uid="{00000000-0005-0000-0000-000024000000}"/>
    <cellStyle name="Standard 2" xfId="37" xr:uid="{00000000-0005-0000-0000-000025000000}"/>
    <cellStyle name="Standard 2 2" xfId="83" xr:uid="{A61AF517-98A1-4B04-8911-E276B0BC9C41}"/>
    <cellStyle name="Title" xfId="46" builtinId="15" customBuiltin="1"/>
    <cellStyle name="Total" xfId="60" builtinId="25" customBuiltin="1"/>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Warning Text" xfId="58" builtinId="11" customBuiltin="1"/>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J26" sqref="J26:K2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05" t="s">
        <v>0</v>
      </c>
      <c r="B13" s="105"/>
      <c r="C13" s="105"/>
      <c r="D13" s="105"/>
      <c r="E13" s="105"/>
      <c r="F13" s="105"/>
      <c r="G13" s="105"/>
      <c r="H13" s="105"/>
      <c r="I13" s="105"/>
      <c r="J13" s="105"/>
      <c r="K13" s="105"/>
      <c r="L13" s="105"/>
      <c r="M13" s="105"/>
      <c r="N13" s="105"/>
      <c r="O13" s="105"/>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06" t="s">
        <v>1</v>
      </c>
      <c r="B20" s="106"/>
      <c r="C20" s="106"/>
      <c r="D20" s="106"/>
      <c r="E20" s="106"/>
      <c r="F20" s="106"/>
      <c r="G20" s="106"/>
      <c r="H20" s="106"/>
      <c r="I20" s="106"/>
      <c r="J20" s="106"/>
      <c r="K20" s="106"/>
      <c r="L20" s="106"/>
      <c r="M20" s="106"/>
      <c r="N20" s="106"/>
      <c r="O20" s="106"/>
    </row>
    <row r="21" spans="1:15" ht="30.75">
      <c r="A21" s="106" t="s">
        <v>2</v>
      </c>
      <c r="B21" s="106"/>
      <c r="C21" s="106"/>
      <c r="D21" s="106"/>
      <c r="E21" s="106"/>
      <c r="F21" s="106"/>
      <c r="G21" s="106"/>
      <c r="H21" s="106"/>
      <c r="I21" s="106"/>
      <c r="J21" s="106"/>
      <c r="K21" s="106"/>
      <c r="L21" s="106"/>
      <c r="M21" s="106"/>
      <c r="N21" s="106"/>
      <c r="O21" s="106"/>
    </row>
    <row r="22" spans="1:15" ht="13.5">
      <c r="A22" s="1"/>
      <c r="B22" s="1"/>
      <c r="C22" s="1"/>
      <c r="D22" s="1"/>
      <c r="E22" s="1"/>
      <c r="F22" s="1"/>
      <c r="G22" s="1"/>
      <c r="H22" s="1"/>
      <c r="I22" s="1"/>
    </row>
    <row r="23" spans="1:15" ht="30.75">
      <c r="A23" s="74"/>
      <c r="B23" s="74"/>
      <c r="C23" s="74"/>
      <c r="D23" s="74"/>
      <c r="E23" s="74"/>
      <c r="F23" s="75"/>
      <c r="G23" s="106" t="s">
        <v>3</v>
      </c>
      <c r="H23" s="109"/>
      <c r="I23" s="77" t="s">
        <v>4</v>
      </c>
      <c r="J23" s="75"/>
      <c r="L23" s="74"/>
      <c r="M23" s="74"/>
      <c r="N23" s="74"/>
      <c r="O23" s="74"/>
    </row>
    <row r="24" spans="1:15" s="6" customFormat="1" ht="27.75" customHeight="1">
      <c r="A24" s="80"/>
      <c r="B24" s="80"/>
      <c r="C24" s="80"/>
      <c r="D24" s="80"/>
      <c r="F24" s="82"/>
      <c r="G24" s="106" t="s">
        <v>5</v>
      </c>
      <c r="H24" s="106"/>
      <c r="I24" s="77" t="s">
        <v>6</v>
      </c>
      <c r="J24" s="80"/>
      <c r="K24" s="80"/>
      <c r="L24" s="80"/>
      <c r="M24" s="80"/>
      <c r="N24" s="80"/>
      <c r="O24" s="80"/>
    </row>
    <row r="25" spans="1:15" ht="27.75">
      <c r="F25" s="111" t="s">
        <v>7</v>
      </c>
      <c r="G25" s="111"/>
      <c r="H25" s="111"/>
      <c r="I25" s="111"/>
      <c r="J25" s="111"/>
      <c r="K25" s="111"/>
      <c r="L25" s="81" t="s">
        <v>8</v>
      </c>
    </row>
    <row r="26" spans="1:15" ht="27.75">
      <c r="F26" s="112" t="s">
        <v>9</v>
      </c>
      <c r="G26" s="112"/>
      <c r="H26" s="112"/>
      <c r="I26" s="112"/>
      <c r="J26" s="110" t="s">
        <v>10</v>
      </c>
      <c r="K26" s="157"/>
    </row>
    <row r="27" spans="1:15" ht="16.5">
      <c r="A27" s="108"/>
      <c r="B27" s="108"/>
      <c r="C27" s="108"/>
      <c r="D27" s="108"/>
      <c r="E27" s="108"/>
      <c r="F27" s="108"/>
      <c r="G27" s="108"/>
      <c r="H27" s="108"/>
      <c r="I27" s="108"/>
    </row>
    <row r="28" spans="1:15" ht="18" customHeight="1">
      <c r="A28" s="107"/>
      <c r="B28" s="107"/>
      <c r="C28" s="107"/>
      <c r="D28" s="107"/>
      <c r="E28" s="107"/>
      <c r="F28" s="107"/>
      <c r="G28" s="107"/>
      <c r="H28" s="107"/>
      <c r="I28" s="107"/>
    </row>
    <row r="37" spans="1:9" ht="18" customHeight="1"/>
    <row r="38" spans="1:9" ht="15.75">
      <c r="A38" s="3" t="s">
        <v>11</v>
      </c>
      <c r="B38" s="4">
        <f ca="1">TODAY()</f>
        <v>44520</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G28" sqref="G28"/>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25" t="s">
        <v>17</v>
      </c>
      <c r="B3" s="125"/>
      <c r="C3" s="125"/>
      <c r="D3" s="125" t="s">
        <v>18</v>
      </c>
      <c r="E3" s="125"/>
      <c r="F3" s="125"/>
      <c r="G3" s="125" t="s">
        <v>19</v>
      </c>
      <c r="H3" s="125"/>
      <c r="I3" s="125"/>
      <c r="J3" s="119" t="s">
        <v>20</v>
      </c>
      <c r="K3" s="123"/>
      <c r="L3" s="124"/>
      <c r="M3" s="125" t="s">
        <v>21</v>
      </c>
      <c r="N3" s="125"/>
      <c r="O3" s="125"/>
      <c r="P3" s="10" t="s">
        <v>22</v>
      </c>
      <c r="Q3" s="10" t="s">
        <v>23</v>
      </c>
      <c r="Y3" s="8" t="s">
        <v>24</v>
      </c>
    </row>
    <row r="4" spans="1:25">
      <c r="A4" s="116" t="s">
        <v>25</v>
      </c>
      <c r="B4" s="117"/>
      <c r="C4" s="118"/>
      <c r="D4" s="116" t="s">
        <v>26</v>
      </c>
      <c r="E4" s="118"/>
      <c r="F4" s="11"/>
      <c r="G4" s="114" t="s">
        <v>27</v>
      </c>
      <c r="H4" s="114"/>
      <c r="I4" s="114"/>
      <c r="J4" s="129">
        <v>1</v>
      </c>
      <c r="K4" s="130"/>
      <c r="L4" s="11"/>
      <c r="M4" s="126">
        <v>44297</v>
      </c>
      <c r="N4" s="127"/>
      <c r="O4" s="128"/>
      <c r="P4" s="85" t="s">
        <v>15</v>
      </c>
      <c r="Q4" s="12" t="s">
        <v>28</v>
      </c>
      <c r="U4" s="104"/>
      <c r="Y4" s="8" t="s">
        <v>29</v>
      </c>
    </row>
    <row r="5" spans="1:25">
      <c r="A5" s="116"/>
      <c r="B5" s="117"/>
      <c r="C5" s="118"/>
      <c r="D5" s="116"/>
      <c r="E5" s="118"/>
      <c r="F5" s="11"/>
      <c r="G5" s="114" t="s">
        <v>30</v>
      </c>
      <c r="H5" s="114"/>
      <c r="I5" s="114"/>
      <c r="J5" s="129">
        <v>1</v>
      </c>
      <c r="K5" s="130"/>
      <c r="L5" s="11"/>
      <c r="M5" s="126"/>
      <c r="N5" s="127"/>
      <c r="O5" s="128"/>
      <c r="P5" s="85" t="s">
        <v>29</v>
      </c>
      <c r="Q5" s="12"/>
      <c r="U5" s="104"/>
    </row>
    <row r="7" spans="1:25" ht="16.5">
      <c r="A7" s="7" t="s">
        <v>31</v>
      </c>
      <c r="B7" s="7"/>
      <c r="C7" s="7"/>
      <c r="D7" s="7"/>
      <c r="F7" s="9"/>
    </row>
    <row r="9" spans="1:25" ht="29.25" customHeight="1">
      <c r="A9" s="122" t="s">
        <v>17</v>
      </c>
      <c r="B9" s="121"/>
      <c r="C9" s="122" t="s">
        <v>18</v>
      </c>
      <c r="D9" s="121"/>
      <c r="E9" s="122" t="s">
        <v>19</v>
      </c>
      <c r="F9" s="120"/>
      <c r="G9" s="121"/>
      <c r="H9" s="119" t="s">
        <v>20</v>
      </c>
      <c r="I9" s="120"/>
      <c r="J9" s="121"/>
      <c r="K9" s="122" t="s">
        <v>21</v>
      </c>
      <c r="L9" s="121"/>
      <c r="M9" s="122" t="s">
        <v>32</v>
      </c>
      <c r="N9" s="120"/>
      <c r="O9" s="121"/>
      <c r="P9" s="86"/>
    </row>
    <row r="10" spans="1:25">
      <c r="A10" s="115"/>
      <c r="B10" s="115"/>
      <c r="C10" s="115"/>
      <c r="D10" s="115"/>
      <c r="E10" s="115"/>
      <c r="F10" s="115"/>
      <c r="G10" s="115"/>
      <c r="H10" s="115"/>
      <c r="I10" s="115"/>
      <c r="J10" s="115"/>
      <c r="K10" s="115"/>
      <c r="L10" s="115"/>
      <c r="M10" s="115"/>
      <c r="N10" s="115"/>
      <c r="O10" s="115"/>
      <c r="P10" s="87"/>
    </row>
    <row r="11" spans="1:25">
      <c r="A11" s="115"/>
      <c r="B11" s="115"/>
      <c r="C11" s="115"/>
      <c r="D11" s="115"/>
      <c r="E11" s="115"/>
      <c r="F11" s="115"/>
      <c r="G11" s="115"/>
      <c r="H11" s="115"/>
      <c r="I11" s="115"/>
      <c r="J11" s="115"/>
      <c r="K11" s="115"/>
      <c r="L11" s="115"/>
      <c r="M11" s="115"/>
      <c r="N11" s="115"/>
      <c r="O11" s="115"/>
      <c r="P11" s="87"/>
    </row>
    <row r="12" spans="1:25">
      <c r="A12" s="115"/>
      <c r="B12" s="115"/>
      <c r="C12" s="115"/>
      <c r="D12" s="115"/>
      <c r="E12" s="115"/>
      <c r="F12" s="115"/>
      <c r="G12" s="115"/>
      <c r="H12" s="115"/>
      <c r="I12" s="115"/>
      <c r="J12" s="115"/>
      <c r="K12" s="115"/>
      <c r="L12" s="115"/>
      <c r="M12" s="115"/>
      <c r="N12" s="115"/>
      <c r="O12" s="115"/>
      <c r="P12" s="87"/>
    </row>
    <row r="13" spans="1:25">
      <c r="A13" s="115"/>
      <c r="B13" s="115"/>
      <c r="C13" s="115"/>
      <c r="D13" s="115"/>
      <c r="E13" s="115"/>
      <c r="F13" s="115"/>
      <c r="G13" s="115"/>
      <c r="H13" s="115"/>
      <c r="I13" s="115"/>
      <c r="J13" s="115"/>
      <c r="K13" s="115"/>
      <c r="L13" s="115"/>
      <c r="M13" s="115"/>
      <c r="N13" s="115"/>
      <c r="O13" s="115"/>
      <c r="P13" s="87"/>
    </row>
    <row r="14" spans="1:25">
      <c r="A14" s="115"/>
      <c r="B14" s="115"/>
      <c r="C14" s="115"/>
      <c r="D14" s="115"/>
      <c r="E14" s="115"/>
      <c r="F14" s="115"/>
      <c r="G14" s="115"/>
      <c r="H14" s="115"/>
      <c r="I14" s="115"/>
      <c r="J14" s="115"/>
      <c r="K14" s="115"/>
      <c r="L14" s="115"/>
      <c r="M14" s="115"/>
      <c r="N14" s="115"/>
      <c r="O14" s="115"/>
      <c r="P14" s="87"/>
    </row>
    <row r="15" spans="1:25">
      <c r="A15" s="115"/>
      <c r="B15" s="115"/>
      <c r="C15" s="115"/>
      <c r="D15" s="115"/>
      <c r="E15" s="115"/>
      <c r="F15" s="115"/>
      <c r="G15" s="115"/>
      <c r="H15" s="115"/>
      <c r="I15" s="115"/>
      <c r="J15" s="115"/>
      <c r="K15" s="115"/>
      <c r="L15" s="115"/>
      <c r="M15" s="115"/>
      <c r="N15" s="115"/>
      <c r="O15" s="115"/>
      <c r="P15" s="87"/>
    </row>
    <row r="16" spans="1:25">
      <c r="A16" s="115"/>
      <c r="B16" s="115"/>
      <c r="C16" s="115"/>
      <c r="D16" s="115"/>
      <c r="E16" s="115"/>
      <c r="F16" s="115"/>
      <c r="G16" s="115"/>
      <c r="H16" s="115"/>
      <c r="I16" s="115"/>
      <c r="J16" s="115"/>
      <c r="K16" s="115"/>
      <c r="L16" s="115"/>
      <c r="M16" s="115"/>
      <c r="N16" s="115"/>
      <c r="O16" s="115"/>
      <c r="P16" s="87"/>
    </row>
    <row r="17" spans="1:16">
      <c r="A17" s="115"/>
      <c r="B17" s="115"/>
      <c r="C17" s="115"/>
      <c r="D17" s="115"/>
      <c r="E17" s="115"/>
      <c r="F17" s="115"/>
      <c r="G17" s="115"/>
      <c r="H17" s="115"/>
      <c r="I17" s="115"/>
      <c r="J17" s="115"/>
      <c r="K17" s="115"/>
      <c r="L17" s="115"/>
      <c r="M17" s="115"/>
      <c r="N17" s="115"/>
      <c r="O17" s="115"/>
      <c r="P17" s="87"/>
    </row>
    <row r="20" spans="1:16" ht="15">
      <c r="A20" s="113" t="s">
        <v>33</v>
      </c>
      <c r="B20" s="113"/>
      <c r="C20" s="113" t="s">
        <v>34</v>
      </c>
      <c r="D20" s="113"/>
    </row>
    <row r="21" spans="1:16">
      <c r="A21" s="114" t="s">
        <v>35</v>
      </c>
      <c r="B21" s="114"/>
      <c r="C21" s="115">
        <v>0</v>
      </c>
      <c r="D21" s="115"/>
    </row>
    <row r="22" spans="1:16">
      <c r="A22" s="114" t="s">
        <v>36</v>
      </c>
      <c r="B22" s="114"/>
      <c r="C22" s="115">
        <v>0</v>
      </c>
      <c r="D22" s="115"/>
    </row>
    <row r="23" spans="1:16">
      <c r="A23" s="114" t="s">
        <v>37</v>
      </c>
      <c r="B23" s="114"/>
      <c r="C23" s="115">
        <v>7.0000000000000007E-2</v>
      </c>
      <c r="D23" s="115"/>
    </row>
    <row r="24" spans="1:16">
      <c r="A24" s="114" t="s">
        <v>38</v>
      </c>
      <c r="B24" s="114"/>
      <c r="C24" s="115">
        <f>'1.0 DB Schema'!B25+'2.0 Ifb &amp; PHP'!B32+'3.0 Mapping'!B8+'4.0 Worklet &amp; workflow'!B16+'5.0 Stored Procedure'!B10+'4.1 Session Details'!B12</f>
        <v>0.12</v>
      </c>
      <c r="D24" s="115"/>
    </row>
    <row r="25" spans="1:16">
      <c r="A25" s="114" t="s">
        <v>39</v>
      </c>
      <c r="B25" s="114"/>
      <c r="C25" s="115">
        <v>0.25</v>
      </c>
      <c r="D25" s="115"/>
    </row>
    <row r="26" spans="1:16">
      <c r="A26" s="114" t="s">
        <v>40</v>
      </c>
      <c r="B26" s="114"/>
      <c r="C26" s="141">
        <v>0.125</v>
      </c>
      <c r="D26" s="142"/>
    </row>
    <row r="27" spans="1:16" ht="15">
      <c r="A27" s="131" t="s">
        <v>41</v>
      </c>
      <c r="B27" s="131"/>
      <c r="C27" s="113">
        <f>SUM(C21:E26)</f>
        <v>0.56499999999999995</v>
      </c>
      <c r="D27" s="113"/>
      <c r="G27" s="8">
        <f>ROUND(C27*8,1)</f>
        <v>4.5</v>
      </c>
    </row>
    <row r="30" spans="1:16">
      <c r="B30" s="138" t="s">
        <v>42</v>
      </c>
      <c r="C30" s="139"/>
      <c r="D30" s="139"/>
      <c r="E30" s="139"/>
      <c r="F30" s="139"/>
      <c r="G30" s="139"/>
      <c r="H30" s="139"/>
      <c r="I30" s="139"/>
      <c r="J30" s="139"/>
      <c r="K30" s="139"/>
      <c r="L30" s="139"/>
      <c r="M30" s="140"/>
    </row>
    <row r="31" spans="1:16" ht="33.75" customHeight="1">
      <c r="B31" s="136" t="s">
        <v>35</v>
      </c>
      <c r="C31" s="137"/>
      <c r="D31" s="135" t="s">
        <v>43</v>
      </c>
      <c r="E31" s="135"/>
      <c r="F31" s="135"/>
      <c r="G31" s="135"/>
      <c r="H31" s="135"/>
      <c r="I31" s="135"/>
      <c r="J31" s="135"/>
      <c r="K31" s="135"/>
      <c r="L31" s="135"/>
      <c r="M31" s="135"/>
    </row>
    <row r="32" spans="1:16" ht="39.75" customHeight="1">
      <c r="B32" s="136" t="s">
        <v>36</v>
      </c>
      <c r="C32" s="137"/>
      <c r="D32" s="135" t="s">
        <v>44</v>
      </c>
      <c r="E32" s="135"/>
      <c r="F32" s="135"/>
      <c r="G32" s="135"/>
      <c r="H32" s="135"/>
      <c r="I32" s="135"/>
      <c r="J32" s="135"/>
      <c r="K32" s="135"/>
      <c r="L32" s="135"/>
      <c r="M32" s="135"/>
    </row>
    <row r="33" spans="2:13" ht="236.25" customHeight="1">
      <c r="B33" s="136" t="s">
        <v>37</v>
      </c>
      <c r="C33" s="137"/>
      <c r="D33" s="135" t="s">
        <v>45</v>
      </c>
      <c r="E33" s="135"/>
      <c r="F33" s="135"/>
      <c r="G33" s="135"/>
      <c r="H33" s="135"/>
      <c r="I33" s="135"/>
      <c r="J33" s="135"/>
      <c r="K33" s="135"/>
      <c r="L33" s="135"/>
      <c r="M33" s="135"/>
    </row>
    <row r="34" spans="2:13" ht="15">
      <c r="B34" s="136" t="s">
        <v>38</v>
      </c>
      <c r="C34" s="137"/>
      <c r="D34" s="135" t="s">
        <v>46</v>
      </c>
      <c r="E34" s="135"/>
      <c r="F34" s="135"/>
      <c r="G34" s="135"/>
      <c r="H34" s="135"/>
      <c r="I34" s="135"/>
      <c r="J34" s="135"/>
      <c r="K34" s="135"/>
      <c r="L34" s="135"/>
      <c r="M34" s="135"/>
    </row>
    <row r="35" spans="2:13" ht="52.5" customHeight="1">
      <c r="B35" s="136" t="s">
        <v>39</v>
      </c>
      <c r="C35" s="137"/>
      <c r="D35" s="132" t="s">
        <v>47</v>
      </c>
      <c r="E35" s="133"/>
      <c r="F35" s="133"/>
      <c r="G35" s="133"/>
      <c r="H35" s="133"/>
      <c r="I35" s="133"/>
      <c r="J35" s="133"/>
      <c r="K35" s="133"/>
      <c r="L35" s="133"/>
      <c r="M35" s="134"/>
    </row>
    <row r="36" spans="2:13" ht="34.5" customHeight="1">
      <c r="B36" s="136" t="s">
        <v>40</v>
      </c>
      <c r="C36" s="137"/>
      <c r="D36" s="135" t="s">
        <v>48</v>
      </c>
      <c r="E36" s="135"/>
      <c r="F36" s="135"/>
      <c r="G36" s="135"/>
      <c r="H36" s="135"/>
      <c r="I36" s="135"/>
      <c r="J36" s="135"/>
      <c r="K36" s="135"/>
      <c r="L36" s="135"/>
      <c r="M36" s="135"/>
    </row>
    <row r="37" spans="2:13" ht="29.25" customHeight="1"/>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44" sqref="B44"/>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43" t="s">
        <v>49</v>
      </c>
      <c r="B1" s="143"/>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A19" s="33">
        <v>6</v>
      </c>
      <c r="B19" s="27" t="s">
        <v>58</v>
      </c>
    </row>
  </sheetData>
  <mergeCells count="1">
    <mergeCell ref="A1:B1"/>
  </mergeCells>
  <phoneticPr fontId="3"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44" t="s">
        <v>59</v>
      </c>
      <c r="B1" s="145"/>
      <c r="C1" s="145"/>
      <c r="D1" s="146"/>
      <c r="M1" s="48" t="s">
        <v>60</v>
      </c>
      <c r="N1" s="49"/>
      <c r="O1" s="49"/>
      <c r="P1" s="49"/>
      <c r="Q1" s="49"/>
      <c r="R1" s="50"/>
    </row>
    <row r="2" spans="1:18" ht="13.5" thickBot="1">
      <c r="C2" s="23"/>
      <c r="M2" s="51" t="s">
        <v>61</v>
      </c>
      <c r="N2" s="36"/>
      <c r="O2" s="36"/>
      <c r="P2" s="36"/>
      <c r="Q2" s="36"/>
      <c r="R2" s="52"/>
    </row>
    <row r="3" spans="1:18">
      <c r="A3" s="57" t="s">
        <v>62</v>
      </c>
      <c r="B3" s="29"/>
      <c r="C3" s="29"/>
      <c r="M3" s="51" t="s">
        <v>63</v>
      </c>
      <c r="N3" s="36"/>
      <c r="O3" s="36"/>
      <c r="P3" s="36"/>
      <c r="Q3" s="36"/>
      <c r="R3" s="52"/>
    </row>
    <row r="4" spans="1:18" ht="25.5" customHeight="1">
      <c r="A4" s="14" t="s">
        <v>64</v>
      </c>
      <c r="B4" s="14" t="s">
        <v>65</v>
      </c>
      <c r="C4" s="28" t="s">
        <v>22</v>
      </c>
      <c r="D4" s="28" t="s">
        <v>66</v>
      </c>
      <c r="M4" s="53" t="s">
        <v>67</v>
      </c>
      <c r="N4" s="36"/>
      <c r="O4" s="36"/>
      <c r="P4" s="36"/>
      <c r="Q4" s="36"/>
      <c r="R4" s="52"/>
    </row>
    <row r="5" spans="1:18" ht="128.25" thickBot="1">
      <c r="A5" s="41" t="s">
        <v>68</v>
      </c>
      <c r="B5" s="27" t="s">
        <v>69</v>
      </c>
      <c r="C5" s="13"/>
      <c r="D5" s="13"/>
      <c r="M5" s="54"/>
      <c r="N5" s="55"/>
      <c r="O5" s="55"/>
      <c r="P5" s="55"/>
      <c r="Q5" s="55"/>
      <c r="R5" s="56"/>
    </row>
    <row r="6" spans="1:18">
      <c r="A6" s="41" t="s">
        <v>70</v>
      </c>
      <c r="B6" s="41" t="s">
        <v>71</v>
      </c>
      <c r="C6" s="13"/>
      <c r="D6" s="13"/>
    </row>
    <row r="7" spans="1:18">
      <c r="A7" s="41" t="s">
        <v>72</v>
      </c>
      <c r="B7" s="41" t="s">
        <v>73</v>
      </c>
      <c r="C7" s="13"/>
      <c r="D7" s="13"/>
    </row>
    <row r="8" spans="1:18" ht="89.25">
      <c r="A8" s="41" t="s">
        <v>74</v>
      </c>
      <c r="B8" s="27" t="s">
        <v>75</v>
      </c>
      <c r="C8" s="13"/>
      <c r="D8" s="13"/>
    </row>
    <row r="9" spans="1:18">
      <c r="A9" s="41" t="s">
        <v>76</v>
      </c>
      <c r="B9" s="41" t="s">
        <v>77</v>
      </c>
      <c r="C9" s="13"/>
      <c r="D9" s="13"/>
    </row>
    <row r="10" spans="1:18">
      <c r="A10" s="41" t="s">
        <v>78</v>
      </c>
      <c r="B10" s="13"/>
      <c r="C10" s="13"/>
      <c r="D10" s="13"/>
    </row>
    <row r="11" spans="1:18">
      <c r="A11" s="41" t="s">
        <v>79</v>
      </c>
      <c r="B11" s="41" t="s">
        <v>80</v>
      </c>
      <c r="C11" s="13"/>
      <c r="D11" s="13"/>
    </row>
    <row r="12" spans="1:18">
      <c r="A12" s="41" t="s">
        <v>81</v>
      </c>
      <c r="B12" s="41" t="s">
        <v>82</v>
      </c>
      <c r="C12" s="13"/>
      <c r="D12" s="13"/>
    </row>
    <row r="13" spans="1:18">
      <c r="A13" s="41" t="s">
        <v>83</v>
      </c>
      <c r="B13" s="41" t="s">
        <v>84</v>
      </c>
      <c r="C13" s="13"/>
      <c r="D13" s="13"/>
    </row>
    <row r="14" spans="1:18">
      <c r="A14" s="41" t="s">
        <v>85</v>
      </c>
      <c r="B14" s="41" t="s">
        <v>86</v>
      </c>
      <c r="C14" s="13"/>
      <c r="D14" s="13"/>
    </row>
    <row r="15" spans="1:18">
      <c r="A15" s="41" t="s">
        <v>87</v>
      </c>
      <c r="B15" s="41" t="s">
        <v>88</v>
      </c>
      <c r="C15" s="13"/>
      <c r="D15" s="13"/>
    </row>
    <row r="16" spans="1:18">
      <c r="A16" s="41" t="s">
        <v>89</v>
      </c>
      <c r="B16" s="41" t="s">
        <v>90</v>
      </c>
      <c r="C16" s="13"/>
      <c r="D16" s="13"/>
    </row>
    <row r="17" spans="1:4">
      <c r="A17" s="41" t="s">
        <v>91</v>
      </c>
      <c r="B17" s="41" t="s">
        <v>92</v>
      </c>
      <c r="C17" s="13"/>
      <c r="D17" s="13"/>
    </row>
    <row r="18" spans="1:4">
      <c r="A18" s="41" t="s">
        <v>93</v>
      </c>
      <c r="B18" s="41" t="s">
        <v>94</v>
      </c>
      <c r="C18" s="13"/>
      <c r="D18" s="13"/>
    </row>
    <row r="19" spans="1:4">
      <c r="A19" s="41" t="s">
        <v>95</v>
      </c>
      <c r="B19" s="41" t="s">
        <v>96</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97</v>
      </c>
      <c r="B1" s="68" t="s">
        <v>98</v>
      </c>
    </row>
    <row r="2" spans="1:3">
      <c r="A2" s="69" t="s">
        <v>99</v>
      </c>
      <c r="B2" s="70" t="str">
        <f>PPRD</f>
        <v>Feb, 2022</v>
      </c>
      <c r="C2" s="58"/>
    </row>
    <row r="3" spans="1:3">
      <c r="A3" s="69" t="s">
        <v>100</v>
      </c>
      <c r="B3" s="71" t="str">
        <f>CRNIRN</f>
        <v>CHG212979</v>
      </c>
      <c r="C3" s="58"/>
    </row>
    <row r="4" spans="1:3">
      <c r="A4" s="69" t="s">
        <v>101</v>
      </c>
      <c r="B4" s="71" t="str">
        <f>MA</f>
        <v>ES</v>
      </c>
      <c r="C4" s="58"/>
    </row>
    <row r="5" spans="1:3">
      <c r="A5" s="69" t="s">
        <v>102</v>
      </c>
      <c r="B5" s="71" t="s">
        <v>103</v>
      </c>
    </row>
    <row r="6" spans="1:3">
      <c r="A6" s="69" t="s">
        <v>104</v>
      </c>
      <c r="B6" s="73" t="s">
        <v>105</v>
      </c>
    </row>
    <row r="7" spans="1:3">
      <c r="A7" s="69" t="s">
        <v>106</v>
      </c>
      <c r="B7" s="76">
        <f>DevDReviewed</f>
        <v>44297</v>
      </c>
      <c r="C7" s="58"/>
    </row>
    <row r="8" spans="1:3">
      <c r="A8" s="69" t="s">
        <v>107</v>
      </c>
      <c r="B8" s="73" t="str">
        <f>DevNameReviewed</f>
        <v>VikramSeeburn</v>
      </c>
      <c r="C8" s="58"/>
    </row>
    <row r="9" spans="1:3">
      <c r="A9" s="69" t="s">
        <v>108</v>
      </c>
      <c r="B9" s="72">
        <f>DateReviewed</f>
        <v>0</v>
      </c>
      <c r="C9" s="58"/>
    </row>
    <row r="10" spans="1:3">
      <c r="A10" s="69" t="s">
        <v>109</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44" t="s">
        <v>110</v>
      </c>
      <c r="B1" s="145"/>
      <c r="C1" s="145"/>
      <c r="D1" s="147"/>
    </row>
    <row r="2" spans="1:5">
      <c r="B2" s="14" t="s">
        <v>111</v>
      </c>
      <c r="C2" s="14" t="s">
        <v>112</v>
      </c>
      <c r="D2" s="14" t="s">
        <v>113</v>
      </c>
      <c r="E2" s="60"/>
    </row>
    <row r="3" spans="1:5" ht="38.25">
      <c r="B3" s="61" t="s">
        <v>114</v>
      </c>
      <c r="C3" s="62" t="s">
        <v>115</v>
      </c>
      <c r="D3" s="63" t="str">
        <f>IF(ISBLANK('1.0 DB Schema'!B25)=FALSE,"Impacted","Not Impacted")</f>
        <v>Impacted</v>
      </c>
    </row>
    <row r="4" spans="1:5" ht="25.5">
      <c r="B4" s="61" t="s">
        <v>116</v>
      </c>
      <c r="C4" s="62" t="s">
        <v>117</v>
      </c>
      <c r="D4" s="63" t="str">
        <f>IF(ISBLANK('2.0 Ifb &amp; PHP'!B32)=FALSE,"Impacted","Not Impacted")</f>
        <v>Impacted</v>
      </c>
    </row>
    <row r="5" spans="1:5" ht="38.25">
      <c r="B5" s="61" t="s">
        <v>118</v>
      </c>
      <c r="C5" s="62" t="s">
        <v>119</v>
      </c>
      <c r="D5" s="63" t="str">
        <f>IF(ISBLANK('3.0 Mapping'!B8)=FALSE,"Impacted","Not Impacted")</f>
        <v>Impacted</v>
      </c>
    </row>
    <row r="6" spans="1:5" ht="25.5">
      <c r="B6" s="61" t="s">
        <v>120</v>
      </c>
      <c r="C6" s="62" t="s">
        <v>121</v>
      </c>
      <c r="D6" s="63" t="str">
        <f>IF(ISBLANK('4.0 Worklet &amp; workflow'!B16)=FALSE,"Impacted","Not Impacted")</f>
        <v>Not Impacted</v>
      </c>
    </row>
    <row r="7" spans="1:5" ht="25.5">
      <c r="B7" s="61" t="s">
        <v>122</v>
      </c>
      <c r="C7" s="62" t="s">
        <v>123</v>
      </c>
      <c r="D7" s="63" t="str">
        <f>IF(ISBLANK('5.0 Stored Procedure'!B10)=FALSE,"Impacted","Not Impacted")</f>
        <v>Not Impacted</v>
      </c>
    </row>
    <row r="8" spans="1:5" ht="25.5">
      <c r="B8" s="61" t="s">
        <v>124</v>
      </c>
      <c r="C8" s="62" t="s">
        <v>125</v>
      </c>
      <c r="D8" s="63" t="str">
        <f>IF(ISBLANK('6.0 Data Update'!E5)=FALSE,"Impacted","Not Impacted")</f>
        <v>Not Impacted</v>
      </c>
    </row>
    <row r="10" spans="1:5" ht="13.5" thickBot="1"/>
    <row r="11" spans="1:5" ht="13.5" thickBot="1">
      <c r="B11" s="17" t="s">
        <v>126</v>
      </c>
    </row>
    <row r="12" spans="1:5">
      <c r="B12" s="14" t="s">
        <v>127</v>
      </c>
      <c r="C12" s="14" t="s">
        <v>128</v>
      </c>
      <c r="D12" s="14" t="s">
        <v>129</v>
      </c>
    </row>
    <row r="13" spans="1:5">
      <c r="B13" s="63" t="s">
        <v>130</v>
      </c>
      <c r="C13" s="63" t="s">
        <v>131</v>
      </c>
      <c r="D13" s="64" t="s">
        <v>132</v>
      </c>
    </row>
    <row r="14" spans="1:5">
      <c r="B14" s="63" t="s">
        <v>133</v>
      </c>
      <c r="C14" s="64" t="s">
        <v>134</v>
      </c>
      <c r="D14" s="63" t="s">
        <v>135</v>
      </c>
    </row>
    <row r="15" spans="1:5">
      <c r="B15" s="63" t="s">
        <v>136</v>
      </c>
      <c r="C15" s="63" t="s">
        <v>137</v>
      </c>
      <c r="D15" s="63" t="s">
        <v>138</v>
      </c>
    </row>
    <row r="16" spans="1:5">
      <c r="B16" s="63" t="s">
        <v>139</v>
      </c>
      <c r="C16" s="63" t="s">
        <v>140</v>
      </c>
      <c r="D16" s="63" t="s">
        <v>141</v>
      </c>
    </row>
    <row r="17" spans="2:4">
      <c r="B17" s="63" t="s">
        <v>142</v>
      </c>
      <c r="C17" s="64" t="s">
        <v>143</v>
      </c>
      <c r="D17" s="63" t="s">
        <v>144</v>
      </c>
    </row>
    <row r="18" spans="2:4">
      <c r="B18" s="63" t="s">
        <v>145</v>
      </c>
      <c r="C18" s="63" t="s">
        <v>146</v>
      </c>
      <c r="D18" s="63" t="s">
        <v>147</v>
      </c>
    </row>
    <row r="19" spans="2:4">
      <c r="B19" s="63" t="s">
        <v>148</v>
      </c>
      <c r="C19" s="63" t="s">
        <v>149</v>
      </c>
      <c r="D19" s="63" t="s">
        <v>150</v>
      </c>
    </row>
    <row r="20" spans="2:4">
      <c r="B20" s="63" t="s">
        <v>151</v>
      </c>
      <c r="C20" s="64" t="s">
        <v>152</v>
      </c>
      <c r="D20" s="63" t="s">
        <v>153</v>
      </c>
    </row>
    <row r="21" spans="2:4">
      <c r="B21" s="63" t="s">
        <v>154</v>
      </c>
      <c r="C21" s="64" t="s">
        <v>155</v>
      </c>
      <c r="D21" s="63" t="s">
        <v>156</v>
      </c>
    </row>
    <row r="22" spans="2:4">
      <c r="B22" s="63" t="s">
        <v>157</v>
      </c>
      <c r="C22" s="64" t="s">
        <v>158</v>
      </c>
      <c r="D22" s="63" t="s">
        <v>159</v>
      </c>
    </row>
    <row r="23" spans="2:4">
      <c r="B23" s="63" t="s">
        <v>160</v>
      </c>
      <c r="C23" s="63" t="s">
        <v>161</v>
      </c>
      <c r="D23" s="63" t="s">
        <v>162</v>
      </c>
    </row>
    <row r="24" spans="2:4">
      <c r="B24" s="63" t="s">
        <v>163</v>
      </c>
      <c r="C24" s="63"/>
      <c r="D24" s="63"/>
    </row>
  </sheetData>
  <mergeCells count="1">
    <mergeCell ref="A1:D1"/>
  </mergeCells>
  <phoneticPr fontId="3"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25"/>
  <sheetViews>
    <sheetView tabSelected="1" workbookViewId="0">
      <selection activeCell="C28" sqref="C28"/>
    </sheetView>
  </sheetViews>
  <sheetFormatPr defaultRowHeight="12.75"/>
  <cols>
    <col min="1" max="1" width="31.85546875" bestFit="1" customWidth="1"/>
    <col min="2" max="2" width="25" bestFit="1" customWidth="1"/>
    <col min="3" max="3" width="52.285156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44" t="s">
        <v>164</v>
      </c>
      <c r="B1" s="145"/>
      <c r="C1" s="146"/>
    </row>
    <row r="2" spans="1:24" ht="15.75" thickBot="1">
      <c r="E2" s="79" t="s">
        <v>165</v>
      </c>
      <c r="F2" s="36"/>
      <c r="G2" s="36"/>
      <c r="H2" s="36"/>
      <c r="I2" s="36"/>
      <c r="J2" s="36"/>
      <c r="K2" s="36"/>
      <c r="W2" s="58"/>
    </row>
    <row r="3" spans="1:24" ht="13.5" thickBot="1">
      <c r="A3" s="17" t="s">
        <v>166</v>
      </c>
      <c r="B3" s="15"/>
      <c r="C3" s="15"/>
      <c r="E3" s="37" t="s">
        <v>167</v>
      </c>
      <c r="F3" s="36"/>
      <c r="G3" s="36"/>
      <c r="H3" s="36"/>
      <c r="I3" s="36"/>
      <c r="J3" s="36"/>
      <c r="K3" s="36"/>
      <c r="X3" s="58"/>
    </row>
    <row r="4" spans="1:24">
      <c r="A4" s="16" t="s">
        <v>168</v>
      </c>
      <c r="B4" s="14" t="s">
        <v>169</v>
      </c>
      <c r="C4" s="14" t="s">
        <v>66</v>
      </c>
      <c r="E4" s="37" t="s">
        <v>170</v>
      </c>
      <c r="F4" s="37"/>
      <c r="G4" s="37"/>
      <c r="H4" s="37"/>
      <c r="I4" s="37"/>
      <c r="J4" s="36"/>
      <c r="K4" s="36"/>
    </row>
    <row r="5" spans="1:24">
      <c r="A5" s="90" t="s">
        <v>171</v>
      </c>
      <c r="B5" s="90" t="s">
        <v>172</v>
      </c>
      <c r="C5" s="41" t="s">
        <v>173</v>
      </c>
      <c r="E5" s="37" t="s">
        <v>174</v>
      </c>
      <c r="F5" s="37"/>
      <c r="G5" s="37"/>
      <c r="H5" s="37"/>
      <c r="I5" s="37"/>
      <c r="J5" s="36"/>
      <c r="K5" s="36"/>
    </row>
    <row r="6" spans="1:24">
      <c r="A6" s="13"/>
      <c r="B6" s="13"/>
      <c r="C6" s="13"/>
      <c r="E6" s="78" t="s">
        <v>175</v>
      </c>
      <c r="F6" s="36"/>
      <c r="G6" s="36"/>
      <c r="H6" s="36"/>
      <c r="I6" s="36"/>
      <c r="J6" s="36"/>
      <c r="K6" s="36"/>
      <c r="X6" s="58"/>
    </row>
    <row r="7" spans="1:24">
      <c r="A7" s="13"/>
      <c r="B7" s="13"/>
      <c r="C7" s="13"/>
    </row>
    <row r="8" spans="1:24" ht="13.5" thickBot="1">
      <c r="X8" s="58"/>
    </row>
    <row r="9" spans="1:24" ht="13.5" thickBot="1">
      <c r="A9" s="17" t="s">
        <v>176</v>
      </c>
      <c r="X9" s="58"/>
    </row>
    <row r="10" spans="1:24">
      <c r="A10" s="16" t="s">
        <v>168</v>
      </c>
      <c r="B10" s="14" t="s">
        <v>177</v>
      </c>
      <c r="C10" s="14" t="s">
        <v>178</v>
      </c>
      <c r="D10" s="14" t="s">
        <v>169</v>
      </c>
      <c r="E10" s="14" t="s">
        <v>179</v>
      </c>
      <c r="F10" s="14" t="s">
        <v>66</v>
      </c>
      <c r="X10" s="58"/>
    </row>
    <row r="11" spans="1:24">
      <c r="A11" s="90" t="s">
        <v>171</v>
      </c>
      <c r="B11" s="102" t="s">
        <v>180</v>
      </c>
      <c r="C11" s="102" t="s">
        <v>181</v>
      </c>
      <c r="D11" s="90" t="s">
        <v>172</v>
      </c>
      <c r="E11" s="13"/>
      <c r="F11" s="13"/>
    </row>
    <row r="12" spans="1:24">
      <c r="A12" s="90" t="s">
        <v>171</v>
      </c>
      <c r="B12" s="102" t="s">
        <v>182</v>
      </c>
      <c r="C12" s="102" t="s">
        <v>183</v>
      </c>
      <c r="D12" s="90" t="s">
        <v>172</v>
      </c>
      <c r="E12" s="13"/>
      <c r="F12" s="13"/>
    </row>
    <row r="13" spans="1:24" ht="13.5" thickBot="1"/>
    <row r="14" spans="1:24" ht="13.5" thickBot="1">
      <c r="A14" s="17" t="s">
        <v>184</v>
      </c>
    </row>
    <row r="15" spans="1:24">
      <c r="A15" s="16" t="s">
        <v>185</v>
      </c>
      <c r="B15" s="14" t="s">
        <v>186</v>
      </c>
      <c r="C15" s="14" t="s">
        <v>187</v>
      </c>
      <c r="D15" s="14" t="s">
        <v>188</v>
      </c>
    </row>
    <row r="16" spans="1:24">
      <c r="A16" s="41" t="s">
        <v>163</v>
      </c>
      <c r="B16" s="41"/>
      <c r="C16" s="41"/>
      <c r="D16" s="13"/>
    </row>
    <row r="17" spans="1:27">
      <c r="A17" s="41"/>
      <c r="B17" s="41"/>
      <c r="C17" s="41"/>
      <c r="D17" s="13"/>
    </row>
    <row r="18" spans="1:27">
      <c r="A18" s="41"/>
      <c r="B18" s="41"/>
      <c r="C18" s="41"/>
      <c r="D18" s="13"/>
    </row>
    <row r="19" spans="1:27" ht="13.5" thickBot="1">
      <c r="A19" s="58"/>
      <c r="B19" s="58"/>
      <c r="C19" s="58"/>
    </row>
    <row r="20" spans="1:27" ht="13.5" thickBot="1">
      <c r="A20" s="17" t="s">
        <v>189</v>
      </c>
      <c r="B20" s="58"/>
      <c r="C20" s="58"/>
    </row>
    <row r="21" spans="1:27">
      <c r="A21" s="16" t="s">
        <v>127</v>
      </c>
      <c r="B21" s="14" t="s">
        <v>190</v>
      </c>
      <c r="AA21" s="58"/>
    </row>
    <row r="22" spans="1:27">
      <c r="A22" s="41" t="s">
        <v>163</v>
      </c>
      <c r="B22" s="41"/>
      <c r="AA22" s="58"/>
    </row>
    <row r="23" spans="1:27">
      <c r="A23" s="41"/>
      <c r="B23" s="41"/>
    </row>
    <row r="24" spans="1:27">
      <c r="A24" s="21" t="s">
        <v>33</v>
      </c>
      <c r="B24" s="21" t="s">
        <v>191</v>
      </c>
    </row>
    <row r="25" spans="1:27">
      <c r="A25" s="20"/>
      <c r="B25" s="20">
        <v>0.01</v>
      </c>
    </row>
  </sheetData>
  <mergeCells count="1">
    <mergeCell ref="A1:C1"/>
  </mergeCells>
  <phoneticPr fontId="3"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0000000}">
          <x14:formula1>
            <xm:f>Overview!$B$13:$B$24</xm:f>
          </x14:formula1>
          <xm:sqref>A22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D32"/>
  <sheetViews>
    <sheetView workbookViewId="0">
      <selection activeCell="C32" sqref="C32"/>
    </sheetView>
  </sheetViews>
  <sheetFormatPr defaultRowHeight="12.75"/>
  <cols>
    <col min="1" max="1" width="28.28515625" bestFit="1" customWidth="1"/>
    <col min="2" max="2" width="36.28515625" style="23" customWidth="1"/>
    <col min="3" max="3" width="32.85546875" customWidth="1"/>
    <col min="4" max="4" width="11" bestFit="1" customWidth="1"/>
  </cols>
  <sheetData>
    <row r="1" spans="1:4" ht="13.5" thickBot="1">
      <c r="A1" s="144" t="s">
        <v>192</v>
      </c>
      <c r="B1" s="145"/>
      <c r="C1" s="146"/>
    </row>
    <row r="2" spans="1:4" ht="13.5" thickBot="1"/>
    <row r="3" spans="1:4" ht="13.5" thickBot="1">
      <c r="A3" s="18" t="s">
        <v>193</v>
      </c>
      <c r="B3" s="29"/>
    </row>
    <row r="4" spans="1:4">
      <c r="A4" s="16" t="s">
        <v>194</v>
      </c>
      <c r="B4" s="28" t="s">
        <v>66</v>
      </c>
    </row>
    <row r="5" spans="1:4">
      <c r="A5" s="13"/>
      <c r="B5" s="22"/>
    </row>
    <row r="6" spans="1:4">
      <c r="A6" s="13"/>
      <c r="B6" s="22"/>
    </row>
    <row r="7" spans="1:4" ht="13.5" thickBot="1"/>
    <row r="8" spans="1:4" ht="13.5" thickBot="1">
      <c r="A8" s="18" t="s">
        <v>195</v>
      </c>
      <c r="B8" s="29"/>
      <c r="C8" s="15"/>
    </row>
    <row r="9" spans="1:4">
      <c r="A9" s="16" t="s">
        <v>196</v>
      </c>
      <c r="B9" s="28" t="s">
        <v>66</v>
      </c>
    </row>
    <row r="10" spans="1:4">
      <c r="A10" s="13"/>
      <c r="B10" s="22"/>
    </row>
    <row r="11" spans="1:4" ht="13.5" thickBot="1"/>
    <row r="12" spans="1:4" ht="13.5" thickBot="1">
      <c r="A12" s="18" t="s">
        <v>197</v>
      </c>
    </row>
    <row r="13" spans="1:4">
      <c r="A13" s="16" t="s">
        <v>194</v>
      </c>
      <c r="B13" s="28" t="s">
        <v>66</v>
      </c>
    </row>
    <row r="14" spans="1:4" ht="76.5">
      <c r="A14" s="91" t="s">
        <v>198</v>
      </c>
      <c r="B14" s="92" t="s">
        <v>199</v>
      </c>
      <c r="C14" s="58" t="s">
        <v>200</v>
      </c>
      <c r="D14" s="58"/>
    </row>
    <row r="15" spans="1:4">
      <c r="A15" s="91"/>
      <c r="B15" s="92"/>
    </row>
    <row r="16" spans="1:4">
      <c r="A16" s="13"/>
      <c r="B16" s="22"/>
    </row>
    <row r="17" spans="1:2">
      <c r="A17" s="13"/>
      <c r="B17" s="22"/>
    </row>
    <row r="18" spans="1:2" ht="13.5" thickBot="1"/>
    <row r="19" spans="1:2" ht="13.5" thickBot="1">
      <c r="A19" s="18" t="s">
        <v>201</v>
      </c>
    </row>
    <row r="20" spans="1:2">
      <c r="A20" s="16" t="s">
        <v>194</v>
      </c>
      <c r="B20" s="28" t="s">
        <v>66</v>
      </c>
    </row>
    <row r="21" spans="1:2">
      <c r="A21" s="13"/>
      <c r="B21" s="22"/>
    </row>
    <row r="22" spans="1:2">
      <c r="A22" s="13"/>
      <c r="B22" s="22"/>
    </row>
    <row r="23" spans="1:2" ht="13.5" thickBot="1"/>
    <row r="24" spans="1:2" ht="13.5" thickBot="1">
      <c r="A24" s="18" t="s">
        <v>202</v>
      </c>
    </row>
    <row r="25" spans="1:2">
      <c r="A25" s="16" t="s">
        <v>194</v>
      </c>
      <c r="B25" s="28" t="s">
        <v>66</v>
      </c>
    </row>
    <row r="26" spans="1:2">
      <c r="A26" s="41" t="s">
        <v>163</v>
      </c>
      <c r="B26" s="22"/>
    </row>
    <row r="27" spans="1:2">
      <c r="A27" s="13"/>
      <c r="B27" s="22"/>
    </row>
    <row r="28" spans="1:2">
      <c r="A28" s="13"/>
      <c r="B28" s="22"/>
    </row>
    <row r="29" spans="1:2">
      <c r="A29" s="13"/>
      <c r="B29" s="22"/>
    </row>
    <row r="31" spans="1:2">
      <c r="A31" s="21" t="s">
        <v>33</v>
      </c>
      <c r="B31" s="30" t="s">
        <v>191</v>
      </c>
    </row>
    <row r="32" spans="1:2">
      <c r="A32" s="20"/>
      <c r="B32" s="31">
        <v>0</v>
      </c>
    </row>
  </sheetData>
  <mergeCells count="1">
    <mergeCell ref="A1:C1"/>
  </mergeCells>
  <phoneticPr fontId="3"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8"/>
  <sheetViews>
    <sheetView workbookViewId="0">
      <selection activeCell="C8" sqref="C8"/>
    </sheetView>
  </sheetViews>
  <sheetFormatPr defaultRowHeight="12.75"/>
  <cols>
    <col min="1" max="1" width="19.140625" customWidth="1"/>
    <col min="2" max="2" width="29.140625" bestFit="1" customWidth="1"/>
    <col min="3" max="3" width="158.5703125" customWidth="1"/>
    <col min="4" max="4" width="11" bestFit="1" customWidth="1"/>
  </cols>
  <sheetData>
    <row r="1" spans="1:4" ht="13.5" thickBot="1">
      <c r="A1" s="144" t="s">
        <v>203</v>
      </c>
      <c r="B1" s="145"/>
      <c r="C1" s="146"/>
    </row>
    <row r="3" spans="1:4">
      <c r="A3" s="14" t="s">
        <v>204</v>
      </c>
      <c r="B3" s="14" t="s">
        <v>205</v>
      </c>
      <c r="C3" s="14" t="s">
        <v>66</v>
      </c>
    </row>
    <row r="4" spans="1:4">
      <c r="A4" s="90" t="s">
        <v>206</v>
      </c>
      <c r="B4" s="90" t="s">
        <v>207</v>
      </c>
      <c r="C4" s="41" t="s">
        <v>208</v>
      </c>
      <c r="D4" s="58" t="s">
        <v>4</v>
      </c>
    </row>
    <row r="7" spans="1:4">
      <c r="A7" s="21" t="s">
        <v>33</v>
      </c>
      <c r="B7" s="21" t="s">
        <v>191</v>
      </c>
    </row>
    <row r="8" spans="1:4">
      <c r="A8" s="20"/>
      <c r="B8" s="20">
        <v>0.11</v>
      </c>
    </row>
  </sheetData>
  <mergeCells count="1">
    <mergeCell ref="A1:C1"/>
  </mergeCells>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zoomScale="80" zoomScaleNormal="80" workbookViewId="0">
      <selection activeCell="I17" sqref="I17"/>
    </sheetView>
  </sheetViews>
  <sheetFormatPr defaultRowHeight="12.75"/>
  <cols>
    <col min="1" max="1" width="28.42578125" bestFit="1" customWidth="1"/>
    <col min="2" max="2" width="16.5703125" bestFit="1" customWidth="1"/>
    <col min="3" max="3" width="38.140625" bestFit="1" customWidth="1"/>
    <col min="4" max="4" width="16.5703125" bestFit="1" customWidth="1"/>
    <col min="5" max="6" width="26.5703125" bestFit="1" customWidth="1"/>
    <col min="7" max="7" width="38.140625" bestFit="1" customWidth="1"/>
    <col min="8" max="8" width="16.5703125" bestFit="1" customWidth="1"/>
    <col min="9" max="9" width="97.7109375" customWidth="1"/>
    <col min="10" max="10" width="26.5703125" bestFit="1" customWidth="1"/>
  </cols>
  <sheetData>
    <row r="1" spans="1:10" ht="13.5" thickBot="1">
      <c r="A1" s="144" t="s">
        <v>209</v>
      </c>
      <c r="B1" s="145"/>
      <c r="C1" s="145"/>
      <c r="D1" s="146"/>
    </row>
    <row r="3" spans="1:10">
      <c r="A3" s="94" t="s">
        <v>205</v>
      </c>
      <c r="B3" s="148" t="s">
        <v>207</v>
      </c>
      <c r="C3" s="149"/>
      <c r="D3" s="93"/>
      <c r="E3" s="93"/>
      <c r="F3" s="93"/>
      <c r="G3" s="93"/>
      <c r="H3" s="93"/>
      <c r="I3" s="95"/>
      <c r="J3" s="93"/>
    </row>
    <row r="4" spans="1:10">
      <c r="A4" s="93"/>
      <c r="B4" s="93"/>
      <c r="C4" s="93"/>
      <c r="D4" s="93"/>
      <c r="E4" s="93"/>
      <c r="F4" s="93"/>
      <c r="G4" s="93"/>
      <c r="H4" s="93"/>
      <c r="I4" s="95"/>
      <c r="J4" s="93"/>
    </row>
    <row r="5" spans="1:10" ht="25.5">
      <c r="A5" s="94" t="s">
        <v>210</v>
      </c>
      <c r="B5" s="94" t="s">
        <v>211</v>
      </c>
      <c r="C5" s="94" t="s">
        <v>212</v>
      </c>
      <c r="D5" s="94" t="s">
        <v>213</v>
      </c>
      <c r="E5" s="94" t="s">
        <v>214</v>
      </c>
      <c r="F5" s="94" t="s">
        <v>211</v>
      </c>
      <c r="G5" s="94" t="s">
        <v>215</v>
      </c>
      <c r="H5" s="94" t="s">
        <v>213</v>
      </c>
      <c r="I5" s="96" t="s">
        <v>216</v>
      </c>
      <c r="J5" s="94" t="s">
        <v>217</v>
      </c>
    </row>
    <row r="6" spans="1:10">
      <c r="A6" s="90"/>
      <c r="B6" s="90"/>
      <c r="C6" s="90"/>
      <c r="D6" s="90"/>
      <c r="E6" s="90"/>
      <c r="F6" s="90"/>
      <c r="G6" s="90"/>
      <c r="H6" s="90"/>
      <c r="I6" s="97" t="s">
        <v>218</v>
      </c>
      <c r="J6" s="90" t="s">
        <v>171</v>
      </c>
    </row>
    <row r="7" spans="1:10" ht="25.5">
      <c r="A7" s="90"/>
      <c r="B7" s="90"/>
      <c r="C7" s="90"/>
      <c r="D7" s="90"/>
      <c r="E7" s="90"/>
      <c r="F7" s="90"/>
      <c r="G7" s="90"/>
      <c r="H7" s="90"/>
      <c r="I7" s="97" t="s">
        <v>219</v>
      </c>
      <c r="J7" s="90"/>
    </row>
    <row r="8" spans="1:10">
      <c r="A8" s="90" t="s">
        <v>220</v>
      </c>
      <c r="B8" s="90" t="s">
        <v>220</v>
      </c>
      <c r="C8" s="102" t="s">
        <v>180</v>
      </c>
      <c r="D8" s="102" t="s">
        <v>181</v>
      </c>
      <c r="E8" s="90" t="s">
        <v>171</v>
      </c>
      <c r="F8" s="90" t="s">
        <v>171</v>
      </c>
      <c r="G8" s="102" t="s">
        <v>180</v>
      </c>
      <c r="H8" s="102" t="s">
        <v>181</v>
      </c>
      <c r="I8" s="97" t="s">
        <v>221</v>
      </c>
      <c r="J8" s="90"/>
    </row>
    <row r="9" spans="1:10">
      <c r="A9" s="90" t="s">
        <v>220</v>
      </c>
      <c r="B9" s="90" t="s">
        <v>220</v>
      </c>
      <c r="C9" s="102" t="s">
        <v>182</v>
      </c>
      <c r="D9" s="102" t="s">
        <v>183</v>
      </c>
      <c r="E9" s="90" t="s">
        <v>171</v>
      </c>
      <c r="F9" s="90" t="s">
        <v>171</v>
      </c>
      <c r="G9" s="102" t="s">
        <v>182</v>
      </c>
      <c r="H9" s="102" t="s">
        <v>183</v>
      </c>
      <c r="I9" s="97" t="s">
        <v>221</v>
      </c>
      <c r="J9" s="13"/>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6"/>
  <sheetViews>
    <sheetView workbookViewId="0">
      <selection activeCell="D20" sqref="D20"/>
    </sheetView>
  </sheetViews>
  <sheetFormatPr defaultRowHeight="12.75"/>
  <cols>
    <col min="1" max="1" width="18.5703125" customWidth="1"/>
    <col min="2" max="2" width="30.5703125" bestFit="1" customWidth="1"/>
    <col min="3" max="3" width="25.7109375" bestFit="1" customWidth="1"/>
    <col min="4" max="4" width="31.5703125" customWidth="1"/>
    <col min="5" max="5" width="25.5703125" bestFit="1" customWidth="1"/>
    <col min="6" max="6" width="48.42578125" style="23" bestFit="1" customWidth="1"/>
  </cols>
  <sheetData>
    <row r="1" spans="1:5" ht="13.5" thickBot="1">
      <c r="A1" s="144" t="s">
        <v>222</v>
      </c>
      <c r="B1" s="145"/>
      <c r="C1" s="146"/>
    </row>
    <row r="2" spans="1:5" ht="13.5" thickBot="1"/>
    <row r="3" spans="1:5" ht="13.5" thickBot="1">
      <c r="A3" s="144" t="s">
        <v>223</v>
      </c>
      <c r="B3" s="145"/>
      <c r="C3" s="146"/>
    </row>
    <row r="4" spans="1:5">
      <c r="A4" s="16" t="s">
        <v>204</v>
      </c>
      <c r="B4" s="16" t="s">
        <v>224</v>
      </c>
      <c r="C4" s="16" t="s">
        <v>66</v>
      </c>
    </row>
    <row r="5" spans="1:5">
      <c r="A5" s="90" t="s">
        <v>225</v>
      </c>
      <c r="B5" s="90" t="s">
        <v>226</v>
      </c>
      <c r="C5" s="90" t="s">
        <v>227</v>
      </c>
    </row>
    <row r="6" spans="1:5">
      <c r="A6" s="13"/>
      <c r="B6" s="13"/>
      <c r="C6" s="13"/>
    </row>
    <row r="7" spans="1:5">
      <c r="A7" s="13"/>
      <c r="B7" s="13"/>
      <c r="C7" s="13"/>
    </row>
    <row r="9" spans="1:5" ht="13.5" thickBot="1"/>
    <row r="10" spans="1:5" ht="13.5" thickBot="1">
      <c r="A10" s="144" t="s">
        <v>228</v>
      </c>
      <c r="B10" s="145"/>
      <c r="C10" s="146"/>
    </row>
    <row r="11" spans="1:5">
      <c r="A11" s="16" t="s">
        <v>204</v>
      </c>
      <c r="B11" s="16" t="s">
        <v>224</v>
      </c>
      <c r="C11" s="16" t="s">
        <v>229</v>
      </c>
      <c r="D11" s="14" t="s">
        <v>23</v>
      </c>
      <c r="E11" s="15"/>
    </row>
    <row r="12" spans="1:5">
      <c r="A12" s="90" t="s">
        <v>225</v>
      </c>
      <c r="B12" s="90" t="s">
        <v>226</v>
      </c>
      <c r="C12" s="90" t="s">
        <v>230</v>
      </c>
      <c r="D12" s="90" t="s">
        <v>227</v>
      </c>
    </row>
    <row r="15" spans="1:5">
      <c r="A15" s="21" t="s">
        <v>33</v>
      </c>
      <c r="B15" s="21" t="s">
        <v>191</v>
      </c>
    </row>
    <row r="16" spans="1:5">
      <c r="A16" s="20"/>
      <c r="B16" s="20"/>
    </row>
  </sheetData>
  <mergeCells count="3">
    <mergeCell ref="A1:C1"/>
    <mergeCell ref="A10:C10"/>
    <mergeCell ref="A3:C3"/>
  </mergeCells>
  <phoneticPr fontId="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A12"/>
  <sheetViews>
    <sheetView workbookViewId="0">
      <selection activeCell="C17" sqref="C17"/>
    </sheetView>
  </sheetViews>
  <sheetFormatPr defaultRowHeight="12.75"/>
  <cols>
    <col min="1" max="1" width="15.7109375" bestFit="1" customWidth="1"/>
    <col min="2" max="2" width="23.5703125" bestFit="1" customWidth="1"/>
    <col min="3" max="3" width="38.42578125" customWidth="1"/>
    <col min="4" max="4" width="35" bestFit="1" customWidth="1"/>
    <col min="5" max="5" width="29.140625" bestFit="1" customWidth="1"/>
    <col min="6" max="6" width="11.85546875" bestFit="1" customWidth="1"/>
    <col min="7" max="7" width="12.42578125" bestFit="1" customWidth="1"/>
    <col min="8" max="8" width="11.42578125" bestFit="1" customWidth="1"/>
    <col min="9" max="9" width="18.28515625" bestFit="1" customWidth="1"/>
    <col min="10" max="10" width="11.140625" bestFit="1" customWidth="1"/>
    <col min="11" max="11" width="13.140625" bestFit="1" customWidth="1"/>
    <col min="12" max="12" width="66.5703125" bestFit="1" customWidth="1"/>
    <col min="13" max="13" width="9" bestFit="1" customWidth="1"/>
    <col min="14" max="14" width="6.140625" bestFit="1" customWidth="1"/>
    <col min="15" max="15" width="8.42578125" bestFit="1" customWidth="1"/>
    <col min="16" max="16" width="9" bestFit="1"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7" ht="13.5" thickBot="1">
      <c r="A1" s="144" t="s">
        <v>231</v>
      </c>
      <c r="B1" s="145"/>
      <c r="C1" s="146"/>
    </row>
    <row r="2" spans="1:27">
      <c r="F2" s="153" t="s">
        <v>232</v>
      </c>
      <c r="G2" s="153"/>
      <c r="H2" s="153"/>
      <c r="I2" s="150" t="s">
        <v>233</v>
      </c>
      <c r="J2" s="151"/>
      <c r="K2" s="151"/>
      <c r="L2" s="150" t="s">
        <v>234</v>
      </c>
      <c r="M2" s="151"/>
      <c r="N2" s="151"/>
      <c r="O2" s="151"/>
      <c r="P2" s="151"/>
      <c r="Q2" s="152"/>
      <c r="R2" s="150" t="s">
        <v>235</v>
      </c>
      <c r="S2" s="151"/>
      <c r="T2" s="151"/>
      <c r="U2" s="152"/>
      <c r="V2" s="150" t="s">
        <v>236</v>
      </c>
      <c r="W2" s="152"/>
    </row>
    <row r="3" spans="1:27" s="46" customFormat="1" ht="34.5">
      <c r="A3" s="42" t="s">
        <v>204</v>
      </c>
      <c r="B3" s="42" t="s">
        <v>224</v>
      </c>
      <c r="C3" s="42" t="s">
        <v>229</v>
      </c>
      <c r="D3" s="42" t="s">
        <v>237</v>
      </c>
      <c r="E3" s="42" t="s">
        <v>118</v>
      </c>
      <c r="F3" s="43" t="s">
        <v>238</v>
      </c>
      <c r="G3" s="43" t="s">
        <v>239</v>
      </c>
      <c r="H3" s="42" t="s">
        <v>240</v>
      </c>
      <c r="I3" s="43" t="s">
        <v>241</v>
      </c>
      <c r="J3" s="43" t="s">
        <v>242</v>
      </c>
      <c r="K3" s="43" t="s">
        <v>243</v>
      </c>
      <c r="L3" s="47" t="s">
        <v>244</v>
      </c>
      <c r="M3" s="47" t="s">
        <v>245</v>
      </c>
      <c r="N3" s="43" t="s">
        <v>246</v>
      </c>
      <c r="O3" s="43" t="s">
        <v>247</v>
      </c>
      <c r="P3" s="43" t="s">
        <v>248</v>
      </c>
      <c r="Q3" s="43" t="s">
        <v>249</v>
      </c>
      <c r="R3" s="44" t="s">
        <v>244</v>
      </c>
      <c r="S3" s="44" t="s">
        <v>245</v>
      </c>
      <c r="T3" s="44" t="s">
        <v>250</v>
      </c>
      <c r="U3" s="45" t="s">
        <v>251</v>
      </c>
      <c r="V3" s="45" t="s">
        <v>252</v>
      </c>
      <c r="W3" s="45" t="s">
        <v>253</v>
      </c>
      <c r="X3" s="43" t="s">
        <v>23</v>
      </c>
    </row>
    <row r="4" spans="1:27" ht="18" customHeight="1">
      <c r="A4" s="98" t="s">
        <v>206</v>
      </c>
      <c r="B4" s="98" t="s">
        <v>254</v>
      </c>
      <c r="C4" s="98" t="s">
        <v>230</v>
      </c>
      <c r="D4" s="98" t="s">
        <v>255</v>
      </c>
      <c r="E4" s="98" t="s">
        <v>256</v>
      </c>
      <c r="F4" s="98" t="s">
        <v>163</v>
      </c>
      <c r="G4" s="98" t="s">
        <v>163</v>
      </c>
      <c r="H4" s="98" t="s">
        <v>163</v>
      </c>
      <c r="I4" s="98" t="s">
        <v>163</v>
      </c>
      <c r="J4" s="98" t="s">
        <v>163</v>
      </c>
      <c r="K4" s="98" t="s">
        <v>163</v>
      </c>
      <c r="L4" s="100" t="s">
        <v>257</v>
      </c>
      <c r="M4" s="98" t="s">
        <v>163</v>
      </c>
      <c r="N4" s="98" t="s">
        <v>163</v>
      </c>
      <c r="O4" s="98" t="s">
        <v>163</v>
      </c>
      <c r="P4" s="98" t="s">
        <v>163</v>
      </c>
      <c r="Q4" s="98" t="s">
        <v>163</v>
      </c>
      <c r="R4" s="98" t="s">
        <v>163</v>
      </c>
      <c r="S4" s="99" t="s">
        <v>163</v>
      </c>
      <c r="T4" s="98" t="s">
        <v>163</v>
      </c>
      <c r="U4" s="98" t="s">
        <v>163</v>
      </c>
      <c r="V4" s="99" t="s">
        <v>163</v>
      </c>
      <c r="W4" s="98" t="s">
        <v>163</v>
      </c>
      <c r="X4" s="98" t="s">
        <v>258</v>
      </c>
      <c r="Y4" s="89"/>
      <c r="Z4" s="89"/>
      <c r="AA4" s="89"/>
    </row>
    <row r="5" spans="1:27" ht="18" customHeight="1">
      <c r="A5" s="98" t="s">
        <v>206</v>
      </c>
      <c r="B5" s="98" t="s">
        <v>254</v>
      </c>
      <c r="C5" s="98" t="s">
        <v>230</v>
      </c>
      <c r="D5" s="98" t="s">
        <v>259</v>
      </c>
      <c r="E5" s="98" t="s">
        <v>260</v>
      </c>
      <c r="F5" s="98" t="s">
        <v>261</v>
      </c>
      <c r="G5" s="98" t="s">
        <v>261</v>
      </c>
      <c r="H5" s="98" t="s">
        <v>262</v>
      </c>
      <c r="I5" s="98" t="s">
        <v>163</v>
      </c>
      <c r="J5" s="98" t="s">
        <v>163</v>
      </c>
      <c r="K5" s="98" t="s">
        <v>163</v>
      </c>
      <c r="L5" s="98" t="s">
        <v>163</v>
      </c>
      <c r="M5" s="98" t="s">
        <v>163</v>
      </c>
      <c r="N5" s="98" t="s">
        <v>163</v>
      </c>
      <c r="O5" s="98" t="s">
        <v>163</v>
      </c>
      <c r="P5" s="98" t="s">
        <v>163</v>
      </c>
      <c r="Q5" s="98" t="s">
        <v>163</v>
      </c>
      <c r="R5" s="98" t="s">
        <v>163</v>
      </c>
      <c r="S5" s="99" t="s">
        <v>163</v>
      </c>
      <c r="T5" s="98" t="s">
        <v>163</v>
      </c>
      <c r="U5" s="98" t="s">
        <v>163</v>
      </c>
      <c r="V5" s="99" t="s">
        <v>163</v>
      </c>
      <c r="W5" s="98" t="s">
        <v>163</v>
      </c>
      <c r="X5" s="98" t="s">
        <v>263</v>
      </c>
      <c r="Y5" s="89"/>
      <c r="Z5" s="101"/>
      <c r="AA5" s="101"/>
    </row>
    <row r="6" spans="1:27" ht="18" customHeight="1">
      <c r="A6" s="98" t="s">
        <v>206</v>
      </c>
      <c r="B6" s="98" t="s">
        <v>254</v>
      </c>
      <c r="C6" s="98" t="s">
        <v>230</v>
      </c>
      <c r="D6" s="98" t="s">
        <v>264</v>
      </c>
      <c r="E6" s="98" t="s">
        <v>207</v>
      </c>
      <c r="F6" s="98" t="s">
        <v>262</v>
      </c>
      <c r="G6" s="98" t="s">
        <v>261</v>
      </c>
      <c r="H6" s="98" t="s">
        <v>265</v>
      </c>
      <c r="I6" s="98" t="s">
        <v>265</v>
      </c>
      <c r="J6" s="98" t="s">
        <v>266</v>
      </c>
      <c r="K6" s="98" t="s">
        <v>262</v>
      </c>
      <c r="L6" s="100" t="s">
        <v>267</v>
      </c>
      <c r="M6" s="98" t="s">
        <v>265</v>
      </c>
      <c r="N6" s="98" t="s">
        <v>265</v>
      </c>
      <c r="O6" s="98" t="s">
        <v>265</v>
      </c>
      <c r="P6" s="98" t="s">
        <v>265</v>
      </c>
      <c r="Q6" s="98" t="s">
        <v>265</v>
      </c>
      <c r="R6" s="98" t="s">
        <v>265</v>
      </c>
      <c r="S6" s="99" t="s">
        <v>265</v>
      </c>
      <c r="T6" s="98" t="s">
        <v>268</v>
      </c>
      <c r="U6" s="98" t="s">
        <v>265</v>
      </c>
      <c r="V6" s="99" t="s">
        <v>265</v>
      </c>
      <c r="W6" s="98" t="s">
        <v>265</v>
      </c>
      <c r="X6" s="98" t="s">
        <v>269</v>
      </c>
      <c r="Y6" s="89"/>
      <c r="Z6" s="101"/>
      <c r="AA6" s="101"/>
    </row>
    <row r="7" spans="1:27" ht="18" customHeight="1">
      <c r="A7" s="98" t="s">
        <v>206</v>
      </c>
      <c r="B7" s="98" t="s">
        <v>254</v>
      </c>
      <c r="C7" s="98" t="s">
        <v>230</v>
      </c>
      <c r="D7" s="98" t="s">
        <v>270</v>
      </c>
      <c r="E7" s="98" t="s">
        <v>256</v>
      </c>
      <c r="F7" s="98" t="s">
        <v>163</v>
      </c>
      <c r="G7" s="98" t="s">
        <v>163</v>
      </c>
      <c r="H7" s="98" t="s">
        <v>163</v>
      </c>
      <c r="I7" s="98" t="s">
        <v>163</v>
      </c>
      <c r="J7" s="98" t="s">
        <v>163</v>
      </c>
      <c r="K7" s="98" t="s">
        <v>163</v>
      </c>
      <c r="L7" s="98" t="s">
        <v>163</v>
      </c>
      <c r="M7" s="98" t="s">
        <v>163</v>
      </c>
      <c r="N7" s="98" t="s">
        <v>163</v>
      </c>
      <c r="O7" s="98" t="s">
        <v>163</v>
      </c>
      <c r="P7" s="98" t="s">
        <v>163</v>
      </c>
      <c r="Q7" s="98" t="s">
        <v>163</v>
      </c>
      <c r="R7" s="98" t="s">
        <v>163</v>
      </c>
      <c r="S7" s="98" t="s">
        <v>163</v>
      </c>
      <c r="T7" s="98" t="s">
        <v>163</v>
      </c>
      <c r="U7" s="98" t="s">
        <v>163</v>
      </c>
      <c r="V7" s="99" t="s">
        <v>271</v>
      </c>
      <c r="W7" s="98"/>
      <c r="X7" s="99" t="s">
        <v>272</v>
      </c>
      <c r="Y7" s="89"/>
      <c r="Z7" s="89"/>
      <c r="AA7" s="89"/>
    </row>
    <row r="8" spans="1:27" ht="18" customHeight="1">
      <c r="A8" s="98" t="s">
        <v>206</v>
      </c>
      <c r="B8" s="98" t="s">
        <v>254</v>
      </c>
      <c r="C8" s="98" t="s">
        <v>230</v>
      </c>
      <c r="D8" s="98" t="s">
        <v>273</v>
      </c>
      <c r="E8" s="98" t="s">
        <v>256</v>
      </c>
      <c r="F8" s="98" t="s">
        <v>163</v>
      </c>
      <c r="G8" s="98" t="s">
        <v>163</v>
      </c>
      <c r="H8" s="98" t="s">
        <v>163</v>
      </c>
      <c r="I8" s="98" t="s">
        <v>163</v>
      </c>
      <c r="J8" s="98" t="s">
        <v>163</v>
      </c>
      <c r="K8" s="98" t="s">
        <v>163</v>
      </c>
      <c r="L8" s="98" t="s">
        <v>163</v>
      </c>
      <c r="M8" s="98" t="s">
        <v>163</v>
      </c>
      <c r="N8" s="98" t="s">
        <v>163</v>
      </c>
      <c r="O8" s="98" t="s">
        <v>163</v>
      </c>
      <c r="P8" s="98" t="s">
        <v>163</v>
      </c>
      <c r="Q8" s="98" t="s">
        <v>163</v>
      </c>
      <c r="R8" s="98" t="s">
        <v>163</v>
      </c>
      <c r="S8" s="100" t="s">
        <v>274</v>
      </c>
      <c r="T8" s="98" t="s">
        <v>163</v>
      </c>
      <c r="U8" s="98" t="s">
        <v>163</v>
      </c>
      <c r="V8" s="99" t="s">
        <v>163</v>
      </c>
      <c r="W8" s="98" t="s">
        <v>163</v>
      </c>
      <c r="X8" s="99" t="s">
        <v>275</v>
      </c>
      <c r="Y8" s="89"/>
      <c r="Z8" s="89"/>
      <c r="AA8" s="89"/>
    </row>
    <row r="9" spans="1:27" ht="18" customHeight="1">
      <c r="A9" s="89"/>
      <c r="B9" s="89"/>
      <c r="C9" s="89"/>
      <c r="D9" s="89"/>
      <c r="E9" s="89"/>
      <c r="F9" s="89"/>
      <c r="G9" s="89"/>
      <c r="H9" s="89"/>
      <c r="I9" s="89"/>
      <c r="J9" s="89"/>
      <c r="K9" s="89"/>
      <c r="L9" s="89"/>
      <c r="M9" s="89"/>
      <c r="N9" s="89"/>
      <c r="O9" s="89"/>
      <c r="P9" s="89"/>
      <c r="Q9" s="89"/>
      <c r="R9" s="89"/>
      <c r="S9" s="103"/>
      <c r="T9" s="89"/>
      <c r="U9" s="89"/>
      <c r="V9" s="88"/>
      <c r="W9" s="89"/>
      <c r="X9" s="88"/>
      <c r="Y9" s="89"/>
      <c r="Z9" s="89"/>
      <c r="AA9" s="89"/>
    </row>
    <row r="11" spans="1:27">
      <c r="A11" s="21" t="s">
        <v>33</v>
      </c>
      <c r="B11" s="21" t="s">
        <v>191</v>
      </c>
    </row>
    <row r="12" spans="1:27">
      <c r="A12" s="20"/>
      <c r="B12" s="20">
        <v>0</v>
      </c>
      <c r="C12" t="s">
        <v>276</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44" t="s">
        <v>122</v>
      </c>
      <c r="B1" s="145"/>
      <c r="C1" s="146"/>
    </row>
    <row r="3" spans="1:3" ht="25.5">
      <c r="A3" s="28" t="s">
        <v>277</v>
      </c>
      <c r="B3" s="28" t="s">
        <v>169</v>
      </c>
      <c r="C3" s="28" t="s">
        <v>66</v>
      </c>
    </row>
    <row r="4" spans="1:3">
      <c r="A4" s="41" t="s">
        <v>163</v>
      </c>
      <c r="B4" s="13"/>
      <c r="C4" s="13"/>
    </row>
    <row r="5" spans="1:3">
      <c r="A5" s="13"/>
      <c r="B5" s="13"/>
      <c r="C5" s="22"/>
    </row>
    <row r="6" spans="1:3">
      <c r="A6" s="13"/>
      <c r="B6" s="13"/>
      <c r="C6" s="13"/>
    </row>
    <row r="9" spans="1:3">
      <c r="A9" s="21" t="s">
        <v>33</v>
      </c>
      <c r="B9" s="21" t="s">
        <v>191</v>
      </c>
    </row>
    <row r="10" spans="1:3">
      <c r="A10" s="20"/>
      <c r="B10" s="20"/>
    </row>
  </sheetData>
  <mergeCells count="1">
    <mergeCell ref="A1:C1"/>
  </mergeCells>
  <phoneticPr fontId="3"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44" t="s">
        <v>124</v>
      </c>
      <c r="B1" s="145"/>
      <c r="C1" s="145"/>
      <c r="D1" s="146"/>
    </row>
    <row r="3" spans="1:8">
      <c r="A3" s="14" t="s">
        <v>278</v>
      </c>
      <c r="B3" s="14" t="s">
        <v>279</v>
      </c>
      <c r="C3" s="14" t="s">
        <v>101</v>
      </c>
      <c r="D3" s="14" t="s">
        <v>280</v>
      </c>
      <c r="E3" s="14" t="s">
        <v>281</v>
      </c>
      <c r="F3" s="14" t="s">
        <v>282</v>
      </c>
    </row>
    <row r="4" spans="1:8">
      <c r="A4" s="19" t="s">
        <v>261</v>
      </c>
      <c r="B4" s="40"/>
      <c r="C4" s="41"/>
      <c r="D4" s="13"/>
      <c r="E4" s="13"/>
      <c r="F4" s="13" t="s">
        <v>163</v>
      </c>
    </row>
    <row r="5" spans="1:8">
      <c r="A5" s="19" t="s">
        <v>261</v>
      </c>
      <c r="B5" s="13"/>
      <c r="C5" s="13"/>
      <c r="D5" s="13"/>
      <c r="E5" s="13"/>
      <c r="F5" s="13" t="s">
        <v>163</v>
      </c>
    </row>
    <row r="8" spans="1:8">
      <c r="A8" s="14" t="s">
        <v>283</v>
      </c>
      <c r="B8" s="38" t="s">
        <v>284</v>
      </c>
      <c r="C8" s="38" t="s">
        <v>285</v>
      </c>
      <c r="D8" s="38" t="s">
        <v>286</v>
      </c>
      <c r="E8" s="38" t="s">
        <v>287</v>
      </c>
      <c r="F8" s="38" t="s">
        <v>288</v>
      </c>
      <c r="G8" s="38" t="s">
        <v>289</v>
      </c>
      <c r="H8" s="38" t="s">
        <v>290</v>
      </c>
    </row>
    <row r="9" spans="1:8">
      <c r="A9" s="14" t="s">
        <v>291</v>
      </c>
      <c r="B9" s="39"/>
      <c r="C9" s="39"/>
      <c r="D9" s="39"/>
      <c r="E9" s="39"/>
      <c r="F9" s="39"/>
      <c r="G9" s="39"/>
      <c r="H9" s="39"/>
    </row>
    <row r="10" spans="1:8">
      <c r="A10" s="14" t="s">
        <v>291</v>
      </c>
      <c r="B10" s="39"/>
      <c r="C10" s="39"/>
      <c r="D10" s="39"/>
      <c r="E10" s="39"/>
      <c r="F10" s="39"/>
      <c r="G10" s="39"/>
      <c r="H10" s="39"/>
    </row>
    <row r="11" spans="1:8">
      <c r="A11" s="14" t="s">
        <v>291</v>
      </c>
      <c r="B11" s="39"/>
      <c r="C11" s="39"/>
      <c r="D11" s="39"/>
      <c r="E11" s="39"/>
      <c r="F11" s="39"/>
      <c r="G11" s="39"/>
      <c r="H11" s="39"/>
    </row>
    <row r="15" spans="1:8">
      <c r="B15" s="37" t="s">
        <v>292</v>
      </c>
      <c r="C15" s="154" t="s">
        <v>293</v>
      </c>
      <c r="D15" s="154"/>
      <c r="E15" s="154"/>
      <c r="F15" s="154"/>
      <c r="G15" s="154"/>
    </row>
    <row r="16" spans="1:8">
      <c r="B16" s="37" t="s">
        <v>294</v>
      </c>
      <c r="C16" s="154"/>
      <c r="D16" s="154"/>
      <c r="E16" s="154"/>
      <c r="F16" s="154"/>
      <c r="G16" s="154"/>
    </row>
    <row r="17" spans="2:7">
      <c r="B17" s="37" t="s">
        <v>295</v>
      </c>
      <c r="C17" s="154"/>
      <c r="D17" s="154"/>
      <c r="E17" s="154"/>
      <c r="F17" s="154"/>
      <c r="G17" s="154"/>
    </row>
    <row r="18" spans="2:7">
      <c r="B18" s="37" t="s">
        <v>296</v>
      </c>
      <c r="C18" s="154"/>
      <c r="D18" s="154"/>
      <c r="E18" s="154"/>
      <c r="F18" s="154"/>
      <c r="G18" s="154"/>
    </row>
  </sheetData>
  <mergeCells count="2">
    <mergeCell ref="A1:D1"/>
    <mergeCell ref="C15:G18"/>
  </mergeCells>
  <phoneticPr fontId="3"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55" t="s">
        <v>297</v>
      </c>
      <c r="B1" s="156"/>
    </row>
    <row r="2" spans="1:2">
      <c r="A2" s="65" t="s">
        <v>298</v>
      </c>
      <c r="B2" s="83" t="s">
        <v>163</v>
      </c>
    </row>
    <row r="3" spans="1:2">
      <c r="A3" s="65" t="s">
        <v>299</v>
      </c>
      <c r="B3" s="83" t="s">
        <v>163</v>
      </c>
    </row>
    <row r="4" spans="1:2" ht="13.5" thickBot="1">
      <c r="A4" s="66" t="s">
        <v>300</v>
      </c>
      <c r="B4" s="84" t="s">
        <v>163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B77D36A7-2799-4B70-A052-A6256CE2A827}"/>
</file>

<file path=customXml/itemProps2.xml><?xml version="1.0" encoding="utf-8"?>
<ds:datastoreItem xmlns:ds="http://schemas.openxmlformats.org/officeDocument/2006/customXml" ds:itemID="{03E6713A-334A-4BAF-B8AE-5DF83E2463ED}"/>
</file>

<file path=customXml/itemProps3.xml><?xml version="1.0" encoding="utf-8"?>
<ds:datastoreItem xmlns:ds="http://schemas.openxmlformats.org/officeDocument/2006/customXml" ds:itemID="{D2C76C65-50E9-423C-B415-2D2ACA2CE860}"/>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2021-11-20T07:27:56Z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