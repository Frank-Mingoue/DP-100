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CHG\CHG212936\"/>
    </mc:Choice>
  </mc:AlternateContent>
  <xr:revisionPtr revIDLastSave="0" documentId="13_ncr:1_{1094CBEF-C554-4D15-BD4E-2D635DD15987}" xr6:coauthVersionLast="46" xr6:coauthVersionMax="47" xr10:uidLastSave="{00000000-0000-0000-0000-000000000000}"/>
  <bookViews>
    <workbookView xWindow="-108" yWindow="-108" windowWidth="23256" windowHeight="12576" tabRatio="893" firstSheet="2" activeTab="9"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1" i="12" l="1"/>
  <c r="C21" i="16"/>
  <c r="C12" i="3"/>
  <c r="G27" i="12"/>
  <c r="B12" i="3" l="1"/>
  <c r="B9" i="3" a="1"/>
  <c r="B9" i="3" s="1"/>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Grenade, Robert</author>
  </authors>
  <commentList>
    <comment ref="C10" authorId="0" shapeId="0" xr:uid="{BB870AB1-C661-480A-94FD-1FFEF4C3353B}">
      <text>
        <r>
          <rPr>
            <b/>
            <sz val="8"/>
            <color indexed="81"/>
            <rFont val="Tahoma"/>
            <family val="2"/>
          </rPr>
          <t>Grenade, Robert:</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<sst xmlns="http://schemas.openxmlformats.org/spreadsheetml/2006/main" count="732" uniqueCount="354">
  <si>
    <t>Trade Marketing Excellence Programme</t>
  </si>
  <si>
    <t>DATA</t>
  </si>
  <si>
    <t>Technical Design Mapping, Workflow &amp; Stored Procedure</t>
  </si>
  <si>
    <t>CHG/INC:</t>
  </si>
  <si>
    <t>CHG212936</t>
  </si>
  <si>
    <t xml:space="preserve">        Title:</t>
  </si>
  <si>
    <t>TMEC: OM - Pricing &amp; Taxation: Price List Enhancements</t>
  </si>
  <si>
    <t>Planned Prod Release Date:</t>
  </si>
  <si>
    <t>Feb, 2022</t>
  </si>
  <si>
    <t xml:space="preserve">  Market Affected:</t>
  </si>
  <si>
    <t>ALL</t>
  </si>
  <si>
    <t>Date:</t>
  </si>
  <si>
    <t>Status:</t>
  </si>
  <si>
    <t xml:space="preserve">Draft </t>
  </si>
  <si>
    <t>Reviewer Control Section</t>
  </si>
  <si>
    <t>Completed</t>
  </si>
  <si>
    <t>Failed</t>
  </si>
  <si>
    <t>Name</t>
  </si>
  <si>
    <t>First Name</t>
  </si>
  <si>
    <t>Function</t>
  </si>
  <si>
    <t>Document Version</t>
  </si>
  <si>
    <t>Date</t>
  </si>
  <si>
    <t>Status</t>
  </si>
  <si>
    <t>Comments</t>
  </si>
  <si>
    <t>In Progress</t>
  </si>
  <si>
    <t>Abdool</t>
  </si>
  <si>
    <t>Aïsha</t>
  </si>
  <si>
    <t>Developer</t>
  </si>
  <si>
    <t>29/10/2021</t>
  </si>
  <si>
    <t>Created based on FD for CHG212936</t>
  </si>
  <si>
    <t>Not Started</t>
  </si>
  <si>
    <t>Seeburn</t>
  </si>
  <si>
    <t>Vikram</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</si>
  <si>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</si>
  <si>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</si>
  <si>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</si>
  <si>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</si>
  <si>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</si>
  <si>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</si>
  <si>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</si>
  <si>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</si>
  <si>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</si>
  <si>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</si>
  <si>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</si>
  <si>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</si>
  <si>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</si>
  <si>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</si>
  <si>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</si>
  <si>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</si>
  <si>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</si>
  <si>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</si>
  <si>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</si>
  <si>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</si>
  <si>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</si>
  <si>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</si>
  <si>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</si>
  <si>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</si>
  <si>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</si>
  <si>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</si>
  <si>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</si>
  <si>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</si>
  <si>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OLTP Price List Version 5.0.docx</t>
  </si>
  <si>
    <t>TME Phase 2 - HLTD for Account_Price_List.docx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</si>
  <si>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</si>
  <si>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</si>
  <si>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</si>
  <si>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</si>
  <si>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</si>
  <si>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</si>
  <si>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</si>
  <si>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</si>
  <si>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</si>
  <si>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</si>
  <si>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</si>
  <si>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</si>
  <si>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</si>
  <si>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</si>
  <si>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</si>
  <si>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</si>
  <si>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</si>
  <si>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</si>
  <si>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</si>
  <si>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</si>
  <si>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</si>
  <si>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</si>
  <si>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</si>
  <si>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</si>
  <si>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</si>
  <si>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</si>
  <si>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</si>
  <si>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</si>
  <si>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</si>
  <si>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</si>
  <si>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</si>
  <si>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</si>
  <si>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</si>
  <si>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</si>
  <si>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</si>
  <si>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</si>
  <si>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</si>
  <si>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</si>
  <si>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</si>
  <si>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</si>
  <si>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</si>
  <si>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</si>
  <si>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</si>
  <si>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</si>
  <si>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</si>
  <si>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</si>
  <si>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</si>
  <si>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</si>
  <si>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</si>
  <si>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</si>
  <si>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</si>
  <si>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</si>
  <si>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</si>
  <si>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</si>
  <si>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</si>
  <si>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</si>
  <si>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</si>
  <si>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</si>
  <si>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</si>
  <si>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</si>
  <si>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</si>
  <si>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</si>
  <si>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</si>
  <si>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</si>
  <si>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</si>
  <si>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</si>
  <si>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</si>
  <si>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</si>
  <si>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</si>
  <si>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</si>
  <si>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</si>
  <si>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</si>
  <si>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</si>
  <si>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</si>
  <si>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</si>
  <si>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</si>
  <si>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</si>
  <si>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</si>
  <si>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</si>
  <si>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</si>
  <si>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</si>
  <si>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</si>
  <si>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</si>
  <si>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</si>
  <si>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</si>
  <si>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</si>
  <si>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</si>
  <si>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</si>
  <si>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</si>
  <si>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</si>
  <si>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</si>
  <si>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</si>
  <si>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</si>
  <si>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</si>
  <si>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</si>
  <si>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</si>
  <si>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</si>
  <si>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</si>
  <si>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</si>
  <si>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</si>
  <si>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</si>
  <si>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</si>
  <si>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</si>
  <si>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</si>
  <si>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</si>
  <si>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</si>
  <si>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</si>
  <si>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</si>
  <si>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</si>
  <si>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</si>
  <si>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</si>
  <si>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</si>
  <si>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PRE_EIM_PRI_LST</t>
  </si>
  <si>
    <t>OLTP</t>
  </si>
  <si>
    <t>Add new columns.</t>
  </si>
  <si>
    <t>Vardecimal compression should be applied for OLAP</t>
  </si>
  <si>
    <t>PRI_LST_TXT_GENERIC</t>
  </si>
  <si>
    <t>INFORMATICA</t>
  </si>
  <si>
    <t>Create generic source from PRI_LST_TXT_V4.
Rename to PRI_LST_TXT_GENERIC.
Add new columns.</t>
  </si>
  <si>
    <t>When populating WC_FF_ENTITY_DETAILS, populate COUNTRY with value from WC_FF_COUNTRY_LANG_ID</t>
  </si>
  <si>
    <t>S_PRI_LST</t>
  </si>
  <si>
    <t>Impacted</t>
  </si>
  <si>
    <t>EIM_PRI_LST</t>
  </si>
  <si>
    <t>No impact</t>
  </si>
  <si>
    <t>WC_PROCESS_PARAMS_G</t>
  </si>
  <si>
    <t>Add parameters to activate batch process</t>
  </si>
  <si>
    <t>WC_EIM_ENTITY_MAIL_G</t>
  </si>
  <si>
    <t>Configure Ibot for Eim check status for batch process</t>
  </si>
  <si>
    <t>Columns</t>
  </si>
  <si>
    <t>Column Name</t>
  </si>
  <si>
    <t>Data Type</t>
  </si>
  <si>
    <t>Default column value</t>
  </si>
  <si>
    <t>X_JTI_PRICELIST_CATEGORY_CD</t>
  </si>
  <si>
    <t>NVARCHAR(30)</t>
  </si>
  <si>
    <t>X_JTI_PRICELIST_DISTRIBUTOR_TEXT</t>
  </si>
  <si>
    <t>NVARCHAR(100)</t>
  </si>
  <si>
    <t>NSTRING(500)</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</si>
  <si>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</si>
  <si>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</si>
  <si>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</si>
  <si>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</si>
  <si>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</si>
  <si>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</si>
  <si>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</si>
  <si>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</si>
  <si>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</si>
  <si>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</si>
  <si>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</si>
  <si>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</si>
  <si>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PO5.
Add new fields.</t>
  </si>
  <si>
    <t>WC_FF_ENTITY_DATA</t>
  </si>
  <si>
    <t>WC_FF_ENTITY_PARAM</t>
  </si>
  <si>
    <t>IFBs</t>
  </si>
  <si>
    <t>Ifb Name</t>
  </si>
  <si>
    <t>IFA_XXX_PO_PriceList.ifb</t>
  </si>
  <si>
    <t>Add new fields to 29 ifbs:
S_PRI_LST.X_JTI_PRICELIST_CATEGORY_CD
S_PRI_LST.X_JTI_PRICELIST_DISTRIBUTOR_TEXT</t>
  </si>
  <si>
    <t xml:space="preserve">IFA_ENU_Account_Price_List.ifb </t>
  </si>
  <si>
    <t>New IFB to for batch process to import into:
•	S_PRI_LST -&gt;EIM_DOC_QUOTE
•	S_ACCNT_PRI_LST -&gt;EIM_ACCOUNT1</t>
  </si>
  <si>
    <t>Parameter Files</t>
  </si>
  <si>
    <t>Configuration File (*.ini)</t>
  </si>
  <si>
    <t>pre-ADHOC_OLTP.ini</t>
  </si>
  <si>
    <t>Add Group functionality to normal INI file 
#GROUPING FUNCTIONALITY
#This parameter is use to for the new implementation of Group Entities.
#Specifies the entities (space-separated) that should be grouped
#If not specified, no entities will be considered.
GroupEntities = PO</t>
  </si>
  <si>
    <t>post-ETL.ini</t>
  </si>
  <si>
    <t>Bat Files</t>
  </si>
  <si>
    <t xml:space="preserve">Mapping </t>
  </si>
  <si>
    <t>Folder Name</t>
  </si>
  <si>
    <t>Mapping Name</t>
  </si>
  <si>
    <t>EIM_INTERFACE</t>
  </si>
  <si>
    <t>FDE_INT_PRICE_LIST</t>
  </si>
  <si>
    <t>Add 2 new fields.</t>
  </si>
  <si>
    <t>FDE_INT_PRICE_LIST_PRE_GENERIC</t>
  </si>
  <si>
    <t>Copy mapping FDE_INT_PRICE_LIST_PRE_V4
Rename mapping to FDE_INT_PRICE_LIST_PRE_GENERIC, Reaarange Port for Generic interface
Add 2 new fields.</t>
  </si>
  <si>
    <t>EC4U</t>
  </si>
  <si>
    <t>Shortcut_To_FDE_INT_PRICE_LIST</t>
  </si>
  <si>
    <t>Impacted/Validate mapping.</t>
  </si>
  <si>
    <t>Shortcut_To_FDE_INT_PRICE_LIST_PRE_GENERIC</t>
  </si>
  <si>
    <t>Create mapping Shortcut</t>
  </si>
  <si>
    <t>SIL_Account_Price_List</t>
  </si>
  <si>
    <t>Create new mapping to populate EIM table to load data into S_ACCNT_PRI_LST and update S_PRI_LST</t>
  </si>
  <si>
    <t>High level</t>
  </si>
  <si>
    <t>Create shortcut</t>
  </si>
  <si>
    <t>Mapping Details</t>
  </si>
  <si>
    <t>Source Table</t>
  </si>
  <si>
    <t>Instance Name</t>
  </si>
  <si>
    <t>Source Column</t>
  </si>
  <si>
    <t>Datatype</t>
  </si>
  <si>
    <t>Target Table</t>
  </si>
  <si>
    <t>Target Column</t>
  </si>
  <si>
    <t>Functional
Summary</t>
  </si>
  <si>
    <t>Transformations</t>
  </si>
  <si>
    <t>Import source and target</t>
  </si>
  <si>
    <t>Add new field to SQL query of SQ.</t>
  </si>
  <si>
    <t>SQ_PRE_EIM_PRI_LST</t>
  </si>
  <si>
    <t>1. Field transfer.
2. LOV check: Copy mapplet MPLT_LOV_LKP_VALUE.
Rename mapplet to MPLT_LOV_LKP_VALUE_X_JTI_PRICELIST_DISTRIBUTOR_TEXT</t>
  </si>
  <si>
    <t>MPLT_LOV_LKP_VALUE_X_JTI_PRICELIST_DISTRIBUTOR_TEXT</t>
  </si>
  <si>
    <t>1. Field transfer.
2. Duplicates check</t>
  </si>
  <si>
    <t>EXP_DUP_CHK</t>
  </si>
  <si>
    <t>SQ_PRI_LST_TXT</t>
  </si>
  <si>
    <t>PRI_LST_TXT_V5</t>
  </si>
  <si>
    <t>1. Field transfer
2. String check
3. NULL check: 
Copy mapplet MPLT_NULL_CHK
Rename mapplet to MPLT_NULL_CHK_X_JTI_PRICELIST_CATEGORY_CD</t>
  </si>
  <si>
    <t>2. EXP_CHECK_STRING
3. MPLT_NULL_CHK_X_JTI_PRICELIST_CATEGORY_CD</t>
  </si>
  <si>
    <t>1. Field transfer
2. String check
3. NULL check: 
Copy mapplet MPLT_NULL_CHK
Rename mapplet to MPLT_NULL_CHK_X_JTI_PRICELIST_DISTRIBUTOR_TEXT</t>
  </si>
  <si>
    <t>2. EXP_CHECK_STRING
3. MPLT_NULL_CHK_X_JTI_PRICELIST_DISTRIBUTOR_TEXT</t>
  </si>
  <si>
    <t>Session , worklet &amp; workflow</t>
  </si>
  <si>
    <t>Workflow</t>
  </si>
  <si>
    <t>Worflow Name</t>
  </si>
  <si>
    <t>RUN_EIM_PROCESS_ADHOC</t>
  </si>
  <si>
    <t>JTI_DWH_ETLComplete_Incremental,JTI_OLTP_EIM</t>
  </si>
  <si>
    <t>RUN_Account_Price_List_Batch</t>
  </si>
  <si>
    <t>New workflow scheduled outside TME ETL hours (depending on each environment)
The execution frequency should be every 1 hour.</t>
  </si>
  <si>
    <t>Worklet</t>
  </si>
  <si>
    <t>Worklet Name</t>
  </si>
  <si>
    <t>wrk_Account_Price_List_Batch</t>
  </si>
  <si>
    <t>wrk_Price_List_Interface/</t>
  </si>
  <si>
    <t>Load_EIM/wrk_Price_List_Interface/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</si>
  <si>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</si>
  <si>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</si>
  <si>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</si>
  <si>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</si>
  <si>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</si>
  <si>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</si>
  <si>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</si>
  <si>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</si>
  <si>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</si>
  <si>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</si>
  <si>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</si>
  <si>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</si>
  <si>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</si>
  <si>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</si>
  <si>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</si>
  <si>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</si>
  <si>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</si>
  <si>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</si>
  <si>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</si>
  <si>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</si>
  <si>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</si>
  <si>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</si>
  <si>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</si>
  <si>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Generate_List</t>
  </si>
  <si>
    <t>DummyMap</t>
  </si>
  <si>
    <t>n/a</t>
  </si>
  <si>
    <t>Restart Task</t>
  </si>
  <si>
    <t>Y</t>
  </si>
  <si>
    <t>$PMSourceFileDir\Scripts\oltp-file-transform.bat /i List_PO.txt /p 1 /c pre-ADHOC_OLTP.ini</t>
  </si>
  <si>
    <t>New generic session</t>
  </si>
  <si>
    <t>s_FDE_INT_PRICE_LIST_PRE_GENERIC</t>
  </si>
  <si>
    <t>Shortcut_to_FDE_INT_PRICE_LIST_PRE_GENERIC</t>
  </si>
  <si>
    <t>s_FDE_PRI_LIST</t>
  </si>
  <si>
    <t>Shortcut_to_FDE_INT_PRICE_LIST</t>
  </si>
  <si>
    <t>Validate</t>
  </si>
  <si>
    <t>s_SIL_Account_Price_List</t>
  </si>
  <si>
    <t>New  session to pupulate EIM table</t>
  </si>
  <si>
    <t>s_Check_EIM_Batch</t>
  </si>
  <si>
    <t>DUMMY_BATCH</t>
  </si>
  <si>
    <t>SELECT TOP 1 1 
FROM *EIM_ACCOUNT1 (NOLOCK)
WHERE  IF_ROW_BATCH_NUM BETWEEN 101000 AND 101999</t>
  </si>
  <si>
    <t>New session</t>
  </si>
  <si>
    <t>s_EIM_Account_Price_List</t>
  </si>
  <si>
    <t>$PMSourceFileDir\Scripts\run-EIM-process_perf.bat "IFA_ENU_Account_Price_List.ifb " "ENU"</t>
  </si>
  <si>
    <t>s_Check_EIM_Batch_status</t>
  </si>
  <si>
    <t>SELECT TOP 1 1 
FROM *EIM_ACCOUNT1 (NOLOCK)
WHERE  IF_ROW_BATCH_NUM BETWEEN 101000 AND 101999
AND IF_ROW_STAT NOT IN (SELECT IF_ROW_STATS FROM WC_EIM_VALID_BATCH_STATUS_PARAM)</t>
  </si>
  <si>
    <t>s_ThrowIbotEmail</t>
  </si>
  <si>
    <t>$PMSourceFileDir\Scripts\ThowIbotEmail.bat Account_Price_List_Batch</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</si>
  <si>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</si>
  <si>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</si>
  <si>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</si>
  <si>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</si>
  <si>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</si>
  <si>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</si>
  <si>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</si>
  <si>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</si>
  <si>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</si>
  <si>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</si>
  <si>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</si>
  <si>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</si>
  <si>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</si>
  <si>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</si>
  <si>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</si>
  <si>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</si>
  <si>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</si>
  <si>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</si>
  <si>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</si>
  <si>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</si>
  <si>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</si>
  <si>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</si>
  <si>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</si>
  <si>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</si>
  <si>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</si>
  <si>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$PMSourceFileDir\Scripts\file-transform_JAVA.bat /i List_CN.txt /p 1 /c pre-ADHOC_OLTP.ini</t>
  </si>
  <si>
    <t>[20/12/2021:FM] CHG212936  - TMEC: OM - Pricing &amp; Taxation: Price List Enhancements</t>
  </si>
  <si>
    <t xml:space="preserve">TRANSFORMATION : EXP_VAR
RENAME MAPPING NAME PORT  EXPRESSION 'FDE_INT_PRICE_LIST_PRE_GENERIC'
</t>
  </si>
  <si>
    <t>MPLT NAME , TARGET COLUMS AND TARGET TABLES
ADD TO FILTER CONDITION 
CHK_DISTRIBUTOR_ACCNT= 'ERROR' OR X_JTI_PRICELIST_CATEGORY_CD=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</si>
</sst>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
      <patternFill patternType="solid">
        <fgColor theme="0" tint="-0.249977111117893"/>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5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applyAlignment="0"/>
    <xf numFmtId="0" fontId="1" fillId="0" borderId="0" applyAlignment="0"/>
    <xf numFmtId="0" fontId="1" fillId="22" borderId="4" applyNumberFormat="0" applyFont="0" applyAlignment="0" applyProtection="0"/>
    <xf numFmtId="0" fontId="1" fillId="0" borderId="0"/>
    <xf numFmtId="0" fontId="1" fillId="0" borderId="0" applyAlignment="0"/>
    <xf numFmtId="0" fontId="1" fillId="0" borderId="0" applyAlignment="0"/>
    <xf numFmtId="0" fontId="21" fillId="21" borderId="0" applyNumberFormat="0" applyBorder="0" applyAlignment="0" applyProtection="0"/>
    <xf numFmtId="0" fontId="1" fillId="22" borderId="4" applyNumberFormat="0" applyFont="0" applyAlignment="0" applyProtection="0"/>
    <xf numFmtId="0" fontId="1" fillId="0" borderId="0"/>
    <xf numFmtId="0" fontId="1" fillId="0" borderId="0" applyAlignment="0"/>
  </cellStyleXfs>
  <cellXfs count="161">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11" xfId="0" applyFont="1" applyBorder="1" applyAlignment="1">
      <alignment wrapText="1"/>
    </xf>
    <xf numFmtId="0" fontId="1" fillId="0" borderId="10" xfId="47" applyBorder="1" applyAlignment="1">
      <alignment vertical="center"/>
    </xf>
    <xf numFmtId="0" fontId="1" fillId="0" borderId="10" xfId="47" applyBorder="1" applyAlignment="1">
      <alignment vertical="center" wrapText="1"/>
    </xf>
    <xf numFmtId="0" fontId="1" fillId="0" borderId="10" xfId="47" applyBorder="1"/>
    <xf numFmtId="0" fontId="0" fillId="0" borderId="33" xfId="0" applyBorder="1"/>
    <xf numFmtId="0" fontId="1" fillId="0" borderId="10" xfId="0" applyFont="1" applyBorder="1" applyAlignment="1">
      <alignment vertical="center"/>
    </xf>
    <xf numFmtId="0" fontId="1" fillId="35" borderId="0" xfId="0" applyFont="1" applyFill="1"/>
    <xf numFmtId="0" fontId="0" fillId="35" borderId="10" xfId="0" applyFill="1" applyBorder="1"/>
    <xf numFmtId="0" fontId="1" fillId="35" borderId="10" xfId="0" applyFont="1" applyFill="1" applyBorder="1" applyAlignment="1">
      <alignment wrapText="1"/>
    </xf>
    <xf numFmtId="0" fontId="0" fillId="35" borderId="0" xfId="0" applyFill="1"/>
    <xf numFmtId="0" fontId="1" fillId="0" borderId="0" xfId="34" applyAlignment="1">
      <alignment horizontal="left"/>
    </xf>
    <xf numFmtId="0" fontId="1" fillId="29" borderId="10" xfId="0" applyFont="1" applyFill="1" applyBorder="1"/>
    <xf numFmtId="0" fontId="0" fillId="36" borderId="0" xfId="0" applyFill="1"/>
    <xf numFmtId="0" fontId="1" fillId="36" borderId="10" xfId="0" applyFont="1" applyFill="1" applyBorder="1"/>
    <xf numFmtId="0" fontId="0" fillId="36" borderId="10" xfId="0" applyFill="1" applyBorder="1"/>
    <xf numFmtId="0" fontId="1" fillId="36" borderId="10" xfId="0" applyFont="1" applyFill="1" applyBorder="1" applyAlignment="1">
      <alignment wrapText="1"/>
    </xf>
    <xf numFmtId="0" fontId="1" fillId="36" borderId="10" xfId="0" applyFont="1" applyFill="1" applyBorder="1" applyAlignment="1">
      <alignment vertical="center" wrapText="1"/>
    </xf>
    <xf numFmtId="0" fontId="1" fillId="36" borderId="33" xfId="0" applyFont="1" applyFill="1" applyBorder="1" applyAlignment="1">
      <alignment wrapText="1"/>
    </xf>
    <xf numFmtId="0" fontId="0" fillId="0" borderId="33" xfId="0"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36" borderId="0" xfId="0" applyFill="1" applyAlignment="1">
      <alignment wrapText="1"/>
    </xf>
  </cellXfs>
  <cellStyles count="5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eutral 2" xfId="52" xr:uid="{4085051E-F038-447E-AF63-36F1D322989E}"/>
    <cellStyle name="Normal" xfId="0" builtinId="0"/>
    <cellStyle name="Normal 2" xfId="47" xr:uid="{912C6038-B569-4357-B8EF-2D57F73DFC75}"/>
    <cellStyle name="Normal 2 10" xfId="55" xr:uid="{6ADAC4D9-9FD9-48EA-A056-24B601F59CCF}"/>
    <cellStyle name="Normal 2 2" xfId="51" xr:uid="{8A092A56-E746-4601-AB2C-F6A8BD8A5BFD}"/>
    <cellStyle name="Normal 3" xfId="50" xr:uid="{C2F6AC56-581B-4390-9E32-82B965864BE3}"/>
    <cellStyle name="Normal 4" xfId="46" xr:uid="{DFF07E2F-AE95-468D-AE3B-A8DA1B92A906}"/>
    <cellStyle name="Normal_Sales DetailedTD_CR_XXXX_Template" xfId="34" xr:uid="{00000000-0005-0000-0000-000022000000}"/>
    <cellStyle name="Notiz" xfId="35" xr:uid="{00000000-0005-0000-0000-000023000000}"/>
    <cellStyle name="Notiz 2" xfId="53" xr:uid="{DC827CB0-03A8-49B9-AB12-1DF878B939A6}"/>
    <cellStyle name="Notiz 3" xfId="48" xr:uid="{EB7B3158-FBA4-4FD9-BCE9-70B0F57AAB74}"/>
    <cellStyle name="Schlecht" xfId="36" xr:uid="{00000000-0005-0000-0000-000024000000}"/>
    <cellStyle name="Standard 2" xfId="37" xr:uid="{00000000-0005-0000-0000-000025000000}"/>
    <cellStyle name="Standard 2 2" xfId="54" xr:uid="{AFBC12E5-2265-494F-9643-636CA766E40B}"/>
    <cellStyle name="Standard 2 3" xfId="49" xr:uid="{A5D01B8C-888B-45DA-B25E-20F7E9C741EB}"/>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3" zoomScale="80" zoomScaleNormal="75" workbookViewId="0">
      <selection activeCell="I24" sqref="I24"/>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7" t="s">
        <v>0</v>
      </c>
      <c r="B13" s="107"/>
      <c r="C13" s="107"/>
      <c r="D13" s="107"/>
      <c r="E13" s="107"/>
      <c r="F13" s="107"/>
      <c r="G13" s="107"/>
      <c r="H13" s="107"/>
      <c r="I13" s="107"/>
      <c r="J13" s="107"/>
      <c r="K13" s="107"/>
      <c r="L13" s="107"/>
      <c r="M13" s="107"/>
      <c r="N13" s="107"/>
      <c r="O13" s="107"/>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8" t="s">
        <v>1</v>
      </c>
      <c r="B20" s="108"/>
      <c r="C20" s="108"/>
      <c r="D20" s="108"/>
      <c r="E20" s="108"/>
      <c r="F20" s="108"/>
      <c r="G20" s="108"/>
      <c r="H20" s="108"/>
      <c r="I20" s="108"/>
      <c r="J20" s="108"/>
      <c r="K20" s="108"/>
      <c r="L20" s="108"/>
      <c r="M20" s="108"/>
      <c r="N20" s="108"/>
      <c r="O20" s="108"/>
    </row>
    <row r="21" spans="1:15" ht="30.6" x14ac:dyDescent="0.55000000000000004">
      <c r="A21" s="108" t="s">
        <v>2</v>
      </c>
      <c r="B21" s="108"/>
      <c r="C21" s="108"/>
      <c r="D21" s="108"/>
      <c r="E21" s="108"/>
      <c r="F21" s="108"/>
      <c r="G21" s="108"/>
      <c r="H21" s="108"/>
      <c r="I21" s="108"/>
      <c r="J21" s="108"/>
      <c r="K21" s="108"/>
      <c r="L21" s="108"/>
      <c r="M21" s="108"/>
      <c r="N21" s="108"/>
      <c r="O21" s="108"/>
    </row>
    <row r="22" spans="1:15" ht="13.8" x14ac:dyDescent="0.3">
      <c r="A22" s="1"/>
      <c r="B22" s="1"/>
      <c r="C22" s="1"/>
      <c r="D22" s="1"/>
      <c r="E22" s="1"/>
      <c r="F22" s="1"/>
      <c r="G22" s="1"/>
      <c r="H22" s="1"/>
      <c r="I22" s="1"/>
    </row>
    <row r="23" spans="1:15" ht="30.6" x14ac:dyDescent="0.55000000000000004">
      <c r="A23" s="74"/>
      <c r="B23" s="74"/>
      <c r="C23" s="74"/>
      <c r="D23" s="74"/>
      <c r="E23" s="74"/>
      <c r="F23" s="75"/>
      <c r="G23" s="108" t="s">
        <v>3</v>
      </c>
      <c r="H23" s="111"/>
      <c r="I23" s="77" t="s">
        <v>4</v>
      </c>
      <c r="J23" s="75"/>
      <c r="L23" s="74"/>
      <c r="M23" s="74"/>
      <c r="N23" s="74"/>
      <c r="O23" s="74"/>
    </row>
    <row r="24" spans="1:15" s="6" customFormat="1" ht="27.75" customHeight="1" x14ac:dyDescent="0.55000000000000004">
      <c r="A24" s="80"/>
      <c r="B24" s="80"/>
      <c r="C24" s="80"/>
      <c r="D24" s="80"/>
      <c r="F24" s="82"/>
      <c r="G24" s="108" t="s">
        <v>5</v>
      </c>
      <c r="H24" s="108"/>
      <c r="I24" s="77" t="s">
        <v>6</v>
      </c>
      <c r="J24" s="80"/>
      <c r="K24" s="80"/>
      <c r="L24" s="80"/>
      <c r="M24" s="80"/>
      <c r="N24" s="80"/>
      <c r="O24" s="80"/>
    </row>
    <row r="25" spans="1:15" ht="28.2" x14ac:dyDescent="0.5">
      <c r="F25" s="114" t="s">
        <v>7</v>
      </c>
      <c r="G25" s="114"/>
      <c r="H25" s="114"/>
      <c r="I25" s="114"/>
      <c r="J25" s="114"/>
      <c r="K25" s="114"/>
      <c r="L25" s="81" t="s">
        <v>8</v>
      </c>
    </row>
    <row r="26" spans="1:15" ht="28.2" x14ac:dyDescent="0.5">
      <c r="F26" s="115" t="s">
        <v>9</v>
      </c>
      <c r="G26" s="115"/>
      <c r="H26" s="115"/>
      <c r="I26" s="115"/>
      <c r="J26" s="112" t="s">
        <v>10</v>
      </c>
      <c r="K26" s="113"/>
    </row>
    <row r="27" spans="1:15" ht="15.6" x14ac:dyDescent="0.3">
      <c r="A27" s="110"/>
      <c r="B27" s="110"/>
      <c r="C27" s="110"/>
      <c r="D27" s="110"/>
      <c r="E27" s="110"/>
      <c r="F27" s="110"/>
      <c r="G27" s="110"/>
      <c r="H27" s="110"/>
      <c r="I27" s="110"/>
    </row>
    <row r="28" spans="1:15" ht="18" customHeight="1" x14ac:dyDescent="0.35">
      <c r="A28" s="109"/>
      <c r="B28" s="109"/>
      <c r="C28" s="109"/>
      <c r="D28" s="109"/>
      <c r="E28" s="109"/>
      <c r="F28" s="109"/>
      <c r="G28" s="109"/>
      <c r="H28" s="109"/>
      <c r="I28" s="109"/>
    </row>
    <row r="37" spans="1:9" ht="18" customHeight="1" x14ac:dyDescent="0.25"/>
    <row r="38" spans="1:9" ht="15.6" x14ac:dyDescent="0.3">
      <c r="A38" s="3" t="s">
        <v>11</v>
      </c>
      <c r="B38" s="4">
        <f ca="1">TODAY()</f>
        <v>44566</v>
      </c>
      <c r="C38" s="1"/>
      <c r="D38" s="1"/>
      <c r="E38" s="1"/>
      <c r="F38" s="1"/>
      <c r="G38" s="1"/>
      <c r="H38" s="1"/>
      <c r="I38" s="1"/>
    </row>
    <row r="39" spans="1:9" ht="15.6" x14ac:dyDescent="0.3">
      <c r="A39" s="3" t="s">
        <v>12</v>
      </c>
      <c r="B39" s="5" t="s">
        <v>13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S25" sqref="S25"/>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14</v>
      </c>
      <c r="Y1" s="8" t="s">
        <v>15</v>
      </c>
    </row>
    <row r="2" spans="1:25" x14ac:dyDescent="0.25">
      <c r="A2" s="9"/>
      <c r="F2" s="9"/>
      <c r="Y2" s="8" t="s">
        <v>16</v>
      </c>
    </row>
    <row r="3" spans="1:25" x14ac:dyDescent="0.25">
      <c r="A3" s="128" t="s">
        <v>17</v>
      </c>
      <c r="B3" s="128"/>
      <c r="C3" s="128"/>
      <c r="D3" s="128" t="s">
        <v>18</v>
      </c>
      <c r="E3" s="128"/>
      <c r="F3" s="128"/>
      <c r="G3" s="128" t="s">
        <v>19</v>
      </c>
      <c r="H3" s="128"/>
      <c r="I3" s="128"/>
      <c r="J3" s="122" t="s">
        <v>20</v>
      </c>
      <c r="K3" s="126"/>
      <c r="L3" s="127"/>
      <c r="M3" s="128" t="s">
        <v>21</v>
      </c>
      <c r="N3" s="128"/>
      <c r="O3" s="128"/>
      <c r="P3" s="10" t="s">
        <v>22</v>
      </c>
      <c r="Q3" s="10" t="s">
        <v>23</v>
      </c>
      <c r="Y3" s="8" t="s">
        <v>24</v>
      </c>
    </row>
    <row r="4" spans="1:25" x14ac:dyDescent="0.25">
      <c r="A4" s="119" t="s">
        <v>25</v>
      </c>
      <c r="B4" s="120"/>
      <c r="C4" s="121"/>
      <c r="D4" s="119" t="s">
        <v>26</v>
      </c>
      <c r="E4" s="121"/>
      <c r="F4" s="11"/>
      <c r="G4" s="117" t="s">
        <v>27</v>
      </c>
      <c r="H4" s="117"/>
      <c r="I4" s="117"/>
      <c r="J4" s="132">
        <v>1</v>
      </c>
      <c r="K4" s="133"/>
      <c r="L4" s="11"/>
      <c r="M4" s="129" t="s">
        <v>28</v>
      </c>
      <c r="N4" s="130"/>
      <c r="O4" s="131"/>
      <c r="P4" s="85" t="s">
        <v>15</v>
      </c>
      <c r="Q4" s="12" t="s">
        <v>29</v>
      </c>
      <c r="U4" s="98"/>
      <c r="Y4" s="8" t="s">
        <v>30</v>
      </c>
    </row>
    <row r="5" spans="1:25" x14ac:dyDescent="0.25">
      <c r="A5" s="119" t="s">
        <v>31</v>
      </c>
      <c r="B5" s="120"/>
      <c r="C5" s="121"/>
      <c r="D5" s="119" t="s">
        <v>32</v>
      </c>
      <c r="E5" s="121"/>
      <c r="F5" s="11"/>
      <c r="G5" s="117" t="s">
        <v>33</v>
      </c>
      <c r="H5" s="117"/>
      <c r="I5" s="117"/>
      <c r="J5" s="132">
        <v>1</v>
      </c>
      <c r="K5" s="133"/>
      <c r="L5" s="11"/>
      <c r="M5" s="129" t="s">
        <v>28</v>
      </c>
      <c r="N5" s="130"/>
      <c r="O5" s="131"/>
      <c r="P5" s="85" t="s">
        <v>15</v>
      </c>
      <c r="Q5" s="12"/>
      <c r="U5" s="98"/>
    </row>
    <row r="7" spans="1:25" ht="15.6" x14ac:dyDescent="0.25">
      <c r="A7" s="7" t="s">
        <v>34</v>
      </c>
      <c r="B7" s="7"/>
      <c r="C7" s="7"/>
      <c r="D7" s="7"/>
      <c r="F7" s="9"/>
    </row>
    <row r="9" spans="1:25" ht="29.25" customHeight="1" x14ac:dyDescent="0.25">
      <c r="A9" s="125" t="s">
        <v>17</v>
      </c>
      <c r="B9" s="124"/>
      <c r="C9" s="125" t="s">
        <v>18</v>
      </c>
      <c r="D9" s="124"/>
      <c r="E9" s="125" t="s">
        <v>19</v>
      </c>
      <c r="F9" s="123"/>
      <c r="G9" s="124"/>
      <c r="H9" s="122" t="s">
        <v>20</v>
      </c>
      <c r="I9" s="123"/>
      <c r="J9" s="124"/>
      <c r="K9" s="125" t="s">
        <v>21</v>
      </c>
      <c r="L9" s="124"/>
      <c r="M9" s="125" t="s">
        <v>35</v>
      </c>
      <c r="N9" s="123"/>
      <c r="O9" s="124"/>
      <c r="P9" s="86"/>
    </row>
    <row r="10" spans="1:25" x14ac:dyDescent="0.25">
      <c r="A10" s="118"/>
      <c r="B10" s="118"/>
      <c r="C10" s="118"/>
      <c r="D10" s="118"/>
      <c r="E10" s="118"/>
      <c r="F10" s="118"/>
      <c r="G10" s="118"/>
      <c r="H10" s="118"/>
      <c r="I10" s="118"/>
      <c r="J10" s="118"/>
      <c r="K10" s="118"/>
      <c r="L10" s="118"/>
      <c r="M10" s="118"/>
      <c r="N10" s="118"/>
      <c r="O10" s="118"/>
      <c r="P10" s="87"/>
    </row>
    <row r="11" spans="1:25" x14ac:dyDescent="0.25">
      <c r="A11" s="118"/>
      <c r="B11" s="118"/>
      <c r="C11" s="118"/>
      <c r="D11" s="118"/>
      <c r="E11" s="118"/>
      <c r="F11" s="118"/>
      <c r="G11" s="118"/>
      <c r="H11" s="118"/>
      <c r="I11" s="118"/>
      <c r="J11" s="118"/>
      <c r="K11" s="118"/>
      <c r="L11" s="118"/>
      <c r="M11" s="118"/>
      <c r="N11" s="118"/>
      <c r="O11" s="118"/>
      <c r="P11" s="87"/>
    </row>
    <row r="12" spans="1:25" x14ac:dyDescent="0.25">
      <c r="A12" s="118"/>
      <c r="B12" s="118"/>
      <c r="C12" s="118"/>
      <c r="D12" s="118"/>
      <c r="E12" s="118"/>
      <c r="F12" s="118"/>
      <c r="G12" s="118"/>
      <c r="H12" s="118"/>
      <c r="I12" s="118"/>
      <c r="J12" s="118"/>
      <c r="K12" s="118"/>
      <c r="L12" s="118"/>
      <c r="M12" s="118"/>
      <c r="N12" s="118"/>
      <c r="O12" s="118"/>
      <c r="P12" s="87"/>
    </row>
    <row r="13" spans="1:25" x14ac:dyDescent="0.25">
      <c r="A13" s="118"/>
      <c r="B13" s="118"/>
      <c r="C13" s="118"/>
      <c r="D13" s="118"/>
      <c r="E13" s="118"/>
      <c r="F13" s="118"/>
      <c r="G13" s="118"/>
      <c r="H13" s="118"/>
      <c r="I13" s="118"/>
      <c r="J13" s="118"/>
      <c r="K13" s="118"/>
      <c r="L13" s="118"/>
      <c r="M13" s="118"/>
      <c r="N13" s="118"/>
      <c r="O13" s="118"/>
      <c r="P13" s="87"/>
    </row>
    <row r="14" spans="1:25" x14ac:dyDescent="0.25">
      <c r="A14" s="118"/>
      <c r="B14" s="118"/>
      <c r="C14" s="118"/>
      <c r="D14" s="118"/>
      <c r="E14" s="118"/>
      <c r="F14" s="118"/>
      <c r="G14" s="118"/>
      <c r="H14" s="118"/>
      <c r="I14" s="118"/>
      <c r="J14" s="118"/>
      <c r="K14" s="118"/>
      <c r="L14" s="118"/>
      <c r="M14" s="118"/>
      <c r="N14" s="118"/>
      <c r="O14" s="118"/>
      <c r="P14" s="87"/>
    </row>
    <row r="15" spans="1:25" x14ac:dyDescent="0.25">
      <c r="A15" s="118"/>
      <c r="B15" s="118"/>
      <c r="C15" s="118"/>
      <c r="D15" s="118"/>
      <c r="E15" s="118"/>
      <c r="F15" s="118"/>
      <c r="G15" s="118"/>
      <c r="H15" s="118"/>
      <c r="I15" s="118"/>
      <c r="J15" s="118"/>
      <c r="K15" s="118"/>
      <c r="L15" s="118"/>
      <c r="M15" s="118"/>
      <c r="N15" s="118"/>
      <c r="O15" s="118"/>
      <c r="P15" s="87"/>
    </row>
    <row r="16" spans="1:25" x14ac:dyDescent="0.25">
      <c r="A16" s="118"/>
      <c r="B16" s="118"/>
      <c r="C16" s="118"/>
      <c r="D16" s="118"/>
      <c r="E16" s="118"/>
      <c r="F16" s="118"/>
      <c r="G16" s="118"/>
      <c r="H16" s="118"/>
      <c r="I16" s="118"/>
      <c r="J16" s="118"/>
      <c r="K16" s="118"/>
      <c r="L16" s="118"/>
      <c r="M16" s="118"/>
      <c r="N16" s="118"/>
      <c r="O16" s="118"/>
      <c r="P16" s="87"/>
    </row>
    <row r="17" spans="1:16" x14ac:dyDescent="0.25">
      <c r="A17" s="118"/>
      <c r="B17" s="118"/>
      <c r="C17" s="118"/>
      <c r="D17" s="118"/>
      <c r="E17" s="118"/>
      <c r="F17" s="118"/>
      <c r="G17" s="118"/>
      <c r="H17" s="118"/>
      <c r="I17" s="118"/>
      <c r="J17" s="118"/>
      <c r="K17" s="118"/>
      <c r="L17" s="118"/>
      <c r="M17" s="118"/>
      <c r="N17" s="118"/>
      <c r="O17" s="118"/>
      <c r="P17" s="87"/>
    </row>
    <row r="20" spans="1:16" x14ac:dyDescent="0.25">
      <c r="A20" s="116" t="s">
        <v>36</v>
      </c>
      <c r="B20" s="116"/>
      <c r="C20" s="116" t="s">
        <v>37</v>
      </c>
      <c r="D20" s="116"/>
    </row>
    <row r="21" spans="1:16" x14ac:dyDescent="0.25">
      <c r="A21" s="117" t="s">
        <v>38</v>
      </c>
      <c r="B21" s="117"/>
      <c r="C21" s="118">
        <v>0.25</v>
      </c>
      <c r="D21" s="118"/>
      <c r="G21" s="8">
        <f>ROUND(C21*8,1)</f>
        <v>2</v>
      </c>
    </row>
    <row r="22" spans="1:16" x14ac:dyDescent="0.25">
      <c r="A22" s="117" t="s">
        <v>39</v>
      </c>
      <c r="B22" s="117"/>
      <c r="C22" s="118">
        <v>0</v>
      </c>
      <c r="D22" s="118"/>
    </row>
    <row r="23" spans="1:16" x14ac:dyDescent="0.25">
      <c r="A23" s="117" t="s">
        <v>40</v>
      </c>
      <c r="B23" s="117"/>
      <c r="C23" s="118">
        <v>0.1</v>
      </c>
      <c r="D23" s="118"/>
    </row>
    <row r="24" spans="1:16" x14ac:dyDescent="0.25">
      <c r="A24" s="117" t="s">
        <v>41</v>
      </c>
      <c r="B24" s="117"/>
      <c r="C24" s="118">
        <f>'1.0 DB Schema'!B32+'2.0 Ifb &amp; PHP'!B38+'3.0 Mapping'!B12+'4.0 Worklet &amp; workflow'!B19+'5.0 Stored Procedure'!B10+'4.1 Session Details'!B21</f>
        <v>1.07</v>
      </c>
      <c r="D24" s="118"/>
    </row>
    <row r="25" spans="1:16" x14ac:dyDescent="0.25">
      <c r="A25" s="117" t="s">
        <v>42</v>
      </c>
      <c r="B25" s="117"/>
      <c r="C25" s="118">
        <v>0.5</v>
      </c>
      <c r="D25" s="118"/>
    </row>
    <row r="26" spans="1:16" x14ac:dyDescent="0.25">
      <c r="A26" s="117" t="s">
        <v>43</v>
      </c>
      <c r="B26" s="117"/>
      <c r="C26" s="144">
        <v>0.375</v>
      </c>
      <c r="D26" s="145"/>
    </row>
    <row r="27" spans="1:16" x14ac:dyDescent="0.25">
      <c r="A27" s="134" t="s">
        <v>44</v>
      </c>
      <c r="B27" s="134"/>
      <c r="C27" s="116">
        <f>SUM(C21:E26)</f>
        <v>2.2949999999999999</v>
      </c>
      <c r="D27" s="116"/>
      <c r="G27" s="8">
        <f>ROUND(C27*8,1)</f>
        <v>18.399999999999999</v>
      </c>
    </row>
    <row r="30" spans="1:16" x14ac:dyDescent="0.25">
      <c r="B30" s="141" t="s">
        <v>45</v>
      </c>
      <c r="C30" s="142"/>
      <c r="D30" s="142"/>
      <c r="E30" s="142"/>
      <c r="F30" s="142"/>
      <c r="G30" s="142"/>
      <c r="H30" s="142"/>
      <c r="I30" s="142"/>
      <c r="J30" s="142"/>
      <c r="K30" s="142"/>
      <c r="L30" s="142"/>
      <c r="M30" s="143"/>
    </row>
    <row r="31" spans="1:16" ht="33.75" customHeight="1" x14ac:dyDescent="0.25">
      <c r="B31" s="139" t="s">
        <v>38</v>
      </c>
      <c r="C31" s="140"/>
      <c r="D31" s="138" t="s">
        <v>46</v>
      </c>
      <c r="E31" s="138"/>
      <c r="F31" s="138"/>
      <c r="G31" s="138"/>
      <c r="H31" s="138"/>
      <c r="I31" s="138"/>
      <c r="J31" s="138"/>
      <c r="K31" s="138"/>
      <c r="L31" s="138"/>
      <c r="M31" s="138"/>
    </row>
    <row r="32" spans="1:16" ht="39.75" customHeight="1" x14ac:dyDescent="0.25">
      <c r="B32" s="139" t="s">
        <v>39</v>
      </c>
      <c r="C32" s="140"/>
      <c r="D32" s="138" t="s">
        <v>47</v>
      </c>
      <c r="E32" s="138"/>
      <c r="F32" s="138"/>
      <c r="G32" s="138"/>
      <c r="H32" s="138"/>
      <c r="I32" s="138"/>
      <c r="J32" s="138"/>
      <c r="K32" s="138"/>
      <c r="L32" s="138"/>
      <c r="M32" s="138"/>
    </row>
    <row r="33" spans="2:13" ht="236.25" customHeight="1" x14ac:dyDescent="0.25">
      <c r="B33" s="139" t="s">
        <v>40</v>
      </c>
      <c r="C33" s="140"/>
      <c r="D33" s="138" t="s">
        <v>48</v>
      </c>
      <c r="E33" s="138"/>
      <c r="F33" s="138"/>
      <c r="G33" s="138"/>
      <c r="H33" s="138"/>
      <c r="I33" s="138"/>
      <c r="J33" s="138"/>
      <c r="K33" s="138"/>
      <c r="L33" s="138"/>
      <c r="M33" s="138"/>
    </row>
    <row r="34" spans="2:13" x14ac:dyDescent="0.25">
      <c r="B34" s="139" t="s">
        <v>41</v>
      </c>
      <c r="C34" s="140"/>
      <c r="D34" s="138" t="s">
        <v>49</v>
      </c>
      <c r="E34" s="138"/>
      <c r="F34" s="138"/>
      <c r="G34" s="138"/>
      <c r="H34" s="138"/>
      <c r="I34" s="138"/>
      <c r="J34" s="138"/>
      <c r="K34" s="138"/>
      <c r="L34" s="138"/>
      <c r="M34" s="138"/>
    </row>
    <row r="35" spans="2:13" ht="52.5" customHeight="1" x14ac:dyDescent="0.25">
      <c r="B35" s="139" t="s">
        <v>42</v>
      </c>
      <c r="C35" s="140"/>
      <c r="D35" s="135" t="s">
        <v>50</v>
      </c>
      <c r="E35" s="136"/>
      <c r="F35" s="136"/>
      <c r="G35" s="136"/>
      <c r="H35" s="136"/>
      <c r="I35" s="136"/>
      <c r="J35" s="136"/>
      <c r="K35" s="136"/>
      <c r="L35" s="136"/>
      <c r="M35" s="137"/>
    </row>
    <row r="36" spans="2:13" ht="34.5" customHeight="1" x14ac:dyDescent="0.25">
      <c r="B36" s="139" t="s">
        <v>43</v>
      </c>
      <c r="C36" s="140"/>
      <c r="D36" s="138" t="s">
        <v>51</v>
      </c>
      <c r="E36" s="138"/>
      <c r="F36" s="138"/>
      <c r="G36" s="138"/>
      <c r="H36" s="138"/>
      <c r="I36" s="138"/>
      <c r="J36" s="138"/>
      <c r="K36" s="138"/>
      <c r="L36" s="138"/>
      <c r="M36" s="138"/>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23" sqref="B23"/>
    </sheetView>
  </sheetViews>
  <sheetFormatPr defaultColWidth="11.44140625" defaultRowHeight="13.2" x14ac:dyDescent="0.25"/>
  <cols>
    <col min="1" max="1" width="4.33203125" style="34" customWidth="1"/>
    <col min="2" max="2" width="87.44140625" style="23" customWidth="1"/>
    <col min="3" max="3" width="10.6640625" style="23" customWidth="1"/>
    <col min="4" max="16384" width="11.44140625" style="23"/>
  </cols>
  <sheetData>
    <row r="1" spans="1:2" ht="13.8" thickBot="1" x14ac:dyDescent="0.3">
      <c r="A1" s="146" t="s">
        <v>52</v>
      </c>
      <c r="B1" s="146"/>
    </row>
    <row r="2" spans="1:2" x14ac:dyDescent="0.25">
      <c r="A2" s="32"/>
      <c r="B2" s="26" t="s">
        <v>53</v>
      </c>
    </row>
    <row r="3" spans="1:2" x14ac:dyDescent="0.25">
      <c r="A3" s="33"/>
      <c r="B3" s="22"/>
    </row>
    <row r="5" spans="1:2" x14ac:dyDescent="0.25">
      <c r="A5" s="32" t="s">
        <v>54</v>
      </c>
      <c r="B5" s="25" t="s">
        <v>55</v>
      </c>
    </row>
    <row r="6" spans="1:2" x14ac:dyDescent="0.25">
      <c r="A6" s="33">
        <v>1</v>
      </c>
      <c r="B6" s="22"/>
    </row>
    <row r="7" spans="1:2" x14ac:dyDescent="0.25">
      <c r="A7" s="33">
        <v>2</v>
      </c>
      <c r="B7" s="22"/>
    </row>
    <row r="8" spans="1:2" x14ac:dyDescent="0.25">
      <c r="A8" s="33">
        <v>3</v>
      </c>
      <c r="B8" s="22"/>
    </row>
    <row r="9" spans="1:2" x14ac:dyDescent="0.25">
      <c r="A9" s="33" t="s">
        <v>56</v>
      </c>
      <c r="B9" s="22"/>
    </row>
    <row r="10" spans="1:2" x14ac:dyDescent="0.25">
      <c r="A10" s="33" t="s">
        <v>57</v>
      </c>
      <c r="B10" s="22"/>
    </row>
    <row r="12" spans="1:2" x14ac:dyDescent="0.25">
      <c r="A12" s="32" t="s">
        <v>54</v>
      </c>
      <c r="B12" s="25" t="s">
        <v>58</v>
      </c>
    </row>
    <row r="13" spans="1:2" x14ac:dyDescent="0.25">
      <c r="A13" s="33">
        <v>4</v>
      </c>
      <c r="B13" s="22"/>
    </row>
    <row r="15" spans="1:2" x14ac:dyDescent="0.25">
      <c r="A15" s="32" t="s">
        <v>54</v>
      </c>
      <c r="B15" s="25" t="s">
        <v>59</v>
      </c>
    </row>
    <row r="16" spans="1:2" x14ac:dyDescent="0.25">
      <c r="A16" s="33">
        <v>5</v>
      </c>
      <c r="B16" s="22"/>
    </row>
    <row r="17" spans="1:2" ht="13.8" thickBot="1" x14ac:dyDescent="0.3"/>
    <row r="18" spans="1:2" x14ac:dyDescent="0.25">
      <c r="A18" s="35" t="s">
        <v>54</v>
      </c>
      <c r="B18" s="24" t="s">
        <v>60</v>
      </c>
    </row>
    <row r="19" spans="1:2" x14ac:dyDescent="0.25">
      <c r="A19" s="33">
        <v>6</v>
      </c>
      <c r="B19" s="27" t="s">
        <v>61</v>
      </c>
    </row>
    <row r="20" spans="1:2" x14ac:dyDescent="0.25">
      <c r="B20" s="27" t="s">
        <v>62</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zoomScale="70" zoomScaleNormal="70"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7" t="s">
        <v>63</v>
      </c>
      <c r="B1" s="148"/>
      <c r="C1" s="148"/>
      <c r="D1" s="149"/>
      <c r="M1" s="48" t="s">
        <v>64</v>
      </c>
      <c r="N1" s="49"/>
      <c r="O1" s="49"/>
      <c r="P1" s="49"/>
      <c r="Q1" s="49"/>
      <c r="R1" s="50"/>
    </row>
    <row r="2" spans="1:18" ht="13.8" thickBot="1" x14ac:dyDescent="0.3">
      <c r="C2" s="23"/>
      <c r="M2" s="51" t="s">
        <v>65</v>
      </c>
      <c r="N2" s="36"/>
      <c r="O2" s="36"/>
      <c r="P2" s="36"/>
      <c r="Q2" s="36"/>
      <c r="R2" s="52"/>
    </row>
    <row r="3" spans="1:18" x14ac:dyDescent="0.25">
      <c r="A3" s="57" t="s">
        <v>66</v>
      </c>
      <c r="B3" s="29"/>
      <c r="C3" s="29"/>
      <c r="M3" s="51" t="s">
        <v>67</v>
      </c>
      <c r="N3" s="36"/>
      <c r="O3" s="36"/>
      <c r="P3" s="36"/>
      <c r="Q3" s="36"/>
      <c r="R3" s="52"/>
    </row>
    <row r="4" spans="1:18" ht="25.5" customHeight="1" x14ac:dyDescent="0.25">
      <c r="A4" s="14" t="s">
        <v>68</v>
      </c>
      <c r="B4" s="14" t="s">
        <v>69</v>
      </c>
      <c r="C4" s="28" t="s">
        <v>22</v>
      </c>
      <c r="D4" s="28" t="s">
        <v>70</v>
      </c>
      <c r="M4" s="53" t="s">
        <v>71</v>
      </c>
      <c r="N4" s="36"/>
      <c r="O4" s="36"/>
      <c r="P4" s="36"/>
      <c r="Q4" s="36"/>
      <c r="R4" s="52"/>
    </row>
    <row r="5" spans="1:18" ht="132.6" thickBot="1" x14ac:dyDescent="0.3">
      <c r="A5" s="41" t="s">
        <v>72</v>
      </c>
      <c r="B5" s="27" t="s">
        <v>73</v>
      </c>
      <c r="C5" s="13"/>
      <c r="D5" s="13"/>
      <c r="M5" s="54"/>
      <c r="N5" s="55"/>
      <c r="O5" s="55"/>
      <c r="P5" s="55"/>
      <c r="Q5" s="55"/>
      <c r="R5" s="56"/>
    </row>
    <row r="6" spans="1:18" x14ac:dyDescent="0.25">
      <c r="A6" s="41" t="s">
        <v>74</v>
      </c>
      <c r="B6" s="41" t="s">
        <v>75</v>
      </c>
      <c r="C6" s="13"/>
      <c r="D6" s="13"/>
    </row>
    <row r="7" spans="1:18" x14ac:dyDescent="0.25">
      <c r="A7" s="41" t="s">
        <v>76</v>
      </c>
      <c r="B7" s="41" t="s">
        <v>77</v>
      </c>
      <c r="C7" s="13"/>
      <c r="D7" s="13"/>
    </row>
    <row r="8" spans="1:18" ht="92.4" x14ac:dyDescent="0.25">
      <c r="A8" s="41" t="s">
        <v>78</v>
      </c>
      <c r="B8" s="27" t="s">
        <v>79</v>
      </c>
      <c r="C8" s="13"/>
      <c r="D8" s="13"/>
    </row>
    <row r="9" spans="1:18" x14ac:dyDescent="0.25">
      <c r="A9" s="41" t="s">
        <v>80</v>
      </c>
      <c r="B9" s="41" t="s">
        <v>81</v>
      </c>
      <c r="C9" s="13"/>
      <c r="D9" s="13"/>
    </row>
    <row r="10" spans="1:18" x14ac:dyDescent="0.25">
      <c r="A10" s="41" t="s">
        <v>82</v>
      </c>
      <c r="B10" s="13"/>
      <c r="C10" s="13"/>
      <c r="D10" s="13"/>
    </row>
    <row r="11" spans="1:18" x14ac:dyDescent="0.25">
      <c r="A11" s="41" t="s">
        <v>83</v>
      </c>
      <c r="B11" s="41" t="s">
        <v>84</v>
      </c>
      <c r="C11" s="13"/>
      <c r="D11" s="13"/>
    </row>
    <row r="12" spans="1:18" x14ac:dyDescent="0.25">
      <c r="A12" s="41" t="s">
        <v>85</v>
      </c>
      <c r="B12" s="41" t="s">
        <v>86</v>
      </c>
      <c r="C12" s="13"/>
      <c r="D12" s="13"/>
    </row>
    <row r="13" spans="1:18" x14ac:dyDescent="0.25">
      <c r="A13" s="41" t="s">
        <v>87</v>
      </c>
      <c r="B13" s="41" t="s">
        <v>88</v>
      </c>
      <c r="C13" s="13"/>
      <c r="D13" s="13"/>
    </row>
    <row r="14" spans="1:18" x14ac:dyDescent="0.25">
      <c r="A14" s="41" t="s">
        <v>89</v>
      </c>
      <c r="B14" s="41" t="s">
        <v>90</v>
      </c>
      <c r="C14" s="13"/>
      <c r="D14" s="13"/>
    </row>
    <row r="15" spans="1:18" x14ac:dyDescent="0.25">
      <c r="A15" s="41" t="s">
        <v>91</v>
      </c>
      <c r="B15" s="41" t="s">
        <v>92</v>
      </c>
      <c r="C15" s="13"/>
      <c r="D15" s="13"/>
    </row>
    <row r="16" spans="1:18" x14ac:dyDescent="0.25">
      <c r="A16" s="41" t="s">
        <v>93</v>
      </c>
      <c r="B16" s="41" t="s">
        <v>94</v>
      </c>
      <c r="C16" s="13"/>
      <c r="D16" s="13"/>
    </row>
    <row r="17" spans="1:4" x14ac:dyDescent="0.25">
      <c r="A17" s="41" t="s">
        <v>95</v>
      </c>
      <c r="B17" s="41" t="s">
        <v>96</v>
      </c>
      <c r="C17" s="13"/>
      <c r="D17" s="13"/>
    </row>
    <row r="18" spans="1:4" x14ac:dyDescent="0.25">
      <c r="A18" s="41" t="s">
        <v>97</v>
      </c>
      <c r="B18" s="41" t="s">
        <v>98</v>
      </c>
      <c r="C18" s="13"/>
      <c r="D18" s="13"/>
    </row>
    <row r="19" spans="1:4" x14ac:dyDescent="0.25">
      <c r="A19" s="41" t="s">
        <v>99</v>
      </c>
      <c r="B19" s="41" t="s">
        <v>100</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7" t="s">
        <v>101</v>
      </c>
      <c r="B1" s="68" t="s">
        <v>102</v>
      </c>
    </row>
    <row r="2" spans="1:3" x14ac:dyDescent="0.25">
      <c r="A2" s="69" t="s">
        <v>103</v>
      </c>
      <c r="B2" s="70" t="str">
        <f>PPRD</f>
        <v>Feb, 2022</v>
      </c>
      <c r="C2" s="58"/>
    </row>
    <row r="3" spans="1:3" x14ac:dyDescent="0.25">
      <c r="A3" s="69" t="s">
        <v>104</v>
      </c>
      <c r="B3" s="71" t="str">
        <f>CRNIRN</f>
        <v>CHG212936</v>
      </c>
      <c r="C3" s="58"/>
    </row>
    <row r="4" spans="1:3" x14ac:dyDescent="0.25">
      <c r="A4" s="69" t="s">
        <v>105</v>
      </c>
      <c r="B4" s="71" t="str">
        <f>MA</f>
        <v>ALL</v>
      </c>
      <c r="C4" s="58"/>
    </row>
    <row r="5" spans="1:3" x14ac:dyDescent="0.25">
      <c r="A5" s="69" t="s">
        <v>106</v>
      </c>
      <c r="B5" s="71" t="s">
        <v>107</v>
      </c>
    </row>
    <row r="6" spans="1:3" x14ac:dyDescent="0.25">
      <c r="A6" s="69" t="s">
        <v>108</v>
      </c>
      <c r="B6" s="73" t="s">
        <v>109</v>
      </c>
    </row>
    <row r="7" spans="1:3" x14ac:dyDescent="0.25">
      <c r="A7" s="69" t="s">
        <v>110</v>
      </c>
      <c r="B7" s="76" t="str">
        <f>DevDReviewed</f>
        <v>29/10/2021</v>
      </c>
      <c r="C7" s="58"/>
    </row>
    <row r="8" spans="1:3" x14ac:dyDescent="0.25">
      <c r="A8" s="69" t="s">
        <v>111</v>
      </c>
      <c r="B8" s="73" t="str">
        <f>DevNameReviewed</f>
        <v>AïshaAbdool</v>
      </c>
      <c r="C8" s="58"/>
    </row>
    <row r="9" spans="1:3" x14ac:dyDescent="0.25">
      <c r="A9" s="69" t="s">
        <v>112</v>
      </c>
      <c r="B9" s="72" t="str">
        <f>DateReviewed</f>
        <v>29/10/2021</v>
      </c>
      <c r="C9" s="58"/>
    </row>
    <row r="10" spans="1:3" x14ac:dyDescent="0.25">
      <c r="A10" s="69" t="s">
        <v>113</v>
      </c>
      <c r="B10" s="73" t="str">
        <f>ReviewedBy</f>
        <v>VikramSeeburn</v>
      </c>
      <c r="C10" s="58"/>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09375" defaultRowHeight="13.2" x14ac:dyDescent="0.25"/>
  <cols>
    <col min="1" max="1" width="19.44140625" style="59" customWidth="1"/>
    <col min="2" max="2" width="42.5546875" style="59" customWidth="1"/>
    <col min="3" max="3" width="50.88671875" style="59" customWidth="1"/>
    <col min="4" max="4" width="27.44140625" style="59" customWidth="1"/>
    <col min="5" max="5" width="32.33203125" style="59" customWidth="1"/>
    <col min="6" max="16384" width="9.109375" style="59"/>
  </cols>
  <sheetData>
    <row r="1" spans="1:5" ht="13.8" thickBot="1" x14ac:dyDescent="0.3">
      <c r="A1" s="147" t="s">
        <v>114</v>
      </c>
      <c r="B1" s="148"/>
      <c r="C1" s="148"/>
      <c r="D1" s="150"/>
    </row>
    <row r="2" spans="1:5" x14ac:dyDescent="0.25">
      <c r="B2" s="14" t="s">
        <v>115</v>
      </c>
      <c r="C2" s="14" t="s">
        <v>116</v>
      </c>
      <c r="D2" s="14" t="s">
        <v>117</v>
      </c>
      <c r="E2" s="60"/>
    </row>
    <row r="3" spans="1:5" ht="39.6" x14ac:dyDescent="0.25">
      <c r="B3" s="61" t="s">
        <v>118</v>
      </c>
      <c r="C3" s="62" t="s">
        <v>119</v>
      </c>
      <c r="D3" s="63" t="str">
        <f>IF(ISBLANK('1.0 DB Schema'!B32)=FALSE,"Impacted","Not Impacted")</f>
        <v>Impacted</v>
      </c>
    </row>
    <row r="4" spans="1:5" ht="26.4" x14ac:dyDescent="0.25">
      <c r="B4" s="61" t="s">
        <v>120</v>
      </c>
      <c r="C4" s="62" t="s">
        <v>121</v>
      </c>
      <c r="D4" s="63" t="str">
        <f>IF(ISBLANK('2.0 Ifb &amp; PHP'!B38)=FALSE,"Impacted","Not Impacted")</f>
        <v>Impacted</v>
      </c>
    </row>
    <row r="5" spans="1:5" ht="39.6" x14ac:dyDescent="0.25">
      <c r="B5" s="61" t="s">
        <v>122</v>
      </c>
      <c r="C5" s="62" t="s">
        <v>123</v>
      </c>
      <c r="D5" s="63" t="str">
        <f>IF(ISBLANK('3.0 Mapping'!B12)=FALSE,"Impacted","Not Impacted")</f>
        <v>Impacted</v>
      </c>
    </row>
    <row r="6" spans="1:5" ht="26.4" x14ac:dyDescent="0.25">
      <c r="B6" s="61" t="s">
        <v>124</v>
      </c>
      <c r="C6" s="62" t="s">
        <v>125</v>
      </c>
      <c r="D6" s="63" t="str">
        <f>IF(ISBLANK('4.0 Worklet &amp; workflow'!B19)=FALSE,"Impacted","Not Impacted")</f>
        <v>Impacted</v>
      </c>
    </row>
    <row r="7" spans="1:5" ht="26.4" x14ac:dyDescent="0.25">
      <c r="B7" s="61" t="s">
        <v>126</v>
      </c>
      <c r="C7" s="62" t="s">
        <v>127</v>
      </c>
      <c r="D7" s="63" t="str">
        <f>IF(ISBLANK('5.0 Stored Procedure'!B10)=FALSE,"Impacted","Not Impacted")</f>
        <v>Not Impacted</v>
      </c>
    </row>
    <row r="8" spans="1:5" ht="26.4" x14ac:dyDescent="0.25">
      <c r="B8" s="61" t="s">
        <v>128</v>
      </c>
      <c r="C8" s="62" t="s">
        <v>129</v>
      </c>
      <c r="D8" s="63" t="str">
        <f>IF(ISBLANK('6.0 Data Update'!E5)=FALSE,"Impacted","Not Impacted")</f>
        <v>Not Impacted</v>
      </c>
    </row>
    <row r="10" spans="1:5" ht="13.8" thickBot="1" x14ac:dyDescent="0.3"/>
    <row r="11" spans="1:5" ht="13.8" thickBot="1" x14ac:dyDescent="0.3">
      <c r="B11" s="17" t="s">
        <v>130</v>
      </c>
    </row>
    <row r="12" spans="1:5" x14ac:dyDescent="0.25">
      <c r="B12" s="14" t="s">
        <v>131</v>
      </c>
      <c r="C12" s="14" t="s">
        <v>132</v>
      </c>
      <c r="D12" s="14" t="s">
        <v>133</v>
      </c>
    </row>
    <row r="13" spans="1:5" x14ac:dyDescent="0.25">
      <c r="B13" s="63" t="s">
        <v>134</v>
      </c>
      <c r="C13" s="63" t="s">
        <v>135</v>
      </c>
      <c r="D13" s="64" t="s">
        <v>136</v>
      </c>
    </row>
    <row r="14" spans="1:5" x14ac:dyDescent="0.25">
      <c r="B14" s="63" t="s">
        <v>137</v>
      </c>
      <c r="C14" s="64" t="s">
        <v>138</v>
      </c>
      <c r="D14" s="63" t="s">
        <v>139</v>
      </c>
    </row>
    <row r="15" spans="1:5" x14ac:dyDescent="0.25">
      <c r="B15" s="63" t="s">
        <v>140</v>
      </c>
      <c r="C15" s="63" t="s">
        <v>141</v>
      </c>
      <c r="D15" s="63" t="s">
        <v>142</v>
      </c>
    </row>
    <row r="16" spans="1:5" x14ac:dyDescent="0.25">
      <c r="B16" s="63" t="s">
        <v>143</v>
      </c>
      <c r="C16" s="63" t="s">
        <v>144</v>
      </c>
      <c r="D16" s="63" t="s">
        <v>145</v>
      </c>
    </row>
    <row r="17" spans="2:4" x14ac:dyDescent="0.25">
      <c r="B17" s="63" t="s">
        <v>146</v>
      </c>
      <c r="C17" s="64" t="s">
        <v>147</v>
      </c>
      <c r="D17" s="63" t="s">
        <v>148</v>
      </c>
    </row>
    <row r="18" spans="2:4" x14ac:dyDescent="0.25">
      <c r="B18" s="63" t="s">
        <v>149</v>
      </c>
      <c r="C18" s="63" t="s">
        <v>150</v>
      </c>
      <c r="D18" s="63" t="s">
        <v>151</v>
      </c>
    </row>
    <row r="19" spans="2:4" x14ac:dyDescent="0.25">
      <c r="B19" s="63" t="s">
        <v>152</v>
      </c>
      <c r="C19" s="63" t="s">
        <v>153</v>
      </c>
      <c r="D19" s="63" t="s">
        <v>154</v>
      </c>
    </row>
    <row r="20" spans="2:4" x14ac:dyDescent="0.25">
      <c r="B20" s="63" t="s">
        <v>155</v>
      </c>
      <c r="C20" s="64" t="s">
        <v>156</v>
      </c>
      <c r="D20" s="63" t="s">
        <v>157</v>
      </c>
    </row>
    <row r="21" spans="2:4" x14ac:dyDescent="0.25">
      <c r="B21" s="63" t="s">
        <v>158</v>
      </c>
      <c r="C21" s="64" t="s">
        <v>159</v>
      </c>
      <c r="D21" s="63" t="s">
        <v>160</v>
      </c>
    </row>
    <row r="22" spans="2:4" x14ac:dyDescent="0.25">
      <c r="B22" s="63" t="s">
        <v>161</v>
      </c>
      <c r="C22" s="64" t="s">
        <v>162</v>
      </c>
      <c r="D22" s="63" t="s">
        <v>163</v>
      </c>
    </row>
    <row r="23" spans="2:4" x14ac:dyDescent="0.25">
      <c r="B23" s="63" t="s">
        <v>164</v>
      </c>
      <c r="C23" s="63" t="s">
        <v>165</v>
      </c>
      <c r="D23" s="63" t="s">
        <v>166</v>
      </c>
    </row>
    <row r="24" spans="2:4" x14ac:dyDescent="0.25">
      <c r="B24" s="63" t="s">
        <v>167</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32"/>
  <sheetViews>
    <sheetView zoomScale="70" zoomScaleNormal="70" workbookViewId="0">
      <selection activeCell="B16" sqref="B16"/>
    </sheetView>
  </sheetViews>
  <sheetFormatPr defaultRowHeight="13.2" x14ac:dyDescent="0.25"/>
  <cols>
    <col min="1" max="1" width="31.88671875" bestFit="1" customWidth="1"/>
    <col min="2" max="2" width="41.21875"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7" t="s">
        <v>168</v>
      </c>
      <c r="B1" s="148"/>
      <c r="C1" s="149"/>
    </row>
    <row r="2" spans="1:24" ht="14.4" thickBot="1" x14ac:dyDescent="0.3">
      <c r="E2" s="79" t="s">
        <v>169</v>
      </c>
      <c r="F2" s="36"/>
      <c r="G2" s="36"/>
      <c r="H2" s="36"/>
      <c r="I2" s="36"/>
      <c r="J2" s="36"/>
      <c r="K2" s="36"/>
      <c r="W2" s="58"/>
    </row>
    <row r="3" spans="1:24" ht="13.8" thickBot="1" x14ac:dyDescent="0.3">
      <c r="A3" s="17" t="s">
        <v>170</v>
      </c>
      <c r="B3" s="15"/>
      <c r="C3" s="15"/>
      <c r="E3" s="37" t="s">
        <v>171</v>
      </c>
      <c r="F3" s="36"/>
      <c r="G3" s="36"/>
      <c r="H3" s="36"/>
      <c r="I3" s="36"/>
      <c r="J3" s="36"/>
      <c r="K3" s="36"/>
      <c r="X3" s="58"/>
    </row>
    <row r="4" spans="1:24" x14ac:dyDescent="0.25">
      <c r="A4" s="16" t="s">
        <v>172</v>
      </c>
      <c r="B4" s="14" t="s">
        <v>173</v>
      </c>
      <c r="C4" s="14" t="s">
        <v>70</v>
      </c>
      <c r="E4" s="37" t="s">
        <v>174</v>
      </c>
      <c r="F4" s="37"/>
      <c r="G4" s="37"/>
      <c r="H4" s="37"/>
      <c r="I4" s="37"/>
      <c r="J4" s="36"/>
      <c r="K4" s="36"/>
    </row>
    <row r="5" spans="1:24" x14ac:dyDescent="0.25">
      <c r="A5" s="41" t="s">
        <v>175</v>
      </c>
      <c r="B5" s="41" t="s">
        <v>176</v>
      </c>
      <c r="C5" s="41" t="s">
        <v>177</v>
      </c>
      <c r="E5" s="37" t="s">
        <v>178</v>
      </c>
      <c r="F5" s="37"/>
      <c r="G5" s="37"/>
      <c r="H5" s="37"/>
      <c r="I5" s="37"/>
      <c r="J5" s="36"/>
      <c r="K5" s="36"/>
    </row>
    <row r="6" spans="1:24" ht="39.6" x14ac:dyDescent="0.25">
      <c r="A6" s="41" t="s">
        <v>179</v>
      </c>
      <c r="B6" s="41" t="s">
        <v>180</v>
      </c>
      <c r="C6" s="27" t="s">
        <v>181</v>
      </c>
      <c r="E6" s="78" t="s">
        <v>182</v>
      </c>
      <c r="F6" s="36"/>
      <c r="G6" s="36"/>
      <c r="H6" s="36"/>
      <c r="I6" s="36"/>
      <c r="J6" s="36"/>
      <c r="K6" s="36"/>
      <c r="X6" s="58"/>
    </row>
    <row r="7" spans="1:24" x14ac:dyDescent="0.25">
      <c r="A7" s="41" t="s">
        <v>183</v>
      </c>
      <c r="B7" s="41" t="s">
        <v>176</v>
      </c>
      <c r="C7" s="41" t="s">
        <v>184</v>
      </c>
      <c r="E7" s="78"/>
      <c r="F7" s="36"/>
      <c r="G7" s="36"/>
      <c r="H7" s="36"/>
      <c r="I7" s="36"/>
      <c r="J7" s="36"/>
      <c r="K7" s="36"/>
      <c r="X7" s="58"/>
    </row>
    <row r="8" spans="1:24" x14ac:dyDescent="0.25">
      <c r="A8" s="99" t="s">
        <v>185</v>
      </c>
      <c r="B8" s="99" t="s">
        <v>176</v>
      </c>
      <c r="C8" s="99" t="s">
        <v>186</v>
      </c>
    </row>
    <row r="9" spans="1:24" x14ac:dyDescent="0.25">
      <c r="A9" s="41" t="s">
        <v>187</v>
      </c>
      <c r="B9" s="41" t="s">
        <v>176</v>
      </c>
      <c r="C9" s="96" t="s">
        <v>188</v>
      </c>
    </row>
    <row r="10" spans="1:24" ht="26.4" x14ac:dyDescent="0.25">
      <c r="A10" s="41" t="s">
        <v>189</v>
      </c>
      <c r="B10" s="41" t="s">
        <v>176</v>
      </c>
      <c r="C10" s="96" t="s">
        <v>190</v>
      </c>
    </row>
    <row r="11" spans="1:24" x14ac:dyDescent="0.25">
      <c r="A11" s="58"/>
      <c r="B11" s="58"/>
      <c r="C11" s="58"/>
    </row>
    <row r="12" spans="1:24" ht="13.8" thickBot="1" x14ac:dyDescent="0.3">
      <c r="X12" s="58"/>
    </row>
    <row r="13" spans="1:24" ht="13.8" thickBot="1" x14ac:dyDescent="0.3">
      <c r="A13" s="17" t="s">
        <v>191</v>
      </c>
      <c r="X13" s="58"/>
    </row>
    <row r="14" spans="1:24" x14ac:dyDescent="0.25">
      <c r="A14" s="16" t="s">
        <v>172</v>
      </c>
      <c r="B14" s="14" t="s">
        <v>192</v>
      </c>
      <c r="C14" s="14" t="s">
        <v>193</v>
      </c>
      <c r="D14" s="14" t="s">
        <v>173</v>
      </c>
      <c r="E14" s="14" t="s">
        <v>194</v>
      </c>
      <c r="F14" s="14" t="s">
        <v>70</v>
      </c>
      <c r="X14" s="58"/>
    </row>
    <row r="15" spans="1:24" x14ac:dyDescent="0.25">
      <c r="A15" s="41" t="s">
        <v>175</v>
      </c>
      <c r="B15" s="41" t="s">
        <v>195</v>
      </c>
      <c r="C15" s="41" t="s">
        <v>196</v>
      </c>
      <c r="D15" s="41" t="s">
        <v>176</v>
      </c>
      <c r="E15" s="41"/>
      <c r="F15" s="41"/>
    </row>
    <row r="16" spans="1:24" x14ac:dyDescent="0.25">
      <c r="A16" s="41" t="s">
        <v>175</v>
      </c>
      <c r="B16" s="41" t="s">
        <v>197</v>
      </c>
      <c r="C16" s="41" t="s">
        <v>198</v>
      </c>
      <c r="D16" s="41" t="s">
        <v>176</v>
      </c>
      <c r="E16" s="41"/>
      <c r="F16" s="41"/>
    </row>
    <row r="17" spans="1:29" x14ac:dyDescent="0.25">
      <c r="A17" s="41"/>
      <c r="B17" s="41"/>
      <c r="C17" s="41"/>
      <c r="D17" s="41"/>
      <c r="E17" s="41"/>
      <c r="F17" s="41"/>
    </row>
    <row r="18" spans="1:29" x14ac:dyDescent="0.25">
      <c r="A18" s="41" t="s">
        <v>179</v>
      </c>
      <c r="B18" s="41" t="s">
        <v>195</v>
      </c>
      <c r="C18" s="41" t="s">
        <v>199</v>
      </c>
      <c r="D18" s="41" t="s">
        <v>180</v>
      </c>
      <c r="E18" s="41"/>
      <c r="F18" s="41"/>
    </row>
    <row r="19" spans="1:29" x14ac:dyDescent="0.25">
      <c r="A19" s="41" t="s">
        <v>179</v>
      </c>
      <c r="B19" s="41" t="s">
        <v>197</v>
      </c>
      <c r="C19" s="41" t="s">
        <v>199</v>
      </c>
      <c r="D19" s="41" t="s">
        <v>180</v>
      </c>
      <c r="E19" s="13"/>
      <c r="F19" s="13"/>
    </row>
    <row r="20" spans="1:29" ht="13.8" thickBot="1" x14ac:dyDescent="0.3"/>
    <row r="21" spans="1:29" ht="13.8" thickBot="1" x14ac:dyDescent="0.3">
      <c r="A21" s="17" t="s">
        <v>200</v>
      </c>
    </row>
    <row r="22" spans="1:29" x14ac:dyDescent="0.25">
      <c r="A22" s="16" t="s">
        <v>201</v>
      </c>
      <c r="B22" s="14" t="s">
        <v>202</v>
      </c>
      <c r="C22" s="14" t="s">
        <v>203</v>
      </c>
      <c r="D22" s="14" t="s">
        <v>204</v>
      </c>
    </row>
    <row r="23" spans="1:29" x14ac:dyDescent="0.25">
      <c r="A23" s="41" t="s">
        <v>167</v>
      </c>
      <c r="B23" s="41"/>
      <c r="C23" s="41"/>
      <c r="D23" s="13"/>
      <c r="AA23" s="58"/>
    </row>
    <row r="24" spans="1:29" x14ac:dyDescent="0.25">
      <c r="A24" s="41"/>
      <c r="B24" s="41"/>
      <c r="C24" s="41"/>
      <c r="D24" s="13"/>
      <c r="AA24" s="58"/>
    </row>
    <row r="25" spans="1:29" x14ac:dyDescent="0.25">
      <c r="A25" s="41"/>
      <c r="B25" s="41"/>
      <c r="C25" s="41"/>
      <c r="D25" s="13"/>
    </row>
    <row r="26" spans="1:29" ht="13.8" thickBot="1" x14ac:dyDescent="0.3">
      <c r="A26" s="58"/>
      <c r="B26" s="58"/>
      <c r="C26" s="58"/>
    </row>
    <row r="27" spans="1:29" ht="13.8" thickBot="1" x14ac:dyDescent="0.3">
      <c r="A27" s="17" t="s">
        <v>205</v>
      </c>
      <c r="B27" s="58"/>
      <c r="C27" s="58"/>
    </row>
    <row r="28" spans="1:29" x14ac:dyDescent="0.25">
      <c r="A28" s="16" t="s">
        <v>131</v>
      </c>
      <c r="B28" s="14" t="s">
        <v>206</v>
      </c>
    </row>
    <row r="29" spans="1:29" x14ac:dyDescent="0.25">
      <c r="A29" s="41" t="s">
        <v>167</v>
      </c>
      <c r="B29" s="41"/>
      <c r="AC29" s="58"/>
    </row>
    <row r="30" spans="1:29" x14ac:dyDescent="0.25">
      <c r="A30" s="41"/>
      <c r="B30" s="41"/>
    </row>
    <row r="31" spans="1:29" x14ac:dyDescent="0.25">
      <c r="A31" s="21" t="s">
        <v>36</v>
      </c>
      <c r="B31" s="21" t="s">
        <v>207</v>
      </c>
    </row>
    <row r="32" spans="1:29" x14ac:dyDescent="0.25">
      <c r="A32" s="20"/>
      <c r="B32" s="20">
        <v>0.1</v>
      </c>
    </row>
  </sheetData>
  <mergeCells count="1">
    <mergeCell ref="A1:C1"/>
  </mergeCells>
  <phoneticPr fontId="2" type="noConversion"/>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C9" sqref="C9"/>
    </sheetView>
  </sheetViews>
  <sheetFormatPr defaultRowHeight="13.2" x14ac:dyDescent="0.25"/>
  <cols>
    <col min="1" max="1" width="28.33203125" bestFit="1" customWidth="1"/>
    <col min="2" max="2" width="44.88671875" style="23" customWidth="1"/>
    <col min="3" max="3" width="32.88671875" customWidth="1"/>
  </cols>
  <sheetData>
    <row r="1" spans="1:3" ht="13.8" thickBot="1" x14ac:dyDescent="0.3">
      <c r="A1" s="147" t="s">
        <v>208</v>
      </c>
      <c r="B1" s="148"/>
      <c r="C1" s="149"/>
    </row>
    <row r="2" spans="1:3" ht="13.8" thickBot="1" x14ac:dyDescent="0.3"/>
    <row r="3" spans="1:3" ht="13.8" thickBot="1" x14ac:dyDescent="0.3">
      <c r="A3" s="18" t="s">
        <v>209</v>
      </c>
      <c r="B3" s="29"/>
    </row>
    <row r="4" spans="1:3" x14ac:dyDescent="0.25">
      <c r="A4" s="16" t="s">
        <v>210</v>
      </c>
      <c r="B4" s="28" t="s">
        <v>70</v>
      </c>
    </row>
    <row r="5" spans="1:3" ht="26.4" x14ac:dyDescent="0.25">
      <c r="A5" s="27" t="s">
        <v>211</v>
      </c>
      <c r="B5" s="27" t="s">
        <v>212</v>
      </c>
    </row>
    <row r="6" spans="1:3" ht="26.4" x14ac:dyDescent="0.25">
      <c r="A6" s="88" t="s">
        <v>213</v>
      </c>
      <c r="B6" s="27" t="s">
        <v>212</v>
      </c>
    </row>
    <row r="7" spans="1:3" ht="26.4" x14ac:dyDescent="0.25">
      <c r="A7" s="88" t="s">
        <v>214</v>
      </c>
      <c r="B7" s="27" t="s">
        <v>212</v>
      </c>
    </row>
    <row r="8" spans="1:3" x14ac:dyDescent="0.25">
      <c r="A8" s="13"/>
      <c r="B8" s="22"/>
    </row>
    <row r="9" spans="1:3" ht="13.8" thickBot="1" x14ac:dyDescent="0.3"/>
    <row r="10" spans="1:3" ht="13.8" thickBot="1" x14ac:dyDescent="0.3">
      <c r="A10" s="18" t="s">
        <v>215</v>
      </c>
      <c r="B10" s="29"/>
      <c r="C10" s="15"/>
    </row>
    <row r="11" spans="1:3" x14ac:dyDescent="0.25">
      <c r="A11" s="16" t="s">
        <v>216</v>
      </c>
      <c r="B11" s="28" t="s">
        <v>70</v>
      </c>
    </row>
    <row r="12" spans="1:3" ht="36.9" customHeight="1" x14ac:dyDescent="0.25">
      <c r="A12" s="41" t="s">
        <v>217</v>
      </c>
      <c r="B12" s="27" t="s">
        <v>218</v>
      </c>
    </row>
    <row r="13" spans="1:3" ht="39.6" x14ac:dyDescent="0.25">
      <c r="A13" s="93" t="s">
        <v>219</v>
      </c>
      <c r="B13" s="27" t="s">
        <v>220</v>
      </c>
    </row>
    <row r="14" spans="1:3" x14ac:dyDescent="0.25">
      <c r="A14" s="13"/>
      <c r="B14" s="22"/>
    </row>
    <row r="15" spans="1:3" ht="13.8" thickBot="1" x14ac:dyDescent="0.3"/>
    <row r="16" spans="1:3" ht="13.8" thickBot="1" x14ac:dyDescent="0.3">
      <c r="A16" s="18" t="s">
        <v>221</v>
      </c>
    </row>
    <row r="17" spans="1:2" x14ac:dyDescent="0.25">
      <c r="A17" s="16" t="s">
        <v>210</v>
      </c>
      <c r="B17" s="28" t="s">
        <v>70</v>
      </c>
    </row>
    <row r="18" spans="1:2" x14ac:dyDescent="0.25">
      <c r="A18" s="41" t="s">
        <v>167</v>
      </c>
      <c r="B18" s="22"/>
    </row>
    <row r="19" spans="1:2" x14ac:dyDescent="0.25">
      <c r="A19" s="13"/>
      <c r="B19" s="22"/>
    </row>
    <row r="20" spans="1:2" x14ac:dyDescent="0.25">
      <c r="A20" s="13"/>
      <c r="B20" s="22"/>
    </row>
    <row r="21" spans="1:2" x14ac:dyDescent="0.25">
      <c r="A21" s="13"/>
      <c r="B21" s="22"/>
    </row>
    <row r="22" spans="1:2" ht="13.8" thickBot="1" x14ac:dyDescent="0.3"/>
    <row r="23" spans="1:2" ht="13.8" thickBot="1" x14ac:dyDescent="0.3">
      <c r="A23" s="18" t="s">
        <v>222</v>
      </c>
    </row>
    <row r="24" spans="1:2" x14ac:dyDescent="0.25">
      <c r="A24" s="16" t="s">
        <v>210</v>
      </c>
      <c r="B24" s="28" t="s">
        <v>70</v>
      </c>
    </row>
    <row r="25" spans="1:2" ht="118.8" x14ac:dyDescent="0.25">
      <c r="A25" s="89" t="s">
        <v>223</v>
      </c>
      <c r="B25" s="90" t="s">
        <v>224</v>
      </c>
    </row>
    <row r="26" spans="1:2" ht="118.8" x14ac:dyDescent="0.25">
      <c r="A26" s="91" t="s">
        <v>225</v>
      </c>
      <c r="B26" s="90" t="s">
        <v>224</v>
      </c>
    </row>
    <row r="27" spans="1:2" x14ac:dyDescent="0.25">
      <c r="A27" s="13"/>
      <c r="B27" s="22"/>
    </row>
    <row r="28" spans="1:2" x14ac:dyDescent="0.25">
      <c r="A28" s="13"/>
      <c r="B28" s="22"/>
    </row>
    <row r="29" spans="1:2" ht="13.8" thickBot="1" x14ac:dyDescent="0.3"/>
    <row r="30" spans="1:2" ht="13.8" thickBot="1" x14ac:dyDescent="0.3">
      <c r="A30" s="18" t="s">
        <v>226</v>
      </c>
    </row>
    <row r="31" spans="1:2" x14ac:dyDescent="0.25">
      <c r="A31" s="16" t="s">
        <v>210</v>
      </c>
      <c r="B31" s="28" t="s">
        <v>70</v>
      </c>
    </row>
    <row r="32" spans="1:2" x14ac:dyDescent="0.25">
      <c r="A32" s="41" t="s">
        <v>167</v>
      </c>
      <c r="B32" s="22"/>
    </row>
    <row r="33" spans="1:2" x14ac:dyDescent="0.25">
      <c r="A33" s="13"/>
      <c r="B33" s="22"/>
    </row>
    <row r="34" spans="1:2" x14ac:dyDescent="0.25">
      <c r="A34" s="13"/>
      <c r="B34" s="22"/>
    </row>
    <row r="35" spans="1:2" x14ac:dyDescent="0.25">
      <c r="A35" s="13"/>
      <c r="B35" s="22"/>
    </row>
    <row r="37" spans="1:2" x14ac:dyDescent="0.25">
      <c r="A37" s="21" t="s">
        <v>36</v>
      </c>
      <c r="B37" s="30" t="s">
        <v>207</v>
      </c>
    </row>
    <row r="38" spans="1:2" x14ac:dyDescent="0.25">
      <c r="A38" s="20"/>
      <c r="B38" s="31">
        <v>0.125</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18"/>
  <sheetViews>
    <sheetView workbookViewId="0">
      <selection activeCell="A18" sqref="A18"/>
    </sheetView>
  </sheetViews>
  <sheetFormatPr defaultRowHeight="13.2" x14ac:dyDescent="0.25"/>
  <cols>
    <col min="1" max="1" width="19.109375" customWidth="1"/>
    <col min="2" max="2" width="47.109375" customWidth="1"/>
    <col min="3" max="3" width="58.6640625" style="23" customWidth="1"/>
  </cols>
  <sheetData>
    <row r="1" spans="1:5" ht="13.8" thickBot="1" x14ac:dyDescent="0.3">
      <c r="A1" s="147" t="s">
        <v>227</v>
      </c>
      <c r="B1" s="148"/>
      <c r="C1" s="149"/>
    </row>
    <row r="3" spans="1:5" x14ac:dyDescent="0.25">
      <c r="A3" s="14" t="s">
        <v>228</v>
      </c>
      <c r="B3" s="14" t="s">
        <v>229</v>
      </c>
      <c r="C3" s="28" t="s">
        <v>70</v>
      </c>
    </row>
    <row r="4" spans="1:5" x14ac:dyDescent="0.25">
      <c r="A4" s="41" t="s">
        <v>230</v>
      </c>
      <c r="B4" s="41" t="s">
        <v>231</v>
      </c>
      <c r="C4" s="27" t="s">
        <v>232</v>
      </c>
      <c r="D4">
        <v>0.1</v>
      </c>
    </row>
    <row r="5" spans="1:5" ht="52.8" x14ac:dyDescent="0.25">
      <c r="A5" s="41" t="s">
        <v>230</v>
      </c>
      <c r="B5" s="41" t="s">
        <v>233</v>
      </c>
      <c r="C5" s="27" t="s">
        <v>234</v>
      </c>
      <c r="D5">
        <v>0.1</v>
      </c>
    </row>
    <row r="6" spans="1:5" x14ac:dyDescent="0.25">
      <c r="A6" s="41" t="s">
        <v>235</v>
      </c>
      <c r="B6" s="41" t="s">
        <v>236</v>
      </c>
      <c r="C6" s="27" t="s">
        <v>237</v>
      </c>
      <c r="D6">
        <v>0</v>
      </c>
    </row>
    <row r="7" spans="1:5" x14ac:dyDescent="0.25">
      <c r="A7" s="41" t="s">
        <v>235</v>
      </c>
      <c r="B7" s="41" t="s">
        <v>238</v>
      </c>
      <c r="C7" s="27" t="s">
        <v>239</v>
      </c>
      <c r="D7">
        <v>5.0000000000000001E-3</v>
      </c>
    </row>
    <row r="8" spans="1:5" ht="26.4" x14ac:dyDescent="0.25">
      <c r="A8" s="95" t="s">
        <v>230</v>
      </c>
      <c r="B8" s="94" t="s">
        <v>240</v>
      </c>
      <c r="C8" s="96" t="s">
        <v>241</v>
      </c>
      <c r="D8" s="97">
        <v>0.5</v>
      </c>
      <c r="E8" s="94" t="s">
        <v>242</v>
      </c>
    </row>
    <row r="9" spans="1:5" x14ac:dyDescent="0.25">
      <c r="A9" s="13" t="s">
        <v>235</v>
      </c>
      <c r="B9" s="41" t="str" cm="1">
        <f t="array" ref="B9">"Shortcut_to_"&amp;B8:B8</f>
        <v>Shortcut_to_SIL_Account_Price_List</v>
      </c>
      <c r="C9" s="27" t="s">
        <v>243</v>
      </c>
      <c r="D9" s="13">
        <v>5.0000000000000001E-3</v>
      </c>
    </row>
    <row r="11" spans="1:5" x14ac:dyDescent="0.25">
      <c r="A11" s="21" t="s">
        <v>36</v>
      </c>
      <c r="B11" s="21" t="s">
        <v>207</v>
      </c>
    </row>
    <row r="12" spans="1:5" x14ac:dyDescent="0.25">
      <c r="A12" s="20"/>
      <c r="B12" s="20">
        <f>SUM(D3:D9)</f>
        <v>0.71000000000000008</v>
      </c>
      <c r="C12" s="23">
        <f>ROUND(B12*8,1)</f>
        <v>5.7</v>
      </c>
    </row>
    <row r="18" spans="1:1" x14ac:dyDescent="0.25">
      <c r="A18" t="s">
        <v>351</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K19"/>
  <sheetViews>
    <sheetView tabSelected="1" topLeftCell="E1" workbookViewId="0">
      <selection activeCell="K7" sqref="K7"/>
    </sheetView>
  </sheetViews>
  <sheetFormatPr defaultRowHeight="13.2" x14ac:dyDescent="0.25"/>
  <cols>
    <col min="1" max="1" width="18.44140625" customWidth="1"/>
    <col min="2" max="2" width="27.33203125" customWidth="1"/>
    <col min="3" max="3" width="38.88671875" customWidth="1"/>
    <col min="4" max="4" width="15.88671875" customWidth="1"/>
    <col min="5" max="5" width="12.6640625" bestFit="1" customWidth="1"/>
    <col min="6" max="6" width="15" bestFit="1" customWidth="1"/>
    <col min="7" max="7" width="34.44140625" customWidth="1"/>
    <col min="8" max="8" width="15" customWidth="1"/>
    <col min="9" max="9" width="51" customWidth="1"/>
    <col min="10" max="10" width="32" style="23" customWidth="1"/>
    <col min="11" max="11" width="43" customWidth="1"/>
  </cols>
  <sheetData>
    <row r="1" spans="1:11" ht="13.8" thickBot="1" x14ac:dyDescent="0.3">
      <c r="A1" s="147" t="s">
        <v>244</v>
      </c>
      <c r="B1" s="148"/>
      <c r="C1" s="148"/>
      <c r="D1" s="149"/>
    </row>
    <row r="3" spans="1:11" x14ac:dyDescent="0.25">
      <c r="A3" s="14" t="s">
        <v>229</v>
      </c>
      <c r="B3" s="151" t="s">
        <v>231</v>
      </c>
      <c r="C3" s="152"/>
    </row>
    <row r="5" spans="1:11" x14ac:dyDescent="0.25">
      <c r="A5" s="14" t="s">
        <v>245</v>
      </c>
      <c r="B5" s="14" t="s">
        <v>246</v>
      </c>
      <c r="C5" s="14" t="s">
        <v>247</v>
      </c>
      <c r="D5" s="14" t="s">
        <v>248</v>
      </c>
      <c r="E5" s="14" t="s">
        <v>249</v>
      </c>
      <c r="F5" s="14" t="s">
        <v>246</v>
      </c>
      <c r="G5" s="14" t="s">
        <v>250</v>
      </c>
      <c r="H5" s="14" t="s">
        <v>248</v>
      </c>
      <c r="I5" s="14" t="s">
        <v>251</v>
      </c>
      <c r="J5" s="28" t="s">
        <v>252</v>
      </c>
    </row>
    <row r="6" spans="1:11" x14ac:dyDescent="0.25">
      <c r="A6" s="41"/>
      <c r="B6" s="13"/>
      <c r="C6" s="13"/>
      <c r="D6" s="13"/>
      <c r="E6" s="13"/>
      <c r="F6" s="13"/>
      <c r="G6" s="13"/>
      <c r="H6" s="13"/>
      <c r="I6" s="41" t="s">
        <v>253</v>
      </c>
      <c r="J6" s="22"/>
    </row>
    <row r="7" spans="1:11" x14ac:dyDescent="0.25">
      <c r="A7" s="13"/>
      <c r="B7" s="13"/>
      <c r="C7" s="13"/>
      <c r="D7" s="13"/>
      <c r="E7" s="13"/>
      <c r="F7" s="13"/>
      <c r="G7" s="13"/>
      <c r="H7" s="13"/>
      <c r="I7" s="41" t="s">
        <v>254</v>
      </c>
      <c r="J7" s="27" t="s">
        <v>255</v>
      </c>
    </row>
    <row r="8" spans="1:11" s="100" customFormat="1" ht="79.2" x14ac:dyDescent="0.25">
      <c r="A8" s="101" t="s">
        <v>175</v>
      </c>
      <c r="B8" s="101" t="s">
        <v>175</v>
      </c>
      <c r="C8" s="101" t="s">
        <v>195</v>
      </c>
      <c r="D8" s="101" t="s">
        <v>196</v>
      </c>
      <c r="E8" s="101" t="s">
        <v>185</v>
      </c>
      <c r="F8" s="102" t="s">
        <v>185</v>
      </c>
      <c r="G8" s="101" t="s">
        <v>195</v>
      </c>
      <c r="H8" s="101" t="s">
        <v>196</v>
      </c>
      <c r="I8" s="103" t="s">
        <v>256</v>
      </c>
      <c r="J8" s="104" t="s">
        <v>257</v>
      </c>
      <c r="K8" s="160" t="s">
        <v>353</v>
      </c>
    </row>
    <row r="9" spans="1:11" ht="26.4" x14ac:dyDescent="0.25">
      <c r="A9" s="41" t="s">
        <v>175</v>
      </c>
      <c r="B9" s="41" t="s">
        <v>175</v>
      </c>
      <c r="C9" s="41" t="s">
        <v>197</v>
      </c>
      <c r="D9" s="41" t="s">
        <v>198</v>
      </c>
      <c r="E9" s="41" t="s">
        <v>185</v>
      </c>
      <c r="F9" s="13" t="s">
        <v>185</v>
      </c>
      <c r="G9" s="41" t="s">
        <v>197</v>
      </c>
      <c r="H9" s="41" t="s">
        <v>198</v>
      </c>
      <c r="I9" s="27" t="s">
        <v>258</v>
      </c>
      <c r="J9" s="27" t="s">
        <v>259</v>
      </c>
    </row>
    <row r="13" spans="1:11" x14ac:dyDescent="0.25">
      <c r="A13" s="14" t="s">
        <v>229</v>
      </c>
      <c r="B13" s="151" t="s">
        <v>233</v>
      </c>
      <c r="C13" s="152"/>
    </row>
    <row r="15" spans="1:11" x14ac:dyDescent="0.25">
      <c r="A15" s="14" t="s">
        <v>245</v>
      </c>
      <c r="B15" s="14" t="s">
        <v>246</v>
      </c>
      <c r="C15" s="14" t="s">
        <v>247</v>
      </c>
      <c r="D15" s="14" t="s">
        <v>248</v>
      </c>
      <c r="E15" s="14" t="s">
        <v>249</v>
      </c>
      <c r="F15" s="14" t="s">
        <v>246</v>
      </c>
      <c r="G15" s="14" t="s">
        <v>250</v>
      </c>
      <c r="H15" s="14" t="s">
        <v>248</v>
      </c>
      <c r="I15" s="14" t="s">
        <v>251</v>
      </c>
      <c r="J15" s="28" t="s">
        <v>252</v>
      </c>
    </row>
    <row r="16" spans="1:11" x14ac:dyDescent="0.25">
      <c r="A16" s="41"/>
      <c r="B16" s="13"/>
      <c r="C16" s="13"/>
      <c r="D16" s="13"/>
      <c r="E16" s="13"/>
      <c r="F16" s="13"/>
      <c r="G16" s="13"/>
      <c r="H16" s="13"/>
      <c r="I16" s="41" t="s">
        <v>253</v>
      </c>
      <c r="J16" s="22"/>
    </row>
    <row r="17" spans="1:11" x14ac:dyDescent="0.25">
      <c r="A17" s="13"/>
      <c r="B17" s="13"/>
      <c r="C17" s="13"/>
      <c r="D17" s="13"/>
      <c r="E17" s="13"/>
      <c r="F17" s="13"/>
      <c r="G17" s="13"/>
      <c r="H17" s="13"/>
      <c r="I17" s="41" t="s">
        <v>254</v>
      </c>
      <c r="J17" s="27" t="s">
        <v>260</v>
      </c>
    </row>
    <row r="18" spans="1:11" s="100" customFormat="1" ht="79.2" x14ac:dyDescent="0.25">
      <c r="A18" s="101" t="s">
        <v>261</v>
      </c>
      <c r="B18" s="101" t="s">
        <v>261</v>
      </c>
      <c r="C18" s="101" t="s">
        <v>195</v>
      </c>
      <c r="D18" s="101" t="s">
        <v>196</v>
      </c>
      <c r="E18" s="101" t="s">
        <v>175</v>
      </c>
      <c r="F18" s="101" t="s">
        <v>175</v>
      </c>
      <c r="G18" s="101" t="s">
        <v>195</v>
      </c>
      <c r="H18" s="101" t="s">
        <v>199</v>
      </c>
      <c r="I18" s="103" t="s">
        <v>262</v>
      </c>
      <c r="J18" s="103" t="s">
        <v>263</v>
      </c>
      <c r="K18" s="105" t="s">
        <v>352</v>
      </c>
    </row>
    <row r="19" spans="1:11" ht="92.4" x14ac:dyDescent="0.25">
      <c r="A19" s="41" t="s">
        <v>261</v>
      </c>
      <c r="B19" s="41" t="s">
        <v>261</v>
      </c>
      <c r="C19" s="41" t="s">
        <v>197</v>
      </c>
      <c r="D19" s="41" t="s">
        <v>198</v>
      </c>
      <c r="E19" s="41" t="s">
        <v>175</v>
      </c>
      <c r="F19" s="41" t="s">
        <v>175</v>
      </c>
      <c r="G19" s="41" t="s">
        <v>197</v>
      </c>
      <c r="H19" s="41" t="s">
        <v>199</v>
      </c>
      <c r="I19" s="27" t="s">
        <v>264</v>
      </c>
      <c r="J19" s="27" t="s">
        <v>265</v>
      </c>
    </row>
  </sheetData>
  <mergeCells count="3">
    <mergeCell ref="A1:D1"/>
    <mergeCell ref="B3:C3"/>
    <mergeCell ref="B13:C1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9"/>
  <sheetViews>
    <sheetView workbookViewId="0">
      <selection activeCell="B7" sqref="B7"/>
    </sheetView>
  </sheetViews>
  <sheetFormatPr defaultRowHeight="13.2" x14ac:dyDescent="0.25"/>
  <cols>
    <col min="1" max="1" width="18.5546875" customWidth="1"/>
    <col min="2" max="2" width="45.44140625" bestFit="1" customWidth="1"/>
    <col min="3" max="3" width="31.33203125" bestFit="1" customWidth="1"/>
    <col min="4" max="4" width="31.5546875" customWidth="1"/>
    <col min="5" max="5" width="25.5546875" bestFit="1" customWidth="1"/>
    <col min="6" max="6" width="48.44140625" style="23" bestFit="1" customWidth="1"/>
  </cols>
  <sheetData>
    <row r="1" spans="1:5" ht="13.8" thickBot="1" x14ac:dyDescent="0.3">
      <c r="A1" s="147" t="s">
        <v>266</v>
      </c>
      <c r="B1" s="148"/>
      <c r="C1" s="149"/>
    </row>
    <row r="2" spans="1:5" ht="13.8" thickBot="1" x14ac:dyDescent="0.3"/>
    <row r="3" spans="1:5" ht="13.8" thickBot="1" x14ac:dyDescent="0.3">
      <c r="A3" s="147" t="s">
        <v>267</v>
      </c>
      <c r="B3" s="148"/>
      <c r="C3" s="149"/>
    </row>
    <row r="4" spans="1:5" x14ac:dyDescent="0.25">
      <c r="A4" s="16" t="s">
        <v>228</v>
      </c>
      <c r="B4" s="16" t="s">
        <v>268</v>
      </c>
      <c r="C4" s="16" t="s">
        <v>70</v>
      </c>
    </row>
    <row r="5" spans="1:5" x14ac:dyDescent="0.25">
      <c r="A5" s="13" t="s">
        <v>230</v>
      </c>
      <c r="B5" s="13" t="s">
        <v>269</v>
      </c>
      <c r="C5" s="58" t="s">
        <v>184</v>
      </c>
    </row>
    <row r="6" spans="1:5" x14ac:dyDescent="0.25">
      <c r="A6" s="13" t="s">
        <v>235</v>
      </c>
      <c r="B6" s="13" t="s">
        <v>270</v>
      </c>
      <c r="C6" s="58" t="s">
        <v>184</v>
      </c>
    </row>
    <row r="7" spans="1:5" ht="66" x14ac:dyDescent="0.25">
      <c r="A7" s="13" t="s">
        <v>230</v>
      </c>
      <c r="B7" t="s">
        <v>271</v>
      </c>
      <c r="C7" s="27" t="s">
        <v>272</v>
      </c>
    </row>
    <row r="9" spans="1:5" ht="13.8" thickBot="1" x14ac:dyDescent="0.3"/>
    <row r="10" spans="1:5" ht="13.8" thickBot="1" x14ac:dyDescent="0.3">
      <c r="A10" s="147" t="s">
        <v>273</v>
      </c>
      <c r="B10" s="148"/>
      <c r="C10" s="149"/>
    </row>
    <row r="11" spans="1:5" x14ac:dyDescent="0.25">
      <c r="A11" s="16" t="s">
        <v>228</v>
      </c>
      <c r="B11" s="16" t="s">
        <v>268</v>
      </c>
      <c r="C11" s="16" t="s">
        <v>274</v>
      </c>
      <c r="D11" s="14" t="s">
        <v>23</v>
      </c>
      <c r="E11" s="15"/>
    </row>
    <row r="12" spans="1:5" x14ac:dyDescent="0.25">
      <c r="A12" s="13" t="s">
        <v>230</v>
      </c>
      <c r="B12" t="s">
        <v>271</v>
      </c>
      <c r="C12" t="s">
        <v>275</v>
      </c>
      <c r="D12" s="13" t="s">
        <v>184</v>
      </c>
    </row>
    <row r="13" spans="1:5" x14ac:dyDescent="0.25">
      <c r="A13" s="13" t="s">
        <v>230</v>
      </c>
      <c r="B13" s="13" t="s">
        <v>269</v>
      </c>
      <c r="C13" s="13" t="s">
        <v>276</v>
      </c>
      <c r="D13" s="13"/>
    </row>
    <row r="14" spans="1:5" x14ac:dyDescent="0.25">
      <c r="A14" s="13" t="s">
        <v>235</v>
      </c>
      <c r="B14" s="13" t="s">
        <v>270</v>
      </c>
      <c r="C14" s="13" t="s">
        <v>277</v>
      </c>
      <c r="D14" s="13"/>
    </row>
    <row r="15" spans="1:5" x14ac:dyDescent="0.25">
      <c r="A15" s="13"/>
      <c r="B15" s="13"/>
      <c r="C15" s="13"/>
      <c r="D15" s="13"/>
    </row>
    <row r="18" spans="1:2" x14ac:dyDescent="0.25">
      <c r="A18" s="21" t="s">
        <v>36</v>
      </c>
      <c r="B18" s="21" t="s">
        <v>207</v>
      </c>
    </row>
    <row r="19" spans="1:2" x14ac:dyDescent="0.25">
      <c r="A19" s="20"/>
      <c r="B19" s="20">
        <v>0.01</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21"/>
  <sheetViews>
    <sheetView workbookViewId="0">
      <selection activeCell="R14" sqref="R14"/>
    </sheetView>
  </sheetViews>
  <sheetFormatPr defaultRowHeight="13.2" x14ac:dyDescent="0.25"/>
  <cols>
    <col min="1" max="1" width="15.6640625" bestFit="1" customWidth="1"/>
    <col min="2" max="2" width="27.44140625" bestFit="1" customWidth="1"/>
    <col min="3" max="3" width="34.88671875" bestFit="1" customWidth="1"/>
    <col min="4" max="4" width="49.109375" bestFit="1" customWidth="1"/>
    <col min="5" max="5" width="47.10937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3" bestFit="1" customWidth="1"/>
  </cols>
  <sheetData>
    <row r="1" spans="1:25" ht="13.8" thickBot="1" x14ac:dyDescent="0.3">
      <c r="A1" s="147" t="s">
        <v>278</v>
      </c>
      <c r="B1" s="148"/>
      <c r="C1" s="149"/>
    </row>
    <row r="2" spans="1:25" x14ac:dyDescent="0.25">
      <c r="F2" s="156" t="s">
        <v>279</v>
      </c>
      <c r="G2" s="156"/>
      <c r="H2" s="156"/>
      <c r="I2" s="153" t="s">
        <v>280</v>
      </c>
      <c r="J2" s="154"/>
      <c r="K2" s="154"/>
      <c r="L2" s="153" t="s">
        <v>281</v>
      </c>
      <c r="M2" s="154"/>
      <c r="N2" s="154"/>
      <c r="O2" s="154"/>
      <c r="P2" s="154"/>
      <c r="Q2" s="155"/>
      <c r="R2" s="153" t="s">
        <v>282</v>
      </c>
      <c r="S2" s="154"/>
      <c r="T2" s="154"/>
      <c r="U2" s="155"/>
      <c r="V2" s="153" t="s">
        <v>283</v>
      </c>
      <c r="W2" s="155"/>
    </row>
    <row r="3" spans="1:25" s="46" customFormat="1" ht="34.200000000000003" x14ac:dyDescent="0.2">
      <c r="A3" s="42" t="s">
        <v>228</v>
      </c>
      <c r="B3" s="42" t="s">
        <v>268</v>
      </c>
      <c r="C3" s="42" t="s">
        <v>274</v>
      </c>
      <c r="D3" s="42" t="s">
        <v>284</v>
      </c>
      <c r="E3" s="42" t="s">
        <v>122</v>
      </c>
      <c r="F3" s="43" t="s">
        <v>285</v>
      </c>
      <c r="G3" s="43" t="s">
        <v>286</v>
      </c>
      <c r="H3" s="42" t="s">
        <v>287</v>
      </c>
      <c r="I3" s="43" t="s">
        <v>288</v>
      </c>
      <c r="J3" s="43" t="s">
        <v>289</v>
      </c>
      <c r="K3" s="43" t="s">
        <v>290</v>
      </c>
      <c r="L3" s="47" t="s">
        <v>291</v>
      </c>
      <c r="M3" s="47" t="s">
        <v>292</v>
      </c>
      <c r="N3" s="43" t="s">
        <v>293</v>
      </c>
      <c r="O3" s="43" t="s">
        <v>294</v>
      </c>
      <c r="P3" s="43" t="s">
        <v>295</v>
      </c>
      <c r="Q3" s="43" t="s">
        <v>296</v>
      </c>
      <c r="R3" s="44" t="s">
        <v>291</v>
      </c>
      <c r="S3" s="44" t="s">
        <v>292</v>
      </c>
      <c r="T3" s="44" t="s">
        <v>297</v>
      </c>
      <c r="U3" s="45" t="s">
        <v>298</v>
      </c>
      <c r="V3" s="45" t="s">
        <v>299</v>
      </c>
      <c r="W3" s="45" t="s">
        <v>300</v>
      </c>
      <c r="X3" s="43" t="s">
        <v>23</v>
      </c>
    </row>
    <row r="4" spans="1:25" x14ac:dyDescent="0.25">
      <c r="A4" s="13" t="s">
        <v>230</v>
      </c>
      <c r="B4" s="13" t="s">
        <v>269</v>
      </c>
      <c r="C4" s="13" t="s">
        <v>276</v>
      </c>
      <c r="D4" s="13" t="s">
        <v>301</v>
      </c>
      <c r="E4" s="13" t="s">
        <v>302</v>
      </c>
      <c r="F4" s="13" t="s">
        <v>303</v>
      </c>
      <c r="G4" s="13" t="s">
        <v>303</v>
      </c>
      <c r="H4" s="13" t="s">
        <v>303</v>
      </c>
      <c r="I4" s="13" t="s">
        <v>303</v>
      </c>
      <c r="J4" s="13" t="s">
        <v>304</v>
      </c>
      <c r="K4" s="13" t="s">
        <v>305</v>
      </c>
      <c r="L4" s="13" t="s">
        <v>303</v>
      </c>
      <c r="M4" s="13" t="s">
        <v>303</v>
      </c>
      <c r="N4" s="13" t="s">
        <v>303</v>
      </c>
      <c r="O4" s="13" t="s">
        <v>303</v>
      </c>
      <c r="P4" s="13" t="s">
        <v>303</v>
      </c>
      <c r="Q4" s="13" t="s">
        <v>303</v>
      </c>
      <c r="R4" s="13" t="s">
        <v>303</v>
      </c>
      <c r="S4" s="13" t="s">
        <v>303</v>
      </c>
      <c r="T4" s="13" t="s">
        <v>303</v>
      </c>
      <c r="U4" s="13" t="s">
        <v>303</v>
      </c>
      <c r="V4" s="92" t="s">
        <v>306</v>
      </c>
      <c r="W4" s="13" t="s">
        <v>303</v>
      </c>
      <c r="X4" s="27" t="s">
        <v>307</v>
      </c>
    </row>
    <row r="5" spans="1:25" x14ac:dyDescent="0.25">
      <c r="A5" s="13" t="s">
        <v>230</v>
      </c>
      <c r="B5" s="13" t="s">
        <v>269</v>
      </c>
      <c r="C5" s="13" t="s">
        <v>276</v>
      </c>
      <c r="D5" s="41" t="s">
        <v>308</v>
      </c>
      <c r="E5" s="41" t="s">
        <v>309</v>
      </c>
      <c r="F5" s="13" t="s">
        <v>303</v>
      </c>
      <c r="G5" s="13" t="s">
        <v>303</v>
      </c>
      <c r="H5" s="13" t="s">
        <v>303</v>
      </c>
      <c r="I5" s="13" t="s">
        <v>303</v>
      </c>
      <c r="J5" s="13" t="s">
        <v>304</v>
      </c>
      <c r="K5" s="13" t="s">
        <v>305</v>
      </c>
      <c r="L5" s="13" t="s">
        <v>303</v>
      </c>
      <c r="M5" s="13" t="s">
        <v>303</v>
      </c>
      <c r="N5" s="13" t="s">
        <v>303</v>
      </c>
      <c r="O5" s="13" t="s">
        <v>303</v>
      </c>
      <c r="P5" s="13" t="s">
        <v>303</v>
      </c>
      <c r="Q5" s="13" t="s">
        <v>303</v>
      </c>
      <c r="R5" s="13" t="s">
        <v>303</v>
      </c>
      <c r="S5" s="13" t="s">
        <v>303</v>
      </c>
      <c r="T5" s="13" t="s">
        <v>303</v>
      </c>
      <c r="U5" s="13" t="s">
        <v>303</v>
      </c>
      <c r="V5" s="13" t="s">
        <v>303</v>
      </c>
      <c r="W5" s="13" t="s">
        <v>303</v>
      </c>
      <c r="X5" s="27" t="s">
        <v>307</v>
      </c>
      <c r="Y5" s="106" t="s">
        <v>350</v>
      </c>
    </row>
    <row r="6" spans="1:25" x14ac:dyDescent="0.25">
      <c r="A6" s="13" t="s">
        <v>230</v>
      </c>
      <c r="B6" s="13" t="s">
        <v>269</v>
      </c>
      <c r="C6" s="13" t="s">
        <v>276</v>
      </c>
      <c r="D6" s="13" t="s">
        <v>310</v>
      </c>
      <c r="E6" s="13" t="s">
        <v>311</v>
      </c>
      <c r="F6" s="13" t="s">
        <v>303</v>
      </c>
      <c r="G6" s="13" t="s">
        <v>303</v>
      </c>
      <c r="H6" s="13" t="s">
        <v>303</v>
      </c>
      <c r="I6" s="13" t="s">
        <v>303</v>
      </c>
      <c r="J6" s="13" t="s">
        <v>304</v>
      </c>
      <c r="K6" s="13" t="s">
        <v>305</v>
      </c>
      <c r="L6" s="13" t="s">
        <v>303</v>
      </c>
      <c r="M6" s="13" t="s">
        <v>303</v>
      </c>
      <c r="N6" s="13" t="s">
        <v>303</v>
      </c>
      <c r="O6" s="13" t="s">
        <v>303</v>
      </c>
      <c r="P6" s="13" t="s">
        <v>303</v>
      </c>
      <c r="Q6" s="13" t="s">
        <v>303</v>
      </c>
      <c r="R6" s="13" t="s">
        <v>303</v>
      </c>
      <c r="S6" s="13" t="s">
        <v>303</v>
      </c>
      <c r="T6" s="13" t="s">
        <v>303</v>
      </c>
      <c r="U6" s="13" t="s">
        <v>303</v>
      </c>
      <c r="V6" s="13" t="s">
        <v>303</v>
      </c>
      <c r="W6" s="13" t="s">
        <v>303</v>
      </c>
      <c r="X6" s="22" t="s">
        <v>312</v>
      </c>
    </row>
    <row r="7" spans="1:25" x14ac:dyDescent="0.25">
      <c r="A7" s="13" t="s">
        <v>235</v>
      </c>
      <c r="B7" s="13" t="s">
        <v>270</v>
      </c>
      <c r="C7" s="13" t="s">
        <v>277</v>
      </c>
      <c r="D7" s="13" t="s">
        <v>301</v>
      </c>
      <c r="E7" s="13" t="s">
        <v>302</v>
      </c>
      <c r="F7" s="13" t="s">
        <v>303</v>
      </c>
      <c r="G7" s="13" t="s">
        <v>303</v>
      </c>
      <c r="H7" s="13" t="s">
        <v>303</v>
      </c>
      <c r="I7" s="13" t="s">
        <v>303</v>
      </c>
      <c r="J7" s="13" t="s">
        <v>304</v>
      </c>
      <c r="K7" s="13" t="s">
        <v>305</v>
      </c>
      <c r="L7" s="13" t="s">
        <v>303</v>
      </c>
      <c r="M7" s="13" t="s">
        <v>303</v>
      </c>
      <c r="N7" s="13" t="s">
        <v>303</v>
      </c>
      <c r="O7" s="13" t="s">
        <v>303</v>
      </c>
      <c r="P7" s="13" t="s">
        <v>303</v>
      </c>
      <c r="Q7" s="13" t="s">
        <v>303</v>
      </c>
      <c r="R7" s="13" t="s">
        <v>303</v>
      </c>
      <c r="S7" s="13" t="s">
        <v>303</v>
      </c>
      <c r="T7" s="13" t="s">
        <v>303</v>
      </c>
      <c r="U7" s="13" t="s">
        <v>303</v>
      </c>
      <c r="V7" s="92" t="s">
        <v>306</v>
      </c>
      <c r="W7" s="13" t="s">
        <v>303</v>
      </c>
      <c r="X7" s="27" t="s">
        <v>307</v>
      </c>
    </row>
    <row r="8" spans="1:25" x14ac:dyDescent="0.25">
      <c r="A8" s="13" t="s">
        <v>235</v>
      </c>
      <c r="B8" s="13" t="s">
        <v>270</v>
      </c>
      <c r="C8" s="13" t="s">
        <v>277</v>
      </c>
      <c r="D8" s="41" t="s">
        <v>308</v>
      </c>
      <c r="E8" s="41" t="s">
        <v>309</v>
      </c>
      <c r="F8" s="13" t="s">
        <v>303</v>
      </c>
      <c r="G8" s="13" t="s">
        <v>303</v>
      </c>
      <c r="H8" s="13" t="s">
        <v>303</v>
      </c>
      <c r="I8" s="13" t="s">
        <v>303</v>
      </c>
      <c r="J8" s="13" t="s">
        <v>304</v>
      </c>
      <c r="K8" s="13" t="s">
        <v>305</v>
      </c>
      <c r="L8" s="13" t="s">
        <v>303</v>
      </c>
      <c r="M8" s="13" t="s">
        <v>303</v>
      </c>
      <c r="N8" s="13" t="s">
        <v>303</v>
      </c>
      <c r="O8" s="13" t="s">
        <v>303</v>
      </c>
      <c r="P8" s="13" t="s">
        <v>303</v>
      </c>
      <c r="Q8" s="13" t="s">
        <v>303</v>
      </c>
      <c r="R8" s="13" t="s">
        <v>303</v>
      </c>
      <c r="S8" s="13" t="s">
        <v>303</v>
      </c>
      <c r="T8" s="13" t="s">
        <v>303</v>
      </c>
      <c r="U8" s="13" t="s">
        <v>303</v>
      </c>
      <c r="V8" s="13" t="s">
        <v>303</v>
      </c>
      <c r="W8" s="13" t="s">
        <v>303</v>
      </c>
      <c r="X8" s="27" t="s">
        <v>307</v>
      </c>
    </row>
    <row r="9" spans="1:25" x14ac:dyDescent="0.25">
      <c r="A9" t="s">
        <v>235</v>
      </c>
      <c r="B9" t="s">
        <v>270</v>
      </c>
      <c r="C9" t="s">
        <v>277</v>
      </c>
      <c r="D9" s="13" t="s">
        <v>310</v>
      </c>
      <c r="E9" s="13" t="s">
        <v>311</v>
      </c>
      <c r="F9" s="13" t="s">
        <v>303</v>
      </c>
      <c r="G9" s="13" t="s">
        <v>303</v>
      </c>
      <c r="H9" s="13" t="s">
        <v>303</v>
      </c>
      <c r="I9" s="13" t="s">
        <v>303</v>
      </c>
      <c r="J9" s="13" t="s">
        <v>304</v>
      </c>
      <c r="K9" s="13" t="s">
        <v>305</v>
      </c>
      <c r="L9" s="13" t="s">
        <v>303</v>
      </c>
      <c r="M9" s="13" t="s">
        <v>303</v>
      </c>
      <c r="N9" s="13" t="s">
        <v>303</v>
      </c>
      <c r="O9" s="13" t="s">
        <v>303</v>
      </c>
      <c r="P9" s="13" t="s">
        <v>303</v>
      </c>
      <c r="Q9" s="13" t="s">
        <v>303</v>
      </c>
      <c r="R9" s="13" t="s">
        <v>303</v>
      </c>
      <c r="S9" s="13" t="s">
        <v>303</v>
      </c>
      <c r="T9" s="13" t="s">
        <v>303</v>
      </c>
      <c r="U9" s="13" t="s">
        <v>303</v>
      </c>
      <c r="V9" s="13" t="s">
        <v>303</v>
      </c>
      <c r="W9" s="13" t="s">
        <v>303</v>
      </c>
      <c r="X9" s="22" t="s">
        <v>312</v>
      </c>
    </row>
    <row r="11" spans="1:25" x14ac:dyDescent="0.25">
      <c r="A11" s="13" t="s">
        <v>230</v>
      </c>
      <c r="B11" s="13" t="s">
        <v>271</v>
      </c>
      <c r="C11" s="13" t="s">
        <v>275</v>
      </c>
      <c r="D11" s="13" t="s">
        <v>313</v>
      </c>
      <c r="E11" s="41" t="s">
        <v>240</v>
      </c>
      <c r="F11" s="13" t="s">
        <v>303</v>
      </c>
      <c r="G11" s="13" t="s">
        <v>303</v>
      </c>
      <c r="H11" s="13" t="s">
        <v>303</v>
      </c>
      <c r="I11" s="13" t="s">
        <v>303</v>
      </c>
      <c r="J11" s="13" t="s">
        <v>304</v>
      </c>
      <c r="K11" s="13" t="s">
        <v>305</v>
      </c>
      <c r="L11" s="13" t="s">
        <v>303</v>
      </c>
      <c r="M11" s="13" t="s">
        <v>303</v>
      </c>
      <c r="N11" s="13" t="s">
        <v>303</v>
      </c>
      <c r="O11" s="13" t="s">
        <v>303</v>
      </c>
      <c r="P11" s="13" t="s">
        <v>303</v>
      </c>
      <c r="Q11" s="13" t="s">
        <v>303</v>
      </c>
      <c r="R11" s="13" t="s">
        <v>303</v>
      </c>
      <c r="S11" s="13" t="s">
        <v>303</v>
      </c>
      <c r="T11" s="13" t="s">
        <v>303</v>
      </c>
      <c r="U11" s="13" t="s">
        <v>303</v>
      </c>
      <c r="V11" s="92"/>
      <c r="W11" s="13" t="s">
        <v>303</v>
      </c>
      <c r="X11" s="27" t="s">
        <v>314</v>
      </c>
    </row>
    <row r="12" spans="1:25" ht="30.6" customHeight="1" x14ac:dyDescent="0.25">
      <c r="A12" s="13" t="s">
        <v>230</v>
      </c>
      <c r="B12" s="13" t="s">
        <v>271</v>
      </c>
      <c r="C12" s="13" t="s">
        <v>275</v>
      </c>
      <c r="D12" s="13" t="s">
        <v>315</v>
      </c>
      <c r="E12" s="13" t="s">
        <v>316</v>
      </c>
      <c r="F12" s="41" t="s">
        <v>305</v>
      </c>
      <c r="G12" s="41" t="s">
        <v>305</v>
      </c>
      <c r="H12" s="13" t="s">
        <v>303</v>
      </c>
      <c r="I12" s="13" t="s">
        <v>303</v>
      </c>
      <c r="J12" s="13" t="s">
        <v>304</v>
      </c>
      <c r="K12" s="13" t="s">
        <v>305</v>
      </c>
      <c r="L12" s="13" t="s">
        <v>303</v>
      </c>
      <c r="M12" s="13" t="s">
        <v>303</v>
      </c>
      <c r="N12" s="13" t="s">
        <v>303</v>
      </c>
      <c r="O12" s="13" t="s">
        <v>303</v>
      </c>
      <c r="P12" s="13" t="s">
        <v>303</v>
      </c>
      <c r="Q12" s="13" t="s">
        <v>303</v>
      </c>
      <c r="R12" s="27" t="s">
        <v>317</v>
      </c>
      <c r="S12" s="13" t="s">
        <v>303</v>
      </c>
      <c r="T12" s="13" t="s">
        <v>303</v>
      </c>
      <c r="U12" s="13" t="s">
        <v>303</v>
      </c>
      <c r="V12" s="13" t="s">
        <v>303</v>
      </c>
      <c r="W12" s="13" t="s">
        <v>303</v>
      </c>
      <c r="X12" s="27" t="s">
        <v>318</v>
      </c>
    </row>
    <row r="13" spans="1:25" ht="21" customHeight="1" x14ac:dyDescent="0.25">
      <c r="A13" s="13" t="s">
        <v>230</v>
      </c>
      <c r="B13" s="13" t="s">
        <v>271</v>
      </c>
      <c r="C13" s="13" t="s">
        <v>275</v>
      </c>
      <c r="D13" s="13" t="s">
        <v>319</v>
      </c>
      <c r="E13" s="41" t="s">
        <v>316</v>
      </c>
      <c r="F13" s="13" t="s">
        <v>303</v>
      </c>
      <c r="G13" s="13" t="s">
        <v>303</v>
      </c>
      <c r="H13" s="13" t="s">
        <v>303</v>
      </c>
      <c r="I13" s="13" t="s">
        <v>303</v>
      </c>
      <c r="J13" s="13" t="s">
        <v>304</v>
      </c>
      <c r="K13" s="13" t="s">
        <v>305</v>
      </c>
      <c r="L13" s="13" t="s">
        <v>303</v>
      </c>
      <c r="M13" s="13" t="s">
        <v>303</v>
      </c>
      <c r="N13" s="13" t="s">
        <v>303</v>
      </c>
      <c r="O13" s="13" t="s">
        <v>303</v>
      </c>
      <c r="P13" s="13" t="s">
        <v>303</v>
      </c>
      <c r="Q13" s="13" t="s">
        <v>303</v>
      </c>
      <c r="R13" s="13" t="s">
        <v>303</v>
      </c>
      <c r="S13" s="13" t="s">
        <v>303</v>
      </c>
      <c r="T13" s="13" t="s">
        <v>303</v>
      </c>
      <c r="U13" s="13" t="s">
        <v>303</v>
      </c>
      <c r="V13" s="41" t="s">
        <v>320</v>
      </c>
      <c r="W13" s="13" t="s">
        <v>303</v>
      </c>
      <c r="X13" s="27" t="s">
        <v>318</v>
      </c>
    </row>
    <row r="14" spans="1:25" ht="26.4" customHeight="1" x14ac:dyDescent="0.25">
      <c r="A14" s="13" t="s">
        <v>230</v>
      </c>
      <c r="B14" s="13" t="s">
        <v>271</v>
      </c>
      <c r="C14" s="13" t="s">
        <v>275</v>
      </c>
      <c r="D14" s="13" t="s">
        <v>321</v>
      </c>
      <c r="E14" s="41" t="s">
        <v>316</v>
      </c>
      <c r="F14" s="13"/>
      <c r="G14" s="13"/>
      <c r="H14" s="13"/>
      <c r="I14" s="13"/>
      <c r="J14" s="13"/>
      <c r="K14" s="13"/>
      <c r="L14" s="13"/>
      <c r="M14" s="13"/>
      <c r="N14" s="13"/>
      <c r="O14" s="13"/>
      <c r="P14" s="13"/>
      <c r="Q14" s="13"/>
      <c r="R14" s="27" t="s">
        <v>322</v>
      </c>
      <c r="S14" s="13"/>
      <c r="T14" s="13"/>
      <c r="U14" s="13"/>
      <c r="V14" s="13"/>
      <c r="W14" s="13"/>
      <c r="X14" s="27" t="s">
        <v>318</v>
      </c>
    </row>
    <row r="15" spans="1:25" ht="21" customHeight="1" x14ac:dyDescent="0.25">
      <c r="A15" s="13" t="s">
        <v>230</v>
      </c>
      <c r="B15" s="13" t="s">
        <v>271</v>
      </c>
      <c r="C15" s="13" t="s">
        <v>275</v>
      </c>
      <c r="D15" s="13" t="s">
        <v>323</v>
      </c>
      <c r="E15" s="13" t="s">
        <v>316</v>
      </c>
      <c r="F15" s="13" t="s">
        <v>303</v>
      </c>
      <c r="G15" s="13" t="s">
        <v>303</v>
      </c>
      <c r="H15" s="13" t="s">
        <v>303</v>
      </c>
      <c r="I15" s="13" t="s">
        <v>303</v>
      </c>
      <c r="J15" s="13" t="s">
        <v>304</v>
      </c>
      <c r="K15" s="13" t="s">
        <v>305</v>
      </c>
      <c r="L15" s="13" t="s">
        <v>303</v>
      </c>
      <c r="M15" s="13" t="s">
        <v>303</v>
      </c>
      <c r="N15" s="13" t="s">
        <v>303</v>
      </c>
      <c r="O15" s="13" t="s">
        <v>303</v>
      </c>
      <c r="P15" s="13" t="s">
        <v>303</v>
      </c>
      <c r="Q15" s="13" t="s">
        <v>303</v>
      </c>
      <c r="R15" s="13" t="s">
        <v>303</v>
      </c>
      <c r="S15" s="13" t="s">
        <v>303</v>
      </c>
      <c r="T15" s="13" t="s">
        <v>303</v>
      </c>
      <c r="U15" s="13" t="s">
        <v>303</v>
      </c>
      <c r="V15" s="13" t="s">
        <v>303</v>
      </c>
      <c r="W15" s="41" t="s">
        <v>324</v>
      </c>
      <c r="X15" s="27" t="s">
        <v>318</v>
      </c>
    </row>
    <row r="17" spans="1:3" ht="30.6" customHeight="1" x14ac:dyDescent="0.25"/>
    <row r="18" spans="1:3" ht="21" customHeight="1" x14ac:dyDescent="0.25"/>
    <row r="20" spans="1:3" ht="21" customHeight="1" x14ac:dyDescent="0.25">
      <c r="A20" s="21" t="s">
        <v>36</v>
      </c>
      <c r="B20" s="21" t="s">
        <v>207</v>
      </c>
    </row>
    <row r="21" spans="1:3" x14ac:dyDescent="0.25">
      <c r="A21" s="20"/>
      <c r="B21" s="20">
        <v>0.125</v>
      </c>
      <c r="C21">
        <f>ROUND(B21*8,1)</f>
        <v>1</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3.2" x14ac:dyDescent="0.25"/>
  <cols>
    <col min="1" max="1" width="16.33203125" bestFit="1" customWidth="1"/>
    <col min="2" max="2" width="15.33203125" customWidth="1"/>
    <col min="3" max="3" width="39.109375" customWidth="1"/>
  </cols>
  <sheetData>
    <row r="1" spans="1:3" ht="13.8" thickBot="1" x14ac:dyDescent="0.3">
      <c r="A1" s="147" t="s">
        <v>126</v>
      </c>
      <c r="B1" s="148"/>
      <c r="C1" s="149"/>
    </row>
    <row r="3" spans="1:3" ht="39.6" x14ac:dyDescent="0.25">
      <c r="A3" s="28" t="s">
        <v>325</v>
      </c>
      <c r="B3" s="28" t="s">
        <v>173</v>
      </c>
      <c r="C3" s="28" t="s">
        <v>70</v>
      </c>
    </row>
    <row r="4" spans="1:3" x14ac:dyDescent="0.25">
      <c r="A4" s="41" t="s">
        <v>167</v>
      </c>
      <c r="B4" s="13"/>
      <c r="C4" s="13"/>
    </row>
    <row r="5" spans="1:3" x14ac:dyDescent="0.25">
      <c r="A5" s="13"/>
      <c r="B5" s="13"/>
      <c r="C5" s="22"/>
    </row>
    <row r="6" spans="1:3" x14ac:dyDescent="0.25">
      <c r="A6" s="13"/>
      <c r="B6" s="13"/>
      <c r="C6" s="13"/>
    </row>
    <row r="9" spans="1:3" x14ac:dyDescent="0.25">
      <c r="A9" s="21" t="s">
        <v>36</v>
      </c>
      <c r="B9" s="21" t="s">
        <v>207</v>
      </c>
    </row>
    <row r="10" spans="1:3" x14ac:dyDescent="0.25">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47" t="s">
        <v>128</v>
      </c>
      <c r="B1" s="148"/>
      <c r="C1" s="148"/>
      <c r="D1" s="149"/>
    </row>
    <row r="3" spans="1:8" x14ac:dyDescent="0.25">
      <c r="A3" s="14" t="s">
        <v>326</v>
      </c>
      <c r="B3" s="14" t="s">
        <v>327</v>
      </c>
      <c r="C3" s="14" t="s">
        <v>105</v>
      </c>
      <c r="D3" s="14" t="s">
        <v>328</v>
      </c>
      <c r="E3" s="14" t="s">
        <v>329</v>
      </c>
      <c r="F3" s="14" t="s">
        <v>330</v>
      </c>
    </row>
    <row r="4" spans="1:8" x14ac:dyDescent="0.25">
      <c r="A4" s="19" t="s">
        <v>331</v>
      </c>
      <c r="B4" s="40"/>
      <c r="C4" s="41"/>
      <c r="D4" s="13"/>
      <c r="E4" s="13"/>
      <c r="F4" s="13" t="s">
        <v>167</v>
      </c>
    </row>
    <row r="5" spans="1:8" x14ac:dyDescent="0.25">
      <c r="A5" s="19" t="s">
        <v>331</v>
      </c>
      <c r="B5" s="13"/>
      <c r="C5" s="13"/>
      <c r="D5" s="13"/>
      <c r="E5" s="13"/>
      <c r="F5" s="13" t="s">
        <v>167</v>
      </c>
    </row>
    <row r="8" spans="1:8" x14ac:dyDescent="0.25">
      <c r="A8" s="14" t="s">
        <v>332</v>
      </c>
      <c r="B8" s="38" t="s">
        <v>333</v>
      </c>
      <c r="C8" s="38" t="s">
        <v>334</v>
      </c>
      <c r="D8" s="38" t="s">
        <v>335</v>
      </c>
      <c r="E8" s="38" t="s">
        <v>336</v>
      </c>
      <c r="F8" s="38" t="s">
        <v>337</v>
      </c>
      <c r="G8" s="38" t="s">
        <v>338</v>
      </c>
      <c r="H8" s="38" t="s">
        <v>339</v>
      </c>
    </row>
    <row r="9" spans="1:8" x14ac:dyDescent="0.25">
      <c r="A9" s="14" t="s">
        <v>340</v>
      </c>
      <c r="B9" s="39"/>
      <c r="C9" s="39"/>
      <c r="D9" s="39"/>
      <c r="E9" s="39"/>
      <c r="F9" s="39"/>
      <c r="G9" s="39"/>
      <c r="H9" s="39"/>
    </row>
    <row r="10" spans="1:8" x14ac:dyDescent="0.25">
      <c r="A10" s="14" t="s">
        <v>340</v>
      </c>
      <c r="B10" s="39"/>
      <c r="C10" s="39"/>
      <c r="D10" s="39"/>
      <c r="E10" s="39"/>
      <c r="F10" s="39"/>
      <c r="G10" s="39"/>
      <c r="H10" s="39"/>
    </row>
    <row r="11" spans="1:8" x14ac:dyDescent="0.25">
      <c r="A11" s="14" t="s">
        <v>340</v>
      </c>
      <c r="B11" s="39"/>
      <c r="C11" s="39"/>
      <c r="D11" s="39"/>
      <c r="E11" s="39"/>
      <c r="F11" s="39"/>
      <c r="G11" s="39"/>
      <c r="H11" s="39"/>
    </row>
    <row r="15" spans="1:8" x14ac:dyDescent="0.25">
      <c r="B15" s="37" t="s">
        <v>341</v>
      </c>
      <c r="C15" s="157" t="s">
        <v>342</v>
      </c>
      <c r="D15" s="157"/>
      <c r="E15" s="157"/>
      <c r="F15" s="157"/>
      <c r="G15" s="157"/>
    </row>
    <row r="16" spans="1:8" x14ac:dyDescent="0.25">
      <c r="B16" s="37" t="s">
        <v>343</v>
      </c>
      <c r="C16" s="157"/>
      <c r="D16" s="157"/>
      <c r="E16" s="157"/>
      <c r="F16" s="157"/>
      <c r="G16" s="157"/>
    </row>
    <row r="17" spans="2:7" x14ac:dyDescent="0.25">
      <c r="B17" s="37" t="s">
        <v>344</v>
      </c>
      <c r="C17" s="157"/>
      <c r="D17" s="157"/>
      <c r="E17" s="157"/>
      <c r="F17" s="157"/>
      <c r="G17" s="157"/>
    </row>
    <row r="18" spans="2:7" x14ac:dyDescent="0.25">
      <c r="B18" s="37" t="s">
        <v>345</v>
      </c>
      <c r="C18" s="157"/>
      <c r="D18" s="157"/>
      <c r="E18" s="157"/>
      <c r="F18" s="157"/>
      <c r="G18" s="157"/>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3.2" x14ac:dyDescent="0.25"/>
  <cols>
    <col min="1" max="1" width="15.109375" bestFit="1" customWidth="1"/>
    <col min="2" max="2" width="48" customWidth="1"/>
  </cols>
  <sheetData>
    <row r="1" spans="1:2" x14ac:dyDescent="0.25">
      <c r="A1" s="158" t="s">
        <v>346</v>
      </c>
      <c r="B1" s="159"/>
    </row>
    <row r="2" spans="1:2" x14ac:dyDescent="0.25">
      <c r="A2" s="65" t="s">
        <v>347</v>
      </c>
      <c r="B2" s="83" t="s">
        <v>167</v>
      </c>
    </row>
    <row r="3" spans="1:2" x14ac:dyDescent="0.25">
      <c r="A3" s="65" t="s">
        <v>348</v>
      </c>
      <c r="B3" s="83" t="s">
        <v>167</v>
      </c>
    </row>
    <row r="4" spans="1:2" ht="13.8" thickBot="1" x14ac:dyDescent="0.3">
      <c r="A4" s="66" t="s">
        <v>349</v>
      </c>
      <c r="B4" s="84" t="s">
        <v>167</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477E1046-3CBC-471A-AD91-3C4FC96D3281}">
  <ds:schemaRefs>
    <ds:schemaRef ds:uri="http://schemas.microsoft.com/sharepoint/v3/contenttype/forms"/>
  </ds:schemaRefs>
</ds:datastoreItem>
</file>

<file path=customXml/itemProps2.xml><?xml version="1.0" encoding="utf-8"?>
<ds:datastoreItem xmlns:ds="http://schemas.openxmlformats.org/officeDocument/2006/customXml" ds:itemID="{DA129FDC-BE30-4F78-A495-174203A9C8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EE82A70-52A3-4B8F-AC0E-A8C7D75EC76F}">
  <ds:schemaRefs>
    <ds:schemaRef ds:uri="http://schemas.microsoft.com/office/2006/metadata/properties"/>
    <ds:schemaRef ds:uri="http://schemas.microsoft.com/office/infopath/2007/PartnerControls"/>
    <ds:schemaRef ds:uri="6d0617fb-1757-47f7-87ee-4de08b985d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2022-01-05T08:26:03Z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