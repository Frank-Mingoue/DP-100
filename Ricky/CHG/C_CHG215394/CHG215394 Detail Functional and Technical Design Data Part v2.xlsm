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9"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ETL Dev/Account/"/>
    </mc:Choice>
  </mc:AlternateContent>
  <xr:revisionPtr revIDLastSave="85" documentId="8_{0CE6D8C0-DAFF-456B-9013-E3F7CB2F6D4A}" xr6:coauthVersionLast="47" xr6:coauthVersionMax="47" xr10:uidLastSave="{DCD4EC86-EBF3-4BA0-A313-39ED5F382017}"/>
  <bookViews>
    <workbookView xWindow="-120" yWindow="-120" windowWidth="29040" windowHeight="15840" tabRatio="893" activeTab="6"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5" i="12" l="1"/>
  <c r="B17" i="3"/>
  <c r="B8" i="21" l="1"/>
  <c r="B3" i="21"/>
  <c r="B9" i="21"/>
  <c r="B10" i="21"/>
  <c r="C17" i="21"/>
  <c r="C24" i="12" l="1"/>
  <c r="C27" i="12" s="1"/>
  <c r="G27" i="12" s="1"/>
  <c r="D8" i="1" l="1"/>
  <c r="D7" i="1"/>
  <c r="D6" i="1"/>
  <c r="D5" i="1"/>
  <c r="D4" i="1"/>
  <c r="D3" i="1"/>
  <c r="B38" i="11"/>
  <c r="B7" i="21"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<sst xmlns="http://schemas.openxmlformats.org/spreadsheetml/2006/main" count="1713" uniqueCount="467">
  <si>
    <t>Trade Marketing Excellence Programme</t>
  </si>
  <si>
    <t>DATA</t>
  </si>
  <si>
    <t>Technical Design Mapping, Workflow &amp; Stored Procedure</t>
  </si>
  <si>
    <t>CHG/INC:</t>
  </si>
  <si>
    <t>CHG215394</t>
  </si>
  <si>
    <t xml:space="preserve">        Title:</t>
  </si>
  <si>
    <t>Account Updates Work flow</t>
  </si>
  <si>
    <t>Planned Prod Release Date:</t>
  </si>
  <si>
    <t>Feb, 2022</t>
  </si>
  <si>
    <t xml:space="preserve">  Market Affected:</t>
  </si>
  <si>
    <t>UK</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</si>
  <si>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</si>
  <si>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</si>
  <si>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</si>
  <si>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</si>
  <si>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</si>
  <si>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</si>
  <si>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</si>
  <si>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</si>
  <si>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</si>
  <si>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</si>
  <si>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</si>
  <si>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</si>
  <si>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</si>
  <si>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</si>
  <si>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</si>
  <si>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</si>
  <si>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</si>
  <si>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 FD_CHG215394_Account Updates Work flow_v1_2</t>
  </si>
  <si>
    <t>Not Started</t>
  </si>
  <si>
    <t>Ramjuf</t>
  </si>
  <si>
    <t>Santanoo</t>
  </si>
  <si>
    <t>Reviewer</t>
  </si>
  <si>
    <t>Sign-off Control Section (a CoE and GDC sign-off names are required)</t>
  </si>
  <si>
    <t>Signature</t>
  </si>
  <si>
    <t>Estimation</t>
  </si>
  <si>
    <t>Manday</t>
  </si>
  <si>
    <t xml:space="preserve">Test Account dimension </t>
  </si>
  <si>
    <t>Design(HLFD, DTD)</t>
  </si>
  <si>
    <t>Test Account History Multiple scenarios</t>
  </si>
  <si>
    <t>ETL Detail Design</t>
  </si>
  <si>
    <t>Test Account Attribute nullfication on OLTP and OLAP</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</si>
  <si>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</si>
  <si>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</si>
  <si>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</si>
  <si>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</si>
  <si>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</si>
  <si>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</si>
  <si>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</si>
  <si>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</si>
  <si>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</si>
  <si>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</si>
  <si>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</si>
  <si>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</si>
  <si>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</si>
  <si>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</si>
  <si>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</si>
  <si>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</si>
  <si>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</si>
  <si>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</si>
  <si>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</si>
  <si>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</si>
  <si>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</si>
  <si>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HLFD_XXX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</si>
  <si>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</si>
  <si>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</si>
  <si>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</si>
  <si>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</si>
  <si>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</si>
  <si>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</si>
  <si>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</si>
  <si>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</si>
  <si>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</si>
  <si>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</si>
  <si>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</si>
  <si>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</si>
  <si>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</si>
  <si>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</si>
  <si>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</si>
  <si>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</si>
  <si>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</si>
  <si>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</si>
  <si>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</si>
  <si>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</si>
  <si>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</si>
  <si>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</si>
  <si>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</si>
  <si>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</si>
  <si>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</si>
  <si>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</si>
  <si>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</si>
  <si>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</si>
  <si>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</si>
  <si>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</si>
  <si>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</si>
  <si>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</si>
  <si>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</si>
  <si>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</si>
  <si>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</si>
  <si>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</si>
  <si>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</si>
  <si>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</si>
  <si>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</si>
  <si>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</si>
  <si>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</si>
  <si>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</si>
  <si>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</si>
  <si>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</si>
  <si>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</si>
  <si>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</si>
  <si>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</si>
  <si>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</si>
  <si>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</si>
  <si>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</si>
  <si>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</si>
  <si>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</si>
  <si>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</si>
  <si>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</si>
  <si>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</si>
  <si>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</si>
  <si>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</si>
  <si>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</si>
  <si>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</si>
  <si>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</si>
  <si>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</si>
  <si>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</si>
  <si>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</si>
  <si>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</si>
  <si>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</si>
  <si>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</si>
  <si>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</si>
  <si>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</si>
  <si>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</si>
  <si>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</si>
  <si>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</si>
  <si>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</si>
  <si>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</si>
  <si>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</si>
  <si>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</si>
  <si>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</si>
  <si>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</si>
  <si>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</si>
  <si>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</si>
  <si>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</si>
  <si>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</si>
  <si>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</si>
  <si>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</si>
  <si>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</si>
  <si>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</si>
  <si>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</si>
  <si>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</si>
  <si>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</si>
  <si>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</si>
  <si>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</si>
  <si>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</si>
  <si>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</si>
  <si>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</si>
  <si>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</si>
  <si>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</si>
  <si>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</si>
  <si>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</si>
  <si>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</si>
  <si>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</si>
  <si>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</si>
  <si>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</si>
  <si>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</si>
  <si>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</si>
  <si>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</si>
  <si>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</si>
  <si>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</si>
  <si>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</si>
  <si>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</si>
  <si>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</si>
  <si>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</si>
  <si>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</si>
  <si>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</si>
  <si>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WC_ORG_D</t>
  </si>
  <si>
    <t>OLAP</t>
  </si>
  <si>
    <t>Alter Table</t>
  </si>
  <si>
    <t>Vardecimal compression should be applied for OLAP</t>
  </si>
  <si>
    <t>WC_ORG_DS</t>
  </si>
  <si>
    <t>When populating WC_FF_ENTITY_DETAILS, populate COUNTRY with value from WC_FF_COUNTRY_LANG_ID</t>
  </si>
  <si>
    <t>MERGE_WC_ORG_D</t>
  </si>
  <si>
    <t>WC_ORG_HISTORY_D</t>
  </si>
  <si>
    <t>Create Table</t>
  </si>
  <si>
    <t>WC_ETL_VALUES_P</t>
  </si>
  <si>
    <t>New Parameter table to be used for Approved and Rejected records
insert into WC_ETL_VALUES_P
SELECT INTEGRATION_ID,COUNTRY_CODE, COUNTRY_NAME, 'Account Attribute History', 'STATUS', 'Approved'  FROM WC_BU_D WHERE  COUNTRY_CODE= 'UK'
insert into WC_ETL_VALUES_P
SELECT INTEGRATION_ID,COUNTRY_CODE, COUNTRY_NAME, 'Account Attribute History', 'STATUS', 'Rejected'  FROM WC_BU_D WHERE  COUNTRY_CODE= 'UK'</t>
  </si>
  <si>
    <t>WC_ETL_MARKET_PARAM_G</t>
  </si>
  <si>
    <t xml:space="preserve">OLAP </t>
  </si>
  <si>
    <t xml:space="preserve">Add new parameter
INSERT INTO WC_ETL_MARKET_PARAM_G 
SELECT INTEGRATION_ID,COUNTRY_CODE, COUNTRY_NAME, 'Account Attribute History', CASE WHEN COUNTRY_CODE  = 'UK' THEN 'Y' ELSE 'N'  END FROM WC_BU_D </t>
  </si>
  <si>
    <t>Columns</t>
  </si>
  <si>
    <t>Column Name</t>
  </si>
  <si>
    <t>Data Type</t>
  </si>
  <si>
    <t>Default column value</t>
  </si>
  <si>
    <t>Field</t>
  </si>
  <si>
    <t>Column</t>
  </si>
  <si>
    <t>ATTRIB_93</t>
  </si>
  <si>
    <t>NVARCHAR (100)</t>
  </si>
  <si>
    <t>X_JTI_TRADING_AS</t>
  </si>
  <si>
    <t>NVARCHAR(50)</t>
  </si>
  <si>
    <t>Trading As</t>
  </si>
  <si>
    <t>S_ORG_EXT</t>
  </si>
  <si>
    <t>ALIAS_NAME</t>
  </si>
  <si>
    <t xml:space="preserve"> </t>
  </si>
  <si>
    <t>ATTRIB_53</t>
  </si>
  <si>
    <t>NVARCHAR (250)</t>
  </si>
  <si>
    <t>X_JTI_TT_EOID</t>
  </si>
  <si>
    <t>NVARCHAR(1)</t>
  </si>
  <si>
    <t>T&amp;T EO_ID</t>
  </si>
  <si>
    <t>S_ORG_EXT_X</t>
  </si>
  <si>
    <t>ATTRIB_52</t>
  </si>
  <si>
    <t>X_JTI_TT_FID</t>
  </si>
  <si>
    <t>NVARCHAR(30)</t>
  </si>
  <si>
    <t>T&amp;T F_ID</t>
  </si>
  <si>
    <t>X_TRADING_AS_TXT</t>
  </si>
  <si>
    <t>X_JTI_NEW_TRADING_AS</t>
  </si>
  <si>
    <t>New Trading As</t>
  </si>
  <si>
    <t>X_TT_EOID_TXT</t>
  </si>
  <si>
    <t>X_JTI_NEW_TT_EOID</t>
  </si>
  <si>
    <t>New Retail T&amp;T EO_ID</t>
  </si>
  <si>
    <t>X_TT_FID_TXT</t>
  </si>
  <si>
    <t>X_JTI_NEW_TT_FID</t>
  </si>
  <si>
    <t>New Retail T&amp;T F_ID</t>
  </si>
  <si>
    <t>X_TT_UPDATE_STAT_CD</t>
  </si>
  <si>
    <t>X_JTI_TT_STAT_CD</t>
  </si>
  <si>
    <t>Update Status</t>
  </si>
  <si>
    <t>X_TT_REQUEST_DT</t>
  </si>
  <si>
    <t>DATETIME</t>
  </si>
  <si>
    <t>X_JTI_TT_REQ_DATE</t>
  </si>
  <si>
    <t>Postcode – of the primary address of the Account</t>
  </si>
  <si>
    <t>S_ADDR_PER</t>
  </si>
  <si>
    <t>ZIPCODE</t>
  </si>
  <si>
    <t>JOIN Specification :</t>
  </si>
  <si>
    <t>X_TT_REQ_BY</t>
  </si>
  <si>
    <t>X_JTI_TT_REQ_INFO</t>
  </si>
  <si>
    <t>S_ORG_EXT.PR_ADDR_ID=S_ADDR_PER.ROW_ID</t>
  </si>
  <si>
    <t>X_TT_REJECT_APP_DT</t>
  </si>
  <si>
    <t>X_JTI_TT_APPROV_DATE</t>
  </si>
  <si>
    <t>Primary Position – Account Administration field list applet</t>
  </si>
  <si>
    <t>S_USER</t>
  </si>
  <si>
    <t>LOGIN</t>
  </si>
  <si>
    <t>X_TT_REJECT_APP_BY</t>
  </si>
  <si>
    <t>X_JTI_TT_APPROV_INFO</t>
  </si>
  <si>
    <t xml:space="preserve">S_ORG_EXT.PR_POSTN_ID.S_POSTN.PAR_ROW_ID AND </t>
  </si>
  <si>
    <t>NVARCHAR (30)</t>
  </si>
  <si>
    <t>S_POSTN.PR_EMP_ID=S_USER.PAR_ROW_ID</t>
  </si>
  <si>
    <t>PR_POSTN_ID</t>
  </si>
  <si>
    <t>VIS_PR_POSITION_ID</t>
  </si>
  <si>
    <t>Account Handler position – Account Administration field</t>
  </si>
  <si>
    <t>S_POSTN</t>
  </si>
  <si>
    <t>NAME</t>
  </si>
  <si>
    <t>X_ACCNT_POSTN_ID</t>
  </si>
  <si>
    <t>VIS_PR_POS_HNDLR_ID</t>
  </si>
  <si>
    <t>S_ORG_EXT.X_ACCNT_POSTN_ID=S_POSTN.PAR_ROW_ID</t>
  </si>
  <si>
    <t>Date Requested</t>
  </si>
  <si>
    <t>Details of Requester</t>
  </si>
  <si>
    <t>S_ORG_EXT_X.X_TT_REQ_BY_ID=S_USER.PAR_ROW_ID</t>
  </si>
  <si>
    <t>Date Approved/Rejected</t>
  </si>
  <si>
    <t>Details of Approver/Rejection</t>
  </si>
  <si>
    <t xml:space="preserve">JOIN Specification : </t>
  </si>
  <si>
    <t>S_ORG_EXT_X.X_TT_REJECT_APP_BY_ID=S_USER.PAR_ROW_ID</t>
  </si>
  <si>
    <t>ROW_WID</t>
  </si>
  <si>
    <t>NUMERIC(10,0) NOT NULL</t>
  </si>
  <si>
    <t>INTEGRATION_ID</t>
  </si>
  <si>
    <t>NVARCHAR(15) NOT NULL</t>
  </si>
  <si>
    <t>X_TT_REQ_BY_ID</t>
  </si>
  <si>
    <t>ETL_PROC_WID</t>
  </si>
  <si>
    <t>DATASOURCE_NUM_ID</t>
  </si>
  <si>
    <t>X_TT_REJECT_APP_BY_ID</t>
  </si>
  <si>
    <t>ACCNT_WID</t>
  </si>
  <si>
    <t>NVARCHAR(15)  NOT NULL</t>
  </si>
  <si>
    <t>Foreign Key to WC_ORG_D</t>
  </si>
  <si>
    <t>PR_ADDR_ID</t>
  </si>
  <si>
    <t>PR_POSTN_WID</t>
  </si>
  <si>
    <t>NUMERIC (10)</t>
  </si>
  <si>
    <t>Foreign Key to Foreign Key to W_POSITION_D</t>
  </si>
  <si>
    <t>X_ACCNT_POSTN_WID</t>
  </si>
  <si>
    <t>ROW_ID</t>
  </si>
  <si>
    <t>IDENTITY(1,1) INT (10)</t>
  </si>
  <si>
    <t>NOT NULL</t>
  </si>
  <si>
    <t>MARKET_ID</t>
  </si>
  <si>
    <t>NVARCHAR (15)</t>
  </si>
  <si>
    <t>MARKET_CODE</t>
  </si>
  <si>
    <t>MARKET_NAME</t>
  </si>
  <si>
    <t>PROCESS_NAME</t>
  </si>
  <si>
    <t>ATTRIBUTE</t>
  </si>
  <si>
    <t>VAL</t>
  </si>
  <si>
    <t>Index</t>
  </si>
  <si>
    <t>Index Name</t>
  </si>
  <si>
    <t>Type of Index</t>
  </si>
  <si>
    <t>Columns on which index need to be applied</t>
  </si>
  <si>
    <t>Included</t>
  </si>
  <si>
    <t>WC_ORG_HISTORY_D_U1</t>
  </si>
  <si>
    <t>UNIQUE CLUSTERED</t>
  </si>
  <si>
    <t>n/a</t>
  </si>
  <si>
    <t>CCSI Impact(MSSQL Only)</t>
  </si>
  <si>
    <t>Impacted Merge table</t>
  </si>
  <si>
    <t>Mandays</t>
  </si>
  <si>
    <t>IFB &amp; PHP</t>
  </si>
  <si>
    <t>PHP/Java</t>
  </si>
  <si>
    <t>File Name</t>
  </si>
  <si>
    <t>IFBs</t>
  </si>
  <si>
    <t>Ifb Name</t>
  </si>
  <si>
    <t>IFA_Account_Update_Workflow.ifb</t>
  </si>
  <si>
    <t xml:space="preserve">Create new IFB to nullify 
						S_ORG_EXT_X.X_JTI_NEW_TRADING_AS_TXT,\
						S_ORG_EXT_X.X_JTI_NEW_TT_EOID_TXT,\
						S_ORG_EXT_X.X_JTI_NEW_TT_FID_TXT,\
						S_ORG_EXT_X.X_JTI_TT_STAT_CD,\
						S_ORG_EXT_X.X_JTI_TT_REQ_DT,\
						S_ORG_EXT_X.X_JTI_TT_REQ_INFO_TXT\
</t>
  </si>
  <si>
    <t>Confirm with sales team the EIM table to use since these are brand new fields</t>
  </si>
  <si>
    <t>Parameter Files</t>
  </si>
  <si>
    <t>Configuration File (*.ini)</t>
  </si>
  <si>
    <t>Bat Files</t>
  </si>
  <si>
    <t xml:space="preserve">Mapping </t>
  </si>
  <si>
    <t>Folder Name</t>
  </si>
  <si>
    <t>Mapping Name</t>
  </si>
  <si>
    <t>Custom</t>
  </si>
  <si>
    <t>SIL_Account_Attr_History_Dimension</t>
  </si>
  <si>
    <t>New Mapping</t>
  </si>
  <si>
    <t>EC4U</t>
  </si>
  <si>
    <t>Shortcut_to_SIL_Account_Attr_History_Dimension</t>
  </si>
  <si>
    <t>Create Shortcut</t>
  </si>
  <si>
    <t>SIL_Account_Attrib_Nullify_to_OLTP</t>
  </si>
  <si>
    <t>Shortcut_to_SIL_Account_Attrib_Nullify_to_OLTP</t>
  </si>
  <si>
    <t>SIA_SDE_OrganizationDimension_Merge</t>
  </si>
  <si>
    <t>Confirm columns name with siebel team and Transfer Fields</t>
  </si>
  <si>
    <t>Shortcut_to_SIA_SDE_OrganizationDimension_Merge</t>
  </si>
  <si>
    <t>Validate Shortcut</t>
  </si>
  <si>
    <t>SIA_SIL_OrganizationDimension_Merge_CCSI</t>
  </si>
  <si>
    <t>Shortcut_to_SIA_SIL_OrganizationDimension_Merge_CCSI</t>
  </si>
  <si>
    <t>SIL_Account_Attr_History_Dimension (POC)</t>
  </si>
  <si>
    <t>Mapping Details</t>
  </si>
  <si>
    <t>Source Table</t>
  </si>
  <si>
    <t>Instance Name</t>
  </si>
  <si>
    <t>Source Column</t>
  </si>
  <si>
    <t>Datatype</t>
  </si>
  <si>
    <t>Target Table</t>
  </si>
  <si>
    <t>Target Column</t>
  </si>
  <si>
    <t>Functional
Summary</t>
  </si>
  <si>
    <t>Transformations</t>
  </si>
  <si>
    <t>Import Source and Target</t>
  </si>
  <si>
    <t xml:space="preserve">Add column in SQ </t>
  </si>
  <si>
    <t>SQ_S_ORG_EXT</t>
  </si>
  <si>
    <t>Transfer fields</t>
  </si>
  <si>
    <t xml:space="preserve">To confirm </t>
  </si>
  <si>
    <t>Add column in SQ</t>
  </si>
  <si>
    <t>SIA_SIL_Org_History_Dimension</t>
  </si>
  <si>
    <t>Lookup Account WID</t>
  </si>
  <si>
    <t>LKP_ACCNT</t>
  </si>
  <si>
    <t>Lookup existing record from target for comparion</t>
  </si>
  <si>
    <t>LKP_WC_ORG_HISTORY_D</t>
  </si>
  <si>
    <t>Look Up Status from parameter table ( Approved/Rejected )</t>
  </si>
  <si>
    <t>LKP_STATUS</t>
  </si>
  <si>
    <t>LookUp ETL_PROC_WID</t>
  </si>
  <si>
    <t>LKP_ETL_PROC_WID</t>
  </si>
  <si>
    <t>EXP_ETL_PROC_WID</t>
  </si>
  <si>
    <t>Filter records based on ETL_PROC_WID</t>
  </si>
  <si>
    <t>FIL_ETL_PROC_WID</t>
  </si>
  <si>
    <t>Expression compare fields for changes
IIF( ISNULL(LKP_ROW_WID)
OR (
( DECODE(LKP_X_JTI_TRADING_AS, X_JTI_TRADING_AS,0,1) 
OR DECODE(LKP_X_JTI_TT_EOID, X_JTI_TT_EOID,0,1) 
OR DECODE(LKP_X_JTI_TT_FID, X_JTI_TT_FID,0,1) 
OR DECODE(LKP_X_JTI_NEW_TRADING_AS, X_JTI_NEW_TRADING_AS,0,1) 
OR DECODE(LKP_X_JTI_NEW_TT_EOID, X_JTI_NEW_TT_EOID,0,1) 
OR DECODE(LKP_X_JTI_NEW_TT_FID, X_JTI_NEW_TT_FID,0,1) 
OR DECODE(LKP_X_JTI_TT_STAT_CD, X_JTI_TT_STAT_CD,0,1) 
OR DECODE(LKP_X_JTI_TT_REQ_DATE, X_JTI_TT_REQ_DATE,0,1) 
OR DECODE(LKP_X_JTI_TT_REQ_INFO, X_JTI_TT_REQ_INFO,0,1) 
OR DECODE(LKP_X_JTI_TT_APPROV_DATE, X_JTI_TT_APPROV_DATE,0,1) 
OR DECODE(LKP_X_JTI_TT_APPROV_INFO, X_JTI_TT_APPROV_INFO,0,1) 
) AND ISNULL(APPROVAL_FLG)
)
,'INSERT','UPDATE')</t>
  </si>
  <si>
    <t>EXPTRANS</t>
  </si>
  <si>
    <t>Expression for Insert update flag; uncnnected foreign key lookup etc</t>
  </si>
  <si>
    <t>Expenssion to calculate ROW_WID</t>
  </si>
  <si>
    <t>EXP_NEXTVAL_WITH_INSERT_UPDATE_FLAG1</t>
  </si>
  <si>
    <t>Filter for Approved/rejected records to insert new line in a second target</t>
  </si>
  <si>
    <t>FIL_APPROV</t>
  </si>
  <si>
    <t>Transfer Field</t>
  </si>
  <si>
    <t>VIS_PR_POSITION_WID</t>
  </si>
  <si>
    <t>LKP_PR_POS</t>
  </si>
  <si>
    <t>VIS_PR_POS_HNDLR_WID</t>
  </si>
  <si>
    <t>LKP_PR_POS_HANDLR</t>
  </si>
  <si>
    <t>WC_ORG_HISTORY_D_APPV</t>
  </si>
  <si>
    <t>SQL overide:
SELECT INTEGRATION_ID
FROM WC_ORG_DS DS
INNER JOIN WC_ETL_VALUES_P SP ON SP.MARKET_ID = DS.BU_ID
	AND DS.X_JTI_TT_STAT_CD = SP.VAL
	AND SP.PROCESS_NAME = 'Account Attribute History'
	AND SP.ATTRIBUTE = 'STATUS'
INNER JOIN WC_ETL_MARKET_PARAM_G EP ON EP.MARKET_ID = DS.BU_ID
	AND EP.ETL_PROCESS_NAME = 'Account Attribute History'
	AND EP.EXECUTION_FLG = 'Y'</t>
  </si>
  <si>
    <t>SQ_WC_ORG_DS</t>
  </si>
  <si>
    <t>Post SQL: nullify account attributes in WC_ORG_D
UPDATE D
SET X_JTI_NEW_TRADING_AS = NULL
	,X_JTI_NEW_TT_EOID = NULL
	,X_JTI_NEW_TT_FID = NULL
	,X_JTI_TT_STAT_CD = NULL
	,X_JTI_TT_REQ_DATE = NULL
	,X_JTI_TT_REQ_INFO = NULL
FROM WC_ORG_D D
INNER JOIN WC_ORG_DS DS ON DS.INTEGRATION_ID = D.INTEGRATION_ID
INNER JOIN WC_ETL_VALUES_P SP ON SP.MARKET_ID = DS.BU_ID
	AND DS.ATTRIB_219 = SP.VAL
	AND SP.PROCESS_NAME = 'Account Attribute History'
	AND SP.ATTRIBUTE = 'STATUS'
INNER JOIN WC_ETL_MARKET_PARAM_G EP ON EP.MARKET_ID = DS.BU_ID
	AND EP.ETL_PROCESS_NAME = 'Account Attribute History'
	AND EP.EXECUTION_FLG = 'Y'</t>
  </si>
  <si>
    <t>S_PARTY</t>
  </si>
  <si>
    <t>SQ_S_PARTY</t>
  </si>
  <si>
    <t>Join SQ_WC_ORG_DS and SQ_S_PARTY ON S_PARTY.ROW_ID = WC_ORG_D.INTEGRATION_ID</t>
  </si>
  <si>
    <t>JNRTRANS</t>
  </si>
  <si>
    <t>Re-usable transformation for segmented batch</t>
  </si>
  <si>
    <t>EXP_INC_BATCH_NUM</t>
  </si>
  <si>
    <t>NVARCHAR(15)</t>
  </si>
  <si>
    <t>EIM_ACCNT_DTL</t>
  </si>
  <si>
    <t>Transfer fieild</t>
  </si>
  <si>
    <t>IF_ROW_BATCH_NUM</t>
  </si>
  <si>
    <t>NUMERIC(15)</t>
  </si>
  <si>
    <t>IF_ROW_STAT</t>
  </si>
  <si>
    <t>PARTY_TYPE_CD</t>
  </si>
  <si>
    <t>PARTY_UID</t>
  </si>
  <si>
    <t>NVARCHAR(100)</t>
  </si>
  <si>
    <t>Session , worklet &amp; workflow</t>
  </si>
  <si>
    <t>Workflow</t>
  </si>
  <si>
    <t>Worflow Name</t>
  </si>
  <si>
    <t>JTI_Monthly_Bulk_SalesData_Load_US</t>
  </si>
  <si>
    <t>Impacted</t>
  </si>
  <si>
    <t>JTI_OLAP_AL_FlatFile</t>
  </si>
  <si>
    <t>JTI_Weekly_SalesData_Load_CA</t>
  </si>
  <si>
    <t>SIA_SIL_OrganisationDimension_Merge</t>
  </si>
  <si>
    <t>Impacted + add sessions</t>
  </si>
  <si>
    <t>Custom_Usage_Accelerator</t>
  </si>
  <si>
    <t>SIL_UAUserAdoption_Custom</t>
  </si>
  <si>
    <t>JTI_DWH_ETLComplete_Incremental</t>
  </si>
  <si>
    <t>JTI_EIM_Integrated_Process</t>
  </si>
  <si>
    <t>Worklet</t>
  </si>
  <si>
    <t>Worklet Name</t>
  </si>
  <si>
    <t>JTI_Monthly_Bulk_SalesData_Load_US,
JTI_OLAP_AL_FlatFile
,JTI_Weekly_SalesData_Load_CA,
SIA_SIL_OrganisationDimension_Merge</t>
  </si>
  <si>
    <t>wrk_SIA_SIL_OrganisationDimension/</t>
  </si>
  <si>
    <t>UA_EMPLOYEE_ORGS/</t>
  </si>
  <si>
    <t>Load_Account_JTI_Territory/</t>
  </si>
  <si>
    <t>Load_Integrated_Account/</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</si>
  <si>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</si>
  <si>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</si>
  <si>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</si>
  <si>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</si>
  <si>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</si>
  <si>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</si>
  <si>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</si>
  <si>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</si>
  <si>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</si>
  <si>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</si>
  <si>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</si>
  <si>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</si>
  <si>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</si>
  <si>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</si>
  <si>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</si>
  <si>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</si>
  <si>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</si>
  <si>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</si>
  <si>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</si>
  <si>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</si>
  <si>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</si>
  <si>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</si>
  <si>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</si>
  <si>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JTI_Weekly_SalesData_Load_CA
,JTI_OLAP_AL_FlatFile,
JTI_Monthly_Bulk_SalesData_Load_US,
SIA_SIL_OrganisationDimension_Merge</t>
  </si>
  <si>
    <t>s_SIA_SIL_OrganizationDimension_Merge_CCSI</t>
  </si>
  <si>
    <t>Restart Task</t>
  </si>
  <si>
    <t>Y</t>
  </si>
  <si>
    <t>Validate</t>
  </si>
  <si>
    <t>s_SIL_Account_Attr_History_Dimension</t>
  </si>
  <si>
    <t>N</t>
  </si>
  <si>
    <t xml:space="preserve">new session </t>
  </si>
  <si>
    <t>s_SIL_Account_Attrib_Nullify_to_OLTP</t>
  </si>
  <si>
    <t>Launch_EIM_ACCNT_DTL</t>
  </si>
  <si>
    <t>DUMMY_BATCH</t>
  </si>
  <si>
    <t>$PMSourceFileDir\Scripts\run-EIM-process_perf.bat "IFA_Account_Update_Workflow.ifb" "ENU"</t>
  </si>
  <si>
    <t>n.a</t>
  </si>
  <si>
    <t>new session + condition ($s_SIL_Account_Attrib_Nullify_to_OLTP.TgtSuccessRows&gt;1)</t>
  </si>
  <si>
    <t>s_SIA_SDE_OrganizationDimension_Merge</t>
  </si>
  <si>
    <t>Procedure Name</t>
  </si>
  <si>
    <t>Data Update Required</t>
  </si>
  <si>
    <t>Environment (OLTP or OLAP)</t>
  </si>
  <si>
    <t>Period (If any)</t>
  </si>
  <si>
    <t>Data Update type</t>
  </si>
  <si>
    <t>Data Update Priority</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</si>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</sst>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rgb="FF0000FF"/>
      <name val="Arial"/>
      <family val="2"/>
    </font>
    <font>
      <sz val="10"/>
      <color rgb="FF0070C0"/>
      <name val="Arial"/>
      <family val="2"/>
    </font>
    <font>
      <sz val="9"/>
      <color rgb="FF0000FF"/>
      <name val="Arial"/>
      <family val="2"/>
    </font>
    <font>
      <sz val="9"/>
      <color rgb="FF000000"/>
      <name val="Arial"/>
      <family val="2"/>
      <charset val="1"/>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FFFF00"/>
        <bgColor indexed="64"/>
      </patternFill>
    </fill>
    <fill>
      <patternFill patternType="solid">
        <fgColor rgb="FFFFFFFF"/>
        <bgColor indexed="64"/>
      </patternFill>
    </fill>
  </fills>
  <borders count="3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9">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0" fontId="11" fillId="24"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167" fontId="4" fillId="0" borderId="19" xfId="34" applyNumberFormat="1" applyFont="1" applyBorder="1" applyAlignment="1">
      <alignment horizontal="left" vertical="top"/>
    </xf>
    <xf numFmtId="0" fontId="1" fillId="0" borderId="0" xfId="34" applyAlignment="1">
      <alignment vertical="top"/>
    </xf>
    <xf numFmtId="0" fontId="4" fillId="0" borderId="0" xfId="34" applyFont="1" applyAlignment="1">
      <alignment horizontal="center" vertical="top"/>
    </xf>
    <xf numFmtId="0" fontId="47" fillId="0" borderId="10" xfId="0" applyFont="1" applyBorder="1"/>
    <xf numFmtId="0" fontId="37" fillId="0" borderId="33" xfId="0" applyFont="1" applyBorder="1" applyAlignment="1">
      <alignment horizontal="left"/>
    </xf>
    <xf numFmtId="0" fontId="1" fillId="0" borderId="10" xfId="0" applyFont="1" applyBorder="1" applyAlignment="1">
      <alignment horizontal="left"/>
    </xf>
    <xf numFmtId="0" fontId="48" fillId="0" borderId="10" xfId="0" applyFont="1" applyBorder="1"/>
    <xf numFmtId="0" fontId="37" fillId="0" borderId="34" xfId="0" applyFont="1" applyBorder="1" applyAlignment="1">
      <alignment horizontal="left"/>
    </xf>
    <xf numFmtId="0" fontId="1" fillId="0" borderId="35" xfId="0" applyFont="1" applyBorder="1"/>
    <xf numFmtId="0" fontId="0" fillId="0" borderId="35" xfId="0" applyBorder="1"/>
    <xf numFmtId="0" fontId="47" fillId="0" borderId="10" xfId="0" applyFont="1" applyBorder="1" applyAlignment="1">
      <alignment horizontal="left"/>
    </xf>
    <xf numFmtId="0" fontId="37" fillId="0" borderId="10" xfId="0" applyFont="1" applyBorder="1" applyAlignment="1">
      <alignment horizontal="left"/>
    </xf>
    <xf numFmtId="0" fontId="0" fillId="0" borderId="36" xfId="0" applyBorder="1"/>
    <xf numFmtId="0" fontId="0" fillId="0" borderId="36" xfId="0" applyBorder="1" applyAlignment="1">
      <alignment wrapText="1"/>
    </xf>
    <xf numFmtId="0" fontId="47" fillId="0" borderId="0" xfId="0" applyFont="1" applyAlignment="1">
      <alignment horizontal="left"/>
    </xf>
    <xf numFmtId="0" fontId="49" fillId="0" borderId="0" xfId="0" applyFont="1" applyAlignment="1">
      <alignment horizontal="left"/>
    </xf>
    <xf numFmtId="0" fontId="1" fillId="0" borderId="0" xfId="34" applyAlignment="1">
      <alignment horizontal="left"/>
    </xf>
    <xf numFmtId="0" fontId="50" fillId="0" borderId="0" xfId="0" applyFont="1"/>
    <xf numFmtId="0" fontId="50" fillId="35" borderId="0" xfId="0" applyFont="1" applyFill="1"/>
    <xf numFmtId="0" fontId="0" fillId="35" borderId="0" xfId="0" applyFill="1"/>
    <xf numFmtId="0" fontId="50" fillId="36" borderId="0" xfId="0" applyFont="1" applyFill="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xf numFmtId="0" fontId="0" fillId="0" borderId="0" xfId="0" applyAlignment="1"/>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7</xdr:col>
      <xdr:colOff>351052</xdr:colOff>
      <xdr:row>51</xdr:row>
      <xdr:rowOff>56556</xdr:rowOff>
    </xdr:to>
    <xdr:pic>
      <xdr:nvPicPr>
        <xdr:cNvPr id="2" name="Picture 1">
          <a:extLst>
            <a:ext uri="{FF2B5EF4-FFF2-40B4-BE49-F238E27FC236}">
              <a16:creationId xmlns:a16="http://schemas.microsoft.com/office/drawing/2014/main" id="{A743C876-4CD2-47CD-820C-4BFD3CFC08C4}"/>
            </a:ext>
          </a:extLst>
        </xdr:cNvPr>
        <xdr:cNvPicPr>
          <a:picLocks noChangeAspect="1"/>
        </xdr:cNvPicPr>
      </xdr:nvPicPr>
      <xdr:blipFill>
        <a:blip xmlns:r="http://schemas.openxmlformats.org/officeDocument/2006/relationships" r:embed="rId1"/>
        <a:stretch>
          <a:fillRect/>
        </a:stretch>
      </xdr:blipFill>
      <xdr:spPr>
        <a:xfrm>
          <a:off x="0" y="2762250"/>
          <a:ext cx="10980952" cy="475238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5" zoomScale="80" zoomScaleNormal="75" workbookViewId="0">
      <selection activeCell="J26" sqref="J26:K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6" t="s">
        <v>0</v>
      </c>
      <c r="B13" s="106"/>
      <c r="C13" s="106"/>
      <c r="D13" s="106"/>
      <c r="E13" s="106"/>
      <c r="F13" s="106"/>
      <c r="G13" s="106"/>
      <c r="H13" s="106"/>
      <c r="I13" s="106"/>
      <c r="J13" s="106"/>
      <c r="K13" s="106"/>
      <c r="L13" s="106"/>
      <c r="M13" s="106"/>
      <c r="N13" s="106"/>
      <c r="O13" s="106"/>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07" t="s">
        <v>1</v>
      </c>
      <c r="B20" s="107"/>
      <c r="C20" s="107"/>
      <c r="D20" s="107"/>
      <c r="E20" s="107"/>
      <c r="F20" s="107"/>
      <c r="G20" s="107"/>
      <c r="H20" s="107"/>
      <c r="I20" s="107"/>
      <c r="J20" s="107"/>
      <c r="K20" s="107"/>
      <c r="L20" s="107"/>
      <c r="M20" s="107"/>
      <c r="N20" s="107"/>
      <c r="O20" s="107"/>
    </row>
    <row r="21" spans="1:15" ht="30.75">
      <c r="A21" s="107" t="s">
        <v>2</v>
      </c>
      <c r="B21" s="107"/>
      <c r="C21" s="107"/>
      <c r="D21" s="107"/>
      <c r="E21" s="107"/>
      <c r="F21" s="107"/>
      <c r="G21" s="107"/>
      <c r="H21" s="107"/>
      <c r="I21" s="107"/>
      <c r="J21" s="107"/>
      <c r="K21" s="107"/>
      <c r="L21" s="107"/>
      <c r="M21" s="107"/>
      <c r="N21" s="107"/>
      <c r="O21" s="107"/>
    </row>
    <row r="22" spans="1:15" ht="13.5">
      <c r="A22" s="1"/>
      <c r="B22" s="1"/>
      <c r="C22" s="1"/>
      <c r="D22" s="1"/>
      <c r="E22" s="1"/>
      <c r="F22" s="1"/>
      <c r="G22" s="1"/>
      <c r="H22" s="1"/>
      <c r="I22" s="1"/>
    </row>
    <row r="23" spans="1:15" ht="30.75">
      <c r="A23" s="74"/>
      <c r="B23" s="74"/>
      <c r="C23" s="74"/>
      <c r="D23" s="74"/>
      <c r="E23" s="74"/>
      <c r="F23" s="75"/>
      <c r="G23" s="107" t="s">
        <v>3</v>
      </c>
      <c r="H23" s="110"/>
      <c r="I23" s="77" t="s">
        <v>4</v>
      </c>
      <c r="J23" s="75"/>
      <c r="L23" s="74"/>
      <c r="M23" s="74"/>
      <c r="N23" s="74"/>
      <c r="O23" s="74"/>
    </row>
    <row r="24" spans="1:15" s="6" customFormat="1" ht="27.75" customHeight="1">
      <c r="A24" s="80"/>
      <c r="B24" s="80"/>
      <c r="C24" s="80"/>
      <c r="D24" s="80"/>
      <c r="F24" s="82"/>
      <c r="G24" s="107" t="s">
        <v>5</v>
      </c>
      <c r="H24" s="107"/>
      <c r="I24" s="77" t="s">
        <v>6</v>
      </c>
      <c r="J24" s="80"/>
      <c r="K24" s="80"/>
      <c r="L24" s="80"/>
      <c r="M24" s="80"/>
      <c r="N24" s="80"/>
      <c r="O24" s="80"/>
    </row>
    <row r="25" spans="1:15" ht="27.75">
      <c r="F25" s="112" t="s">
        <v>7</v>
      </c>
      <c r="G25" s="112"/>
      <c r="H25" s="112"/>
      <c r="I25" s="112"/>
      <c r="J25" s="112"/>
      <c r="K25" s="112"/>
      <c r="L25" s="81" t="s">
        <v>8</v>
      </c>
    </row>
    <row r="26" spans="1:15" ht="27.75">
      <c r="F26" s="113" t="s">
        <v>9</v>
      </c>
      <c r="G26" s="113"/>
      <c r="H26" s="113"/>
      <c r="I26" s="113"/>
      <c r="J26" s="111" t="s">
        <v>10</v>
      </c>
      <c r="K26" s="158"/>
    </row>
    <row r="27" spans="1:15" ht="16.5">
      <c r="A27" s="109"/>
      <c r="B27" s="109"/>
      <c r="C27" s="109"/>
      <c r="D27" s="109"/>
      <c r="E27" s="109"/>
      <c r="F27" s="109"/>
      <c r="G27" s="109"/>
      <c r="H27" s="109"/>
      <c r="I27" s="109"/>
    </row>
    <row r="28" spans="1:15" ht="18" customHeight="1">
      <c r="A28" s="108"/>
      <c r="B28" s="108"/>
      <c r="C28" s="108"/>
      <c r="D28" s="108"/>
      <c r="E28" s="108"/>
      <c r="F28" s="108"/>
      <c r="G28" s="108"/>
      <c r="H28" s="108"/>
      <c r="I28" s="108"/>
    </row>
    <row r="37" spans="1:9" ht="18" customHeight="1"/>
    <row r="38" spans="1:9" ht="15.75">
      <c r="A38" s="3" t="s">
        <v>11</v>
      </c>
      <c r="B38" s="4">
        <f ca="1">TODAY()</f>
        <v>44515</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K28" sqref="K27:K28"/>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7" t="s">
        <v>17</v>
      </c>
      <c r="B3" s="127"/>
      <c r="C3" s="127"/>
      <c r="D3" s="127" t="s">
        <v>18</v>
      </c>
      <c r="E3" s="127"/>
      <c r="F3" s="127"/>
      <c r="G3" s="127" t="s">
        <v>19</v>
      </c>
      <c r="H3" s="127"/>
      <c r="I3" s="127"/>
      <c r="J3" s="136" t="s">
        <v>20</v>
      </c>
      <c r="K3" s="137"/>
      <c r="L3" s="138"/>
      <c r="M3" s="127" t="s">
        <v>21</v>
      </c>
      <c r="N3" s="127"/>
      <c r="O3" s="127"/>
      <c r="P3" s="10" t="s">
        <v>22</v>
      </c>
      <c r="Q3" s="10" t="s">
        <v>23</v>
      </c>
      <c r="Y3" s="8" t="s">
        <v>24</v>
      </c>
    </row>
    <row r="4" spans="1:25" ht="40.5">
      <c r="A4" s="130" t="s">
        <v>25</v>
      </c>
      <c r="B4" s="131"/>
      <c r="C4" s="132"/>
      <c r="D4" s="130" t="s">
        <v>26</v>
      </c>
      <c r="E4" s="132"/>
      <c r="F4" s="11"/>
      <c r="G4" s="117" t="s">
        <v>27</v>
      </c>
      <c r="H4" s="117"/>
      <c r="I4" s="117"/>
      <c r="J4" s="142">
        <v>1</v>
      </c>
      <c r="K4" s="143"/>
      <c r="L4" s="11"/>
      <c r="M4" s="139">
        <v>44491</v>
      </c>
      <c r="N4" s="140"/>
      <c r="O4" s="141"/>
      <c r="P4" s="85" t="s">
        <v>15</v>
      </c>
      <c r="Q4" s="12" t="s">
        <v>28</v>
      </c>
      <c r="U4" s="101"/>
      <c r="Y4" s="8" t="s">
        <v>29</v>
      </c>
    </row>
    <row r="5" spans="1:25">
      <c r="A5" s="130" t="s">
        <v>30</v>
      </c>
      <c r="B5" s="131"/>
      <c r="C5" s="132"/>
      <c r="D5" s="130" t="s">
        <v>31</v>
      </c>
      <c r="E5" s="132"/>
      <c r="F5" s="11"/>
      <c r="G5" s="117" t="s">
        <v>32</v>
      </c>
      <c r="H5" s="117"/>
      <c r="I5" s="117"/>
      <c r="J5" s="142">
        <v>1</v>
      </c>
      <c r="K5" s="143"/>
      <c r="L5" s="11"/>
      <c r="M5" s="139"/>
      <c r="N5" s="140"/>
      <c r="O5" s="141"/>
      <c r="P5" s="85" t="s">
        <v>15</v>
      </c>
      <c r="Q5" s="12"/>
      <c r="U5" s="101"/>
    </row>
    <row r="7" spans="1:25" ht="16.5">
      <c r="A7" s="7" t="s">
        <v>33</v>
      </c>
      <c r="B7" s="7"/>
      <c r="C7" s="7"/>
      <c r="D7" s="7"/>
      <c r="F7" s="9"/>
    </row>
    <row r="9" spans="1:25" ht="29.25" customHeight="1">
      <c r="A9" s="133" t="s">
        <v>17</v>
      </c>
      <c r="B9" s="134"/>
      <c r="C9" s="133" t="s">
        <v>18</v>
      </c>
      <c r="D9" s="134"/>
      <c r="E9" s="133" t="s">
        <v>19</v>
      </c>
      <c r="F9" s="135"/>
      <c r="G9" s="134"/>
      <c r="H9" s="136" t="s">
        <v>20</v>
      </c>
      <c r="I9" s="135"/>
      <c r="J9" s="134"/>
      <c r="K9" s="133" t="s">
        <v>21</v>
      </c>
      <c r="L9" s="134"/>
      <c r="M9" s="133" t="s">
        <v>34</v>
      </c>
      <c r="N9" s="135"/>
      <c r="O9" s="134"/>
      <c r="P9" s="86"/>
    </row>
    <row r="10" spans="1:25">
      <c r="A10" s="120"/>
      <c r="B10" s="120"/>
      <c r="C10" s="120"/>
      <c r="D10" s="120"/>
      <c r="E10" s="120"/>
      <c r="F10" s="120"/>
      <c r="G10" s="120"/>
      <c r="H10" s="120"/>
      <c r="I10" s="120"/>
      <c r="J10" s="120"/>
      <c r="K10" s="120"/>
      <c r="L10" s="120"/>
      <c r="M10" s="120"/>
      <c r="N10" s="120"/>
      <c r="O10" s="120"/>
      <c r="P10" s="87"/>
    </row>
    <row r="11" spans="1:25">
      <c r="A11" s="120"/>
      <c r="B11" s="120"/>
      <c r="C11" s="120"/>
      <c r="D11" s="120"/>
      <c r="E11" s="120"/>
      <c r="F11" s="120"/>
      <c r="G11" s="120"/>
      <c r="H11" s="120"/>
      <c r="I11" s="120"/>
      <c r="J11" s="120"/>
      <c r="K11" s="120"/>
      <c r="L11" s="120"/>
      <c r="M11" s="120"/>
      <c r="N11" s="120"/>
      <c r="O11" s="120"/>
      <c r="P11" s="87"/>
    </row>
    <row r="12" spans="1:25">
      <c r="A12" s="120"/>
      <c r="B12" s="120"/>
      <c r="C12" s="120"/>
      <c r="D12" s="120"/>
      <c r="E12" s="120"/>
      <c r="F12" s="120"/>
      <c r="G12" s="120"/>
      <c r="H12" s="120"/>
      <c r="I12" s="120"/>
      <c r="J12" s="120"/>
      <c r="K12" s="120"/>
      <c r="L12" s="120"/>
      <c r="M12" s="120"/>
      <c r="N12" s="120"/>
      <c r="O12" s="120"/>
      <c r="P12" s="87"/>
    </row>
    <row r="13" spans="1:25">
      <c r="A13" s="120"/>
      <c r="B13" s="120"/>
      <c r="C13" s="120"/>
      <c r="D13" s="120"/>
      <c r="E13" s="120"/>
      <c r="F13" s="120"/>
      <c r="G13" s="120"/>
      <c r="H13" s="120"/>
      <c r="I13" s="120"/>
      <c r="J13" s="120"/>
      <c r="K13" s="120"/>
      <c r="L13" s="120"/>
      <c r="M13" s="120"/>
      <c r="N13" s="120"/>
      <c r="O13" s="120"/>
      <c r="P13" s="87"/>
    </row>
    <row r="14" spans="1:25">
      <c r="A14" s="120"/>
      <c r="B14" s="120"/>
      <c r="C14" s="120"/>
      <c r="D14" s="120"/>
      <c r="E14" s="120"/>
      <c r="F14" s="120"/>
      <c r="G14" s="120"/>
      <c r="H14" s="120"/>
      <c r="I14" s="120"/>
      <c r="J14" s="120"/>
      <c r="K14" s="120"/>
      <c r="L14" s="120"/>
      <c r="M14" s="120"/>
      <c r="N14" s="120"/>
      <c r="O14" s="120"/>
      <c r="P14" s="87"/>
    </row>
    <row r="15" spans="1:25">
      <c r="A15" s="120"/>
      <c r="B15" s="120"/>
      <c r="C15" s="120"/>
      <c r="D15" s="120"/>
      <c r="E15" s="120"/>
      <c r="F15" s="120"/>
      <c r="G15" s="120"/>
      <c r="H15" s="120"/>
      <c r="I15" s="120"/>
      <c r="J15" s="120"/>
      <c r="K15" s="120"/>
      <c r="L15" s="120"/>
      <c r="M15" s="120"/>
      <c r="N15" s="120"/>
      <c r="O15" s="120"/>
      <c r="P15" s="87"/>
    </row>
    <row r="16" spans="1:25">
      <c r="A16" s="120"/>
      <c r="B16" s="120"/>
      <c r="C16" s="120"/>
      <c r="D16" s="120"/>
      <c r="E16" s="120"/>
      <c r="F16" s="120"/>
      <c r="G16" s="120"/>
      <c r="H16" s="120"/>
      <c r="I16" s="120"/>
      <c r="J16" s="120"/>
      <c r="K16" s="120"/>
      <c r="L16" s="120"/>
      <c r="M16" s="120"/>
      <c r="N16" s="120"/>
      <c r="O16" s="120"/>
      <c r="P16" s="87"/>
    </row>
    <row r="17" spans="1:16">
      <c r="A17" s="120"/>
      <c r="B17" s="120"/>
      <c r="C17" s="120"/>
      <c r="D17" s="120"/>
      <c r="E17" s="120"/>
      <c r="F17" s="120"/>
      <c r="G17" s="120"/>
      <c r="H17" s="120"/>
      <c r="I17" s="120"/>
      <c r="J17" s="120"/>
      <c r="K17" s="120"/>
      <c r="L17" s="120"/>
      <c r="M17" s="120"/>
      <c r="N17" s="120"/>
      <c r="O17" s="120"/>
      <c r="P17" s="87"/>
    </row>
    <row r="20" spans="1:16" ht="15">
      <c r="A20" s="129" t="s">
        <v>35</v>
      </c>
      <c r="B20" s="129"/>
      <c r="C20" s="129" t="s">
        <v>36</v>
      </c>
      <c r="D20" s="129"/>
      <c r="J20" s="8" t="s">
        <v>37</v>
      </c>
      <c r="N20" s="8">
        <v>0.17499999999999999</v>
      </c>
    </row>
    <row r="21" spans="1:16">
      <c r="A21" s="117" t="s">
        <v>38</v>
      </c>
      <c r="B21" s="117"/>
      <c r="C21" s="120">
        <v>0</v>
      </c>
      <c r="D21" s="120"/>
      <c r="J21" s="8" t="s">
        <v>39</v>
      </c>
      <c r="N21" s="8">
        <v>0.375</v>
      </c>
    </row>
    <row r="22" spans="1:16">
      <c r="A22" s="117" t="s">
        <v>40</v>
      </c>
      <c r="B22" s="117"/>
      <c r="C22" s="120">
        <v>0</v>
      </c>
      <c r="D22" s="120"/>
      <c r="J22" s="8" t="s">
        <v>41</v>
      </c>
      <c r="N22" s="8">
        <v>0.25</v>
      </c>
    </row>
    <row r="23" spans="1:16">
      <c r="A23" s="117" t="s">
        <v>42</v>
      </c>
      <c r="B23" s="117"/>
      <c r="C23" s="120">
        <v>0.1</v>
      </c>
      <c r="D23" s="120"/>
    </row>
    <row r="24" spans="1:16">
      <c r="A24" s="117" t="s">
        <v>43</v>
      </c>
      <c r="B24" s="117"/>
      <c r="C24" s="120">
        <f>'1.0 DB Schema'!B91+'2.0 Ifb &amp; PHP'!B38+'3.0 Mapping'!B17+'4.0 Worklet &amp; workflow'!B24+'5.0 Stored Procedure'!B10+'4.1 Session Details'!B22</f>
        <v>0.98</v>
      </c>
      <c r="D24" s="120"/>
    </row>
    <row r="25" spans="1:16">
      <c r="A25" s="117" t="s">
        <v>44</v>
      </c>
      <c r="B25" s="117"/>
      <c r="C25" s="120">
        <f>SUM(N20:N22)</f>
        <v>0.8</v>
      </c>
      <c r="D25" s="120"/>
    </row>
    <row r="26" spans="1:16">
      <c r="A26" s="117" t="s">
        <v>45</v>
      </c>
      <c r="B26" s="117"/>
      <c r="C26" s="118">
        <v>0.375</v>
      </c>
      <c r="D26" s="119"/>
    </row>
    <row r="27" spans="1:16" ht="15">
      <c r="A27" s="128" t="s">
        <v>46</v>
      </c>
      <c r="B27" s="128"/>
      <c r="C27" s="129">
        <f>ROUND(SUM(C21:E26),2)</f>
        <v>2.2599999999999998</v>
      </c>
      <c r="D27" s="129"/>
      <c r="G27" s="8">
        <f>ROUND(C27*8, 1)</f>
        <v>18.100000000000001</v>
      </c>
    </row>
    <row r="30" spans="1:16">
      <c r="B30" s="114" t="s">
        <v>47</v>
      </c>
      <c r="C30" s="115"/>
      <c r="D30" s="115"/>
      <c r="E30" s="115"/>
      <c r="F30" s="115"/>
      <c r="G30" s="115"/>
      <c r="H30" s="115"/>
      <c r="I30" s="115"/>
      <c r="J30" s="115"/>
      <c r="K30" s="115"/>
      <c r="L30" s="115"/>
      <c r="M30" s="116"/>
    </row>
    <row r="31" spans="1:16" ht="33.75" customHeight="1">
      <c r="B31" s="125" t="s">
        <v>38</v>
      </c>
      <c r="C31" s="126"/>
      <c r="D31" s="121" t="s">
        <v>48</v>
      </c>
      <c r="E31" s="121"/>
      <c r="F31" s="121"/>
      <c r="G31" s="121"/>
      <c r="H31" s="121"/>
      <c r="I31" s="121"/>
      <c r="J31" s="121"/>
      <c r="K31" s="121"/>
      <c r="L31" s="121"/>
      <c r="M31" s="121"/>
    </row>
    <row r="32" spans="1:16" ht="39.75" customHeight="1">
      <c r="B32" s="125" t="s">
        <v>40</v>
      </c>
      <c r="C32" s="126"/>
      <c r="D32" s="121" t="s">
        <v>49</v>
      </c>
      <c r="E32" s="121"/>
      <c r="F32" s="121"/>
      <c r="G32" s="121"/>
      <c r="H32" s="121"/>
      <c r="I32" s="121"/>
      <c r="J32" s="121"/>
      <c r="K32" s="121"/>
      <c r="L32" s="121"/>
      <c r="M32" s="121"/>
    </row>
    <row r="33" spans="2:13" ht="236.25" customHeight="1">
      <c r="B33" s="125" t="s">
        <v>42</v>
      </c>
      <c r="C33" s="126"/>
      <c r="D33" s="121" t="s">
        <v>50</v>
      </c>
      <c r="E33" s="121"/>
      <c r="F33" s="121"/>
      <c r="G33" s="121"/>
      <c r="H33" s="121"/>
      <c r="I33" s="121"/>
      <c r="J33" s="121"/>
      <c r="K33" s="121"/>
      <c r="L33" s="121"/>
      <c r="M33" s="121"/>
    </row>
    <row r="34" spans="2:13" ht="15">
      <c r="B34" s="125" t="s">
        <v>43</v>
      </c>
      <c r="C34" s="126"/>
      <c r="D34" s="121" t="s">
        <v>51</v>
      </c>
      <c r="E34" s="121"/>
      <c r="F34" s="121"/>
      <c r="G34" s="121"/>
      <c r="H34" s="121"/>
      <c r="I34" s="121"/>
      <c r="J34" s="121"/>
      <c r="K34" s="121"/>
      <c r="L34" s="121"/>
      <c r="M34" s="121"/>
    </row>
    <row r="35" spans="2:13" ht="52.5" customHeight="1">
      <c r="B35" s="125" t="s">
        <v>44</v>
      </c>
      <c r="C35" s="126"/>
      <c r="D35" s="122" t="s">
        <v>52</v>
      </c>
      <c r="E35" s="123"/>
      <c r="F35" s="123"/>
      <c r="G35" s="123"/>
      <c r="H35" s="123"/>
      <c r="I35" s="123"/>
      <c r="J35" s="123"/>
      <c r="K35" s="123"/>
      <c r="L35" s="123"/>
      <c r="M35" s="124"/>
    </row>
    <row r="36" spans="2:13" ht="34.5" customHeight="1">
      <c r="B36" s="125" t="s">
        <v>45</v>
      </c>
      <c r="C36" s="126"/>
      <c r="D36" s="121" t="s">
        <v>53</v>
      </c>
      <c r="E36" s="121"/>
      <c r="F36" s="121"/>
      <c r="G36" s="121"/>
      <c r="H36" s="121"/>
      <c r="I36" s="121"/>
      <c r="J36" s="121"/>
      <c r="K36" s="121"/>
      <c r="L36" s="121"/>
      <c r="M36" s="121"/>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25" sqref="B25"/>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44" t="s">
        <v>54</v>
      </c>
      <c r="B1" s="144"/>
    </row>
    <row r="2" spans="1:2">
      <c r="A2" s="32"/>
      <c r="B2" s="26" t="s">
        <v>55</v>
      </c>
    </row>
    <row r="3" spans="1:2">
      <c r="A3" s="33"/>
      <c r="B3" s="22"/>
    </row>
    <row r="5" spans="1:2">
      <c r="A5" s="32" t="s">
        <v>56</v>
      </c>
      <c r="B5" s="25" t="s">
        <v>57</v>
      </c>
    </row>
    <row r="6" spans="1:2">
      <c r="A6" s="33">
        <v>1</v>
      </c>
      <c r="B6" s="22"/>
    </row>
    <row r="7" spans="1:2">
      <c r="A7" s="33">
        <v>2</v>
      </c>
      <c r="B7" s="22"/>
    </row>
    <row r="8" spans="1:2">
      <c r="A8" s="33">
        <v>3</v>
      </c>
      <c r="B8" s="22"/>
    </row>
    <row r="9" spans="1:2">
      <c r="A9" s="33" t="s">
        <v>58</v>
      </c>
      <c r="B9" s="22"/>
    </row>
    <row r="10" spans="1:2">
      <c r="A10" s="33" t="s">
        <v>59</v>
      </c>
      <c r="B10" s="22"/>
    </row>
    <row r="12" spans="1:2">
      <c r="A12" s="32" t="s">
        <v>56</v>
      </c>
      <c r="B12" s="25" t="s">
        <v>60</v>
      </c>
    </row>
    <row r="13" spans="1:2">
      <c r="A13" s="33">
        <v>4</v>
      </c>
      <c r="B13" s="22"/>
    </row>
    <row r="15" spans="1:2">
      <c r="A15" s="32" t="s">
        <v>56</v>
      </c>
      <c r="B15" s="25" t="s">
        <v>61</v>
      </c>
    </row>
    <row r="16" spans="1:2">
      <c r="A16" s="33">
        <v>5</v>
      </c>
      <c r="B16" s="22"/>
    </row>
    <row r="17" spans="1:2" ht="13.5" thickBot="1"/>
    <row r="18" spans="1:2">
      <c r="A18" s="35" t="s">
        <v>56</v>
      </c>
      <c r="B18" s="24" t="s">
        <v>62</v>
      </c>
    </row>
    <row r="19" spans="1:2">
      <c r="A19" s="33">
        <v>6</v>
      </c>
      <c r="B19" s="22" t="s">
        <v>63</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5" t="s">
        <v>64</v>
      </c>
      <c r="B1" s="146"/>
      <c r="C1" s="146"/>
      <c r="D1" s="147"/>
      <c r="M1" s="48" t="s">
        <v>65</v>
      </c>
      <c r="N1" s="49"/>
      <c r="O1" s="49"/>
      <c r="P1" s="49"/>
      <c r="Q1" s="49"/>
      <c r="R1" s="50"/>
    </row>
    <row r="2" spans="1:18" ht="13.5" thickBot="1">
      <c r="C2" s="23"/>
      <c r="M2" s="51" t="s">
        <v>66</v>
      </c>
      <c r="N2" s="36"/>
      <c r="O2" s="36"/>
      <c r="P2" s="36"/>
      <c r="Q2" s="36"/>
      <c r="R2" s="52"/>
    </row>
    <row r="3" spans="1:18">
      <c r="A3" s="57" t="s">
        <v>67</v>
      </c>
      <c r="B3" s="29"/>
      <c r="C3" s="29"/>
      <c r="M3" s="51" t="s">
        <v>68</v>
      </c>
      <c r="N3" s="36"/>
      <c r="O3" s="36"/>
      <c r="P3" s="36"/>
      <c r="Q3" s="36"/>
      <c r="R3" s="52"/>
    </row>
    <row r="4" spans="1:18" ht="25.5" customHeight="1">
      <c r="A4" s="14" t="s">
        <v>69</v>
      </c>
      <c r="B4" s="14" t="s">
        <v>70</v>
      </c>
      <c r="C4" s="28" t="s">
        <v>22</v>
      </c>
      <c r="D4" s="28" t="s">
        <v>71</v>
      </c>
      <c r="M4" s="53" t="s">
        <v>72</v>
      </c>
      <c r="N4" s="36"/>
      <c r="O4" s="36"/>
      <c r="P4" s="36"/>
      <c r="Q4" s="36"/>
      <c r="R4" s="52"/>
    </row>
    <row r="5" spans="1:18" ht="128.25" thickBot="1">
      <c r="A5" s="41" t="s">
        <v>73</v>
      </c>
      <c r="B5" s="27" t="s">
        <v>74</v>
      </c>
      <c r="C5" s="13"/>
      <c r="D5" s="13"/>
      <c r="M5" s="54"/>
      <c r="N5" s="55"/>
      <c r="O5" s="55"/>
      <c r="P5" s="55"/>
      <c r="Q5" s="55"/>
      <c r="R5" s="56"/>
    </row>
    <row r="6" spans="1:18">
      <c r="A6" s="41" t="s">
        <v>75</v>
      </c>
      <c r="B6" s="41" t="s">
        <v>76</v>
      </c>
      <c r="C6" s="13"/>
      <c r="D6" s="13"/>
    </row>
    <row r="7" spans="1:18">
      <c r="A7" s="41" t="s">
        <v>77</v>
      </c>
      <c r="B7" s="41" t="s">
        <v>78</v>
      </c>
      <c r="C7" s="13"/>
      <c r="D7" s="13"/>
    </row>
    <row r="8" spans="1:18" ht="89.25">
      <c r="A8" s="41" t="s">
        <v>79</v>
      </c>
      <c r="B8" s="27" t="s">
        <v>80</v>
      </c>
      <c r="C8" s="13"/>
      <c r="D8" s="13"/>
    </row>
    <row r="9" spans="1:18">
      <c r="A9" s="41" t="s">
        <v>81</v>
      </c>
      <c r="B9" s="41" t="s">
        <v>82</v>
      </c>
      <c r="C9" s="13"/>
      <c r="D9" s="13"/>
    </row>
    <row r="10" spans="1:18">
      <c r="A10" s="41" t="s">
        <v>83</v>
      </c>
      <c r="B10" s="13"/>
      <c r="C10" s="13"/>
      <c r="D10" s="13"/>
    </row>
    <row r="11" spans="1:18">
      <c r="A11" s="41" t="s">
        <v>84</v>
      </c>
      <c r="B11" s="41" t="s">
        <v>85</v>
      </c>
      <c r="C11" s="13"/>
      <c r="D11" s="13"/>
    </row>
    <row r="12" spans="1:18">
      <c r="A12" s="41" t="s">
        <v>86</v>
      </c>
      <c r="B12" s="41" t="s">
        <v>87</v>
      </c>
      <c r="C12" s="13"/>
      <c r="D12" s="13"/>
    </row>
    <row r="13" spans="1:18">
      <c r="A13" s="41" t="s">
        <v>88</v>
      </c>
      <c r="B13" s="41" t="s">
        <v>89</v>
      </c>
      <c r="C13" s="13"/>
      <c r="D13" s="13"/>
    </row>
    <row r="14" spans="1:18">
      <c r="A14" s="41" t="s">
        <v>90</v>
      </c>
      <c r="B14" s="41" t="s">
        <v>91</v>
      </c>
      <c r="C14" s="13"/>
      <c r="D14" s="13"/>
    </row>
    <row r="15" spans="1:18">
      <c r="A15" s="41" t="s">
        <v>92</v>
      </c>
      <c r="B15" s="41" t="s">
        <v>93</v>
      </c>
      <c r="C15" s="13"/>
      <c r="D15" s="13"/>
    </row>
    <row r="16" spans="1:18">
      <c r="A16" s="41" t="s">
        <v>94</v>
      </c>
      <c r="B16" s="41" t="s">
        <v>95</v>
      </c>
      <c r="C16" s="13"/>
      <c r="D16" s="13"/>
    </row>
    <row r="17" spans="1:4">
      <c r="A17" s="41" t="s">
        <v>96</v>
      </c>
      <c r="B17" s="41" t="s">
        <v>97</v>
      </c>
      <c r="C17" s="13"/>
      <c r="D17" s="13"/>
    </row>
    <row r="18" spans="1:4">
      <c r="A18" s="41" t="s">
        <v>98</v>
      </c>
      <c r="B18" s="41" t="s">
        <v>99</v>
      </c>
      <c r="C18" s="13"/>
      <c r="D18" s="13"/>
    </row>
    <row r="19" spans="1:4">
      <c r="A19" s="41" t="s">
        <v>100</v>
      </c>
      <c r="B19" s="41" t="s">
        <v>101</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102</v>
      </c>
      <c r="B1" s="68" t="s">
        <v>103</v>
      </c>
    </row>
    <row r="2" spans="1:3">
      <c r="A2" s="69" t="s">
        <v>104</v>
      </c>
      <c r="B2" s="70" t="str">
        <f>PPRD</f>
        <v>Feb, 2022</v>
      </c>
      <c r="C2" s="58"/>
    </row>
    <row r="3" spans="1:3">
      <c r="A3" s="69" t="s">
        <v>105</v>
      </c>
      <c r="B3" s="71" t="str">
        <f>CRNIRN</f>
        <v>CHG215394</v>
      </c>
      <c r="C3" s="58"/>
    </row>
    <row r="4" spans="1:3">
      <c r="A4" s="69" t="s">
        <v>106</v>
      </c>
      <c r="B4" s="71" t="str">
        <f>MA</f>
        <v>UK</v>
      </c>
      <c r="C4" s="58"/>
    </row>
    <row r="5" spans="1:3">
      <c r="A5" s="69" t="s">
        <v>107</v>
      </c>
      <c r="B5" s="71" t="s">
        <v>108</v>
      </c>
    </row>
    <row r="6" spans="1:3">
      <c r="A6" s="69" t="s">
        <v>109</v>
      </c>
      <c r="B6" s="73" t="s">
        <v>110</v>
      </c>
    </row>
    <row r="7" spans="1:3">
      <c r="A7" s="69" t="s">
        <v>111</v>
      </c>
      <c r="B7" s="76">
        <f>DevDReviewed</f>
        <v>44491</v>
      </c>
      <c r="C7" s="58"/>
    </row>
    <row r="8" spans="1:3">
      <c r="A8" s="69" t="s">
        <v>112</v>
      </c>
      <c r="B8" s="73" t="str">
        <f>DevNameReviewed</f>
        <v>VikramSeeburn</v>
      </c>
      <c r="C8" s="58"/>
    </row>
    <row r="9" spans="1:3">
      <c r="A9" s="69" t="s">
        <v>113</v>
      </c>
      <c r="B9" s="72">
        <f>DateReviewed</f>
        <v>0</v>
      </c>
      <c r="C9" s="58"/>
    </row>
    <row r="10" spans="1:3">
      <c r="A10" s="69" t="s">
        <v>114</v>
      </c>
      <c r="B10" s="73" t="str">
        <f>ReviewedBy</f>
        <v>SantanooRamjuf</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6" sqref="D6"/>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45" t="s">
        <v>115</v>
      </c>
      <c r="B1" s="146"/>
      <c r="C1" s="146"/>
      <c r="D1" s="148"/>
    </row>
    <row r="2" spans="1:5">
      <c r="B2" s="14" t="s">
        <v>116</v>
      </c>
      <c r="C2" s="14" t="s">
        <v>117</v>
      </c>
      <c r="D2" s="14" t="s">
        <v>118</v>
      </c>
      <c r="E2" s="60"/>
    </row>
    <row r="3" spans="1:5" ht="38.25">
      <c r="B3" s="61" t="s">
        <v>119</v>
      </c>
      <c r="C3" s="62" t="s">
        <v>120</v>
      </c>
      <c r="D3" s="63" t="str">
        <f>IF(ISBLANK('1.0 DB Schema'!B91)=FALSE,"Impacted","Not Impacted")</f>
        <v>Impacted</v>
      </c>
    </row>
    <row r="4" spans="1:5" ht="25.5">
      <c r="B4" s="61" t="s">
        <v>121</v>
      </c>
      <c r="C4" s="62" t="s">
        <v>122</v>
      </c>
      <c r="D4" s="63" t="str">
        <f>IF(ISBLANK('2.0 Ifb &amp; PHP'!B38)=FALSE,"Impacted","Not Impacted")</f>
        <v>Impacted</v>
      </c>
    </row>
    <row r="5" spans="1:5" ht="38.25">
      <c r="B5" s="61" t="s">
        <v>123</v>
      </c>
      <c r="C5" s="62" t="s">
        <v>124</v>
      </c>
      <c r="D5" s="63" t="str">
        <f>IF(ISBLANK('3.0 Mapping'!B17)=FALSE,"Impacted","Not Impacted")</f>
        <v>Impacted</v>
      </c>
    </row>
    <row r="6" spans="1:5" ht="25.5">
      <c r="B6" s="61" t="s">
        <v>125</v>
      </c>
      <c r="C6" s="62" t="s">
        <v>126</v>
      </c>
      <c r="D6" s="63" t="str">
        <f>IF(ISBLANK('4.0 Worklet &amp; workflow'!B24)=FALSE,"Impacted","Not Impacted")</f>
        <v>Impacted</v>
      </c>
    </row>
    <row r="7" spans="1:5" ht="25.5">
      <c r="B7" s="61" t="s">
        <v>127</v>
      </c>
      <c r="C7" s="62" t="s">
        <v>128</v>
      </c>
      <c r="D7" s="63" t="str">
        <f>IF(ISBLANK('5.0 Stored Procedure'!B10)=FALSE,"Impacted","Not Impacted")</f>
        <v>Not Impacted</v>
      </c>
    </row>
    <row r="8" spans="1:5" ht="25.5">
      <c r="B8" s="61" t="s">
        <v>129</v>
      </c>
      <c r="C8" s="62" t="s">
        <v>130</v>
      </c>
      <c r="D8" s="63" t="str">
        <f>IF(ISBLANK('6.0 Data Update'!E5)=FALSE,"Impacted","Not Impacted")</f>
        <v>Not Impacted</v>
      </c>
    </row>
    <row r="10" spans="1:5" ht="13.5" thickBot="1"/>
    <row r="11" spans="1:5" ht="13.5" thickBot="1">
      <c r="B11" s="17" t="s">
        <v>131</v>
      </c>
    </row>
    <row r="12" spans="1:5">
      <c r="B12" s="14" t="s">
        <v>132</v>
      </c>
      <c r="C12" s="14" t="s">
        <v>133</v>
      </c>
      <c r="D12" s="14" t="s">
        <v>134</v>
      </c>
    </row>
    <row r="13" spans="1:5">
      <c r="B13" s="63" t="s">
        <v>135</v>
      </c>
      <c r="C13" s="63" t="s">
        <v>136</v>
      </c>
      <c r="D13" s="64" t="s">
        <v>137</v>
      </c>
    </row>
    <row r="14" spans="1:5">
      <c r="B14" s="63" t="s">
        <v>138</v>
      </c>
      <c r="C14" s="64" t="s">
        <v>139</v>
      </c>
      <c r="D14" s="63" t="s">
        <v>140</v>
      </c>
    </row>
    <row r="15" spans="1:5">
      <c r="B15" s="63" t="s">
        <v>141</v>
      </c>
      <c r="C15" s="63" t="s">
        <v>142</v>
      </c>
      <c r="D15" s="63" t="s">
        <v>143</v>
      </c>
    </row>
    <row r="16" spans="1:5">
      <c r="B16" s="63" t="s">
        <v>144</v>
      </c>
      <c r="C16" s="63" t="s">
        <v>145</v>
      </c>
      <c r="D16" s="63" t="s">
        <v>146</v>
      </c>
    </row>
    <row r="17" spans="2:4">
      <c r="B17" s="63" t="s">
        <v>147</v>
      </c>
      <c r="C17" s="64" t="s">
        <v>148</v>
      </c>
      <c r="D17" s="63" t="s">
        <v>149</v>
      </c>
    </row>
    <row r="18" spans="2:4">
      <c r="B18" s="63" t="s">
        <v>150</v>
      </c>
      <c r="C18" s="63" t="s">
        <v>151</v>
      </c>
      <c r="D18" s="63" t="s">
        <v>152</v>
      </c>
    </row>
    <row r="19" spans="2:4">
      <c r="B19" s="63" t="s">
        <v>153</v>
      </c>
      <c r="C19" s="63" t="s">
        <v>154</v>
      </c>
      <c r="D19" s="63" t="s">
        <v>155</v>
      </c>
    </row>
    <row r="20" spans="2:4">
      <c r="B20" s="63" t="s">
        <v>156</v>
      </c>
      <c r="C20" s="64" t="s">
        <v>157</v>
      </c>
      <c r="D20" s="63" t="s">
        <v>158</v>
      </c>
    </row>
    <row r="21" spans="2:4">
      <c r="B21" s="63" t="s">
        <v>159</v>
      </c>
      <c r="C21" s="64" t="s">
        <v>160</v>
      </c>
      <c r="D21" s="63" t="s">
        <v>161</v>
      </c>
    </row>
    <row r="22" spans="2:4">
      <c r="B22" s="63" t="s">
        <v>162</v>
      </c>
      <c r="C22" s="64" t="s">
        <v>163</v>
      </c>
      <c r="D22" s="63" t="s">
        <v>164</v>
      </c>
    </row>
    <row r="23" spans="2:4">
      <c r="B23" s="63" t="s">
        <v>165</v>
      </c>
      <c r="C23" s="63" t="s">
        <v>166</v>
      </c>
      <c r="D23" s="63" t="s">
        <v>167</v>
      </c>
    </row>
    <row r="24" spans="2:4">
      <c r="B24" s="63" t="s">
        <v>168</v>
      </c>
      <c r="C24" s="63"/>
      <c r="D24" s="63"/>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91"/>
  <sheetViews>
    <sheetView tabSelected="1" topLeftCell="A8" zoomScale="80" zoomScaleNormal="80" workbookViewId="0">
      <selection activeCell="D10" sqref="D10"/>
    </sheetView>
  </sheetViews>
  <sheetFormatPr defaultRowHeight="12.75"/>
  <cols>
    <col min="1" max="1" width="31.85546875" bestFit="1" customWidth="1"/>
    <col min="2" max="2" width="28.85546875" bestFit="1" customWidth="1"/>
    <col min="3" max="3" width="41.42578125" bestFit="1" customWidth="1"/>
    <col min="4" max="4" width="25" bestFit="1" customWidth="1"/>
    <col min="5" max="5" width="101.85546875" bestFit="1" customWidth="1"/>
    <col min="6" max="6" width="23.7109375" bestFit="1" customWidth="1"/>
    <col min="8" max="8" width="62" bestFit="1" customWidth="1"/>
    <col min="9" max="10" width="24.140625" bestFit="1" customWidth="1"/>
    <col min="11" max="11" width="26.5703125" bestFit="1" customWidth="1"/>
    <col min="13" max="13" width="29.140625" bestFit="1" customWidth="1"/>
    <col min="25" max="25" width="20" customWidth="1"/>
  </cols>
  <sheetData>
    <row r="1" spans="1:24" ht="13.5" thickBot="1">
      <c r="A1" s="145" t="s">
        <v>169</v>
      </c>
      <c r="B1" s="146"/>
      <c r="C1" s="147"/>
    </row>
    <row r="2" spans="1:24" ht="15.75" thickBot="1">
      <c r="E2" s="79" t="s">
        <v>170</v>
      </c>
      <c r="F2" s="36"/>
      <c r="G2" s="36"/>
      <c r="H2" s="36"/>
      <c r="I2" s="36"/>
      <c r="J2" s="36"/>
      <c r="K2" s="36"/>
      <c r="W2" s="58"/>
    </row>
    <row r="3" spans="1:24" ht="13.5" thickBot="1">
      <c r="A3" s="17" t="s">
        <v>171</v>
      </c>
      <c r="B3" s="15"/>
      <c r="C3" s="15"/>
      <c r="E3" s="37" t="s">
        <v>172</v>
      </c>
      <c r="F3" s="36"/>
      <c r="G3" s="36"/>
      <c r="H3" s="36"/>
      <c r="I3" s="36"/>
      <c r="J3" s="36"/>
      <c r="K3" s="36"/>
      <c r="X3" s="58"/>
    </row>
    <row r="4" spans="1:24">
      <c r="A4" s="16" t="s">
        <v>173</v>
      </c>
      <c r="B4" s="14" t="s">
        <v>174</v>
      </c>
      <c r="C4" s="14" t="s">
        <v>71</v>
      </c>
      <c r="E4" s="37" t="s">
        <v>175</v>
      </c>
      <c r="F4" s="37"/>
      <c r="G4" s="37"/>
      <c r="H4" s="37"/>
      <c r="I4" s="37"/>
      <c r="J4" s="36"/>
      <c r="K4" s="36"/>
    </row>
    <row r="5" spans="1:24">
      <c r="A5" s="41" t="s">
        <v>176</v>
      </c>
      <c r="B5" s="13" t="s">
        <v>177</v>
      </c>
      <c r="C5" s="13" t="s">
        <v>178</v>
      </c>
      <c r="E5" s="37" t="s">
        <v>179</v>
      </c>
      <c r="F5" s="37"/>
      <c r="G5" s="37"/>
      <c r="H5" s="37"/>
      <c r="I5" s="37"/>
      <c r="J5" s="36"/>
      <c r="K5" s="36"/>
    </row>
    <row r="6" spans="1:24">
      <c r="A6" s="13" t="s">
        <v>180</v>
      </c>
      <c r="B6" s="13" t="s">
        <v>177</v>
      </c>
      <c r="C6" s="13" t="s">
        <v>178</v>
      </c>
      <c r="E6" s="78" t="s">
        <v>181</v>
      </c>
      <c r="F6" s="36"/>
      <c r="G6" s="36"/>
      <c r="H6" s="36"/>
      <c r="I6" s="36"/>
      <c r="J6" s="36"/>
      <c r="K6" s="36"/>
      <c r="X6" s="58"/>
    </row>
    <row r="7" spans="1:24">
      <c r="A7" s="41" t="s">
        <v>182</v>
      </c>
      <c r="B7" s="13" t="s">
        <v>177</v>
      </c>
      <c r="C7" s="13" t="s">
        <v>178</v>
      </c>
    </row>
    <row r="8" spans="1:24">
      <c r="A8" s="13" t="s">
        <v>183</v>
      </c>
      <c r="B8" s="13" t="s">
        <v>177</v>
      </c>
      <c r="C8" s="13" t="s">
        <v>184</v>
      </c>
      <c r="X8" s="58"/>
    </row>
    <row r="9" spans="1:24" ht="178.5">
      <c r="A9" t="s">
        <v>185</v>
      </c>
      <c r="B9" s="97" t="s">
        <v>177</v>
      </c>
      <c r="C9" s="98" t="s">
        <v>186</v>
      </c>
      <c r="X9" s="58"/>
    </row>
    <row r="10" spans="1:24" ht="89.25">
      <c r="A10" t="s">
        <v>187</v>
      </c>
      <c r="B10" s="97" t="s">
        <v>188</v>
      </c>
      <c r="C10" s="98" t="s">
        <v>189</v>
      </c>
      <c r="X10" s="58"/>
    </row>
    <row r="11" spans="1:24" ht="13.5" thickBot="1">
      <c r="X11" s="58"/>
    </row>
    <row r="12" spans="1:24" ht="13.5" thickBot="1">
      <c r="A12" s="17" t="s">
        <v>190</v>
      </c>
      <c r="X12" s="58"/>
    </row>
    <row r="13" spans="1:24">
      <c r="A13" s="16" t="s">
        <v>173</v>
      </c>
      <c r="B13" s="14" t="s">
        <v>191</v>
      </c>
      <c r="C13" s="14" t="s">
        <v>192</v>
      </c>
      <c r="D13" s="14" t="s">
        <v>174</v>
      </c>
      <c r="E13" s="14" t="s">
        <v>193</v>
      </c>
      <c r="F13" s="14" t="s">
        <v>71</v>
      </c>
      <c r="X13" s="58"/>
    </row>
    <row r="14" spans="1:24">
      <c r="A14" s="13"/>
      <c r="B14" s="13"/>
      <c r="C14" s="13"/>
      <c r="D14" s="13"/>
      <c r="E14" s="13"/>
      <c r="F14" s="13"/>
      <c r="H14" t="s">
        <v>194</v>
      </c>
      <c r="I14" t="s">
        <v>171</v>
      </c>
      <c r="J14" t="s">
        <v>195</v>
      </c>
      <c r="K14" t="s">
        <v>23</v>
      </c>
      <c r="X14" s="58"/>
    </row>
    <row r="15" spans="1:24">
      <c r="A15" s="13" t="s">
        <v>180</v>
      </c>
      <c r="B15" s="104" t="s">
        <v>196</v>
      </c>
      <c r="C15" s="41" t="s">
        <v>197</v>
      </c>
      <c r="D15" s="41" t="s">
        <v>177</v>
      </c>
      <c r="E15" s="90" t="s">
        <v>198</v>
      </c>
      <c r="F15" s="41" t="s">
        <v>199</v>
      </c>
      <c r="H15" t="s">
        <v>200</v>
      </c>
      <c r="I15" t="s">
        <v>201</v>
      </c>
      <c r="J15" t="s">
        <v>202</v>
      </c>
      <c r="K15" t="s">
        <v>203</v>
      </c>
    </row>
    <row r="16" spans="1:24">
      <c r="A16" s="13" t="s">
        <v>180</v>
      </c>
      <c r="B16" s="104" t="s">
        <v>204</v>
      </c>
      <c r="C16" s="41" t="s">
        <v>205</v>
      </c>
      <c r="D16" s="41" t="s">
        <v>177</v>
      </c>
      <c r="E16" s="90" t="s">
        <v>206</v>
      </c>
      <c r="F16" s="41" t="s">
        <v>207</v>
      </c>
      <c r="H16" t="s">
        <v>208</v>
      </c>
      <c r="I16" t="s">
        <v>209</v>
      </c>
      <c r="J16" t="s">
        <v>204</v>
      </c>
      <c r="K16" t="s">
        <v>203</v>
      </c>
    </row>
    <row r="17" spans="1:13">
      <c r="A17" s="13" t="s">
        <v>180</v>
      </c>
      <c r="B17" s="104" t="s">
        <v>210</v>
      </c>
      <c r="C17" s="41" t="s">
        <v>205</v>
      </c>
      <c r="D17" s="41" t="s">
        <v>177</v>
      </c>
      <c r="E17" s="90" t="s">
        <v>211</v>
      </c>
      <c r="F17" s="41" t="s">
        <v>212</v>
      </c>
      <c r="H17" t="s">
        <v>213</v>
      </c>
      <c r="I17" t="s">
        <v>209</v>
      </c>
      <c r="J17" t="s">
        <v>210</v>
      </c>
      <c r="K17" t="s">
        <v>203</v>
      </c>
    </row>
    <row r="18" spans="1:13">
      <c r="A18" s="13" t="s">
        <v>180</v>
      </c>
      <c r="B18" t="s">
        <v>214</v>
      </c>
      <c r="C18" s="41" t="s">
        <v>197</v>
      </c>
      <c r="D18" s="41" t="s">
        <v>177</v>
      </c>
      <c r="E18" s="90" t="s">
        <v>215</v>
      </c>
      <c r="F18" s="41" t="s">
        <v>212</v>
      </c>
      <c r="H18" t="s">
        <v>216</v>
      </c>
      <c r="I18" t="s">
        <v>209</v>
      </c>
      <c r="J18" t="s">
        <v>214</v>
      </c>
      <c r="K18" t="s">
        <v>203</v>
      </c>
    </row>
    <row r="19" spans="1:13">
      <c r="A19" s="13" t="s">
        <v>180</v>
      </c>
      <c r="B19" t="s">
        <v>217</v>
      </c>
      <c r="C19" s="41" t="s">
        <v>205</v>
      </c>
      <c r="D19" s="41" t="s">
        <v>177</v>
      </c>
      <c r="E19" s="90" t="s">
        <v>218</v>
      </c>
      <c r="F19" s="41" t="s">
        <v>212</v>
      </c>
      <c r="H19" t="s">
        <v>219</v>
      </c>
      <c r="I19" t="s">
        <v>209</v>
      </c>
      <c r="J19" t="s">
        <v>217</v>
      </c>
      <c r="K19" t="s">
        <v>203</v>
      </c>
    </row>
    <row r="20" spans="1:13">
      <c r="A20" s="13" t="s">
        <v>180</v>
      </c>
      <c r="B20" t="s">
        <v>220</v>
      </c>
      <c r="C20" s="41" t="s">
        <v>205</v>
      </c>
      <c r="D20" s="41" t="s">
        <v>177</v>
      </c>
      <c r="E20" s="90" t="s">
        <v>221</v>
      </c>
      <c r="F20" s="41" t="s">
        <v>212</v>
      </c>
      <c r="H20" t="s">
        <v>222</v>
      </c>
      <c r="I20" t="s">
        <v>209</v>
      </c>
      <c r="J20" t="s">
        <v>220</v>
      </c>
      <c r="K20" t="s">
        <v>203</v>
      </c>
    </row>
    <row r="21" spans="1:13">
      <c r="A21" s="13" t="s">
        <v>180</v>
      </c>
      <c r="B21" t="s">
        <v>223</v>
      </c>
      <c r="C21" s="41" t="s">
        <v>212</v>
      </c>
      <c r="D21" s="41" t="s">
        <v>177</v>
      </c>
      <c r="E21" s="90" t="s">
        <v>224</v>
      </c>
      <c r="F21" s="41" t="s">
        <v>212</v>
      </c>
      <c r="H21" t="s">
        <v>225</v>
      </c>
      <c r="I21" t="s">
        <v>209</v>
      </c>
      <c r="J21" t="s">
        <v>223</v>
      </c>
      <c r="K21" t="s">
        <v>203</v>
      </c>
    </row>
    <row r="22" spans="1:13">
      <c r="A22" s="13" t="s">
        <v>180</v>
      </c>
      <c r="B22" t="s">
        <v>226</v>
      </c>
      <c r="C22" s="41" t="s">
        <v>227</v>
      </c>
      <c r="D22" s="41" t="s">
        <v>177</v>
      </c>
      <c r="E22" s="90" t="s">
        <v>228</v>
      </c>
      <c r="F22" s="41" t="s">
        <v>227</v>
      </c>
      <c r="H22" t="s">
        <v>229</v>
      </c>
      <c r="I22" t="s">
        <v>230</v>
      </c>
      <c r="J22" t="s">
        <v>231</v>
      </c>
      <c r="K22" t="s">
        <v>232</v>
      </c>
    </row>
    <row r="23" spans="1:13">
      <c r="A23" s="13" t="s">
        <v>180</v>
      </c>
      <c r="B23" s="102" t="s">
        <v>233</v>
      </c>
      <c r="C23" s="41" t="s">
        <v>199</v>
      </c>
      <c r="D23" s="41" t="s">
        <v>177</v>
      </c>
      <c r="E23" s="90" t="s">
        <v>234</v>
      </c>
      <c r="F23" s="41" t="s">
        <v>199</v>
      </c>
      <c r="H23" t="s">
        <v>235</v>
      </c>
    </row>
    <row r="24" spans="1:13">
      <c r="A24" s="13" t="s">
        <v>180</v>
      </c>
      <c r="B24" t="s">
        <v>236</v>
      </c>
      <c r="C24" s="41" t="s">
        <v>227</v>
      </c>
      <c r="D24" s="41" t="s">
        <v>177</v>
      </c>
      <c r="E24" s="95" t="s">
        <v>237</v>
      </c>
      <c r="F24" s="41" t="s">
        <v>227</v>
      </c>
      <c r="H24" t="s">
        <v>238</v>
      </c>
      <c r="I24" t="s">
        <v>239</v>
      </c>
      <c r="J24" t="s">
        <v>240</v>
      </c>
      <c r="K24" t="s">
        <v>232</v>
      </c>
    </row>
    <row r="25" spans="1:13">
      <c r="A25" s="13" t="s">
        <v>180</v>
      </c>
      <c r="B25" s="102" t="s">
        <v>241</v>
      </c>
      <c r="C25" s="41" t="s">
        <v>199</v>
      </c>
      <c r="D25" s="41" t="s">
        <v>177</v>
      </c>
      <c r="E25" s="95" t="s">
        <v>242</v>
      </c>
      <c r="F25" s="41" t="s">
        <v>199</v>
      </c>
      <c r="H25" t="s">
        <v>243</v>
      </c>
    </row>
    <row r="26" spans="1:13">
      <c r="A26" s="13" t="s">
        <v>180</v>
      </c>
      <c r="B26" s="103" t="s">
        <v>231</v>
      </c>
      <c r="C26" s="13" t="s">
        <v>244</v>
      </c>
      <c r="D26" s="41" t="s">
        <v>177</v>
      </c>
      <c r="E26" s="95" t="s">
        <v>231</v>
      </c>
      <c r="F26" s="13" t="s">
        <v>244</v>
      </c>
      <c r="H26" t="s">
        <v>245</v>
      </c>
    </row>
    <row r="27" spans="1:13">
      <c r="A27" s="13" t="s">
        <v>180</v>
      </c>
      <c r="B27" s="103" t="s">
        <v>246</v>
      </c>
      <c r="C27" s="41" t="s">
        <v>212</v>
      </c>
      <c r="D27" s="41" t="s">
        <v>177</v>
      </c>
      <c r="E27" s="95" t="s">
        <v>247</v>
      </c>
      <c r="F27" s="41" t="s">
        <v>212</v>
      </c>
      <c r="H27" t="s">
        <v>248</v>
      </c>
      <c r="I27" t="s">
        <v>249</v>
      </c>
      <c r="J27" t="s">
        <v>250</v>
      </c>
      <c r="K27" t="s">
        <v>232</v>
      </c>
      <c r="L27" s="99"/>
      <c r="M27" s="100"/>
    </row>
    <row r="28" spans="1:13">
      <c r="A28" s="13" t="s">
        <v>180</v>
      </c>
      <c r="B28" s="105" t="s">
        <v>251</v>
      </c>
      <c r="C28" s="41" t="s">
        <v>212</v>
      </c>
      <c r="D28" s="41" t="s">
        <v>177</v>
      </c>
      <c r="E28" s="95" t="s">
        <v>252</v>
      </c>
      <c r="F28" s="41" t="s">
        <v>212</v>
      </c>
      <c r="H28" t="s">
        <v>253</v>
      </c>
      <c r="L28" s="99"/>
      <c r="M28" s="100"/>
    </row>
    <row r="29" spans="1:13">
      <c r="A29" s="13"/>
      <c r="B29" s="90"/>
      <c r="C29" s="41"/>
      <c r="D29" s="41"/>
      <c r="E29" s="13"/>
      <c r="F29" s="13"/>
      <c r="H29" t="s">
        <v>254</v>
      </c>
      <c r="I29" t="s">
        <v>209</v>
      </c>
      <c r="J29" t="s">
        <v>226</v>
      </c>
      <c r="K29" t="s">
        <v>203</v>
      </c>
    </row>
    <row r="30" spans="1:13">
      <c r="A30" s="13"/>
      <c r="B30" s="90"/>
      <c r="C30" s="41"/>
      <c r="D30" s="41"/>
      <c r="E30" s="13"/>
      <c r="F30" s="13"/>
      <c r="H30" t="s">
        <v>255</v>
      </c>
      <c r="I30" t="s">
        <v>239</v>
      </c>
      <c r="J30" t="s">
        <v>240</v>
      </c>
      <c r="K30" t="s">
        <v>232</v>
      </c>
    </row>
    <row r="31" spans="1:13">
      <c r="A31" s="13" t="s">
        <v>176</v>
      </c>
      <c r="B31" s="104" t="s">
        <v>196</v>
      </c>
      <c r="C31" s="41" t="s">
        <v>197</v>
      </c>
      <c r="D31" s="41" t="s">
        <v>177</v>
      </c>
      <c r="E31" t="s">
        <v>200</v>
      </c>
      <c r="F31" s="13"/>
      <c r="H31" t="s">
        <v>256</v>
      </c>
    </row>
    <row r="32" spans="1:13">
      <c r="A32" s="13" t="s">
        <v>176</v>
      </c>
      <c r="B32" s="104" t="s">
        <v>204</v>
      </c>
      <c r="C32" s="41" t="s">
        <v>205</v>
      </c>
      <c r="D32" s="41" t="s">
        <v>177</v>
      </c>
      <c r="E32" t="s">
        <v>208</v>
      </c>
      <c r="F32" s="13"/>
      <c r="H32" t="s">
        <v>257</v>
      </c>
      <c r="I32" t="s">
        <v>209</v>
      </c>
      <c r="J32" t="s">
        <v>236</v>
      </c>
      <c r="K32" t="s">
        <v>203</v>
      </c>
    </row>
    <row r="33" spans="1:11">
      <c r="A33" s="13" t="s">
        <v>176</v>
      </c>
      <c r="B33" s="104" t="s">
        <v>210</v>
      </c>
      <c r="C33" s="41" t="s">
        <v>205</v>
      </c>
      <c r="D33" s="41" t="s">
        <v>177</v>
      </c>
      <c r="E33" t="s">
        <v>213</v>
      </c>
      <c r="F33" s="13"/>
      <c r="H33" t="s">
        <v>258</v>
      </c>
      <c r="I33" t="s">
        <v>239</v>
      </c>
      <c r="J33" t="s">
        <v>240</v>
      </c>
      <c r="K33" t="s">
        <v>259</v>
      </c>
    </row>
    <row r="34" spans="1:11">
      <c r="A34" s="13" t="s">
        <v>176</v>
      </c>
      <c r="B34" t="s">
        <v>214</v>
      </c>
      <c r="C34" s="41" t="s">
        <v>197</v>
      </c>
      <c r="D34" s="41" t="s">
        <v>177</v>
      </c>
      <c r="E34" t="s">
        <v>216</v>
      </c>
      <c r="F34" s="13"/>
      <c r="H34" t="s">
        <v>260</v>
      </c>
    </row>
    <row r="35" spans="1:11">
      <c r="A35" s="13" t="s">
        <v>176</v>
      </c>
      <c r="B35" t="s">
        <v>217</v>
      </c>
      <c r="C35" s="41" t="s">
        <v>205</v>
      </c>
      <c r="D35" s="41" t="s">
        <v>177</v>
      </c>
      <c r="E35" t="s">
        <v>219</v>
      </c>
      <c r="F35" s="13"/>
    </row>
    <row r="36" spans="1:11">
      <c r="A36" s="13" t="s">
        <v>176</v>
      </c>
      <c r="B36" t="s">
        <v>220</v>
      </c>
      <c r="C36" s="41" t="s">
        <v>205</v>
      </c>
      <c r="D36" s="41" t="s">
        <v>177</v>
      </c>
      <c r="E36" t="s">
        <v>222</v>
      </c>
      <c r="F36" s="13"/>
    </row>
    <row r="37" spans="1:11">
      <c r="A37" s="13" t="s">
        <v>176</v>
      </c>
      <c r="B37" t="s">
        <v>223</v>
      </c>
      <c r="C37" s="41" t="s">
        <v>212</v>
      </c>
      <c r="D37" s="41" t="s">
        <v>177</v>
      </c>
      <c r="E37" t="s">
        <v>225</v>
      </c>
      <c r="F37" s="13"/>
    </row>
    <row r="38" spans="1:11">
      <c r="A38" s="13" t="s">
        <v>176</v>
      </c>
      <c r="B38" t="s">
        <v>226</v>
      </c>
      <c r="C38" s="41" t="s">
        <v>227</v>
      </c>
      <c r="D38" s="41" t="s">
        <v>177</v>
      </c>
      <c r="E38" t="s">
        <v>254</v>
      </c>
      <c r="F38" s="13"/>
    </row>
    <row r="39" spans="1:11">
      <c r="A39" s="13" t="s">
        <v>176</v>
      </c>
      <c r="B39" s="102" t="s">
        <v>233</v>
      </c>
      <c r="C39" s="41" t="s">
        <v>199</v>
      </c>
      <c r="D39" s="41" t="s">
        <v>177</v>
      </c>
      <c r="E39" t="s">
        <v>255</v>
      </c>
      <c r="F39" s="13"/>
    </row>
    <row r="40" spans="1:11">
      <c r="A40" s="13"/>
      <c r="B40" s="90"/>
      <c r="C40" s="41"/>
      <c r="D40" s="41"/>
      <c r="E40" s="13"/>
      <c r="F40" s="13"/>
    </row>
    <row r="41" spans="1:11">
      <c r="A41" s="41" t="s">
        <v>182</v>
      </c>
      <c r="B41" s="104" t="s">
        <v>196</v>
      </c>
      <c r="C41" s="41" t="s">
        <v>199</v>
      </c>
      <c r="D41" s="41" t="s">
        <v>177</v>
      </c>
      <c r="E41" s="90" t="s">
        <v>198</v>
      </c>
      <c r="F41" s="13"/>
    </row>
    <row r="42" spans="1:11">
      <c r="A42" s="41" t="s">
        <v>182</v>
      </c>
      <c r="B42" s="104" t="s">
        <v>204</v>
      </c>
      <c r="C42" s="41" t="s">
        <v>207</v>
      </c>
      <c r="D42" s="41" t="s">
        <v>177</v>
      </c>
      <c r="E42" s="90" t="s">
        <v>206</v>
      </c>
      <c r="F42" s="13"/>
    </row>
    <row r="43" spans="1:11">
      <c r="A43" s="41" t="s">
        <v>182</v>
      </c>
      <c r="B43" s="104" t="s">
        <v>210</v>
      </c>
      <c r="C43" s="41" t="s">
        <v>212</v>
      </c>
      <c r="D43" s="41" t="s">
        <v>177</v>
      </c>
      <c r="E43" s="90" t="s">
        <v>211</v>
      </c>
      <c r="F43" s="13"/>
    </row>
    <row r="44" spans="1:11">
      <c r="A44" s="41" t="s">
        <v>182</v>
      </c>
      <c r="B44" t="s">
        <v>214</v>
      </c>
      <c r="C44" s="41" t="s">
        <v>197</v>
      </c>
      <c r="D44" s="41" t="s">
        <v>177</v>
      </c>
      <c r="E44" s="90" t="s">
        <v>215</v>
      </c>
      <c r="F44" s="13"/>
      <c r="H44" t="s">
        <v>201</v>
      </c>
      <c r="I44" t="s">
        <v>202</v>
      </c>
    </row>
    <row r="45" spans="1:11">
      <c r="A45" s="41" t="s">
        <v>182</v>
      </c>
      <c r="B45" t="s">
        <v>217</v>
      </c>
      <c r="C45" s="41" t="s">
        <v>205</v>
      </c>
      <c r="D45" s="41" t="s">
        <v>177</v>
      </c>
      <c r="E45" s="90" t="s">
        <v>218</v>
      </c>
      <c r="F45" s="13"/>
      <c r="H45" t="s">
        <v>209</v>
      </c>
      <c r="I45" t="s">
        <v>204</v>
      </c>
    </row>
    <row r="46" spans="1:11">
      <c r="A46" s="41" t="s">
        <v>182</v>
      </c>
      <c r="B46" t="s">
        <v>220</v>
      </c>
      <c r="C46" s="41" t="s">
        <v>205</v>
      </c>
      <c r="D46" s="41" t="s">
        <v>177</v>
      </c>
      <c r="E46" s="90" t="s">
        <v>221</v>
      </c>
      <c r="F46" s="13"/>
      <c r="H46" t="s">
        <v>209</v>
      </c>
      <c r="I46" t="s">
        <v>210</v>
      </c>
    </row>
    <row r="47" spans="1:11">
      <c r="A47" s="41" t="s">
        <v>182</v>
      </c>
      <c r="B47" t="s">
        <v>223</v>
      </c>
      <c r="C47" s="41" t="s">
        <v>212</v>
      </c>
      <c r="D47" s="41" t="s">
        <v>177</v>
      </c>
      <c r="E47" s="90" t="s">
        <v>224</v>
      </c>
      <c r="F47" s="13"/>
      <c r="H47" t="s">
        <v>209</v>
      </c>
      <c r="I47" t="s">
        <v>214</v>
      </c>
    </row>
    <row r="48" spans="1:11">
      <c r="A48" s="41" t="s">
        <v>182</v>
      </c>
      <c r="B48" t="s">
        <v>226</v>
      </c>
      <c r="C48" s="41" t="s">
        <v>227</v>
      </c>
      <c r="D48" s="41" t="s">
        <v>177</v>
      </c>
      <c r="E48" s="90" t="s">
        <v>228</v>
      </c>
      <c r="F48" s="13"/>
      <c r="H48" t="s">
        <v>209</v>
      </c>
      <c r="I48" t="s">
        <v>217</v>
      </c>
    </row>
    <row r="49" spans="1:9">
      <c r="A49" s="41" t="s">
        <v>182</v>
      </c>
      <c r="B49" s="102" t="s">
        <v>233</v>
      </c>
      <c r="C49" s="41" t="s">
        <v>199</v>
      </c>
      <c r="D49" s="41" t="s">
        <v>177</v>
      </c>
      <c r="E49" s="90" t="s">
        <v>234</v>
      </c>
      <c r="F49" s="13"/>
      <c r="H49" t="s">
        <v>209</v>
      </c>
      <c r="I49" t="s">
        <v>220</v>
      </c>
    </row>
    <row r="50" spans="1:9">
      <c r="A50" s="41"/>
      <c r="B50" s="90"/>
      <c r="C50" s="41"/>
      <c r="D50" s="41"/>
      <c r="E50" s="13"/>
      <c r="F50" s="13"/>
      <c r="H50" t="s">
        <v>209</v>
      </c>
      <c r="I50" t="s">
        <v>223</v>
      </c>
    </row>
    <row r="51" spans="1:9">
      <c r="A51" s="13" t="s">
        <v>183</v>
      </c>
      <c r="B51" s="41" t="s">
        <v>261</v>
      </c>
      <c r="C51" s="13" t="s">
        <v>262</v>
      </c>
      <c r="D51" s="41" t="s">
        <v>177</v>
      </c>
      <c r="E51" s="41" t="s">
        <v>261</v>
      </c>
      <c r="F51" s="13"/>
      <c r="H51" t="s">
        <v>209</v>
      </c>
      <c r="I51" t="s">
        <v>226</v>
      </c>
    </row>
    <row r="52" spans="1:9">
      <c r="A52" s="13" t="s">
        <v>183</v>
      </c>
      <c r="B52" s="41" t="s">
        <v>263</v>
      </c>
      <c r="C52" s="13" t="s">
        <v>264</v>
      </c>
      <c r="D52" s="41" t="s">
        <v>177</v>
      </c>
      <c r="E52" s="41" t="s">
        <v>263</v>
      </c>
      <c r="F52" s="13"/>
      <c r="H52" t="s">
        <v>239</v>
      </c>
      <c r="I52" s="102" t="s">
        <v>265</v>
      </c>
    </row>
    <row r="53" spans="1:9">
      <c r="A53" s="13" t="s">
        <v>183</v>
      </c>
      <c r="B53" s="41" t="s">
        <v>266</v>
      </c>
      <c r="C53" s="13" t="s">
        <v>262</v>
      </c>
      <c r="D53" s="41" t="s">
        <v>177</v>
      </c>
      <c r="E53" s="41" t="s">
        <v>266</v>
      </c>
      <c r="F53" s="13"/>
      <c r="H53" t="s">
        <v>209</v>
      </c>
      <c r="I53" t="s">
        <v>236</v>
      </c>
    </row>
    <row r="54" spans="1:9">
      <c r="A54" s="13" t="s">
        <v>183</v>
      </c>
      <c r="B54" s="41" t="s">
        <v>267</v>
      </c>
      <c r="C54" s="13" t="s">
        <v>262</v>
      </c>
      <c r="D54" s="41" t="s">
        <v>177</v>
      </c>
      <c r="E54" s="41" t="s">
        <v>267</v>
      </c>
      <c r="F54" s="13"/>
      <c r="H54" s="13"/>
      <c r="I54" s="102" t="s">
        <v>268</v>
      </c>
    </row>
    <row r="55" spans="1:9">
      <c r="A55" s="13" t="s">
        <v>183</v>
      </c>
      <c r="B55" t="s">
        <v>269</v>
      </c>
      <c r="C55" s="13" t="s">
        <v>270</v>
      </c>
      <c r="D55" s="41" t="s">
        <v>177</v>
      </c>
      <c r="E55" s="41" t="s">
        <v>269</v>
      </c>
      <c r="F55" s="13" t="s">
        <v>271</v>
      </c>
      <c r="H55" s="13"/>
      <c r="I55" s="102" t="s">
        <v>272</v>
      </c>
    </row>
    <row r="56" spans="1:9">
      <c r="A56" s="13" t="s">
        <v>183</v>
      </c>
      <c r="B56" s="104" t="s">
        <v>196</v>
      </c>
      <c r="C56" s="41" t="s">
        <v>197</v>
      </c>
      <c r="D56" s="41" t="s">
        <v>177</v>
      </c>
      <c r="E56" t="s">
        <v>200</v>
      </c>
      <c r="F56" s="13"/>
      <c r="H56" s="102" t="s">
        <v>251</v>
      </c>
      <c r="I56" s="102" t="s">
        <v>246</v>
      </c>
    </row>
    <row r="57" spans="1:9">
      <c r="A57" s="13" t="s">
        <v>183</v>
      </c>
      <c r="B57" t="s">
        <v>204</v>
      </c>
      <c r="C57" s="41" t="s">
        <v>205</v>
      </c>
      <c r="D57" s="41" t="s">
        <v>177</v>
      </c>
      <c r="E57" t="s">
        <v>208</v>
      </c>
      <c r="F57" s="13"/>
      <c r="H57" s="13"/>
      <c r="I57" s="102" t="s">
        <v>251</v>
      </c>
    </row>
    <row r="58" spans="1:9">
      <c r="A58" s="13" t="s">
        <v>183</v>
      </c>
      <c r="B58" t="s">
        <v>210</v>
      </c>
      <c r="C58" s="41" t="s">
        <v>205</v>
      </c>
      <c r="D58" s="41" t="s">
        <v>177</v>
      </c>
      <c r="E58" t="s">
        <v>213</v>
      </c>
      <c r="F58" s="13"/>
    </row>
    <row r="59" spans="1:9">
      <c r="A59" s="13" t="s">
        <v>183</v>
      </c>
      <c r="B59" t="s">
        <v>214</v>
      </c>
      <c r="C59" s="41" t="s">
        <v>197</v>
      </c>
      <c r="D59" s="41" t="s">
        <v>177</v>
      </c>
      <c r="E59" t="s">
        <v>216</v>
      </c>
      <c r="F59" s="13"/>
    </row>
    <row r="60" spans="1:9">
      <c r="A60" s="13" t="s">
        <v>183</v>
      </c>
      <c r="B60" t="s">
        <v>217</v>
      </c>
      <c r="C60" s="41" t="s">
        <v>205</v>
      </c>
      <c r="D60" s="41" t="s">
        <v>177</v>
      </c>
      <c r="E60" t="s">
        <v>219</v>
      </c>
      <c r="F60" s="13"/>
    </row>
    <row r="61" spans="1:9">
      <c r="A61" s="13" t="s">
        <v>183</v>
      </c>
      <c r="B61" t="s">
        <v>220</v>
      </c>
      <c r="C61" s="41" t="s">
        <v>205</v>
      </c>
      <c r="D61" s="41" t="s">
        <v>177</v>
      </c>
      <c r="E61" t="s">
        <v>222</v>
      </c>
      <c r="F61" s="13"/>
    </row>
    <row r="62" spans="1:9">
      <c r="A62" s="13" t="s">
        <v>183</v>
      </c>
      <c r="B62" t="s">
        <v>223</v>
      </c>
      <c r="C62" s="41" t="s">
        <v>212</v>
      </c>
      <c r="D62" s="41" t="s">
        <v>177</v>
      </c>
      <c r="E62" t="s">
        <v>225</v>
      </c>
      <c r="F62" s="13"/>
    </row>
    <row r="63" spans="1:9">
      <c r="A63" s="13" t="s">
        <v>183</v>
      </c>
      <c r="B63" t="s">
        <v>226</v>
      </c>
      <c r="C63" s="41" t="s">
        <v>227</v>
      </c>
      <c r="D63" s="41" t="s">
        <v>177</v>
      </c>
      <c r="E63" t="s">
        <v>254</v>
      </c>
      <c r="F63" s="13"/>
    </row>
    <row r="64" spans="1:9">
      <c r="A64" s="13" t="s">
        <v>183</v>
      </c>
      <c r="B64" t="s">
        <v>233</v>
      </c>
      <c r="C64" s="41" t="s">
        <v>199</v>
      </c>
      <c r="D64" s="41" t="s">
        <v>177</v>
      </c>
      <c r="E64" t="s">
        <v>255</v>
      </c>
      <c r="F64" s="13"/>
    </row>
    <row r="65" spans="1:7">
      <c r="A65" s="13" t="s">
        <v>183</v>
      </c>
      <c r="B65" t="s">
        <v>236</v>
      </c>
      <c r="C65" s="91" t="s">
        <v>227</v>
      </c>
      <c r="D65" s="41" t="s">
        <v>177</v>
      </c>
      <c r="E65" t="s">
        <v>257</v>
      </c>
      <c r="F65" s="13"/>
    </row>
    <row r="66" spans="1:7">
      <c r="A66" s="13" t="s">
        <v>183</v>
      </c>
      <c r="B66" t="s">
        <v>241</v>
      </c>
      <c r="C66" s="91" t="s">
        <v>199</v>
      </c>
      <c r="D66" s="41" t="s">
        <v>177</v>
      </c>
      <c r="E66" t="s">
        <v>258</v>
      </c>
      <c r="F66" s="13"/>
    </row>
    <row r="67" spans="1:7">
      <c r="A67" s="13" t="s">
        <v>183</v>
      </c>
      <c r="B67" t="s">
        <v>231</v>
      </c>
      <c r="C67" s="91" t="s">
        <v>244</v>
      </c>
      <c r="D67" s="41" t="s">
        <v>177</v>
      </c>
      <c r="E67" t="s">
        <v>229</v>
      </c>
      <c r="F67" s="13"/>
    </row>
    <row r="68" spans="1:7">
      <c r="A68" s="13" t="s">
        <v>183</v>
      </c>
      <c r="B68" t="s">
        <v>273</v>
      </c>
      <c r="C68" s="91" t="s">
        <v>274</v>
      </c>
      <c r="D68" s="41" t="s">
        <v>177</v>
      </c>
      <c r="E68" t="s">
        <v>238</v>
      </c>
      <c r="F68" s="13" t="s">
        <v>275</v>
      </c>
    </row>
    <row r="69" spans="1:7">
      <c r="A69" s="13" t="s">
        <v>183</v>
      </c>
      <c r="B69" s="105" t="s">
        <v>276</v>
      </c>
      <c r="C69" s="91" t="s">
        <v>274</v>
      </c>
      <c r="D69" s="41" t="s">
        <v>177</v>
      </c>
      <c r="E69" t="s">
        <v>248</v>
      </c>
      <c r="F69" s="13" t="s">
        <v>275</v>
      </c>
    </row>
    <row r="71" spans="1:7">
      <c r="A71" s="13" t="s">
        <v>185</v>
      </c>
      <c r="B71" s="13" t="s">
        <v>277</v>
      </c>
      <c r="C71" s="13" t="s">
        <v>278</v>
      </c>
      <c r="D71" s="13" t="s">
        <v>177</v>
      </c>
      <c r="E71" s="13" t="s">
        <v>279</v>
      </c>
      <c r="F71" s="13"/>
      <c r="G71" s="13"/>
    </row>
    <row r="72" spans="1:7">
      <c r="A72" s="13" t="s">
        <v>185</v>
      </c>
      <c r="B72" s="13" t="s">
        <v>280</v>
      </c>
      <c r="C72" s="13" t="s">
        <v>281</v>
      </c>
      <c r="D72" s="13" t="s">
        <v>177</v>
      </c>
      <c r="E72" s="13"/>
      <c r="F72" s="13"/>
      <c r="G72" s="13"/>
    </row>
    <row r="73" spans="1:7">
      <c r="A73" s="13" t="s">
        <v>185</v>
      </c>
      <c r="B73" s="13" t="s">
        <v>282</v>
      </c>
      <c r="C73" s="13" t="s">
        <v>244</v>
      </c>
      <c r="D73" s="13" t="s">
        <v>177</v>
      </c>
      <c r="E73" s="13"/>
      <c r="F73" s="13"/>
      <c r="G73" s="13"/>
    </row>
    <row r="74" spans="1:7">
      <c r="A74" s="13" t="s">
        <v>185</v>
      </c>
      <c r="B74" s="13" t="s">
        <v>283</v>
      </c>
      <c r="C74" s="13" t="s">
        <v>197</v>
      </c>
      <c r="D74" s="13" t="s">
        <v>177</v>
      </c>
      <c r="E74" s="13"/>
      <c r="F74" s="13"/>
      <c r="G74" s="13"/>
    </row>
    <row r="75" spans="1:7">
      <c r="A75" s="13" t="s">
        <v>185</v>
      </c>
      <c r="B75" s="13" t="s">
        <v>284</v>
      </c>
      <c r="C75" s="13" t="s">
        <v>197</v>
      </c>
      <c r="D75" s="13" t="s">
        <v>177</v>
      </c>
      <c r="E75" s="13"/>
      <c r="F75" s="13"/>
      <c r="G75" s="13"/>
    </row>
    <row r="76" spans="1:7">
      <c r="A76" s="13" t="s">
        <v>185</v>
      </c>
      <c r="B76" s="13" t="s">
        <v>285</v>
      </c>
      <c r="C76" s="13" t="s">
        <v>197</v>
      </c>
      <c r="D76" s="13" t="s">
        <v>177</v>
      </c>
      <c r="E76" s="13"/>
      <c r="F76" s="13"/>
      <c r="G76" s="13"/>
    </row>
    <row r="77" spans="1:7">
      <c r="A77" s="13" t="s">
        <v>185</v>
      </c>
      <c r="B77" s="13" t="s">
        <v>286</v>
      </c>
      <c r="C77" s="13" t="s">
        <v>197</v>
      </c>
      <c r="D77" s="13" t="s">
        <v>177</v>
      </c>
      <c r="E77" s="13"/>
      <c r="F77" s="13"/>
      <c r="G77" s="13"/>
    </row>
    <row r="79" spans="1:7" ht="13.5" thickBot="1"/>
    <row r="80" spans="1:7" ht="13.5" thickBot="1">
      <c r="A80" s="17" t="s">
        <v>287</v>
      </c>
    </row>
    <row r="81" spans="1:29">
      <c r="A81" s="16" t="s">
        <v>288</v>
      </c>
      <c r="B81" s="14" t="s">
        <v>289</v>
      </c>
      <c r="C81" s="14" t="s">
        <v>290</v>
      </c>
      <c r="D81" s="14" t="s">
        <v>291</v>
      </c>
    </row>
    <row r="82" spans="1:29">
      <c r="A82" s="41" t="s">
        <v>292</v>
      </c>
      <c r="B82" s="41" t="s">
        <v>293</v>
      </c>
      <c r="C82" s="41" t="s">
        <v>261</v>
      </c>
      <c r="D82" s="13" t="s">
        <v>294</v>
      </c>
      <c r="AA82" s="58"/>
    </row>
    <row r="83" spans="1:29">
      <c r="A83" s="41"/>
      <c r="B83" s="41"/>
      <c r="C83" s="41"/>
      <c r="D83" s="13"/>
      <c r="AA83" s="58"/>
    </row>
    <row r="84" spans="1:29">
      <c r="A84" s="41"/>
      <c r="B84" s="41"/>
      <c r="C84" s="41"/>
      <c r="D84" s="13"/>
    </row>
    <row r="85" spans="1:29" ht="13.5" thickBot="1">
      <c r="A85" s="58"/>
      <c r="B85" s="58"/>
      <c r="C85" s="58"/>
    </row>
    <row r="86" spans="1:29" ht="13.5" thickBot="1">
      <c r="A86" s="17" t="s">
        <v>295</v>
      </c>
      <c r="B86" s="58"/>
      <c r="C86" s="58"/>
    </row>
    <row r="87" spans="1:29">
      <c r="A87" s="16" t="s">
        <v>132</v>
      </c>
      <c r="B87" s="14" t="s">
        <v>296</v>
      </c>
    </row>
    <row r="88" spans="1:29">
      <c r="A88" s="41" t="s">
        <v>168</v>
      </c>
      <c r="B88" s="41"/>
      <c r="AC88" s="58"/>
    </row>
    <row r="89" spans="1:29">
      <c r="A89" s="41"/>
      <c r="B89" s="41"/>
    </row>
    <row r="90" spans="1:29">
      <c r="A90" s="21" t="s">
        <v>35</v>
      </c>
      <c r="B90" s="21" t="s">
        <v>297</v>
      </c>
    </row>
    <row r="91" spans="1:29">
      <c r="A91" s="20"/>
      <c r="B91" s="20">
        <v>0.125</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A88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workbookViewId="0">
      <selection activeCell="A12" sqref="A12"/>
    </sheetView>
  </sheetViews>
  <sheetFormatPr defaultRowHeight="12.75"/>
  <cols>
    <col min="1" max="1" width="30.28515625" bestFit="1" customWidth="1"/>
    <col min="2" max="2" width="64" style="23" customWidth="1"/>
    <col min="3" max="3" width="32.85546875" customWidth="1"/>
  </cols>
  <sheetData>
    <row r="1" spans="1:3" ht="13.5" thickBot="1">
      <c r="A1" s="145" t="s">
        <v>298</v>
      </c>
      <c r="B1" s="146"/>
      <c r="C1" s="147"/>
    </row>
    <row r="2" spans="1:3" ht="13.5" thickBot="1"/>
    <row r="3" spans="1:3" ht="13.5" thickBot="1">
      <c r="A3" s="18" t="s">
        <v>299</v>
      </c>
      <c r="B3" s="29"/>
    </row>
    <row r="4" spans="1:3">
      <c r="A4" s="16" t="s">
        <v>300</v>
      </c>
      <c r="B4" s="28" t="s">
        <v>71</v>
      </c>
    </row>
    <row r="5" spans="1:3">
      <c r="A5" s="41" t="s">
        <v>168</v>
      </c>
      <c r="B5" s="22"/>
    </row>
    <row r="6" spans="1:3">
      <c r="A6" s="13"/>
      <c r="B6" s="22"/>
    </row>
    <row r="7" spans="1:3">
      <c r="A7" s="13"/>
      <c r="B7" s="22"/>
    </row>
    <row r="8" spans="1:3">
      <c r="A8" s="13"/>
      <c r="B8" s="22"/>
    </row>
    <row r="9" spans="1:3" ht="13.5" thickBot="1"/>
    <row r="10" spans="1:3" ht="13.5" thickBot="1">
      <c r="A10" s="18" t="s">
        <v>301</v>
      </c>
      <c r="B10" s="29"/>
      <c r="C10" s="15"/>
    </row>
    <row r="11" spans="1:3">
      <c r="A11" s="16" t="s">
        <v>302</v>
      </c>
      <c r="B11" s="28" t="s">
        <v>71</v>
      </c>
    </row>
    <row r="12" spans="1:3" ht="102">
      <c r="A12" s="41" t="s">
        <v>303</v>
      </c>
      <c r="B12" s="22" t="s">
        <v>304</v>
      </c>
      <c r="C12" t="s">
        <v>305</v>
      </c>
    </row>
    <row r="13" spans="1:3">
      <c r="A13" s="13"/>
      <c r="B13" s="22"/>
    </row>
    <row r="14" spans="1:3">
      <c r="A14" s="13"/>
      <c r="B14" s="22"/>
    </row>
    <row r="15" spans="1:3" ht="13.5" thickBot="1"/>
    <row r="16" spans="1:3" ht="13.5" thickBot="1">
      <c r="A16" s="18" t="s">
        <v>306</v>
      </c>
    </row>
    <row r="17" spans="1:2">
      <c r="A17" s="16" t="s">
        <v>300</v>
      </c>
      <c r="B17" s="28" t="s">
        <v>71</v>
      </c>
    </row>
    <row r="18" spans="1:2">
      <c r="A18" s="41" t="s">
        <v>168</v>
      </c>
      <c r="B18" s="22"/>
    </row>
    <row r="19" spans="1:2">
      <c r="A19" s="13"/>
      <c r="B19" s="22"/>
    </row>
    <row r="20" spans="1:2">
      <c r="A20" s="13"/>
      <c r="B20" s="22"/>
    </row>
    <row r="21" spans="1:2">
      <c r="A21" s="13"/>
      <c r="B21" s="22"/>
    </row>
    <row r="22" spans="1:2" ht="13.5" thickBot="1"/>
    <row r="23" spans="1:2" ht="13.5" thickBot="1">
      <c r="A23" s="18" t="s">
        <v>307</v>
      </c>
    </row>
    <row r="24" spans="1:2">
      <c r="A24" s="16" t="s">
        <v>300</v>
      </c>
      <c r="B24" s="28" t="s">
        <v>71</v>
      </c>
    </row>
    <row r="26" spans="1:2">
      <c r="A26" s="13"/>
      <c r="B26" s="22"/>
    </row>
    <row r="27" spans="1:2">
      <c r="A27" s="13"/>
      <c r="B27" s="22"/>
    </row>
    <row r="28" spans="1:2">
      <c r="A28" s="13"/>
      <c r="B28" s="22"/>
    </row>
    <row r="29" spans="1:2" ht="13.5" thickBot="1"/>
    <row r="30" spans="1:2" ht="13.5" thickBot="1">
      <c r="A30" s="18" t="s">
        <v>308</v>
      </c>
    </row>
    <row r="31" spans="1:2">
      <c r="A31" s="16" t="s">
        <v>300</v>
      </c>
      <c r="B31" s="28" t="s">
        <v>71</v>
      </c>
    </row>
    <row r="32" spans="1:2">
      <c r="A32" s="41" t="s">
        <v>168</v>
      </c>
      <c r="B32" s="22"/>
    </row>
    <row r="33" spans="1:2">
      <c r="A33" s="13"/>
      <c r="B33" s="22"/>
    </row>
    <row r="34" spans="1:2">
      <c r="A34" s="13"/>
      <c r="B34" s="22"/>
    </row>
    <row r="35" spans="1:2">
      <c r="A35" s="13"/>
      <c r="B35" s="22"/>
    </row>
    <row r="37" spans="1:2">
      <c r="A37" s="21" t="s">
        <v>35</v>
      </c>
      <c r="B37" s="30" t="s">
        <v>297</v>
      </c>
    </row>
    <row r="38" spans="1:2">
      <c r="A38" s="20"/>
      <c r="B38" s="31">
        <v>0.1</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21"/>
  <sheetViews>
    <sheetView workbookViewId="0">
      <selection activeCell="B17" sqref="B17"/>
    </sheetView>
  </sheetViews>
  <sheetFormatPr defaultRowHeight="12.75"/>
  <cols>
    <col min="1" max="1" width="19.140625" customWidth="1"/>
    <col min="2" max="2" width="52" bestFit="1" customWidth="1"/>
    <col min="3" max="3" width="51.7109375" bestFit="1" customWidth="1"/>
  </cols>
  <sheetData>
    <row r="1" spans="1:4" ht="13.5" thickBot="1">
      <c r="A1" s="145" t="s">
        <v>309</v>
      </c>
      <c r="B1" s="146"/>
      <c r="C1" s="147"/>
    </row>
    <row r="3" spans="1:4">
      <c r="A3" s="14" t="s">
        <v>310</v>
      </c>
      <c r="B3" s="14" t="s">
        <v>311</v>
      </c>
      <c r="C3" s="14" t="s">
        <v>71</v>
      </c>
    </row>
    <row r="4" spans="1:4">
      <c r="A4" s="41" t="s">
        <v>312</v>
      </c>
      <c r="B4" s="13" t="s">
        <v>313</v>
      </c>
      <c r="C4" s="13" t="s">
        <v>314</v>
      </c>
      <c r="D4">
        <v>0.25</v>
      </c>
    </row>
    <row r="5" spans="1:4">
      <c r="A5" s="13" t="s">
        <v>315</v>
      </c>
      <c r="B5" s="13" t="s">
        <v>316</v>
      </c>
      <c r="C5" s="13" t="s">
        <v>317</v>
      </c>
      <c r="D5">
        <v>5.0000000000000001E-3</v>
      </c>
    </row>
    <row r="6" spans="1:4">
      <c r="A6" s="41" t="s">
        <v>312</v>
      </c>
      <c r="B6" s="13" t="s">
        <v>318</v>
      </c>
      <c r="C6" s="13" t="s">
        <v>314</v>
      </c>
      <c r="D6">
        <v>0.17499999999999999</v>
      </c>
    </row>
    <row r="7" spans="1:4">
      <c r="A7" s="13" t="s">
        <v>315</v>
      </c>
      <c r="B7" s="13" t="s">
        <v>319</v>
      </c>
      <c r="C7" s="13" t="s">
        <v>317</v>
      </c>
      <c r="D7">
        <v>5.0000000000000001E-3</v>
      </c>
    </row>
    <row r="8" spans="1:4">
      <c r="A8" s="41" t="s">
        <v>312</v>
      </c>
      <c r="B8" s="13" t="s">
        <v>320</v>
      </c>
      <c r="C8" s="41" t="s">
        <v>321</v>
      </c>
      <c r="D8">
        <v>0.125</v>
      </c>
    </row>
    <row r="9" spans="1:4">
      <c r="A9" s="13" t="s">
        <v>315</v>
      </c>
      <c r="B9" s="13" t="s">
        <v>322</v>
      </c>
      <c r="C9" s="13" t="s">
        <v>323</v>
      </c>
    </row>
    <row r="10" spans="1:4">
      <c r="A10" s="13" t="s">
        <v>312</v>
      </c>
      <c r="B10" s="13" t="s">
        <v>324</v>
      </c>
      <c r="C10" s="41" t="s">
        <v>321</v>
      </c>
      <c r="D10">
        <v>0.125</v>
      </c>
    </row>
    <row r="11" spans="1:4">
      <c r="A11" s="13" t="s">
        <v>315</v>
      </c>
      <c r="B11" s="13" t="s">
        <v>325</v>
      </c>
      <c r="C11" s="13" t="s">
        <v>323</v>
      </c>
    </row>
    <row r="16" spans="1:4">
      <c r="A16" s="21" t="s">
        <v>35</v>
      </c>
      <c r="B16" s="21" t="s">
        <v>297</v>
      </c>
    </row>
    <row r="17" spans="1:2">
      <c r="A17" s="20"/>
      <c r="B17" s="20">
        <f>SUM(D4:D11)</f>
        <v>0.68500000000000005</v>
      </c>
    </row>
    <row r="21" spans="1:2">
      <c r="A21" s="13" t="s">
        <v>326</v>
      </c>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02"/>
  <sheetViews>
    <sheetView zoomScale="80" zoomScaleNormal="80" workbookViewId="0">
      <selection activeCell="I94" sqref="I94"/>
    </sheetView>
  </sheetViews>
  <sheetFormatPr defaultRowHeight="12.75"/>
  <cols>
    <col min="1" max="1" width="14.42578125" bestFit="1" customWidth="1"/>
    <col min="2" max="2" width="14.85546875" bestFit="1" customWidth="1"/>
    <col min="3" max="3" width="26" bestFit="1" customWidth="1"/>
    <col min="4" max="4" width="15.5703125" bestFit="1" customWidth="1"/>
    <col min="5" max="6" width="21.28515625" bestFit="1" customWidth="1"/>
    <col min="7" max="7" width="24.7109375" bestFit="1" customWidth="1"/>
    <col min="8" max="8" width="25.85546875" bestFit="1" customWidth="1"/>
    <col min="9" max="9" width="79" customWidth="1"/>
    <col min="10" max="10" width="43.7109375" bestFit="1" customWidth="1"/>
  </cols>
  <sheetData>
    <row r="1" spans="1:10" ht="13.5" thickBot="1">
      <c r="A1" s="145" t="s">
        <v>327</v>
      </c>
      <c r="B1" s="146"/>
      <c r="C1" s="146"/>
      <c r="D1" s="147"/>
    </row>
    <row r="3" spans="1:10">
      <c r="A3" s="14" t="s">
        <v>311</v>
      </c>
      <c r="B3" s="149" t="s">
        <v>320</v>
      </c>
      <c r="C3" s="150"/>
    </row>
    <row r="5" spans="1:10">
      <c r="A5" s="14" t="s">
        <v>328</v>
      </c>
      <c r="B5" s="14" t="s">
        <v>329</v>
      </c>
      <c r="C5" s="14" t="s">
        <v>330</v>
      </c>
      <c r="D5" s="14" t="s">
        <v>331</v>
      </c>
      <c r="E5" s="14" t="s">
        <v>332</v>
      </c>
      <c r="F5" s="14" t="s">
        <v>329</v>
      </c>
      <c r="G5" s="14" t="s">
        <v>333</v>
      </c>
      <c r="H5" s="14" t="s">
        <v>331</v>
      </c>
      <c r="I5" s="14" t="s">
        <v>334</v>
      </c>
      <c r="J5" s="14" t="s">
        <v>335</v>
      </c>
    </row>
    <row r="6" spans="1:10">
      <c r="A6" s="41" t="s">
        <v>168</v>
      </c>
      <c r="B6" s="13"/>
      <c r="C6" s="13"/>
      <c r="D6" s="13"/>
      <c r="E6" s="13"/>
      <c r="F6" s="13"/>
      <c r="G6" s="13"/>
      <c r="H6" s="13"/>
      <c r="I6" s="13" t="s">
        <v>336</v>
      </c>
      <c r="J6" s="13"/>
    </row>
    <row r="7" spans="1:10">
      <c r="A7" s="41"/>
      <c r="D7" s="13"/>
      <c r="E7" s="13"/>
      <c r="F7" s="13"/>
      <c r="H7" s="13"/>
      <c r="I7" s="88" t="s">
        <v>337</v>
      </c>
      <c r="J7" s="41" t="s">
        <v>338</v>
      </c>
    </row>
    <row r="8" spans="1:10">
      <c r="A8" s="13" t="s">
        <v>209</v>
      </c>
      <c r="B8" s="89" t="s">
        <v>209</v>
      </c>
      <c r="C8" s="89" t="s">
        <v>198</v>
      </c>
      <c r="D8" s="41" t="s">
        <v>199</v>
      </c>
      <c r="E8" s="13" t="s">
        <v>180</v>
      </c>
      <c r="F8" s="13" t="s">
        <v>180</v>
      </c>
      <c r="G8" s="89" t="s">
        <v>198</v>
      </c>
      <c r="H8" s="41" t="s">
        <v>199</v>
      </c>
      <c r="I8" s="41" t="s">
        <v>339</v>
      </c>
    </row>
    <row r="9" spans="1:10">
      <c r="A9" s="13" t="s">
        <v>209</v>
      </c>
      <c r="B9" s="89" t="s">
        <v>209</v>
      </c>
      <c r="C9" s="89" t="s">
        <v>206</v>
      </c>
      <c r="D9" s="41" t="s">
        <v>207</v>
      </c>
      <c r="E9" s="13" t="s">
        <v>180</v>
      </c>
      <c r="F9" s="13" t="s">
        <v>180</v>
      </c>
      <c r="G9" s="89" t="s">
        <v>206</v>
      </c>
      <c r="H9" s="41" t="s">
        <v>207</v>
      </c>
      <c r="I9" s="41" t="s">
        <v>339</v>
      </c>
      <c r="J9" s="41"/>
    </row>
    <row r="10" spans="1:10">
      <c r="A10" s="13" t="s">
        <v>209</v>
      </c>
      <c r="B10" s="89" t="s">
        <v>209</v>
      </c>
      <c r="C10" s="89" t="s">
        <v>211</v>
      </c>
      <c r="D10" s="41" t="s">
        <v>212</v>
      </c>
      <c r="E10" s="13" t="s">
        <v>180</v>
      </c>
      <c r="F10" s="13" t="s">
        <v>180</v>
      </c>
      <c r="G10" s="89" t="s">
        <v>211</v>
      </c>
      <c r="H10" s="41" t="s">
        <v>212</v>
      </c>
      <c r="I10" s="41" t="s">
        <v>339</v>
      </c>
      <c r="J10" s="41"/>
    </row>
    <row r="11" spans="1:10">
      <c r="A11" s="13" t="s">
        <v>209</v>
      </c>
      <c r="B11" s="89" t="s">
        <v>209</v>
      </c>
      <c r="C11" s="89" t="s">
        <v>215</v>
      </c>
      <c r="D11" s="41" t="s">
        <v>212</v>
      </c>
      <c r="E11" s="13" t="s">
        <v>180</v>
      </c>
      <c r="F11" s="13" t="s">
        <v>180</v>
      </c>
      <c r="G11" s="89" t="s">
        <v>215</v>
      </c>
      <c r="H11" s="41" t="s">
        <v>212</v>
      </c>
      <c r="I11" s="41" t="s">
        <v>339</v>
      </c>
      <c r="J11" s="41"/>
    </row>
    <row r="12" spans="1:10">
      <c r="A12" s="13" t="s">
        <v>209</v>
      </c>
      <c r="B12" s="89" t="s">
        <v>209</v>
      </c>
      <c r="C12" s="89" t="s">
        <v>218</v>
      </c>
      <c r="D12" s="41" t="s">
        <v>212</v>
      </c>
      <c r="E12" s="13" t="s">
        <v>180</v>
      </c>
      <c r="F12" s="13" t="s">
        <v>180</v>
      </c>
      <c r="G12" s="89" t="s">
        <v>218</v>
      </c>
      <c r="H12" s="41" t="s">
        <v>212</v>
      </c>
      <c r="I12" s="41" t="s">
        <v>339</v>
      </c>
      <c r="J12" s="41"/>
    </row>
    <row r="13" spans="1:10">
      <c r="A13" s="13" t="s">
        <v>209</v>
      </c>
      <c r="B13" s="89" t="s">
        <v>209</v>
      </c>
      <c r="C13" s="89" t="s">
        <v>221</v>
      </c>
      <c r="D13" s="41" t="s">
        <v>212</v>
      </c>
      <c r="E13" s="13" t="s">
        <v>180</v>
      </c>
      <c r="F13" s="13" t="s">
        <v>180</v>
      </c>
      <c r="G13" s="89" t="s">
        <v>221</v>
      </c>
      <c r="H13" s="41" t="s">
        <v>212</v>
      </c>
      <c r="I13" s="41" t="s">
        <v>339</v>
      </c>
      <c r="J13" s="41"/>
    </row>
    <row r="14" spans="1:10">
      <c r="A14" s="13" t="s">
        <v>209</v>
      </c>
      <c r="B14" s="89" t="s">
        <v>209</v>
      </c>
      <c r="C14" s="89" t="s">
        <v>224</v>
      </c>
      <c r="D14" s="41" t="s">
        <v>212</v>
      </c>
      <c r="E14" s="13" t="s">
        <v>180</v>
      </c>
      <c r="F14" s="13" t="s">
        <v>180</v>
      </c>
      <c r="G14" s="89" t="s">
        <v>224</v>
      </c>
      <c r="H14" s="41" t="s">
        <v>212</v>
      </c>
      <c r="I14" s="41" t="s">
        <v>339</v>
      </c>
      <c r="J14" s="41"/>
    </row>
    <row r="15" spans="1:10">
      <c r="A15" s="13" t="s">
        <v>209</v>
      </c>
      <c r="B15" s="89" t="s">
        <v>209</v>
      </c>
      <c r="C15" s="92" t="s">
        <v>228</v>
      </c>
      <c r="D15" s="93" t="s">
        <v>227</v>
      </c>
      <c r="E15" s="94" t="s">
        <v>180</v>
      </c>
      <c r="F15" s="94" t="s">
        <v>180</v>
      </c>
      <c r="G15" s="92" t="s">
        <v>228</v>
      </c>
      <c r="H15" s="93" t="s">
        <v>227</v>
      </c>
      <c r="I15" s="41" t="s">
        <v>339</v>
      </c>
      <c r="J15" s="93"/>
    </row>
    <row r="16" spans="1:10">
      <c r="A16" s="13" t="s">
        <v>209</v>
      </c>
      <c r="B16" s="89" t="s">
        <v>209</v>
      </c>
      <c r="C16" s="95" t="s">
        <v>234</v>
      </c>
      <c r="D16" s="41" t="s">
        <v>199</v>
      </c>
      <c r="E16" s="13" t="s">
        <v>180</v>
      </c>
      <c r="F16" s="13" t="s">
        <v>180</v>
      </c>
      <c r="G16" s="95" t="s">
        <v>234</v>
      </c>
      <c r="H16" s="41" t="s">
        <v>199</v>
      </c>
      <c r="I16" s="41" t="s">
        <v>339</v>
      </c>
      <c r="J16" s="13"/>
    </row>
    <row r="17" spans="1:10">
      <c r="A17" s="13" t="s">
        <v>209</v>
      </c>
      <c r="B17" s="89" t="s">
        <v>209</v>
      </c>
      <c r="C17" s="13" t="s">
        <v>340</v>
      </c>
      <c r="D17" s="41" t="s">
        <v>227</v>
      </c>
      <c r="E17" s="13" t="s">
        <v>180</v>
      </c>
      <c r="F17" s="13" t="s">
        <v>180</v>
      </c>
      <c r="G17" s="95" t="s">
        <v>237</v>
      </c>
      <c r="H17" s="41" t="s">
        <v>227</v>
      </c>
      <c r="I17" s="41" t="s">
        <v>339</v>
      </c>
      <c r="J17" s="13"/>
    </row>
    <row r="18" spans="1:10">
      <c r="A18" s="13" t="s">
        <v>209</v>
      </c>
      <c r="B18" s="89" t="s">
        <v>209</v>
      </c>
      <c r="C18" s="13" t="s">
        <v>340</v>
      </c>
      <c r="D18" s="41" t="s">
        <v>199</v>
      </c>
      <c r="E18" s="13" t="s">
        <v>180</v>
      </c>
      <c r="F18" s="13" t="s">
        <v>180</v>
      </c>
      <c r="G18" s="95" t="s">
        <v>242</v>
      </c>
      <c r="H18" s="41" t="s">
        <v>199</v>
      </c>
      <c r="I18" s="41" t="s">
        <v>339</v>
      </c>
      <c r="J18" s="13"/>
    </row>
    <row r="19" spans="1:10">
      <c r="A19" s="13" t="s">
        <v>209</v>
      </c>
      <c r="B19" s="89" t="s">
        <v>209</v>
      </c>
      <c r="C19" s="13" t="s">
        <v>340</v>
      </c>
      <c r="D19" s="13" t="s">
        <v>244</v>
      </c>
      <c r="E19" s="13" t="s">
        <v>180</v>
      </c>
      <c r="F19" s="13" t="s">
        <v>180</v>
      </c>
      <c r="G19" s="95" t="s">
        <v>231</v>
      </c>
      <c r="H19" s="13" t="s">
        <v>244</v>
      </c>
      <c r="I19" s="41" t="s">
        <v>339</v>
      </c>
      <c r="J19" s="13"/>
    </row>
    <row r="20" spans="1:10">
      <c r="A20" s="13" t="s">
        <v>209</v>
      </c>
      <c r="B20" s="89" t="s">
        <v>209</v>
      </c>
      <c r="C20" s="13" t="s">
        <v>340</v>
      </c>
      <c r="D20" s="41" t="s">
        <v>212</v>
      </c>
      <c r="E20" s="13" t="s">
        <v>180</v>
      </c>
      <c r="F20" s="13" t="s">
        <v>180</v>
      </c>
      <c r="G20" s="95" t="s">
        <v>247</v>
      </c>
      <c r="H20" s="41" t="s">
        <v>212</v>
      </c>
      <c r="I20" s="41" t="s">
        <v>339</v>
      </c>
      <c r="J20" s="13"/>
    </row>
    <row r="21" spans="1:10">
      <c r="A21" s="13" t="s">
        <v>209</v>
      </c>
      <c r="B21" s="89" t="s">
        <v>209</v>
      </c>
      <c r="C21" s="13" t="s">
        <v>340</v>
      </c>
      <c r="D21" s="41" t="s">
        <v>212</v>
      </c>
      <c r="E21" s="13" t="s">
        <v>180</v>
      </c>
      <c r="F21" s="13" t="s">
        <v>180</v>
      </c>
      <c r="G21" s="95" t="s">
        <v>252</v>
      </c>
      <c r="H21" s="41" t="s">
        <v>212</v>
      </c>
      <c r="I21" s="41" t="s">
        <v>339</v>
      </c>
      <c r="J21" s="13"/>
    </row>
    <row r="24" spans="1:10">
      <c r="A24" s="14" t="s">
        <v>311</v>
      </c>
      <c r="B24" s="149" t="s">
        <v>324</v>
      </c>
      <c r="C24" s="150"/>
    </row>
    <row r="26" spans="1:10">
      <c r="A26" s="14" t="s">
        <v>328</v>
      </c>
      <c r="B26" s="14" t="s">
        <v>329</v>
      </c>
      <c r="C26" s="14" t="s">
        <v>330</v>
      </c>
      <c r="D26" s="14" t="s">
        <v>331</v>
      </c>
      <c r="E26" s="14" t="s">
        <v>332</v>
      </c>
      <c r="F26" s="14" t="s">
        <v>329</v>
      </c>
      <c r="G26" s="14" t="s">
        <v>333</v>
      </c>
      <c r="H26" s="14" t="s">
        <v>331</v>
      </c>
      <c r="I26" s="14" t="s">
        <v>334</v>
      </c>
      <c r="J26" s="14" t="s">
        <v>335</v>
      </c>
    </row>
    <row r="27" spans="1:10">
      <c r="A27" s="41" t="s">
        <v>168</v>
      </c>
      <c r="B27" s="13"/>
      <c r="C27" s="13"/>
      <c r="D27" s="13"/>
      <c r="E27" s="13"/>
      <c r="F27" s="13"/>
      <c r="G27" s="13"/>
      <c r="H27" s="13"/>
      <c r="I27" s="13" t="s">
        <v>336</v>
      </c>
      <c r="J27" s="13"/>
    </row>
    <row r="28" spans="1:10">
      <c r="A28" s="41"/>
      <c r="B28" s="13"/>
      <c r="C28" s="13"/>
      <c r="D28" s="13"/>
      <c r="E28" s="13"/>
      <c r="F28" s="13"/>
      <c r="G28" s="13"/>
      <c r="H28" s="13"/>
      <c r="I28" s="41" t="s">
        <v>341</v>
      </c>
      <c r="J28" s="41"/>
    </row>
    <row r="29" spans="1:10">
      <c r="A29" s="13" t="s">
        <v>180</v>
      </c>
      <c r="B29" s="13" t="s">
        <v>180</v>
      </c>
      <c r="C29" s="96" t="s">
        <v>198</v>
      </c>
      <c r="D29" s="41" t="s">
        <v>199</v>
      </c>
      <c r="E29" s="13" t="s">
        <v>176</v>
      </c>
      <c r="F29" s="13" t="s">
        <v>176</v>
      </c>
      <c r="G29" s="96" t="s">
        <v>198</v>
      </c>
      <c r="H29" s="41" t="s">
        <v>199</v>
      </c>
      <c r="I29" s="41" t="s">
        <v>339</v>
      </c>
      <c r="J29" s="13"/>
    </row>
    <row r="30" spans="1:10">
      <c r="A30" s="13" t="s">
        <v>180</v>
      </c>
      <c r="B30" s="13" t="s">
        <v>180</v>
      </c>
      <c r="C30" s="96" t="s">
        <v>206</v>
      </c>
      <c r="D30" s="41" t="s">
        <v>207</v>
      </c>
      <c r="E30" s="13" t="s">
        <v>176</v>
      </c>
      <c r="F30" s="13" t="s">
        <v>176</v>
      </c>
      <c r="G30" s="96" t="s">
        <v>206</v>
      </c>
      <c r="H30" s="41" t="s">
        <v>207</v>
      </c>
      <c r="I30" s="41" t="s">
        <v>339</v>
      </c>
      <c r="J30" s="13"/>
    </row>
    <row r="31" spans="1:10">
      <c r="A31" s="13" t="s">
        <v>180</v>
      </c>
      <c r="B31" s="13" t="s">
        <v>180</v>
      </c>
      <c r="C31" s="96" t="s">
        <v>211</v>
      </c>
      <c r="D31" s="41" t="s">
        <v>212</v>
      </c>
      <c r="E31" s="13" t="s">
        <v>176</v>
      </c>
      <c r="F31" s="13" t="s">
        <v>176</v>
      </c>
      <c r="G31" s="96" t="s">
        <v>211</v>
      </c>
      <c r="H31" s="41" t="s">
        <v>212</v>
      </c>
      <c r="I31" s="41" t="s">
        <v>339</v>
      </c>
      <c r="J31" s="13"/>
    </row>
    <row r="32" spans="1:10">
      <c r="A32" s="13" t="s">
        <v>180</v>
      </c>
      <c r="B32" s="13" t="s">
        <v>180</v>
      </c>
      <c r="C32" s="96" t="s">
        <v>215</v>
      </c>
      <c r="D32" s="41" t="s">
        <v>212</v>
      </c>
      <c r="E32" s="13" t="s">
        <v>176</v>
      </c>
      <c r="F32" s="13" t="s">
        <v>176</v>
      </c>
      <c r="G32" s="96" t="s">
        <v>215</v>
      </c>
      <c r="H32" s="41" t="s">
        <v>212</v>
      </c>
      <c r="I32" s="41" t="s">
        <v>339</v>
      </c>
      <c r="J32" s="13"/>
    </row>
    <row r="33" spans="1:10">
      <c r="A33" s="13" t="s">
        <v>180</v>
      </c>
      <c r="B33" s="13" t="s">
        <v>180</v>
      </c>
      <c r="C33" s="96" t="s">
        <v>218</v>
      </c>
      <c r="D33" s="41" t="s">
        <v>212</v>
      </c>
      <c r="E33" s="13" t="s">
        <v>176</v>
      </c>
      <c r="F33" s="13" t="s">
        <v>176</v>
      </c>
      <c r="G33" s="96" t="s">
        <v>218</v>
      </c>
      <c r="H33" s="41" t="s">
        <v>212</v>
      </c>
      <c r="I33" s="41" t="s">
        <v>339</v>
      </c>
      <c r="J33" s="13"/>
    </row>
    <row r="34" spans="1:10">
      <c r="A34" s="13" t="s">
        <v>180</v>
      </c>
      <c r="B34" s="13" t="s">
        <v>180</v>
      </c>
      <c r="C34" s="96" t="s">
        <v>221</v>
      </c>
      <c r="D34" s="41" t="s">
        <v>212</v>
      </c>
      <c r="E34" s="13" t="s">
        <v>176</v>
      </c>
      <c r="F34" s="13" t="s">
        <v>176</v>
      </c>
      <c r="G34" s="96" t="s">
        <v>221</v>
      </c>
      <c r="H34" s="41" t="s">
        <v>212</v>
      </c>
      <c r="I34" s="41" t="s">
        <v>339</v>
      </c>
      <c r="J34" s="13"/>
    </row>
    <row r="35" spans="1:10">
      <c r="A35" s="13" t="s">
        <v>180</v>
      </c>
      <c r="B35" s="13" t="s">
        <v>180</v>
      </c>
      <c r="C35" s="96" t="s">
        <v>224</v>
      </c>
      <c r="D35" s="41" t="s">
        <v>212</v>
      </c>
      <c r="E35" s="13" t="s">
        <v>176</v>
      </c>
      <c r="F35" s="13" t="s">
        <v>176</v>
      </c>
      <c r="G35" s="96" t="s">
        <v>224</v>
      </c>
      <c r="H35" s="41" t="s">
        <v>212</v>
      </c>
      <c r="I35" s="41" t="s">
        <v>339</v>
      </c>
      <c r="J35" s="13"/>
    </row>
    <row r="36" spans="1:10">
      <c r="A36" s="13" t="s">
        <v>180</v>
      </c>
      <c r="B36" s="13" t="s">
        <v>180</v>
      </c>
      <c r="C36" s="96" t="s">
        <v>228</v>
      </c>
      <c r="D36" s="41" t="s">
        <v>227</v>
      </c>
      <c r="E36" s="13" t="s">
        <v>176</v>
      </c>
      <c r="F36" s="13" t="s">
        <v>176</v>
      </c>
      <c r="G36" s="96" t="s">
        <v>228</v>
      </c>
      <c r="H36" s="41" t="s">
        <v>227</v>
      </c>
      <c r="I36" s="41" t="s">
        <v>339</v>
      </c>
      <c r="J36" s="13"/>
    </row>
    <row r="37" spans="1:10">
      <c r="A37" s="13" t="s">
        <v>180</v>
      </c>
      <c r="B37" s="13" t="s">
        <v>180</v>
      </c>
      <c r="C37" s="95" t="s">
        <v>234</v>
      </c>
      <c r="D37" s="41" t="s">
        <v>199</v>
      </c>
      <c r="E37" s="13" t="s">
        <v>176</v>
      </c>
      <c r="F37" s="13" t="s">
        <v>176</v>
      </c>
      <c r="G37" s="95" t="s">
        <v>234</v>
      </c>
      <c r="H37" s="41" t="s">
        <v>199</v>
      </c>
      <c r="I37" s="41" t="s">
        <v>339</v>
      </c>
      <c r="J37" s="13"/>
    </row>
    <row r="40" spans="1:10">
      <c r="A40" s="14" t="s">
        <v>311</v>
      </c>
      <c r="B40" s="149" t="s">
        <v>342</v>
      </c>
      <c r="C40" s="150"/>
    </row>
    <row r="42" spans="1:10">
      <c r="A42" s="14" t="s">
        <v>328</v>
      </c>
      <c r="B42" s="14" t="s">
        <v>329</v>
      </c>
      <c r="C42" s="14" t="s">
        <v>330</v>
      </c>
      <c r="D42" s="14" t="s">
        <v>331</v>
      </c>
      <c r="E42" s="14" t="s">
        <v>332</v>
      </c>
      <c r="F42" s="14" t="s">
        <v>329</v>
      </c>
      <c r="G42" s="14" t="s">
        <v>333</v>
      </c>
      <c r="H42" s="14" t="s">
        <v>331</v>
      </c>
      <c r="I42" s="14" t="s">
        <v>334</v>
      </c>
      <c r="J42" s="14" t="s">
        <v>335</v>
      </c>
    </row>
    <row r="43" spans="1:10">
      <c r="A43" s="41" t="s">
        <v>168</v>
      </c>
      <c r="B43" s="13"/>
      <c r="C43" s="13"/>
      <c r="D43" s="13"/>
      <c r="E43" s="13"/>
      <c r="F43" s="13"/>
      <c r="G43" s="13"/>
      <c r="H43" s="13"/>
      <c r="I43" s="13" t="s">
        <v>336</v>
      </c>
      <c r="J43" s="13"/>
    </row>
    <row r="44" spans="1:10">
      <c r="A44" s="41"/>
      <c r="B44" s="13"/>
      <c r="C44" s="13"/>
      <c r="D44" s="13"/>
      <c r="E44" s="13"/>
      <c r="F44" s="13"/>
      <c r="G44" s="13"/>
      <c r="H44" s="13"/>
      <c r="I44" s="13" t="s">
        <v>343</v>
      </c>
      <c r="J44" s="13" t="s">
        <v>344</v>
      </c>
    </row>
    <row r="45" spans="1:10">
      <c r="A45" s="41"/>
      <c r="B45" s="13"/>
      <c r="C45" s="13"/>
      <c r="D45" s="13"/>
      <c r="E45" s="13"/>
      <c r="F45" s="13"/>
      <c r="G45" s="13"/>
      <c r="H45" s="13"/>
      <c r="I45" s="13" t="s">
        <v>345</v>
      </c>
      <c r="J45" s="13" t="s">
        <v>346</v>
      </c>
    </row>
    <row r="46" spans="1:10">
      <c r="A46" s="41"/>
      <c r="B46" s="13"/>
      <c r="C46" s="13"/>
      <c r="D46" s="13"/>
      <c r="E46" s="13"/>
      <c r="F46" s="13"/>
      <c r="G46" s="13"/>
      <c r="H46" s="13"/>
      <c r="I46" s="13" t="s">
        <v>347</v>
      </c>
      <c r="J46" s="13" t="s">
        <v>348</v>
      </c>
    </row>
    <row r="47" spans="1:10">
      <c r="A47" s="41"/>
      <c r="B47" s="13"/>
      <c r="C47" s="13"/>
      <c r="D47" s="13"/>
      <c r="E47" s="13"/>
      <c r="F47" s="13"/>
      <c r="G47" s="13"/>
      <c r="H47" s="13"/>
      <c r="I47" s="13" t="s">
        <v>349</v>
      </c>
      <c r="J47" s="13" t="s">
        <v>350</v>
      </c>
    </row>
    <row r="48" spans="1:10">
      <c r="A48" s="41"/>
      <c r="B48" s="13"/>
      <c r="C48" s="13"/>
      <c r="D48" s="13"/>
      <c r="E48" s="13"/>
      <c r="F48" s="13"/>
      <c r="G48" s="13"/>
      <c r="H48" s="13"/>
      <c r="I48" s="13" t="s">
        <v>349</v>
      </c>
      <c r="J48" s="13" t="s">
        <v>351</v>
      </c>
    </row>
    <row r="49" spans="1:10">
      <c r="A49" s="41"/>
      <c r="B49" s="13"/>
      <c r="C49" s="13"/>
      <c r="D49" s="13"/>
      <c r="E49" s="13"/>
      <c r="F49" s="13"/>
      <c r="G49" s="13"/>
      <c r="H49" s="13"/>
      <c r="I49" s="13" t="s">
        <v>352</v>
      </c>
      <c r="J49" s="13" t="s">
        <v>353</v>
      </c>
    </row>
    <row r="50" spans="1:10" ht="242.25">
      <c r="A50" s="41"/>
      <c r="B50" s="13"/>
      <c r="C50" s="13"/>
      <c r="D50" s="13"/>
      <c r="E50" s="13"/>
      <c r="F50" s="13"/>
      <c r="G50" s="13"/>
      <c r="H50" s="13"/>
      <c r="I50" s="22" t="s">
        <v>354</v>
      </c>
      <c r="J50" s="13" t="s">
        <v>355</v>
      </c>
    </row>
    <row r="51" spans="1:10">
      <c r="A51" s="41"/>
      <c r="B51" s="13"/>
      <c r="C51" s="13"/>
      <c r="D51" s="13"/>
      <c r="E51" s="13"/>
      <c r="F51" s="13"/>
      <c r="G51" s="13"/>
      <c r="H51" s="13"/>
      <c r="I51" s="22" t="s">
        <v>356</v>
      </c>
      <c r="J51" s="13" t="s">
        <v>355</v>
      </c>
    </row>
    <row r="52" spans="1:10">
      <c r="A52" s="41"/>
      <c r="B52" s="13"/>
      <c r="C52" s="13"/>
      <c r="D52" s="13"/>
      <c r="E52" s="13"/>
      <c r="F52" s="13"/>
      <c r="G52" s="13"/>
      <c r="H52" s="13"/>
      <c r="I52" s="13" t="s">
        <v>357</v>
      </c>
      <c r="J52" s="13" t="s">
        <v>358</v>
      </c>
    </row>
    <row r="53" spans="1:10">
      <c r="A53" s="41"/>
      <c r="B53" s="13"/>
      <c r="C53" s="13"/>
      <c r="D53" s="13"/>
      <c r="E53" s="13"/>
      <c r="F53" s="13"/>
      <c r="G53" s="13"/>
      <c r="H53" s="13"/>
      <c r="I53" s="13" t="s">
        <v>359</v>
      </c>
      <c r="J53" s="13" t="s">
        <v>360</v>
      </c>
    </row>
    <row r="54" spans="1:10">
      <c r="A54" s="41"/>
      <c r="B54" s="13"/>
      <c r="C54" s="13"/>
      <c r="D54" s="13"/>
      <c r="E54" s="13"/>
      <c r="F54" s="13"/>
      <c r="G54" s="13"/>
      <c r="H54" s="13"/>
      <c r="I54" s="13"/>
      <c r="J54" s="13"/>
    </row>
    <row r="55" spans="1:10">
      <c r="A55" s="41"/>
      <c r="B55" s="13"/>
      <c r="C55" s="13"/>
      <c r="D55" s="13"/>
      <c r="E55" s="13"/>
      <c r="F55" s="13"/>
      <c r="G55" s="13"/>
      <c r="H55" s="13"/>
      <c r="I55" s="13"/>
      <c r="J55" s="13"/>
    </row>
    <row r="56" spans="1:10">
      <c r="A56" s="41"/>
      <c r="B56" s="13"/>
      <c r="C56" s="13"/>
      <c r="D56" s="13"/>
      <c r="E56" s="13" t="s">
        <v>183</v>
      </c>
      <c r="F56" s="13" t="s">
        <v>183</v>
      </c>
      <c r="G56" s="13" t="s">
        <v>261</v>
      </c>
      <c r="H56" s="13" t="s">
        <v>262</v>
      </c>
      <c r="I56" s="13" t="s">
        <v>361</v>
      </c>
      <c r="J56" s="13"/>
    </row>
    <row r="57" spans="1:10">
      <c r="A57" s="41"/>
      <c r="B57" s="13"/>
      <c r="C57" s="13"/>
      <c r="D57" s="13"/>
      <c r="E57" s="13" t="s">
        <v>183</v>
      </c>
      <c r="F57" s="13" t="s">
        <v>183</v>
      </c>
      <c r="G57" s="13" t="s">
        <v>263</v>
      </c>
      <c r="H57" s="13" t="s">
        <v>264</v>
      </c>
      <c r="I57" s="13" t="s">
        <v>361</v>
      </c>
      <c r="J57" s="13"/>
    </row>
    <row r="58" spans="1:10">
      <c r="A58" s="41"/>
      <c r="B58" s="13"/>
      <c r="C58" s="13"/>
      <c r="D58" s="13"/>
      <c r="E58" s="13" t="s">
        <v>183</v>
      </c>
      <c r="F58" s="13" t="s">
        <v>183</v>
      </c>
      <c r="G58" s="13" t="s">
        <v>266</v>
      </c>
      <c r="H58" s="13" t="s">
        <v>262</v>
      </c>
      <c r="I58" s="13" t="s">
        <v>361</v>
      </c>
      <c r="J58" s="13"/>
    </row>
    <row r="59" spans="1:10">
      <c r="A59" s="41"/>
      <c r="B59" s="13"/>
      <c r="C59" s="13"/>
      <c r="D59" s="13"/>
      <c r="E59" s="13" t="s">
        <v>183</v>
      </c>
      <c r="F59" s="13" t="s">
        <v>183</v>
      </c>
      <c r="G59" s="13" t="s">
        <v>267</v>
      </c>
      <c r="H59" s="13" t="s">
        <v>262</v>
      </c>
      <c r="I59" s="13" t="s">
        <v>361</v>
      </c>
      <c r="J59" s="13"/>
    </row>
    <row r="60" spans="1:10">
      <c r="A60" s="41"/>
      <c r="B60" s="13"/>
      <c r="C60" s="13"/>
      <c r="D60" s="13"/>
      <c r="E60" s="13" t="s">
        <v>183</v>
      </c>
      <c r="F60" s="13" t="s">
        <v>183</v>
      </c>
      <c r="G60" s="13" t="s">
        <v>269</v>
      </c>
      <c r="H60" s="13" t="s">
        <v>270</v>
      </c>
      <c r="I60" s="13" t="s">
        <v>361</v>
      </c>
      <c r="J60" s="13"/>
    </row>
    <row r="61" spans="1:10">
      <c r="A61" s="13" t="s">
        <v>180</v>
      </c>
      <c r="B61" s="13" t="s">
        <v>180</v>
      </c>
      <c r="C61" s="96" t="s">
        <v>198</v>
      </c>
      <c r="D61" s="41" t="s">
        <v>199</v>
      </c>
      <c r="E61" s="13" t="s">
        <v>183</v>
      </c>
      <c r="F61" s="13" t="s">
        <v>183</v>
      </c>
      <c r="G61" s="96" t="s">
        <v>198</v>
      </c>
      <c r="H61" s="41" t="s">
        <v>199</v>
      </c>
      <c r="I61" s="13" t="s">
        <v>361</v>
      </c>
      <c r="J61" s="41"/>
    </row>
    <row r="62" spans="1:10">
      <c r="A62" s="13" t="s">
        <v>180</v>
      </c>
      <c r="B62" s="13" t="s">
        <v>180</v>
      </c>
      <c r="C62" s="96" t="s">
        <v>206</v>
      </c>
      <c r="D62" s="41" t="s">
        <v>207</v>
      </c>
      <c r="E62" s="13" t="s">
        <v>183</v>
      </c>
      <c r="F62" s="13" t="s">
        <v>183</v>
      </c>
      <c r="G62" s="96" t="s">
        <v>206</v>
      </c>
      <c r="H62" s="41" t="s">
        <v>207</v>
      </c>
      <c r="I62" s="13" t="s">
        <v>361</v>
      </c>
      <c r="J62" s="13"/>
    </row>
    <row r="63" spans="1:10">
      <c r="A63" s="13" t="s">
        <v>180</v>
      </c>
      <c r="B63" s="13" t="s">
        <v>180</v>
      </c>
      <c r="C63" s="96" t="s">
        <v>211</v>
      </c>
      <c r="D63" s="41" t="s">
        <v>212</v>
      </c>
      <c r="E63" s="13" t="s">
        <v>183</v>
      </c>
      <c r="F63" s="13" t="s">
        <v>183</v>
      </c>
      <c r="G63" s="96" t="s">
        <v>211</v>
      </c>
      <c r="H63" s="41" t="s">
        <v>212</v>
      </c>
      <c r="I63" s="13" t="s">
        <v>361</v>
      </c>
      <c r="J63" s="13"/>
    </row>
    <row r="64" spans="1:10">
      <c r="A64" s="13" t="s">
        <v>180</v>
      </c>
      <c r="B64" s="13" t="s">
        <v>180</v>
      </c>
      <c r="C64" s="96" t="s">
        <v>215</v>
      </c>
      <c r="D64" s="41" t="s">
        <v>212</v>
      </c>
      <c r="E64" s="13" t="s">
        <v>183</v>
      </c>
      <c r="F64" s="13" t="s">
        <v>183</v>
      </c>
      <c r="G64" s="96" t="s">
        <v>215</v>
      </c>
      <c r="H64" s="41" t="s">
        <v>212</v>
      </c>
      <c r="I64" s="13" t="s">
        <v>361</v>
      </c>
      <c r="J64" s="13"/>
    </row>
    <row r="65" spans="1:10">
      <c r="A65" s="13" t="s">
        <v>180</v>
      </c>
      <c r="B65" s="13" t="s">
        <v>180</v>
      </c>
      <c r="C65" s="96" t="s">
        <v>218</v>
      </c>
      <c r="D65" s="41" t="s">
        <v>212</v>
      </c>
      <c r="E65" s="13" t="s">
        <v>183</v>
      </c>
      <c r="F65" s="13" t="s">
        <v>183</v>
      </c>
      <c r="G65" s="96" t="s">
        <v>218</v>
      </c>
      <c r="H65" s="41" t="s">
        <v>212</v>
      </c>
      <c r="I65" s="13" t="s">
        <v>361</v>
      </c>
      <c r="J65" s="13"/>
    </row>
    <row r="66" spans="1:10">
      <c r="A66" s="13" t="s">
        <v>180</v>
      </c>
      <c r="B66" s="13" t="s">
        <v>180</v>
      </c>
      <c r="C66" s="96" t="s">
        <v>221</v>
      </c>
      <c r="D66" s="41" t="s">
        <v>212</v>
      </c>
      <c r="E66" s="13" t="s">
        <v>183</v>
      </c>
      <c r="F66" s="13" t="s">
        <v>183</v>
      </c>
      <c r="G66" s="96" t="s">
        <v>221</v>
      </c>
      <c r="H66" s="41" t="s">
        <v>212</v>
      </c>
      <c r="I66" s="13" t="s">
        <v>361</v>
      </c>
      <c r="J66" s="13"/>
    </row>
    <row r="67" spans="1:10">
      <c r="A67" s="13" t="s">
        <v>180</v>
      </c>
      <c r="B67" s="13" t="s">
        <v>180</v>
      </c>
      <c r="C67" s="96" t="s">
        <v>224</v>
      </c>
      <c r="D67" s="41" t="s">
        <v>212</v>
      </c>
      <c r="E67" s="13" t="s">
        <v>183</v>
      </c>
      <c r="F67" s="13" t="s">
        <v>183</v>
      </c>
      <c r="G67" s="96" t="s">
        <v>224</v>
      </c>
      <c r="H67" s="41" t="s">
        <v>212</v>
      </c>
      <c r="I67" s="13" t="s">
        <v>361</v>
      </c>
      <c r="J67" s="13"/>
    </row>
    <row r="68" spans="1:10">
      <c r="A68" s="13" t="s">
        <v>180</v>
      </c>
      <c r="B68" s="13" t="s">
        <v>180</v>
      </c>
      <c r="C68" s="96" t="s">
        <v>228</v>
      </c>
      <c r="D68" s="41" t="s">
        <v>227</v>
      </c>
      <c r="E68" s="13" t="s">
        <v>183</v>
      </c>
      <c r="F68" s="13" t="s">
        <v>183</v>
      </c>
      <c r="G68" s="96" t="s">
        <v>228</v>
      </c>
      <c r="H68" s="41" t="s">
        <v>227</v>
      </c>
      <c r="I68" s="13" t="s">
        <v>361</v>
      </c>
      <c r="J68" s="13"/>
    </row>
    <row r="69" spans="1:10">
      <c r="A69" s="13" t="s">
        <v>180</v>
      </c>
      <c r="B69" s="13" t="s">
        <v>180</v>
      </c>
      <c r="C69" s="95" t="s">
        <v>234</v>
      </c>
      <c r="D69" s="41" t="s">
        <v>199</v>
      </c>
      <c r="E69" s="13" t="s">
        <v>183</v>
      </c>
      <c r="F69" s="13" t="s">
        <v>183</v>
      </c>
      <c r="G69" s="95" t="s">
        <v>234</v>
      </c>
      <c r="H69" s="41" t="s">
        <v>199</v>
      </c>
      <c r="I69" s="13" t="s">
        <v>361</v>
      </c>
      <c r="J69" s="13"/>
    </row>
    <row r="70" spans="1:10">
      <c r="A70" s="13" t="s">
        <v>180</v>
      </c>
      <c r="B70" s="13" t="s">
        <v>180</v>
      </c>
      <c r="C70" s="95" t="s">
        <v>237</v>
      </c>
      <c r="D70" s="41" t="s">
        <v>227</v>
      </c>
      <c r="E70" s="13" t="s">
        <v>183</v>
      </c>
      <c r="F70" s="13" t="s">
        <v>183</v>
      </c>
      <c r="G70" s="96" t="s">
        <v>237</v>
      </c>
      <c r="H70" s="41" t="s">
        <v>227</v>
      </c>
      <c r="I70" s="13" t="s">
        <v>361</v>
      </c>
      <c r="J70" s="13"/>
    </row>
    <row r="71" spans="1:10">
      <c r="A71" s="13" t="s">
        <v>180</v>
      </c>
      <c r="B71" s="13" t="s">
        <v>180</v>
      </c>
      <c r="C71" s="95" t="s">
        <v>242</v>
      </c>
      <c r="D71" s="41" t="s">
        <v>199</v>
      </c>
      <c r="E71" s="13" t="s">
        <v>183</v>
      </c>
      <c r="F71" s="13" t="s">
        <v>183</v>
      </c>
      <c r="G71" s="95" t="s">
        <v>242</v>
      </c>
      <c r="H71" s="41" t="s">
        <v>199</v>
      </c>
      <c r="I71" s="13" t="s">
        <v>361</v>
      </c>
      <c r="J71" s="13"/>
    </row>
    <row r="72" spans="1:10">
      <c r="A72" s="13" t="s">
        <v>180</v>
      </c>
      <c r="B72" s="13" t="s">
        <v>180</v>
      </c>
      <c r="C72" s="95" t="s">
        <v>231</v>
      </c>
      <c r="D72" s="13" t="s">
        <v>244</v>
      </c>
      <c r="E72" s="13" t="s">
        <v>183</v>
      </c>
      <c r="F72" s="13" t="s">
        <v>183</v>
      </c>
      <c r="G72" s="13" t="s">
        <v>231</v>
      </c>
      <c r="H72" s="13" t="s">
        <v>244</v>
      </c>
      <c r="I72" s="13" t="s">
        <v>361</v>
      </c>
      <c r="J72" s="13"/>
    </row>
    <row r="73" spans="1:10">
      <c r="A73" s="13" t="s">
        <v>180</v>
      </c>
      <c r="B73" s="13" t="s">
        <v>180</v>
      </c>
      <c r="C73" s="95" t="s">
        <v>362</v>
      </c>
      <c r="D73" s="13" t="s">
        <v>274</v>
      </c>
      <c r="E73" s="13" t="s">
        <v>183</v>
      </c>
      <c r="F73" s="13" t="s">
        <v>183</v>
      </c>
      <c r="G73" s="13" t="s">
        <v>362</v>
      </c>
      <c r="H73" s="13" t="s">
        <v>274</v>
      </c>
      <c r="I73" s="13" t="s">
        <v>361</v>
      </c>
      <c r="J73" s="13" t="s">
        <v>363</v>
      </c>
    </row>
    <row r="74" spans="1:10">
      <c r="A74" s="13" t="s">
        <v>180</v>
      </c>
      <c r="B74" s="13" t="s">
        <v>180</v>
      </c>
      <c r="C74" s="95" t="s">
        <v>364</v>
      </c>
      <c r="D74" s="13" t="s">
        <v>274</v>
      </c>
      <c r="E74" s="13" t="s">
        <v>183</v>
      </c>
      <c r="F74" s="13" t="s">
        <v>183</v>
      </c>
      <c r="G74" s="13" t="s">
        <v>364</v>
      </c>
      <c r="H74" s="13" t="s">
        <v>274</v>
      </c>
      <c r="I74" s="13" t="s">
        <v>361</v>
      </c>
      <c r="J74" s="13" t="s">
        <v>365</v>
      </c>
    </row>
    <row r="75" spans="1:10">
      <c r="A75" s="13"/>
      <c r="B75" s="13"/>
      <c r="C75" s="13"/>
      <c r="D75" s="13"/>
      <c r="E75" s="13"/>
      <c r="F75" s="13"/>
      <c r="G75" s="13"/>
      <c r="H75" s="13"/>
      <c r="I75" s="13"/>
      <c r="J75" s="13"/>
    </row>
    <row r="76" spans="1:10">
      <c r="A76" s="41"/>
      <c r="B76" s="13"/>
      <c r="C76" s="13"/>
      <c r="D76" s="13"/>
      <c r="E76" s="13" t="s">
        <v>183</v>
      </c>
      <c r="F76" s="13" t="s">
        <v>366</v>
      </c>
      <c r="G76" s="13" t="s">
        <v>261</v>
      </c>
      <c r="H76" s="13" t="s">
        <v>262</v>
      </c>
      <c r="I76" s="13" t="s">
        <v>361</v>
      </c>
      <c r="J76" s="13"/>
    </row>
    <row r="77" spans="1:10">
      <c r="A77" s="41"/>
      <c r="B77" s="13"/>
      <c r="C77" s="13"/>
      <c r="D77" s="13"/>
      <c r="E77" s="13" t="s">
        <v>183</v>
      </c>
      <c r="F77" s="13" t="s">
        <v>366</v>
      </c>
      <c r="G77" s="13" t="s">
        <v>263</v>
      </c>
      <c r="H77" s="13" t="s">
        <v>264</v>
      </c>
      <c r="I77" s="13" t="s">
        <v>361</v>
      </c>
      <c r="J77" s="13"/>
    </row>
    <row r="78" spans="1:10">
      <c r="A78" s="41"/>
      <c r="B78" s="13"/>
      <c r="C78" s="13"/>
      <c r="D78" s="13"/>
      <c r="E78" s="13" t="s">
        <v>183</v>
      </c>
      <c r="F78" s="13" t="s">
        <v>366</v>
      </c>
      <c r="G78" s="13" t="s">
        <v>266</v>
      </c>
      <c r="H78" s="13" t="s">
        <v>262</v>
      </c>
      <c r="I78" s="13" t="s">
        <v>361</v>
      </c>
      <c r="J78" s="13"/>
    </row>
    <row r="79" spans="1:10">
      <c r="A79" s="41"/>
      <c r="B79" s="13"/>
      <c r="C79" s="13"/>
      <c r="D79" s="13"/>
      <c r="E79" s="13" t="s">
        <v>183</v>
      </c>
      <c r="F79" s="13" t="s">
        <v>366</v>
      </c>
      <c r="G79" s="13" t="s">
        <v>267</v>
      </c>
      <c r="H79" s="13" t="s">
        <v>262</v>
      </c>
      <c r="I79" s="13" t="s">
        <v>361</v>
      </c>
      <c r="J79" s="13"/>
    </row>
    <row r="80" spans="1:10">
      <c r="A80" s="41"/>
      <c r="B80" s="13"/>
      <c r="C80" s="13"/>
      <c r="D80" s="13"/>
      <c r="E80" s="13" t="s">
        <v>183</v>
      </c>
      <c r="F80" s="13" t="s">
        <v>366</v>
      </c>
      <c r="G80" s="13" t="s">
        <v>269</v>
      </c>
      <c r="H80" s="13" t="s">
        <v>270</v>
      </c>
      <c r="I80" s="13" t="s">
        <v>361</v>
      </c>
      <c r="J80" s="13"/>
    </row>
    <row r="81" spans="1:10">
      <c r="A81" s="13" t="s">
        <v>180</v>
      </c>
      <c r="B81" s="13" t="s">
        <v>180</v>
      </c>
      <c r="C81" s="96" t="s">
        <v>198</v>
      </c>
      <c r="D81" s="41" t="s">
        <v>199</v>
      </c>
      <c r="E81" s="13" t="s">
        <v>183</v>
      </c>
      <c r="F81" s="13" t="s">
        <v>366</v>
      </c>
      <c r="G81" s="96" t="s">
        <v>198</v>
      </c>
      <c r="H81" s="41" t="s">
        <v>199</v>
      </c>
      <c r="I81" s="13" t="s">
        <v>361</v>
      </c>
      <c r="J81" s="41"/>
    </row>
    <row r="82" spans="1:10">
      <c r="A82" s="13" t="s">
        <v>180</v>
      </c>
      <c r="B82" s="13" t="s">
        <v>180</v>
      </c>
      <c r="C82" s="96" t="s">
        <v>206</v>
      </c>
      <c r="D82" s="41" t="s">
        <v>207</v>
      </c>
      <c r="E82" s="13" t="s">
        <v>183</v>
      </c>
      <c r="F82" s="13" t="s">
        <v>366</v>
      </c>
      <c r="G82" s="96" t="s">
        <v>206</v>
      </c>
      <c r="H82" s="41" t="s">
        <v>207</v>
      </c>
      <c r="I82" s="13" t="s">
        <v>361</v>
      </c>
      <c r="J82" s="13"/>
    </row>
    <row r="83" spans="1:10">
      <c r="A83" s="13" t="s">
        <v>180</v>
      </c>
      <c r="B83" s="13" t="s">
        <v>180</v>
      </c>
      <c r="C83" s="96" t="s">
        <v>211</v>
      </c>
      <c r="D83" s="41" t="s">
        <v>212</v>
      </c>
      <c r="E83" s="13" t="s">
        <v>183</v>
      </c>
      <c r="F83" s="13" t="s">
        <v>366</v>
      </c>
      <c r="G83" s="96" t="s">
        <v>211</v>
      </c>
      <c r="H83" s="41" t="s">
        <v>212</v>
      </c>
      <c r="I83" s="13" t="s">
        <v>361</v>
      </c>
      <c r="J83" s="13"/>
    </row>
    <row r="84" spans="1:10">
      <c r="A84" s="13" t="s">
        <v>180</v>
      </c>
      <c r="B84" s="13" t="s">
        <v>180</v>
      </c>
      <c r="C84" s="95" t="s">
        <v>231</v>
      </c>
      <c r="D84" s="13" t="s">
        <v>244</v>
      </c>
      <c r="E84" s="13" t="s">
        <v>183</v>
      </c>
      <c r="F84" s="13" t="s">
        <v>366</v>
      </c>
      <c r="G84" s="13" t="s">
        <v>231</v>
      </c>
      <c r="H84" s="13" t="s">
        <v>244</v>
      </c>
      <c r="I84" s="13" t="s">
        <v>361</v>
      </c>
      <c r="J84" s="13"/>
    </row>
    <row r="85" spans="1:10">
      <c r="A85" s="13" t="s">
        <v>180</v>
      </c>
      <c r="B85" s="13" t="s">
        <v>180</v>
      </c>
      <c r="C85" s="95" t="s">
        <v>362</v>
      </c>
      <c r="D85" s="13" t="s">
        <v>274</v>
      </c>
      <c r="E85" s="13" t="s">
        <v>183</v>
      </c>
      <c r="F85" s="13" t="s">
        <v>366</v>
      </c>
      <c r="G85" s="13" t="s">
        <v>362</v>
      </c>
      <c r="H85" s="13" t="s">
        <v>274</v>
      </c>
      <c r="I85" s="13" t="s">
        <v>361</v>
      </c>
      <c r="J85" s="13" t="s">
        <v>363</v>
      </c>
    </row>
    <row r="86" spans="1:10">
      <c r="A86" s="13" t="s">
        <v>180</v>
      </c>
      <c r="B86" s="13" t="s">
        <v>180</v>
      </c>
      <c r="C86" s="95" t="s">
        <v>364</v>
      </c>
      <c r="D86" s="13" t="s">
        <v>274</v>
      </c>
      <c r="E86" s="13" t="s">
        <v>183</v>
      </c>
      <c r="F86" s="13" t="s">
        <v>366</v>
      </c>
      <c r="G86" s="13" t="s">
        <v>364</v>
      </c>
      <c r="H86" s="13" t="s">
        <v>274</v>
      </c>
      <c r="I86" s="13" t="s">
        <v>361</v>
      </c>
      <c r="J86" s="13" t="s">
        <v>365</v>
      </c>
    </row>
    <row r="89" spans="1:10">
      <c r="A89" s="14" t="s">
        <v>311</v>
      </c>
      <c r="B89" s="149" t="s">
        <v>342</v>
      </c>
      <c r="C89" s="150"/>
    </row>
    <row r="91" spans="1:10">
      <c r="A91" s="14" t="s">
        <v>328</v>
      </c>
      <c r="B91" s="14" t="s">
        <v>329</v>
      </c>
      <c r="C91" s="14" t="s">
        <v>330</v>
      </c>
      <c r="D91" s="14" t="s">
        <v>331</v>
      </c>
      <c r="E91" s="14" t="s">
        <v>332</v>
      </c>
      <c r="F91" s="14" t="s">
        <v>329</v>
      </c>
      <c r="G91" s="14" t="s">
        <v>333</v>
      </c>
      <c r="H91" s="14" t="s">
        <v>331</v>
      </c>
      <c r="I91" s="14" t="s">
        <v>334</v>
      </c>
      <c r="J91" s="14" t="s">
        <v>335</v>
      </c>
    </row>
    <row r="92" spans="1:10">
      <c r="A92" s="41" t="s">
        <v>168</v>
      </c>
      <c r="B92" s="13"/>
      <c r="C92" s="13"/>
      <c r="D92" s="13"/>
      <c r="E92" s="13"/>
      <c r="F92" s="13"/>
      <c r="G92" s="13"/>
      <c r="H92" s="13"/>
      <c r="I92" s="13" t="s">
        <v>336</v>
      </c>
      <c r="J92" s="13"/>
    </row>
    <row r="93" spans="1:10" ht="127.5">
      <c r="A93" s="41"/>
      <c r="B93" s="13"/>
      <c r="C93" s="13"/>
      <c r="D93" s="13"/>
      <c r="E93" s="13"/>
      <c r="F93" s="13"/>
      <c r="G93" s="13"/>
      <c r="H93" s="13"/>
      <c r="I93" s="22" t="s">
        <v>367</v>
      </c>
      <c r="J93" s="13" t="s">
        <v>368</v>
      </c>
    </row>
    <row r="94" spans="1:10" ht="216.75">
      <c r="A94" s="41"/>
      <c r="B94" s="13"/>
      <c r="C94" s="13"/>
      <c r="D94" s="13"/>
      <c r="E94" s="13"/>
      <c r="F94" s="13"/>
      <c r="G94" s="13"/>
      <c r="H94" s="13"/>
      <c r="I94" s="22" t="s">
        <v>369</v>
      </c>
      <c r="J94" s="13" t="s">
        <v>368</v>
      </c>
    </row>
    <row r="95" spans="1:10">
      <c r="A95" s="13"/>
      <c r="B95" s="13"/>
      <c r="C95" s="13"/>
      <c r="D95" s="13"/>
      <c r="E95" s="13"/>
      <c r="F95" s="13"/>
      <c r="G95" s="13"/>
      <c r="H95" s="13"/>
      <c r="I95" s="13" t="s">
        <v>370</v>
      </c>
      <c r="J95" s="13" t="s">
        <v>371</v>
      </c>
    </row>
    <row r="96" spans="1:10">
      <c r="A96" s="13"/>
      <c r="B96" s="13"/>
      <c r="C96" s="13"/>
      <c r="D96" s="13"/>
      <c r="E96" s="13"/>
      <c r="F96" s="13"/>
      <c r="G96" s="13"/>
      <c r="H96" s="13"/>
      <c r="I96" s="13" t="s">
        <v>372</v>
      </c>
      <c r="J96" s="13" t="s">
        <v>373</v>
      </c>
    </row>
    <row r="97" spans="1:10">
      <c r="A97" s="13"/>
      <c r="B97" s="13"/>
      <c r="C97" s="13"/>
      <c r="D97" s="13"/>
      <c r="E97" s="13"/>
      <c r="F97" s="13"/>
      <c r="G97" s="13"/>
      <c r="H97" s="13"/>
      <c r="I97" s="13" t="s">
        <v>374</v>
      </c>
      <c r="J97" s="13" t="s">
        <v>375</v>
      </c>
    </row>
    <row r="98" spans="1:10">
      <c r="A98" s="13" t="s">
        <v>180</v>
      </c>
      <c r="B98" s="13" t="s">
        <v>180</v>
      </c>
      <c r="C98" s="13" t="s">
        <v>263</v>
      </c>
      <c r="D98" s="41" t="s">
        <v>376</v>
      </c>
      <c r="E98" s="13" t="s">
        <v>377</v>
      </c>
      <c r="F98" s="13" t="s">
        <v>377</v>
      </c>
      <c r="G98" s="13" t="s">
        <v>277</v>
      </c>
      <c r="H98" s="41" t="s">
        <v>376</v>
      </c>
      <c r="I98" s="41" t="s">
        <v>378</v>
      </c>
      <c r="J98" s="13"/>
    </row>
    <row r="99" spans="1:10">
      <c r="A99" s="13"/>
      <c r="B99" s="13"/>
      <c r="C99" s="13"/>
      <c r="D99" s="13"/>
      <c r="E99" s="13" t="s">
        <v>377</v>
      </c>
      <c r="F99" s="13" t="s">
        <v>377</v>
      </c>
      <c r="G99" s="13" t="s">
        <v>379</v>
      </c>
      <c r="H99" s="13" t="s">
        <v>380</v>
      </c>
      <c r="I99" s="41" t="s">
        <v>378</v>
      </c>
      <c r="J99" s="13" t="s">
        <v>375</v>
      </c>
    </row>
    <row r="100" spans="1:10">
      <c r="A100" s="13"/>
      <c r="B100" s="13"/>
      <c r="C100" s="13"/>
      <c r="D100" s="41"/>
      <c r="E100" s="13" t="s">
        <v>377</v>
      </c>
      <c r="F100" s="13" t="s">
        <v>377</v>
      </c>
      <c r="G100" s="13" t="s">
        <v>381</v>
      </c>
      <c r="H100" s="41" t="s">
        <v>212</v>
      </c>
      <c r="I100" s="41" t="s">
        <v>378</v>
      </c>
      <c r="J100" s="13" t="s">
        <v>375</v>
      </c>
    </row>
    <row r="101" spans="1:10">
      <c r="A101" s="13" t="s">
        <v>370</v>
      </c>
      <c r="B101" s="13" t="s">
        <v>370</v>
      </c>
      <c r="C101" s="13" t="s">
        <v>382</v>
      </c>
      <c r="D101" s="13" t="s">
        <v>244</v>
      </c>
      <c r="E101" s="13" t="s">
        <v>377</v>
      </c>
      <c r="F101" s="13" t="s">
        <v>377</v>
      </c>
      <c r="G101" s="13" t="s">
        <v>382</v>
      </c>
      <c r="H101" s="13" t="s">
        <v>244</v>
      </c>
      <c r="I101" s="41" t="s">
        <v>378</v>
      </c>
      <c r="J101" s="13"/>
    </row>
    <row r="102" spans="1:10">
      <c r="A102" s="13" t="s">
        <v>370</v>
      </c>
      <c r="B102" s="13" t="s">
        <v>370</v>
      </c>
      <c r="C102" s="13" t="s">
        <v>383</v>
      </c>
      <c r="D102" s="41" t="s">
        <v>384</v>
      </c>
      <c r="E102" s="13" t="s">
        <v>377</v>
      </c>
      <c r="F102" s="13" t="s">
        <v>377</v>
      </c>
      <c r="G102" s="13" t="s">
        <v>383</v>
      </c>
      <c r="H102" s="41" t="s">
        <v>384</v>
      </c>
      <c r="I102" s="41" t="s">
        <v>378</v>
      </c>
      <c r="J102" s="13"/>
    </row>
  </sheetData>
  <mergeCells count="5">
    <mergeCell ref="A1:D1"/>
    <mergeCell ref="B3:C3"/>
    <mergeCell ref="B24:C24"/>
    <mergeCell ref="B40:C40"/>
    <mergeCell ref="B89:C89"/>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4"/>
  <sheetViews>
    <sheetView topLeftCell="A5" workbookViewId="0">
      <selection activeCell="C24" sqref="C24"/>
    </sheetView>
  </sheetViews>
  <sheetFormatPr defaultRowHeight="12.75"/>
  <cols>
    <col min="1" max="1" width="24.5703125" bestFit="1" customWidth="1"/>
    <col min="2" max="2" width="36" bestFit="1" customWidth="1"/>
    <col min="3" max="3" width="24.85546875" bestFit="1" customWidth="1"/>
    <col min="4" max="4" width="31.5703125" customWidth="1"/>
    <col min="5" max="5" width="25.5703125" bestFit="1" customWidth="1"/>
    <col min="6" max="6" width="48.42578125" style="23" bestFit="1" customWidth="1"/>
  </cols>
  <sheetData>
    <row r="1" spans="1:5" ht="13.5" thickBot="1">
      <c r="A1" s="145" t="s">
        <v>385</v>
      </c>
      <c r="B1" s="146"/>
      <c r="C1" s="147"/>
    </row>
    <row r="2" spans="1:5" ht="13.5" thickBot="1"/>
    <row r="3" spans="1:5" ht="13.5" thickBot="1">
      <c r="A3" s="145" t="s">
        <v>386</v>
      </c>
      <c r="B3" s="146"/>
      <c r="C3" s="147"/>
    </row>
    <row r="4" spans="1:5">
      <c r="A4" s="16" t="s">
        <v>310</v>
      </c>
      <c r="B4" s="16" t="s">
        <v>387</v>
      </c>
      <c r="C4" s="16" t="s">
        <v>71</v>
      </c>
    </row>
    <row r="5" spans="1:5">
      <c r="A5" s="41" t="s">
        <v>312</v>
      </c>
      <c r="B5" s="41" t="s">
        <v>388</v>
      </c>
      <c r="C5" s="41" t="s">
        <v>389</v>
      </c>
    </row>
    <row r="6" spans="1:5">
      <c r="A6" s="41" t="s">
        <v>312</v>
      </c>
      <c r="B6" s="41" t="s">
        <v>390</v>
      </c>
      <c r="C6" s="41" t="s">
        <v>389</v>
      </c>
    </row>
    <row r="7" spans="1:5">
      <c r="A7" s="41" t="s">
        <v>312</v>
      </c>
      <c r="B7" s="41" t="s">
        <v>391</v>
      </c>
      <c r="C7" s="41" t="s">
        <v>389</v>
      </c>
    </row>
    <row r="8" spans="1:5">
      <c r="A8" s="41" t="s">
        <v>312</v>
      </c>
      <c r="B8" s="41" t="s">
        <v>320</v>
      </c>
      <c r="C8" s="41" t="s">
        <v>389</v>
      </c>
    </row>
    <row r="9" spans="1:5">
      <c r="A9" s="41" t="s">
        <v>312</v>
      </c>
      <c r="B9" s="41" t="s">
        <v>392</v>
      </c>
      <c r="C9" s="41" t="s">
        <v>393</v>
      </c>
    </row>
    <row r="10" spans="1:5">
      <c r="A10" s="41" t="s">
        <v>394</v>
      </c>
      <c r="B10" s="41" t="s">
        <v>395</v>
      </c>
      <c r="C10" s="41" t="s">
        <v>389</v>
      </c>
    </row>
    <row r="11" spans="1:5">
      <c r="A11" s="41" t="s">
        <v>315</v>
      </c>
      <c r="B11" s="41" t="s">
        <v>396</v>
      </c>
      <c r="C11" s="41" t="s">
        <v>389</v>
      </c>
    </row>
    <row r="12" spans="1:5">
      <c r="A12" s="41" t="s">
        <v>315</v>
      </c>
      <c r="B12" s="41" t="s">
        <v>397</v>
      </c>
      <c r="C12" s="41" t="s">
        <v>389</v>
      </c>
    </row>
    <row r="14" spans="1:5" ht="13.5" thickBot="1"/>
    <row r="15" spans="1:5" ht="13.5" thickBot="1">
      <c r="A15" s="145" t="s">
        <v>398</v>
      </c>
      <c r="B15" s="146"/>
      <c r="C15" s="147"/>
    </row>
    <row r="16" spans="1:5">
      <c r="A16" s="16" t="s">
        <v>310</v>
      </c>
      <c r="B16" s="16" t="s">
        <v>387</v>
      </c>
      <c r="C16" s="16" t="s">
        <v>399</v>
      </c>
      <c r="D16" s="14" t="s">
        <v>23</v>
      </c>
      <c r="E16" s="15"/>
    </row>
    <row r="17" spans="1:4" ht="51">
      <c r="A17" s="13" t="s">
        <v>312</v>
      </c>
      <c r="B17" s="22" t="s">
        <v>400</v>
      </c>
      <c r="C17" s="13" t="s">
        <v>401</v>
      </c>
      <c r="D17" s="13" t="s">
        <v>389</v>
      </c>
    </row>
    <row r="18" spans="1:4">
      <c r="A18" s="13" t="s">
        <v>394</v>
      </c>
      <c r="B18" s="13" t="s">
        <v>395</v>
      </c>
      <c r="C18" s="13" t="s">
        <v>402</v>
      </c>
      <c r="D18" s="13" t="s">
        <v>389</v>
      </c>
    </row>
    <row r="19" spans="1:4">
      <c r="A19" s="13" t="s">
        <v>315</v>
      </c>
      <c r="B19" s="13" t="s">
        <v>396</v>
      </c>
      <c r="C19" s="13" t="s">
        <v>403</v>
      </c>
      <c r="D19" s="13" t="s">
        <v>389</v>
      </c>
    </row>
    <row r="20" spans="1:4">
      <c r="A20" s="13" t="s">
        <v>315</v>
      </c>
      <c r="B20" s="13" t="s">
        <v>397</v>
      </c>
      <c r="C20" s="13" t="s">
        <v>404</v>
      </c>
      <c r="D20" s="13" t="s">
        <v>389</v>
      </c>
    </row>
    <row r="23" spans="1:4">
      <c r="A23" s="21" t="s">
        <v>35</v>
      </c>
      <c r="B23" s="21" t="s">
        <v>297</v>
      </c>
    </row>
    <row r="24" spans="1:4">
      <c r="A24" s="20"/>
      <c r="B24" s="20">
        <v>0</v>
      </c>
    </row>
  </sheetData>
  <mergeCells count="3">
    <mergeCell ref="A1:C1"/>
    <mergeCell ref="A15:C15"/>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22"/>
  <sheetViews>
    <sheetView topLeftCell="C1" workbookViewId="0">
      <selection activeCell="D16" sqref="D16"/>
    </sheetView>
  </sheetViews>
  <sheetFormatPr defaultRowHeight="12.75"/>
  <cols>
    <col min="1" max="1" width="12.140625" bestFit="1" customWidth="1"/>
    <col min="2" max="2" width="36" bestFit="1" customWidth="1"/>
    <col min="3" max="3" width="33.42578125" bestFit="1" customWidth="1"/>
    <col min="4" max="4" width="42.42578125" bestFit="1" customWidth="1"/>
    <col min="5" max="5" width="51.28515625"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4" ht="13.5" thickBot="1">
      <c r="A1" s="145" t="s">
        <v>405</v>
      </c>
      <c r="B1" s="146"/>
      <c r="C1" s="147"/>
    </row>
    <row r="2" spans="1:24">
      <c r="F2" s="154" t="s">
        <v>406</v>
      </c>
      <c r="G2" s="154"/>
      <c r="H2" s="154"/>
      <c r="I2" s="151" t="s">
        <v>407</v>
      </c>
      <c r="J2" s="152"/>
      <c r="K2" s="152"/>
      <c r="L2" s="151" t="s">
        <v>408</v>
      </c>
      <c r="M2" s="152"/>
      <c r="N2" s="152"/>
      <c r="O2" s="152"/>
      <c r="P2" s="152"/>
      <c r="Q2" s="153"/>
      <c r="R2" s="151" t="s">
        <v>409</v>
      </c>
      <c r="S2" s="152"/>
      <c r="T2" s="152"/>
      <c r="U2" s="153"/>
      <c r="V2" s="151" t="s">
        <v>410</v>
      </c>
      <c r="W2" s="153"/>
    </row>
    <row r="3" spans="1:24" s="46" customFormat="1" ht="34.5">
      <c r="A3" s="42" t="s">
        <v>310</v>
      </c>
      <c r="B3" s="42" t="s">
        <v>387</v>
      </c>
      <c r="C3" s="42" t="s">
        <v>399</v>
      </c>
      <c r="D3" s="42" t="s">
        <v>411</v>
      </c>
      <c r="E3" s="42" t="s">
        <v>123</v>
      </c>
      <c r="F3" s="43" t="s">
        <v>412</v>
      </c>
      <c r="G3" s="43" t="s">
        <v>413</v>
      </c>
      <c r="H3" s="42" t="s">
        <v>414</v>
      </c>
      <c r="I3" s="43" t="s">
        <v>415</v>
      </c>
      <c r="J3" s="43" t="s">
        <v>416</v>
      </c>
      <c r="K3" s="43" t="s">
        <v>417</v>
      </c>
      <c r="L3" s="47" t="s">
        <v>418</v>
      </c>
      <c r="M3" s="47" t="s">
        <v>419</v>
      </c>
      <c r="N3" s="43" t="s">
        <v>420</v>
      </c>
      <c r="O3" s="43" t="s">
        <v>421</v>
      </c>
      <c r="P3" s="43" t="s">
        <v>422</v>
      </c>
      <c r="Q3" s="43" t="s">
        <v>423</v>
      </c>
      <c r="R3" s="44" t="s">
        <v>418</v>
      </c>
      <c r="S3" s="44" t="s">
        <v>419</v>
      </c>
      <c r="T3" s="44" t="s">
        <v>424</v>
      </c>
      <c r="U3" s="45" t="s">
        <v>425</v>
      </c>
      <c r="V3" s="45" t="s">
        <v>426</v>
      </c>
      <c r="W3" s="45" t="s">
        <v>427</v>
      </c>
      <c r="X3" s="43" t="s">
        <v>23</v>
      </c>
    </row>
    <row r="4" spans="1:24" ht="51">
      <c r="A4" s="13" t="s">
        <v>312</v>
      </c>
      <c r="B4" s="22" t="s">
        <v>428</v>
      </c>
      <c r="C4" s="13" t="s">
        <v>401</v>
      </c>
      <c r="D4" s="13" t="s">
        <v>429</v>
      </c>
      <c r="E4" s="13" t="s">
        <v>324</v>
      </c>
      <c r="F4" s="13" t="s">
        <v>294</v>
      </c>
      <c r="G4" s="13" t="s">
        <v>294</v>
      </c>
      <c r="H4" s="13" t="s">
        <v>294</v>
      </c>
      <c r="I4" s="13" t="s">
        <v>294</v>
      </c>
      <c r="J4" s="13" t="s">
        <v>430</v>
      </c>
      <c r="K4" s="13" t="s">
        <v>431</v>
      </c>
      <c r="L4" s="13" t="s">
        <v>294</v>
      </c>
      <c r="M4" s="13" t="s">
        <v>294</v>
      </c>
      <c r="N4" s="13" t="s">
        <v>294</v>
      </c>
      <c r="O4" s="13" t="s">
        <v>294</v>
      </c>
      <c r="P4" s="13" t="s">
        <v>294</v>
      </c>
      <c r="Q4" s="13" t="s">
        <v>294</v>
      </c>
      <c r="R4" s="13" t="s">
        <v>294</v>
      </c>
      <c r="S4" s="13" t="s">
        <v>294</v>
      </c>
      <c r="T4" s="13" t="s">
        <v>294</v>
      </c>
      <c r="U4" s="13" t="s">
        <v>294</v>
      </c>
      <c r="V4" s="13" t="s">
        <v>294</v>
      </c>
      <c r="W4" s="13" t="s">
        <v>294</v>
      </c>
      <c r="X4" s="22" t="s">
        <v>432</v>
      </c>
    </row>
    <row r="5" spans="1:24" ht="51">
      <c r="A5" s="13" t="s">
        <v>312</v>
      </c>
      <c r="B5" s="22" t="s">
        <v>428</v>
      </c>
      <c r="C5" s="13" t="s">
        <v>401</v>
      </c>
      <c r="D5" s="13" t="s">
        <v>433</v>
      </c>
      <c r="E5" s="13" t="s">
        <v>313</v>
      </c>
      <c r="F5" s="13" t="s">
        <v>431</v>
      </c>
      <c r="G5" s="13" t="s">
        <v>431</v>
      </c>
      <c r="H5" s="13" t="s">
        <v>434</v>
      </c>
      <c r="I5" s="13" t="s">
        <v>294</v>
      </c>
      <c r="J5" s="13" t="s">
        <v>430</v>
      </c>
      <c r="K5" s="13" t="s">
        <v>431</v>
      </c>
      <c r="L5" s="13" t="s">
        <v>294</v>
      </c>
      <c r="M5" s="13" t="s">
        <v>294</v>
      </c>
      <c r="N5" s="13" t="s">
        <v>294</v>
      </c>
      <c r="O5" s="13" t="s">
        <v>294</v>
      </c>
      <c r="P5" s="13" t="s">
        <v>294</v>
      </c>
      <c r="Q5" s="13" t="s">
        <v>294</v>
      </c>
      <c r="R5" s="13" t="s">
        <v>294</v>
      </c>
      <c r="S5" s="13" t="s">
        <v>294</v>
      </c>
      <c r="T5" s="13" t="s">
        <v>294</v>
      </c>
      <c r="U5" s="13" t="s">
        <v>294</v>
      </c>
      <c r="V5" s="13" t="s">
        <v>294</v>
      </c>
      <c r="W5" s="13" t="s">
        <v>294</v>
      </c>
      <c r="X5" s="22" t="s">
        <v>435</v>
      </c>
    </row>
    <row r="6" spans="1:24" ht="51">
      <c r="A6" s="13" t="s">
        <v>312</v>
      </c>
      <c r="B6" s="22" t="s">
        <v>428</v>
      </c>
      <c r="C6" s="13" t="s">
        <v>401</v>
      </c>
      <c r="D6" s="13" t="s">
        <v>436</v>
      </c>
      <c r="E6" s="13" t="s">
        <v>318</v>
      </c>
      <c r="F6" s="13" t="s">
        <v>431</v>
      </c>
      <c r="G6" s="13" t="s">
        <v>431</v>
      </c>
      <c r="H6" s="13" t="s">
        <v>434</v>
      </c>
      <c r="I6" s="13" t="s">
        <v>294</v>
      </c>
      <c r="J6" s="13" t="s">
        <v>430</v>
      </c>
      <c r="K6" s="13" t="s">
        <v>431</v>
      </c>
      <c r="L6" s="13" t="s">
        <v>294</v>
      </c>
      <c r="M6" s="13" t="s">
        <v>294</v>
      </c>
      <c r="N6" s="13" t="s">
        <v>294</v>
      </c>
      <c r="O6" s="13" t="s">
        <v>294</v>
      </c>
      <c r="P6" s="13" t="s">
        <v>294</v>
      </c>
      <c r="Q6" s="13" t="s">
        <v>294</v>
      </c>
      <c r="R6" s="13" t="s">
        <v>294</v>
      </c>
      <c r="S6" s="13" t="s">
        <v>294</v>
      </c>
      <c r="T6" s="13" t="s">
        <v>294</v>
      </c>
      <c r="U6" s="13" t="s">
        <v>294</v>
      </c>
      <c r="V6" s="13" t="s">
        <v>294</v>
      </c>
      <c r="W6" s="13" t="s">
        <v>294</v>
      </c>
      <c r="X6" s="22" t="s">
        <v>435</v>
      </c>
    </row>
    <row r="7" spans="1:24" ht="51">
      <c r="A7" s="13" t="s">
        <v>312</v>
      </c>
      <c r="B7" s="22" t="s">
        <v>428</v>
      </c>
      <c r="C7" s="13" t="s">
        <v>401</v>
      </c>
      <c r="D7" s="13" t="s">
        <v>437</v>
      </c>
      <c r="E7" s="13" t="s">
        <v>438</v>
      </c>
      <c r="F7" s="13" t="s">
        <v>294</v>
      </c>
      <c r="G7" s="13" t="s">
        <v>294</v>
      </c>
      <c r="H7" s="13" t="s">
        <v>294</v>
      </c>
      <c r="I7" s="13" t="s">
        <v>294</v>
      </c>
      <c r="J7" s="13" t="s">
        <v>430</v>
      </c>
      <c r="K7" s="13" t="s">
        <v>431</v>
      </c>
      <c r="L7" s="13" t="s">
        <v>294</v>
      </c>
      <c r="M7" s="13" t="s">
        <v>294</v>
      </c>
      <c r="N7" s="13" t="s">
        <v>294</v>
      </c>
      <c r="O7" s="13" t="s">
        <v>294</v>
      </c>
      <c r="P7" s="13" t="s">
        <v>294</v>
      </c>
      <c r="Q7" s="13" t="s">
        <v>294</v>
      </c>
      <c r="R7" s="13" t="s">
        <v>294</v>
      </c>
      <c r="S7" s="13" t="s">
        <v>294</v>
      </c>
      <c r="T7" s="13" t="s">
        <v>294</v>
      </c>
      <c r="U7" s="13" t="s">
        <v>294</v>
      </c>
      <c r="V7" s="13" t="s">
        <v>439</v>
      </c>
      <c r="W7" s="13" t="s">
        <v>440</v>
      </c>
      <c r="X7" s="22" t="s">
        <v>441</v>
      </c>
    </row>
    <row r="8" spans="1:24">
      <c r="A8" s="13" t="s">
        <v>312</v>
      </c>
      <c r="B8" s="13" t="s">
        <v>320</v>
      </c>
      <c r="C8" s="13"/>
      <c r="D8" s="13" t="s">
        <v>442</v>
      </c>
      <c r="E8" s="13" t="s">
        <v>320</v>
      </c>
      <c r="F8" s="13" t="s">
        <v>294</v>
      </c>
      <c r="G8" s="13" t="s">
        <v>294</v>
      </c>
      <c r="H8" s="13" t="s">
        <v>294</v>
      </c>
      <c r="I8" s="13" t="s">
        <v>294</v>
      </c>
      <c r="J8" s="13" t="s">
        <v>430</v>
      </c>
      <c r="K8" s="13" t="s">
        <v>431</v>
      </c>
      <c r="L8" s="13" t="s">
        <v>294</v>
      </c>
      <c r="M8" s="13" t="s">
        <v>294</v>
      </c>
      <c r="N8" s="13" t="s">
        <v>294</v>
      </c>
      <c r="O8" s="13" t="s">
        <v>294</v>
      </c>
      <c r="P8" s="13" t="s">
        <v>294</v>
      </c>
      <c r="Q8" s="13" t="s">
        <v>294</v>
      </c>
      <c r="R8" s="13" t="s">
        <v>294</v>
      </c>
      <c r="S8" s="13" t="s">
        <v>294</v>
      </c>
      <c r="T8" s="13" t="s">
        <v>294</v>
      </c>
      <c r="U8" s="13" t="s">
        <v>294</v>
      </c>
      <c r="V8" s="13" t="s">
        <v>294</v>
      </c>
      <c r="W8" s="13" t="s">
        <v>294</v>
      </c>
      <c r="X8" s="22" t="s">
        <v>432</v>
      </c>
    </row>
    <row r="9" spans="1:24">
      <c r="A9" s="13" t="s">
        <v>394</v>
      </c>
      <c r="B9" s="13" t="s">
        <v>395</v>
      </c>
      <c r="C9" s="13" t="s">
        <v>402</v>
      </c>
      <c r="D9" s="13" t="s">
        <v>442</v>
      </c>
      <c r="E9" s="13" t="s">
        <v>320</v>
      </c>
      <c r="F9" s="13" t="s">
        <v>294</v>
      </c>
      <c r="G9" s="13" t="s">
        <v>294</v>
      </c>
      <c r="H9" s="13" t="s">
        <v>294</v>
      </c>
      <c r="I9" s="13" t="s">
        <v>294</v>
      </c>
      <c r="J9" s="13" t="s">
        <v>430</v>
      </c>
      <c r="K9" s="13" t="s">
        <v>431</v>
      </c>
      <c r="L9" s="13" t="s">
        <v>294</v>
      </c>
      <c r="M9" s="13" t="s">
        <v>294</v>
      </c>
      <c r="N9" s="13" t="s">
        <v>294</v>
      </c>
      <c r="O9" s="13" t="s">
        <v>294</v>
      </c>
      <c r="P9" s="13" t="s">
        <v>294</v>
      </c>
      <c r="Q9" s="13" t="s">
        <v>294</v>
      </c>
      <c r="R9" s="13" t="s">
        <v>294</v>
      </c>
      <c r="S9" s="13" t="s">
        <v>294</v>
      </c>
      <c r="T9" s="13" t="s">
        <v>294</v>
      </c>
      <c r="U9" s="13" t="s">
        <v>294</v>
      </c>
      <c r="V9" s="13" t="s">
        <v>294</v>
      </c>
      <c r="W9" s="13" t="s">
        <v>294</v>
      </c>
      <c r="X9" s="22" t="s">
        <v>432</v>
      </c>
    </row>
    <row r="10" spans="1:24">
      <c r="A10" s="13" t="s">
        <v>394</v>
      </c>
      <c r="B10" s="13" t="s">
        <v>395</v>
      </c>
      <c r="C10" s="13" t="s">
        <v>402</v>
      </c>
      <c r="D10" s="13" t="s">
        <v>429</v>
      </c>
      <c r="E10" s="13" t="s">
        <v>324</v>
      </c>
      <c r="F10" s="13" t="s">
        <v>294</v>
      </c>
      <c r="G10" s="13" t="s">
        <v>294</v>
      </c>
      <c r="H10" s="13" t="s">
        <v>294</v>
      </c>
      <c r="I10" s="13" t="s">
        <v>294</v>
      </c>
      <c r="J10" s="13" t="s">
        <v>430</v>
      </c>
      <c r="K10" s="13" t="s">
        <v>431</v>
      </c>
      <c r="L10" s="13" t="s">
        <v>294</v>
      </c>
      <c r="M10" s="13" t="s">
        <v>294</v>
      </c>
      <c r="N10" s="13" t="s">
        <v>294</v>
      </c>
      <c r="O10" s="13" t="s">
        <v>294</v>
      </c>
      <c r="P10" s="13" t="s">
        <v>294</v>
      </c>
      <c r="Q10" s="13" t="s">
        <v>294</v>
      </c>
      <c r="R10" s="13" t="s">
        <v>294</v>
      </c>
      <c r="S10" s="13" t="s">
        <v>294</v>
      </c>
      <c r="T10" s="13" t="s">
        <v>294</v>
      </c>
      <c r="U10" s="13" t="s">
        <v>294</v>
      </c>
      <c r="V10" s="13" t="s">
        <v>294</v>
      </c>
      <c r="W10" s="13" t="s">
        <v>294</v>
      </c>
      <c r="X10" s="22" t="s">
        <v>432</v>
      </c>
    </row>
    <row r="11" spans="1:24">
      <c r="A11" s="13"/>
      <c r="B11" s="13"/>
      <c r="C11" s="13"/>
      <c r="D11" s="13"/>
      <c r="E11" s="13"/>
      <c r="F11" s="13"/>
      <c r="G11" s="13"/>
      <c r="H11" s="13"/>
      <c r="I11" s="13"/>
      <c r="J11" s="13"/>
      <c r="K11" s="13"/>
      <c r="L11" s="13"/>
      <c r="M11" s="13"/>
      <c r="N11" s="13"/>
      <c r="O11" s="13"/>
      <c r="P11" s="13"/>
      <c r="Q11" s="13"/>
      <c r="R11" s="13"/>
      <c r="S11" s="13"/>
      <c r="T11" s="13"/>
      <c r="U11" s="13"/>
      <c r="V11" s="13"/>
      <c r="W11" s="13"/>
      <c r="X11" s="22"/>
    </row>
    <row r="12" spans="1:24">
      <c r="A12" s="13" t="s">
        <v>315</v>
      </c>
      <c r="B12" s="13" t="s">
        <v>396</v>
      </c>
      <c r="C12" s="13" t="s">
        <v>403</v>
      </c>
      <c r="D12" s="13" t="s">
        <v>442</v>
      </c>
      <c r="E12" s="13" t="s">
        <v>322</v>
      </c>
      <c r="F12" s="13" t="s">
        <v>294</v>
      </c>
      <c r="G12" s="13" t="s">
        <v>294</v>
      </c>
      <c r="H12" s="13" t="s">
        <v>294</v>
      </c>
      <c r="I12" s="13" t="s">
        <v>294</v>
      </c>
      <c r="J12" s="13" t="s">
        <v>430</v>
      </c>
      <c r="K12" s="13" t="s">
        <v>431</v>
      </c>
      <c r="L12" s="13" t="s">
        <v>294</v>
      </c>
      <c r="M12" s="13" t="s">
        <v>294</v>
      </c>
      <c r="N12" s="13" t="s">
        <v>294</v>
      </c>
      <c r="O12" s="13" t="s">
        <v>294</v>
      </c>
      <c r="P12" s="13" t="s">
        <v>294</v>
      </c>
      <c r="Q12" s="13" t="s">
        <v>294</v>
      </c>
      <c r="R12" s="13" t="s">
        <v>294</v>
      </c>
      <c r="S12" s="13" t="s">
        <v>294</v>
      </c>
      <c r="T12" s="13" t="s">
        <v>294</v>
      </c>
      <c r="U12" s="13" t="s">
        <v>294</v>
      </c>
      <c r="V12" s="13" t="s">
        <v>294</v>
      </c>
      <c r="W12" s="13" t="s">
        <v>294</v>
      </c>
      <c r="X12" s="22" t="s">
        <v>432</v>
      </c>
    </row>
    <row r="13" spans="1:24">
      <c r="A13" s="13" t="s">
        <v>315</v>
      </c>
      <c r="B13" s="13" t="s">
        <v>396</v>
      </c>
      <c r="C13" s="13" t="s">
        <v>403</v>
      </c>
      <c r="D13" s="13" t="s">
        <v>429</v>
      </c>
      <c r="E13" s="13" t="s">
        <v>325</v>
      </c>
      <c r="F13" s="13" t="s">
        <v>294</v>
      </c>
      <c r="G13" s="13" t="s">
        <v>294</v>
      </c>
      <c r="H13" s="13" t="s">
        <v>294</v>
      </c>
      <c r="I13" s="13" t="s">
        <v>294</v>
      </c>
      <c r="J13" s="13" t="s">
        <v>430</v>
      </c>
      <c r="K13" s="13" t="s">
        <v>431</v>
      </c>
      <c r="L13" s="13" t="s">
        <v>294</v>
      </c>
      <c r="M13" s="13" t="s">
        <v>294</v>
      </c>
      <c r="N13" s="13" t="s">
        <v>294</v>
      </c>
      <c r="O13" s="13" t="s">
        <v>294</v>
      </c>
      <c r="P13" s="13" t="s">
        <v>294</v>
      </c>
      <c r="Q13" s="13" t="s">
        <v>294</v>
      </c>
      <c r="R13" s="13" t="s">
        <v>294</v>
      </c>
      <c r="S13" s="13" t="s">
        <v>294</v>
      </c>
      <c r="T13" s="13" t="s">
        <v>294</v>
      </c>
      <c r="U13" s="13" t="s">
        <v>294</v>
      </c>
      <c r="V13" s="13" t="s">
        <v>294</v>
      </c>
      <c r="W13" s="13" t="s">
        <v>294</v>
      </c>
      <c r="X13" s="22" t="s">
        <v>432</v>
      </c>
    </row>
    <row r="14" spans="1:24" ht="51">
      <c r="A14" s="13" t="s">
        <v>312</v>
      </c>
      <c r="B14" s="22" t="s">
        <v>428</v>
      </c>
      <c r="C14" s="13" t="s">
        <v>401</v>
      </c>
      <c r="D14" s="13" t="s">
        <v>433</v>
      </c>
      <c r="E14" s="13" t="s">
        <v>313</v>
      </c>
      <c r="F14" s="13" t="s">
        <v>431</v>
      </c>
      <c r="G14" s="13" t="s">
        <v>431</v>
      </c>
      <c r="H14" s="13" t="s">
        <v>434</v>
      </c>
      <c r="I14" s="13" t="s">
        <v>294</v>
      </c>
      <c r="J14" s="13" t="s">
        <v>430</v>
      </c>
      <c r="K14" s="13" t="s">
        <v>431</v>
      </c>
      <c r="L14" s="13" t="s">
        <v>294</v>
      </c>
      <c r="M14" s="13" t="s">
        <v>294</v>
      </c>
      <c r="N14" s="13" t="s">
        <v>294</v>
      </c>
      <c r="O14" s="13" t="s">
        <v>294</v>
      </c>
      <c r="P14" s="13" t="s">
        <v>294</v>
      </c>
      <c r="Q14" s="13" t="s">
        <v>294</v>
      </c>
      <c r="R14" s="13" t="s">
        <v>294</v>
      </c>
      <c r="S14" s="13" t="s">
        <v>294</v>
      </c>
      <c r="T14" s="13" t="s">
        <v>294</v>
      </c>
      <c r="U14" s="13" t="s">
        <v>294</v>
      </c>
      <c r="V14" s="13" t="s">
        <v>294</v>
      </c>
      <c r="W14" s="13" t="s">
        <v>294</v>
      </c>
      <c r="X14" s="22" t="s">
        <v>435</v>
      </c>
    </row>
    <row r="15" spans="1:24" ht="51">
      <c r="A15" s="13" t="s">
        <v>312</v>
      </c>
      <c r="B15" s="22" t="s">
        <v>428</v>
      </c>
      <c r="C15" s="13" t="s">
        <v>401</v>
      </c>
      <c r="D15" s="13" t="s">
        <v>436</v>
      </c>
      <c r="E15" s="13" t="s">
        <v>318</v>
      </c>
      <c r="F15" s="13" t="s">
        <v>431</v>
      </c>
      <c r="G15" s="13" t="s">
        <v>431</v>
      </c>
      <c r="H15" s="13" t="s">
        <v>434</v>
      </c>
      <c r="I15" s="13" t="s">
        <v>294</v>
      </c>
      <c r="J15" s="13" t="s">
        <v>430</v>
      </c>
      <c r="K15" s="13" t="s">
        <v>431</v>
      </c>
      <c r="L15" s="13" t="s">
        <v>294</v>
      </c>
      <c r="M15" s="13" t="s">
        <v>294</v>
      </c>
      <c r="N15" s="13" t="s">
        <v>294</v>
      </c>
      <c r="O15" s="13" t="s">
        <v>294</v>
      </c>
      <c r="P15" s="13" t="s">
        <v>294</v>
      </c>
      <c r="Q15" s="13" t="s">
        <v>294</v>
      </c>
      <c r="R15" s="13" t="s">
        <v>294</v>
      </c>
      <c r="S15" s="13" t="s">
        <v>294</v>
      </c>
      <c r="T15" s="13" t="s">
        <v>294</v>
      </c>
      <c r="U15" s="13" t="s">
        <v>294</v>
      </c>
      <c r="V15" s="13" t="s">
        <v>294</v>
      </c>
      <c r="W15" s="13" t="s">
        <v>294</v>
      </c>
      <c r="X15" s="22" t="s">
        <v>435</v>
      </c>
    </row>
    <row r="16" spans="1:24" ht="51">
      <c r="A16" s="13" t="s">
        <v>312</v>
      </c>
      <c r="B16" s="22" t="s">
        <v>428</v>
      </c>
      <c r="C16" s="13" t="s">
        <v>401</v>
      </c>
      <c r="D16" s="13" t="s">
        <v>437</v>
      </c>
      <c r="E16" s="13" t="s">
        <v>438</v>
      </c>
      <c r="F16" s="13" t="s">
        <v>431</v>
      </c>
      <c r="G16" s="13" t="s">
        <v>431</v>
      </c>
      <c r="H16" s="13" t="s">
        <v>434</v>
      </c>
      <c r="I16" s="13" t="s">
        <v>294</v>
      </c>
      <c r="J16" s="13" t="s">
        <v>430</v>
      </c>
      <c r="K16" s="13" t="s">
        <v>431</v>
      </c>
      <c r="L16" s="13" t="s">
        <v>294</v>
      </c>
      <c r="M16" s="13" t="s">
        <v>294</v>
      </c>
      <c r="N16" s="13" t="s">
        <v>294</v>
      </c>
      <c r="O16" s="13" t="s">
        <v>294</v>
      </c>
      <c r="P16" s="13" t="s">
        <v>294</v>
      </c>
      <c r="Q16" s="13" t="s">
        <v>294</v>
      </c>
      <c r="R16" s="13" t="s">
        <v>294</v>
      </c>
      <c r="S16" s="13" t="s">
        <v>294</v>
      </c>
      <c r="T16" s="13" t="s">
        <v>294</v>
      </c>
      <c r="U16" s="13" t="s">
        <v>294</v>
      </c>
      <c r="V16" s="13" t="s">
        <v>439</v>
      </c>
      <c r="W16" s="13" t="s">
        <v>440</v>
      </c>
      <c r="X16" s="22" t="s">
        <v>441</v>
      </c>
    </row>
    <row r="17" spans="1:24">
      <c r="A17" s="13" t="s">
        <v>315</v>
      </c>
      <c r="B17" s="13" t="s">
        <v>397</v>
      </c>
      <c r="C17" s="13" t="s">
        <v>404</v>
      </c>
      <c r="D17" s="13" t="s">
        <v>442</v>
      </c>
      <c r="E17" s="13" t="s">
        <v>322</v>
      </c>
      <c r="F17" s="13" t="s">
        <v>294</v>
      </c>
      <c r="G17" s="13" t="s">
        <v>294</v>
      </c>
      <c r="H17" s="13" t="s">
        <v>294</v>
      </c>
      <c r="I17" s="13" t="s">
        <v>294</v>
      </c>
      <c r="J17" s="13" t="s">
        <v>430</v>
      </c>
      <c r="K17" s="13" t="s">
        <v>431</v>
      </c>
      <c r="L17" s="13" t="s">
        <v>294</v>
      </c>
      <c r="M17" s="13" t="s">
        <v>294</v>
      </c>
      <c r="N17" s="13" t="s">
        <v>294</v>
      </c>
      <c r="O17" s="13" t="s">
        <v>294</v>
      </c>
      <c r="P17" s="13" t="s">
        <v>294</v>
      </c>
      <c r="Q17" s="13" t="s">
        <v>294</v>
      </c>
      <c r="R17" s="13" t="s">
        <v>294</v>
      </c>
      <c r="S17" s="13" t="s">
        <v>294</v>
      </c>
      <c r="T17" s="13" t="s">
        <v>294</v>
      </c>
      <c r="U17" s="13" t="s">
        <v>294</v>
      </c>
      <c r="V17" s="13" t="s">
        <v>294</v>
      </c>
      <c r="W17" s="13" t="s">
        <v>294</v>
      </c>
      <c r="X17" s="22" t="s">
        <v>432</v>
      </c>
    </row>
    <row r="18" spans="1:24">
      <c r="A18" s="13" t="s">
        <v>315</v>
      </c>
      <c r="B18" s="13" t="s">
        <v>397</v>
      </c>
      <c r="C18" s="13" t="s">
        <v>404</v>
      </c>
      <c r="D18" s="13" t="s">
        <v>429</v>
      </c>
      <c r="E18" s="13" t="s">
        <v>325</v>
      </c>
      <c r="F18" s="13" t="s">
        <v>294</v>
      </c>
      <c r="G18" s="13" t="s">
        <v>294</v>
      </c>
      <c r="H18" s="13" t="s">
        <v>294</v>
      </c>
      <c r="I18" s="13" t="s">
        <v>294</v>
      </c>
      <c r="J18" s="13" t="s">
        <v>430</v>
      </c>
      <c r="K18" s="13" t="s">
        <v>431</v>
      </c>
      <c r="L18" s="13" t="s">
        <v>294</v>
      </c>
      <c r="M18" s="13" t="s">
        <v>294</v>
      </c>
      <c r="N18" s="13" t="s">
        <v>294</v>
      </c>
      <c r="O18" s="13" t="s">
        <v>294</v>
      </c>
      <c r="P18" s="13" t="s">
        <v>294</v>
      </c>
      <c r="Q18" s="13" t="s">
        <v>294</v>
      </c>
      <c r="R18" s="13" t="s">
        <v>294</v>
      </c>
      <c r="S18" s="13" t="s">
        <v>294</v>
      </c>
      <c r="T18" s="13" t="s">
        <v>294</v>
      </c>
      <c r="U18" s="13" t="s">
        <v>294</v>
      </c>
      <c r="V18" s="13" t="s">
        <v>294</v>
      </c>
      <c r="W18" s="13" t="s">
        <v>294</v>
      </c>
      <c r="X18" s="22" t="s">
        <v>432</v>
      </c>
    </row>
    <row r="21" spans="1:24">
      <c r="A21" s="21" t="s">
        <v>35</v>
      </c>
      <c r="B21" s="21" t="s">
        <v>297</v>
      </c>
    </row>
    <row r="22" spans="1:24">
      <c r="A22" s="20"/>
      <c r="B22" s="20">
        <v>7.0000000000000007E-2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topLeftCell="X1"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5" t="s">
        <v>127</v>
      </c>
      <c r="B1" s="146"/>
      <c r="C1" s="147"/>
    </row>
    <row r="3" spans="1:3" ht="25.5">
      <c r="A3" s="28" t="s">
        <v>443</v>
      </c>
      <c r="B3" s="28" t="s">
        <v>174</v>
      </c>
      <c r="C3" s="28" t="s">
        <v>71</v>
      </c>
    </row>
    <row r="4" spans="1:3">
      <c r="A4" s="41" t="s">
        <v>168</v>
      </c>
      <c r="B4" s="13"/>
      <c r="C4" s="13"/>
    </row>
    <row r="5" spans="1:3">
      <c r="A5" s="13"/>
      <c r="B5" s="13"/>
      <c r="C5" s="22"/>
    </row>
    <row r="6" spans="1:3">
      <c r="A6" s="13"/>
      <c r="B6" s="13"/>
      <c r="C6" s="13"/>
    </row>
    <row r="9" spans="1:3">
      <c r="A9" s="21" t="s">
        <v>35</v>
      </c>
      <c r="B9" s="21" t="s">
        <v>297</v>
      </c>
    </row>
    <row r="10" spans="1:3">
      <c r="A10" s="20"/>
      <c r="B10" s="20"/>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5" t="s">
        <v>129</v>
      </c>
      <c r="B1" s="146"/>
      <c r="C1" s="146"/>
      <c r="D1" s="147"/>
    </row>
    <row r="3" spans="1:8">
      <c r="A3" s="14" t="s">
        <v>444</v>
      </c>
      <c r="B3" s="14" t="s">
        <v>445</v>
      </c>
      <c r="C3" s="14" t="s">
        <v>106</v>
      </c>
      <c r="D3" s="14" t="s">
        <v>446</v>
      </c>
      <c r="E3" s="14" t="s">
        <v>447</v>
      </c>
      <c r="F3" s="14" t="s">
        <v>448</v>
      </c>
    </row>
    <row r="4" spans="1:8">
      <c r="A4" s="19" t="s">
        <v>434</v>
      </c>
      <c r="B4" s="40"/>
      <c r="C4" s="41"/>
      <c r="D4" s="13"/>
      <c r="E4" s="13"/>
      <c r="F4" s="13" t="s">
        <v>168</v>
      </c>
    </row>
    <row r="5" spans="1:8">
      <c r="A5" s="19" t="s">
        <v>434</v>
      </c>
      <c r="B5" s="13"/>
      <c r="C5" s="13"/>
      <c r="D5" s="13"/>
      <c r="E5" s="13"/>
      <c r="F5" s="13" t="s">
        <v>168</v>
      </c>
    </row>
    <row r="8" spans="1:8">
      <c r="A8" s="14" t="s">
        <v>449</v>
      </c>
      <c r="B8" s="38" t="s">
        <v>450</v>
      </c>
      <c r="C8" s="38" t="s">
        <v>451</v>
      </c>
      <c r="D8" s="38" t="s">
        <v>452</v>
      </c>
      <c r="E8" s="38" t="s">
        <v>453</v>
      </c>
      <c r="F8" s="38" t="s">
        <v>454</v>
      </c>
      <c r="G8" s="38" t="s">
        <v>455</v>
      </c>
      <c r="H8" s="38" t="s">
        <v>456</v>
      </c>
    </row>
    <row r="9" spans="1:8">
      <c r="A9" s="14" t="s">
        <v>457</v>
      </c>
      <c r="B9" s="39"/>
      <c r="C9" s="39"/>
      <c r="D9" s="39"/>
      <c r="E9" s="39"/>
      <c r="F9" s="39"/>
      <c r="G9" s="39"/>
      <c r="H9" s="39"/>
    </row>
    <row r="10" spans="1:8">
      <c r="A10" s="14" t="s">
        <v>457</v>
      </c>
      <c r="B10" s="39"/>
      <c r="C10" s="39"/>
      <c r="D10" s="39"/>
      <c r="E10" s="39"/>
      <c r="F10" s="39"/>
      <c r="G10" s="39"/>
      <c r="H10" s="39"/>
    </row>
    <row r="11" spans="1:8">
      <c r="A11" s="14" t="s">
        <v>457</v>
      </c>
      <c r="B11" s="39"/>
      <c r="C11" s="39"/>
      <c r="D11" s="39"/>
      <c r="E11" s="39"/>
      <c r="F11" s="39"/>
      <c r="G11" s="39"/>
      <c r="H11" s="39"/>
    </row>
    <row r="15" spans="1:8">
      <c r="B15" s="37" t="s">
        <v>458</v>
      </c>
      <c r="C15" s="155" t="s">
        <v>459</v>
      </c>
      <c r="D15" s="155"/>
      <c r="E15" s="155"/>
      <c r="F15" s="155"/>
      <c r="G15" s="155"/>
    </row>
    <row r="16" spans="1:8">
      <c r="B16" s="37" t="s">
        <v>460</v>
      </c>
      <c r="C16" s="155"/>
      <c r="D16" s="155"/>
      <c r="E16" s="155"/>
      <c r="F16" s="155"/>
      <c r="G16" s="155"/>
    </row>
    <row r="17" spans="2:7">
      <c r="B17" s="37" t="s">
        <v>461</v>
      </c>
      <c r="C17" s="155"/>
      <c r="D17" s="155"/>
      <c r="E17" s="155"/>
      <c r="F17" s="155"/>
      <c r="G17" s="155"/>
    </row>
    <row r="18" spans="2:7">
      <c r="B18" s="37" t="s">
        <v>462</v>
      </c>
      <c r="C18" s="155"/>
      <c r="D18" s="155"/>
      <c r="E18" s="155"/>
      <c r="F18" s="155"/>
      <c r="G18" s="155"/>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56" t="s">
        <v>463</v>
      </c>
      <c r="B1" s="157"/>
    </row>
    <row r="2" spans="1:2">
      <c r="A2" s="65" t="s">
        <v>464</v>
      </c>
      <c r="B2" s="83" t="s">
        <v>168</v>
      </c>
    </row>
    <row r="3" spans="1:2">
      <c r="A3" s="65" t="s">
        <v>465</v>
      </c>
      <c r="B3" s="83" t="s">
        <v>168</v>
      </c>
    </row>
    <row r="4" spans="1:2" ht="13.5" thickBot="1">
      <c r="A4" s="66" t="s">
        <v>466</v>
      </c>
      <c r="B4" s="84" t="s">
        <v>168</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D11A9A206CAE49ACD2663602EB4001" ma:contentTypeVersion="10" ma:contentTypeDescription="Create a new document." ma:contentTypeScope="" ma:versionID="3f17abeff9ae9cd83dc61f71b5e97f93">
  <xsd:schema xmlns:xsd="http://www.w3.org/2001/XMLSchema" xmlns:xs="http://www.w3.org/2001/XMLSchema" xmlns:p="http://schemas.microsoft.com/office/2006/metadata/properties" xmlns:ns2="38a3694e-8ba8-4044-bfbb-13214ff41bb2" xmlns:ns3="81f8e059-d416-4a87-b88d-c45518361f1f" targetNamespace="http://schemas.microsoft.com/office/2006/metadata/properties" ma:root="true" ma:fieldsID="ebccb33b3d84ebeb647ff6d785db880e" ns2:_="" ns3:_="">
    <xsd:import namespace="38a3694e-8ba8-4044-bfbb-13214ff41bb2"/>
    <xsd:import namespace="81f8e059-d416-4a87-b88d-c45518361f1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a3694e-8ba8-4044-bfbb-13214ff41b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1f8e059-d416-4a87-b88d-c45518361f1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A958AC-88E8-4775-B16C-999585329337}"/>
</file>

<file path=customXml/itemProps2.xml><?xml version="1.0" encoding="utf-8"?>
<ds:datastoreItem xmlns:ds="http://schemas.openxmlformats.org/officeDocument/2006/customXml" ds:itemID="{B236B22C-FE17-491A-BCD2-4AF57616213F}"/>
</file>

<file path=customXml/itemProps3.xml><?xml version="1.0" encoding="utf-8"?>
<ds:datastoreItem xmlns:ds="http://schemas.openxmlformats.org/officeDocument/2006/customXml" ds:itemID="{3DDD7325-4572-430A-87AE-05632DF35E73}"/>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Mingoué Tchagou, Frank</cp:lastModifiedBy>
  <cp:revision/>
  <dcterms:created xsi:type="dcterms:W3CDTF">2009-06-01T12:18:44Z</dcterms:created>
  <dcterms:modified xsi:type="dcterms:W3CDTF">2021-11-15T16:52:38Z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0x010100F6D11A9A206CAE49ACD2663602EB4001</vt:lpwstr>
  </property>
  <property fmtid="{64440492-4C8B-11D1-8B70-080036B11A03}" pid="4">
    <vt:lpwstr>TME JTI</vt:lpwstr>
  </property>
</Properties>
</file>