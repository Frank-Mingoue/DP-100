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C_CHG215394\03 - Build\"/>
    </mc:Choice>
  </mc:AlternateContent>
  <xr:revisionPtr revIDLastSave="0" documentId="13_ncr:1_{491EEAC4-A0A0-49F3-8793-A49E65953C22}" xr6:coauthVersionLast="46" xr6:coauthVersionMax="46" xr10:uidLastSave="{00000000-0000-0000-0000-000000000000}"/>
  <bookViews>
    <workbookView xWindow="-108" yWindow="-108" windowWidth="23256" windowHeight="12576" tabRatio="926" activeTab="6" xr2:uid="{00000000-000D-0000-FFFF-FFFF00000000}"/>
  </bookViews>
  <sheets>
    <sheet name="Cover" sheetId="20" r:id="rId1"/>
    <sheet name="Version Control" sheetId="23" r:id="rId2"/>
    <sheet name="Test Cycle 1" sheetId="24" r:id="rId3"/>
    <sheet name="AppConfig" sheetId="26" state="hidden" r:id="rId4"/>
    <sheet name="DAY 1" sheetId="28" r:id="rId5"/>
    <sheet name="DAY 2" sheetId="29" r:id="rId6"/>
    <sheet name="DAY 3" sheetId="30" r:id="rId7"/>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699509EE-BAB4-44F7-86B5-45BDAAABB1FA}">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<sst xmlns="http://schemas.openxmlformats.org/spreadsheetml/2006/main" count="207" uniqueCount="131">
  <si>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</si>
  <si>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</si>
  <si>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</si>
  <si>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</si>
  <si>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</si>
  <si>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</si>
  <si>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</si>
  <si>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</si>
  <si>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</si>
  <si>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</si>
  <si>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</si>
  <si>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</si>
  <si>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</si>
  <si>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</si>
  <si>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</si>
  <si>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</si>
  <si>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</si>
  <si>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</si>
  <si>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</si>
  <si>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</si>
  <si>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</si>
  <si>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</si>
  <si>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</si>
  <si>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</si>
  <si>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</si>
  <si>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</si>
  <si>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</si>
  <si>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</si>
  <si>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</si>
  <si>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</si>
  <si>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</si>
  <si>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</si>
  <si>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</si>
  <si>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</si>
  <si>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</si>
  <si>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</si>
  <si>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</si>
  <si>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</si>
  <si>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</si>
  <si>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</si>
  <si>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</si>
  <si>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</si>
  <si>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</si>
  <si>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</si>
  <si>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</si>
  <si>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</si>
  <si>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</si>
  <si>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</si>
  <si>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</si>
  <si>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</si>
  <si>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</si>
  <si>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</si>
  <si>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</si>
  <si>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</si>
  <si>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</si>
  <si>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</si>
  <si>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</si>
  <si>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</si>
  <si>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</si>
  <si>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</si>
  <si>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</si>
  <si>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</si>
  <si>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</si>
  <si>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</si>
  <si>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</si>
  <si>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</si>
  <si>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</si>
  <si>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</si>
  <si>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</si>
  <si>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</si>
  <si>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</si>
  <si>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</si>
  <si>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</si>
  <si>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</si>
  <si>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</si>
  <si>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</si>
  <si>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</si>
  <si>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</si>
  <si>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</si>
  <si>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</si>
  <si>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</si>
  <si>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</si>
  <si>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N</t>
  </si>
  <si>
    <t>Y</t>
  </si>
  <si>
    <t>Feb , 2022</t>
  </si>
  <si>
    <t>Mingoué Frank</t>
  </si>
  <si>
    <t>Screenshot 1</t>
  </si>
  <si>
    <t>Screenshot 2</t>
  </si>
  <si>
    <t>Screenshot 3</t>
  </si>
  <si>
    <t>CHG215394</t>
  </si>
  <si>
    <t>Account Updates Work flow</t>
  </si>
  <si>
    <t xml:space="preserve"> UK 	</t>
  </si>
  <si>
    <t>run script to check data test</t>
  </si>
  <si>
    <t xml:space="preserve">Check test data </t>
  </si>
  <si>
    <t>OLTP</t>
  </si>
  <si>
    <t>1 ROW RETURNED</t>
  </si>
  <si>
    <t>1 ROW RETURNED
SCREENSHOT 1</t>
  </si>
  <si>
    <t>create test data</t>
  </si>
  <si>
    <t xml:space="preserve">alter view </t>
  </si>
  <si>
    <t>ALTER VIEW V_ORG_EXT AS SELECT * FROM S_ORG_EXT WHERE ROW_ID = '1-11BQS-2'</t>
  </si>
  <si>
    <t>2 ROW RETURNED</t>
  </si>
  <si>
    <t>SELECT * FROM V_ORG_EXT</t>
  </si>
  <si>
    <t>Load data in satgin table</t>
  </si>
  <si>
    <t>Launch 
Custom -- SIA_SDE_OrganizationDimension_Merge</t>
  </si>
  <si>
    <t xml:space="preserve">INFA </t>
  </si>
  <si>
    <t>1 ROW AFFECTED</t>
  </si>
  <si>
    <t>1 ROW RETURNED
SCREENSHOT 2</t>
  </si>
  <si>
    <t>Launch 
Custom -- SIA_SIL_OrganizationDimension_Merge</t>
  </si>
  <si>
    <t>NA</t>
  </si>
  <si>
    <t xml:space="preserve">Load data in dImension and EIM tables
</t>
  </si>
  <si>
    <t xml:space="preserve">CHECK data in :
MERGE_WC_ORG_D
</t>
  </si>
  <si>
    <t xml:space="preserve">CHECK data in :
WC_ORG_D
</t>
  </si>
  <si>
    <t>run script to check data</t>
  </si>
  <si>
    <t>Screenshot 4</t>
  </si>
  <si>
    <t xml:space="preserve">CHECK data in :
WC_ORG_HISTORY_D
</t>
  </si>
  <si>
    <t>Screenshot 5</t>
  </si>
  <si>
    <t>Screenshot 6</t>
  </si>
  <si>
    <t xml:space="preserve">CHECK EIM TABLE
WC_ORG_HISTORY_D
</t>
  </si>
  <si>
    <t>OLAP</t>
  </si>
  <si>
    <t>SELECT ROW_ID, IF_ROW_STAT,* FROM EIM_ACCNT_DTL WHERE ROW_ID =  '1-11BQS-2'</t>
  </si>
  <si>
    <t>Check  if test data have been nullify</t>
  </si>
  <si>
    <t>Account</t>
  </si>
  <si>
    <t>SIL_Account_Attr_History_Dimension , SIL_Account_Attrib_Nullify_to_OLTP , SIA_SDE_OrganizationDimension_Merge , SIA_SIL_OrganizationDimension_Merge_CCSI</t>
  </si>
  <si>
    <t>SIA_SDE_OrganizationDimension_Merge , SIA_SIL_OrganizationDimension_Merge_CCSI</t>
  </si>
  <si>
    <t>Screenshot 7</t>
  </si>
  <si>
    <t>N/A</t>
  </si>
  <si>
    <t>SELECT S_ORG_EXT.ROW_ID, S_ORG_EXT.ALIAS_NAME, S_ORG_EXT_X.ATTRIB_53, S_ORG_EXT_X.ATTRIB_52, S_ORG_EXT_X.X_TRADING_AS_TXT, S_ORG_EXT_X.X_TT_EOID_TXT
, S_ORG_EXT_X.X_TT_FID_TXT, S_ORG_EXT_X.X_TT_UPDATE_STAT_CD, S_ORG_EXT_X.X_TT_REQUEST_DT, S_ORG_EXT_X.X_TT_REQ_BY_ID, S_ORG_EXT_X.X_TT_REJECT_APP_DT, S_ORG_EXT_X.X_TT_REJECT_APP_BY_ID
, S_ORG_EXT.X_ACCNT_POSTN_ID,*
FROM S_ORG_EXT 
LEFT OUTER JOIN S_ORG_EXT_X ON S_ORG_EXT.ROW_ID = S_ORG_EXT_X.PAR_ROW_ID
WHERE S_ORG_EXT.ROW_ID = '1-11BQS-2'</t>
  </si>
  <si>
    <t xml:space="preserve">
SELECT INTEGRATION_ID, ATTRIB_93, ATTRIB_53, ATTRIB_52, X_TRADING_AS_TXT, X_TT_EOID_TXT, X_TT_FID_TXT, X_TT_UPDATE_STAT_CD, X_TT_REQUEST_DT
, X_TT_REQ_BY, X_TT_REJECT_APP_DT, X_TT_REJECT_APP_BY,* 
 FROM WC_ORG_HISTORY_D
 WHERE INTEGRATION_ID in ('1-11BQS-2')</t>
  </si>
  <si>
    <t>SELECT INTEGRATION_ID, ATTRIB_93, ATTRIB_53, ATTRIB_52, X_TRADING_AS_TXT, X_TT_EOID_TXT, X_TT_FID_TXT, X_TT_UPDATE_STAT_CD, X_TT_REQUEST_DT
, X_TT_REQ_BY, X_TT_REJECT_APP_DT, X_TT_REJECT_APP_BY, X_ACCNT_POSTN_ID,* 
FROM WC_ORG_DS
WHERE INTEGRATION_ID in ( '1-2OWSOL', '1-11BQS-2')
GO</t>
  </si>
  <si>
    <t>SELECT INTEGRATION_ID, ATTRIB_93, ATTRIB_53, ATTRIB_52, X_TRADING_AS_TXT, X_TT_EOID_TXT
, X_TT_FID_TXT, X_TT_UPDATE_STAT_CD, X_TT_REQUEST_DT, X_TT_REQ_BY,* 
FROM WC_ORG_D 
WHERE INTEGRATION_ID = '1-11BQS-2'</t>
  </si>
  <si>
    <t xml:space="preserve"> SELECT INTEGRATION_ID, ATTRIB_93, ATTRIB_53, ATTRIB_52, X_TRADING_AS_TXT, X_TT_EOID_TXT
, X_TT_FID_TXT, X_TT_UPDATE_STAT_CD, X_TT_REQUEST_DT, X_TT_REQ_BY,*  
FROM MERGE_WC_ORG_D WHERE INTEGRATION_ID = '1-11BQS-2'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</si>
</sst>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0"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b/>
      <sz val="12"/>
      <color indexed="9"/>
      <name val="Book Antiqua"/>
      <family val="1"/>
    </font>
    <font>
      <sz val="12"/>
      <name val="Arial"/>
      <family val="2"/>
    </font>
    <font>
      <b/>
      <sz val="12"/>
      <name val="Arial"/>
      <family val="2"/>
    </font>
    <font>
      <sz val="16"/>
      <name val="Book Antiqua"/>
      <family val="1"/>
    </font>
    <font>
      <sz val="8"/>
      <name val="Arial"/>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rgb="FF00B05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1" fillId="0" borderId="0" applyNumberFormat="0" applyFill="0" applyBorder="0" applyAlignment="0" applyProtection="0">
      <alignment vertical="top"/>
      <protection locked="0"/>
    </xf>
    <xf numFmtId="0" fontId="42" fillId="0" borderId="0"/>
    <xf numFmtId="0" fontId="2" fillId="0" borderId="0"/>
    <xf numFmtId="0" fontId="42" fillId="0" borderId="0"/>
    <xf numFmtId="0" fontId="42"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95">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1"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15" fontId="43" fillId="0" borderId="10" xfId="32" applyNumberFormat="1" applyFont="1" applyBorder="1" applyAlignment="1" applyProtection="1">
      <alignment horizontal="left" vertical="center" wrapText="1"/>
    </xf>
    <xf numFmtId="0" fontId="0" fillId="0" borderId="0" xfId="0" applyAlignment="1">
      <alignment horizontal="center"/>
    </xf>
    <xf numFmtId="0" fontId="44" fillId="26" borderId="0" xfId="0" applyFont="1" applyFill="1"/>
    <xf numFmtId="0" fontId="44"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0" fontId="45" fillId="25" borderId="10" xfId="37" applyFont="1" applyFill="1" applyBorder="1" applyAlignment="1">
      <alignment horizontal="right" wrapText="1"/>
    </xf>
    <xf numFmtId="0" fontId="45" fillId="25" borderId="10" xfId="37" applyFont="1" applyFill="1" applyBorder="1" applyAlignment="1">
      <alignment horizontal="right" vertical="top" wrapText="1"/>
    </xf>
    <xf numFmtId="0" fontId="31" fillId="0" borderId="10" xfId="37" applyFont="1" applyBorder="1" applyAlignment="1">
      <alignment wrapText="1"/>
    </xf>
    <xf numFmtId="0" fontId="31" fillId="0" borderId="10" xfId="37" applyFont="1" applyBorder="1"/>
    <xf numFmtId="0" fontId="31" fillId="0" borderId="0" xfId="37" applyFont="1"/>
    <xf numFmtId="0" fontId="31" fillId="0" borderId="0" xfId="37" applyFont="1" applyBorder="1"/>
    <xf numFmtId="0" fontId="46" fillId="0" borderId="0" xfId="37" applyFont="1"/>
    <xf numFmtId="14" fontId="31" fillId="0" borderId="10" xfId="37" applyNumberFormat="1" applyFont="1" applyBorder="1" applyAlignment="1">
      <alignment horizontal="right" wrapText="1"/>
    </xf>
    <xf numFmtId="14" fontId="31" fillId="0" borderId="10" xfId="37" applyNumberFormat="1" applyFont="1" applyBorder="1" applyAlignment="1">
      <alignment wrapText="1"/>
    </xf>
    <xf numFmtId="49" fontId="47" fillId="24" borderId="10" xfId="37" applyNumberFormat="1" applyFont="1" applyFill="1" applyBorder="1" applyAlignment="1">
      <alignment horizontal="center" vertical="top"/>
    </xf>
    <xf numFmtId="0" fontId="31" fillId="0" borderId="0" xfId="37" applyFont="1" applyAlignment="1">
      <alignment horizontal="left" vertical="top"/>
    </xf>
    <xf numFmtId="0" fontId="2" fillId="28" borderId="0" xfId="0" applyFont="1" applyFill="1"/>
    <xf numFmtId="0" fontId="0" fillId="28" borderId="0" xfId="0" applyFill="1"/>
    <xf numFmtId="0" fontId="31" fillId="0" borderId="10" xfId="37" applyFont="1" applyBorder="1" applyAlignment="1">
      <alignment horizontal="left" vertical="center" wrapText="1"/>
    </xf>
    <xf numFmtId="0" fontId="31" fillId="0" borderId="10" xfId="37" applyFont="1" applyBorder="1" applyAlignment="1">
      <alignment vertical="center"/>
    </xf>
    <xf numFmtId="0" fontId="31" fillId="0" borderId="10" xfId="37" applyFont="1" applyBorder="1" applyAlignment="1">
      <alignment horizontal="center" vertical="center" wrapText="1"/>
    </xf>
    <xf numFmtId="0" fontId="31" fillId="0" borderId="10" xfId="37" applyFont="1" applyBorder="1" applyAlignment="1">
      <alignment vertical="center" wrapText="1"/>
    </xf>
    <xf numFmtId="0" fontId="31" fillId="0" borderId="10" xfId="37" applyFont="1" applyFill="1" applyBorder="1" applyAlignment="1">
      <alignment vertical="center" wrapText="1"/>
    </xf>
    <xf numFmtId="0" fontId="31" fillId="0" borderId="0" xfId="37" applyFont="1" applyAlignment="1">
      <alignment vertical="center"/>
    </xf>
    <xf numFmtId="0" fontId="46" fillId="0" borderId="0" xfId="37" applyFont="1" applyAlignment="1">
      <alignment vertical="center"/>
    </xf>
    <xf numFmtId="0" fontId="31" fillId="0" borderId="10" xfId="37" applyFont="1" applyFill="1" applyBorder="1" applyAlignment="1">
      <alignment vertical="center"/>
    </xf>
    <xf numFmtId="0" fontId="31" fillId="0" borderId="0" xfId="37" applyFont="1" applyBorder="1" applyAlignment="1">
      <alignment vertical="center"/>
    </xf>
    <xf numFmtId="0" fontId="31" fillId="0" borderId="10" xfId="37" applyFont="1" applyBorder="1" applyAlignment="1">
      <alignment horizontal="left" vertical="top"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2" fillId="0" borderId="15" xfId="36" applyBorder="1"/>
    <xf numFmtId="0" fontId="31" fillId="0" borderId="10" xfId="37" applyFont="1" applyBorder="1" applyAlignment="1">
      <alignment horizontal="center" wrapText="1"/>
    </xf>
    <xf numFmtId="0" fontId="38" fillId="0" borderId="10" xfId="37" applyFont="1" applyBorder="1" applyAlignment="1">
      <alignment horizontal="left" wrapText="1"/>
    </xf>
    <xf numFmtId="0" fontId="48" fillId="0" borderId="10" xfId="37" applyFont="1" applyBorder="1" applyAlignment="1">
      <alignment horizontal="left"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23</xdr:col>
      <xdr:colOff>436343</xdr:colOff>
      <xdr:row>27</xdr:row>
      <xdr:rowOff>71878</xdr:rowOff>
    </xdr:to>
    <xdr:pic>
      <xdr:nvPicPr>
        <xdr:cNvPr id="13" name="Picture 12">
          <a:extLst>
            <a:ext uri="{FF2B5EF4-FFF2-40B4-BE49-F238E27FC236}">
              <a16:creationId xmlns:a16="http://schemas.microsoft.com/office/drawing/2014/main" id="{56E553AF-7208-4F57-88A7-6AE6787929CB}"/>
            </a:ext>
          </a:extLst>
        </xdr:cNvPr>
        <xdr:cNvPicPr>
          <a:picLocks noChangeAspect="1"/>
        </xdr:cNvPicPr>
      </xdr:nvPicPr>
      <xdr:blipFill>
        <a:blip xmlns:r="http://schemas.openxmlformats.org/officeDocument/2006/relationships" r:embed="rId1"/>
        <a:stretch>
          <a:fillRect/>
        </a:stretch>
      </xdr:blipFill>
      <xdr:spPr>
        <a:xfrm>
          <a:off x="0" y="502920"/>
          <a:ext cx="14457143" cy="4095238"/>
        </a:xfrm>
        <a:prstGeom prst="rect">
          <a:avLst/>
        </a:prstGeom>
      </xdr:spPr>
    </xdr:pic>
    <xdr:clientData/>
  </xdr:twoCellAnchor>
  <xdr:twoCellAnchor editAs="oneCell">
    <xdr:from>
      <xdr:col>0</xdr:col>
      <xdr:colOff>0</xdr:colOff>
      <xdr:row>31</xdr:row>
      <xdr:rowOff>0</xdr:rowOff>
    </xdr:from>
    <xdr:to>
      <xdr:col>24</xdr:col>
      <xdr:colOff>83886</xdr:colOff>
      <xdr:row>42</xdr:row>
      <xdr:rowOff>98817</xdr:rowOff>
    </xdr:to>
    <xdr:pic>
      <xdr:nvPicPr>
        <xdr:cNvPr id="14" name="Picture 13">
          <a:extLst>
            <a:ext uri="{FF2B5EF4-FFF2-40B4-BE49-F238E27FC236}">
              <a16:creationId xmlns:a16="http://schemas.microsoft.com/office/drawing/2014/main" id="{8985AEA8-1402-46B2-A342-A73E11D673DA}"/>
            </a:ext>
          </a:extLst>
        </xdr:cNvPr>
        <xdr:cNvPicPr>
          <a:picLocks noChangeAspect="1"/>
        </xdr:cNvPicPr>
      </xdr:nvPicPr>
      <xdr:blipFill>
        <a:blip xmlns:r="http://schemas.openxmlformats.org/officeDocument/2006/relationships" r:embed="rId2"/>
        <a:stretch>
          <a:fillRect/>
        </a:stretch>
      </xdr:blipFill>
      <xdr:spPr>
        <a:xfrm>
          <a:off x="0" y="5196840"/>
          <a:ext cx="14714286" cy="1942857"/>
        </a:xfrm>
        <a:prstGeom prst="rect">
          <a:avLst/>
        </a:prstGeom>
      </xdr:spPr>
    </xdr:pic>
    <xdr:clientData/>
  </xdr:twoCellAnchor>
  <xdr:twoCellAnchor editAs="oneCell">
    <xdr:from>
      <xdr:col>0</xdr:col>
      <xdr:colOff>0</xdr:colOff>
      <xdr:row>48</xdr:row>
      <xdr:rowOff>0</xdr:rowOff>
    </xdr:from>
    <xdr:to>
      <xdr:col>24</xdr:col>
      <xdr:colOff>398171</xdr:colOff>
      <xdr:row>60</xdr:row>
      <xdr:rowOff>64510</xdr:rowOff>
    </xdr:to>
    <xdr:pic>
      <xdr:nvPicPr>
        <xdr:cNvPr id="16" name="Picture 15">
          <a:extLst>
            <a:ext uri="{FF2B5EF4-FFF2-40B4-BE49-F238E27FC236}">
              <a16:creationId xmlns:a16="http://schemas.microsoft.com/office/drawing/2014/main" id="{AF702870-2782-488C-A0D2-F7B7B287B75C}"/>
            </a:ext>
          </a:extLst>
        </xdr:cNvPr>
        <xdr:cNvPicPr>
          <a:picLocks noChangeAspect="1"/>
        </xdr:cNvPicPr>
      </xdr:nvPicPr>
      <xdr:blipFill>
        <a:blip xmlns:r="http://schemas.openxmlformats.org/officeDocument/2006/relationships" r:embed="rId3"/>
        <a:stretch>
          <a:fillRect/>
        </a:stretch>
      </xdr:blipFill>
      <xdr:spPr>
        <a:xfrm>
          <a:off x="0" y="8046720"/>
          <a:ext cx="15028571" cy="2076190"/>
        </a:xfrm>
        <a:prstGeom prst="rect">
          <a:avLst/>
        </a:prstGeom>
      </xdr:spPr>
    </xdr:pic>
    <xdr:clientData/>
  </xdr:twoCellAnchor>
  <xdr:twoCellAnchor editAs="oneCell">
    <xdr:from>
      <xdr:col>0</xdr:col>
      <xdr:colOff>0</xdr:colOff>
      <xdr:row>65</xdr:row>
      <xdr:rowOff>0</xdr:rowOff>
    </xdr:from>
    <xdr:to>
      <xdr:col>23</xdr:col>
      <xdr:colOff>607771</xdr:colOff>
      <xdr:row>75</xdr:row>
      <xdr:rowOff>142648</xdr:rowOff>
    </xdr:to>
    <xdr:pic>
      <xdr:nvPicPr>
        <xdr:cNvPr id="17" name="Picture 16">
          <a:extLst>
            <a:ext uri="{FF2B5EF4-FFF2-40B4-BE49-F238E27FC236}">
              <a16:creationId xmlns:a16="http://schemas.microsoft.com/office/drawing/2014/main" id="{EA3A6F08-6AC3-4B40-AD91-BC80652CD516}"/>
            </a:ext>
          </a:extLst>
        </xdr:cNvPr>
        <xdr:cNvPicPr>
          <a:picLocks noChangeAspect="1"/>
        </xdr:cNvPicPr>
      </xdr:nvPicPr>
      <xdr:blipFill>
        <a:blip xmlns:r="http://schemas.openxmlformats.org/officeDocument/2006/relationships" r:embed="rId4"/>
        <a:stretch>
          <a:fillRect/>
        </a:stretch>
      </xdr:blipFill>
      <xdr:spPr>
        <a:xfrm>
          <a:off x="0" y="10896600"/>
          <a:ext cx="14628571" cy="1819048"/>
        </a:xfrm>
        <a:prstGeom prst="rect">
          <a:avLst/>
        </a:prstGeom>
      </xdr:spPr>
    </xdr:pic>
    <xdr:clientData/>
  </xdr:twoCellAnchor>
  <xdr:twoCellAnchor editAs="oneCell">
    <xdr:from>
      <xdr:col>0</xdr:col>
      <xdr:colOff>0</xdr:colOff>
      <xdr:row>88</xdr:row>
      <xdr:rowOff>0</xdr:rowOff>
    </xdr:from>
    <xdr:to>
      <xdr:col>13</xdr:col>
      <xdr:colOff>484724</xdr:colOff>
      <xdr:row>98</xdr:row>
      <xdr:rowOff>142648</xdr:rowOff>
    </xdr:to>
    <xdr:pic>
      <xdr:nvPicPr>
        <xdr:cNvPr id="18" name="Picture 17">
          <a:extLst>
            <a:ext uri="{FF2B5EF4-FFF2-40B4-BE49-F238E27FC236}">
              <a16:creationId xmlns:a16="http://schemas.microsoft.com/office/drawing/2014/main" id="{228682AB-BB34-4DA4-97A4-4AE00A4F43B9}"/>
            </a:ext>
          </a:extLst>
        </xdr:cNvPr>
        <xdr:cNvPicPr>
          <a:picLocks noChangeAspect="1"/>
        </xdr:cNvPicPr>
      </xdr:nvPicPr>
      <xdr:blipFill>
        <a:blip xmlns:r="http://schemas.openxmlformats.org/officeDocument/2006/relationships" r:embed="rId5"/>
        <a:stretch>
          <a:fillRect/>
        </a:stretch>
      </xdr:blipFill>
      <xdr:spPr>
        <a:xfrm>
          <a:off x="0" y="14752320"/>
          <a:ext cx="8409524" cy="18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24</xdr:col>
      <xdr:colOff>331505</xdr:colOff>
      <xdr:row>17</xdr:row>
      <xdr:rowOff>119707</xdr:rowOff>
    </xdr:to>
    <xdr:pic>
      <xdr:nvPicPr>
        <xdr:cNvPr id="6" name="Picture 5">
          <a:extLst>
            <a:ext uri="{FF2B5EF4-FFF2-40B4-BE49-F238E27FC236}">
              <a16:creationId xmlns:a16="http://schemas.microsoft.com/office/drawing/2014/main" id="{60CE513C-960E-4020-A93D-E95CC396A814}"/>
            </a:ext>
          </a:extLst>
        </xdr:cNvPr>
        <xdr:cNvPicPr>
          <a:picLocks noChangeAspect="1"/>
        </xdr:cNvPicPr>
      </xdr:nvPicPr>
      <xdr:blipFill>
        <a:blip xmlns:r="http://schemas.openxmlformats.org/officeDocument/2006/relationships" r:embed="rId1"/>
        <a:stretch>
          <a:fillRect/>
        </a:stretch>
      </xdr:blipFill>
      <xdr:spPr>
        <a:xfrm>
          <a:off x="0" y="502920"/>
          <a:ext cx="14961905" cy="2466667"/>
        </a:xfrm>
        <a:prstGeom prst="rect">
          <a:avLst/>
        </a:prstGeom>
      </xdr:spPr>
    </xdr:pic>
    <xdr:clientData/>
  </xdr:twoCellAnchor>
  <xdr:twoCellAnchor editAs="oneCell">
    <xdr:from>
      <xdr:col>0</xdr:col>
      <xdr:colOff>0</xdr:colOff>
      <xdr:row>24</xdr:row>
      <xdr:rowOff>0</xdr:rowOff>
    </xdr:from>
    <xdr:to>
      <xdr:col>24</xdr:col>
      <xdr:colOff>264838</xdr:colOff>
      <xdr:row>36</xdr:row>
      <xdr:rowOff>140701</xdr:rowOff>
    </xdr:to>
    <xdr:pic>
      <xdr:nvPicPr>
        <xdr:cNvPr id="7" name="Picture 6">
          <a:extLst>
            <a:ext uri="{FF2B5EF4-FFF2-40B4-BE49-F238E27FC236}">
              <a16:creationId xmlns:a16="http://schemas.microsoft.com/office/drawing/2014/main" id="{80F65BF8-B00D-42CD-BB5A-F9D00573FD4E}"/>
            </a:ext>
          </a:extLst>
        </xdr:cNvPr>
        <xdr:cNvPicPr>
          <a:picLocks noChangeAspect="1"/>
        </xdr:cNvPicPr>
      </xdr:nvPicPr>
      <xdr:blipFill>
        <a:blip xmlns:r="http://schemas.openxmlformats.org/officeDocument/2006/relationships" r:embed="rId2"/>
        <a:stretch>
          <a:fillRect/>
        </a:stretch>
      </xdr:blipFill>
      <xdr:spPr>
        <a:xfrm>
          <a:off x="0" y="4023360"/>
          <a:ext cx="14895238" cy="2152381"/>
        </a:xfrm>
        <a:prstGeom prst="rect">
          <a:avLst/>
        </a:prstGeom>
      </xdr:spPr>
    </xdr:pic>
    <xdr:clientData/>
  </xdr:twoCellAnchor>
  <xdr:twoCellAnchor editAs="oneCell">
    <xdr:from>
      <xdr:col>0</xdr:col>
      <xdr:colOff>0</xdr:colOff>
      <xdr:row>40</xdr:row>
      <xdr:rowOff>0</xdr:rowOff>
    </xdr:from>
    <xdr:to>
      <xdr:col>24</xdr:col>
      <xdr:colOff>274362</xdr:colOff>
      <xdr:row>52</xdr:row>
      <xdr:rowOff>16891</xdr:rowOff>
    </xdr:to>
    <xdr:pic>
      <xdr:nvPicPr>
        <xdr:cNvPr id="10" name="Picture 9">
          <a:extLst>
            <a:ext uri="{FF2B5EF4-FFF2-40B4-BE49-F238E27FC236}">
              <a16:creationId xmlns:a16="http://schemas.microsoft.com/office/drawing/2014/main" id="{42C73664-84E0-4BCC-A286-985117E1CC04}"/>
            </a:ext>
          </a:extLst>
        </xdr:cNvPr>
        <xdr:cNvPicPr>
          <a:picLocks noChangeAspect="1"/>
        </xdr:cNvPicPr>
      </xdr:nvPicPr>
      <xdr:blipFill>
        <a:blip xmlns:r="http://schemas.openxmlformats.org/officeDocument/2006/relationships" r:embed="rId3"/>
        <a:stretch>
          <a:fillRect/>
        </a:stretch>
      </xdr:blipFill>
      <xdr:spPr>
        <a:xfrm>
          <a:off x="0" y="6705600"/>
          <a:ext cx="14904762" cy="2028571"/>
        </a:xfrm>
        <a:prstGeom prst="rect">
          <a:avLst/>
        </a:prstGeom>
      </xdr:spPr>
    </xdr:pic>
    <xdr:clientData/>
  </xdr:twoCellAnchor>
  <xdr:twoCellAnchor editAs="oneCell">
    <xdr:from>
      <xdr:col>0</xdr:col>
      <xdr:colOff>0</xdr:colOff>
      <xdr:row>57</xdr:row>
      <xdr:rowOff>0</xdr:rowOff>
    </xdr:from>
    <xdr:to>
      <xdr:col>24</xdr:col>
      <xdr:colOff>245790</xdr:colOff>
      <xdr:row>69</xdr:row>
      <xdr:rowOff>54987</xdr:rowOff>
    </xdr:to>
    <xdr:pic>
      <xdr:nvPicPr>
        <xdr:cNvPr id="11" name="Picture 10">
          <a:extLst>
            <a:ext uri="{FF2B5EF4-FFF2-40B4-BE49-F238E27FC236}">
              <a16:creationId xmlns:a16="http://schemas.microsoft.com/office/drawing/2014/main" id="{27F3AE05-0E43-4F88-AB9E-BFEDEAA3D0C8}"/>
            </a:ext>
          </a:extLst>
        </xdr:cNvPr>
        <xdr:cNvPicPr>
          <a:picLocks noChangeAspect="1"/>
        </xdr:cNvPicPr>
      </xdr:nvPicPr>
      <xdr:blipFill>
        <a:blip xmlns:r="http://schemas.openxmlformats.org/officeDocument/2006/relationships" r:embed="rId4"/>
        <a:stretch>
          <a:fillRect/>
        </a:stretch>
      </xdr:blipFill>
      <xdr:spPr>
        <a:xfrm>
          <a:off x="0" y="9555480"/>
          <a:ext cx="14876190" cy="2066667"/>
        </a:xfrm>
        <a:prstGeom prst="rect">
          <a:avLst/>
        </a:prstGeom>
      </xdr:spPr>
    </xdr:pic>
    <xdr:clientData/>
  </xdr:twoCellAnchor>
  <xdr:twoCellAnchor editAs="oneCell">
    <xdr:from>
      <xdr:col>0</xdr:col>
      <xdr:colOff>0</xdr:colOff>
      <xdr:row>75</xdr:row>
      <xdr:rowOff>0</xdr:rowOff>
    </xdr:from>
    <xdr:to>
      <xdr:col>13</xdr:col>
      <xdr:colOff>484724</xdr:colOff>
      <xdr:row>85</xdr:row>
      <xdr:rowOff>142648</xdr:rowOff>
    </xdr:to>
    <xdr:pic>
      <xdr:nvPicPr>
        <xdr:cNvPr id="12" name="Picture 11">
          <a:extLst>
            <a:ext uri="{FF2B5EF4-FFF2-40B4-BE49-F238E27FC236}">
              <a16:creationId xmlns:a16="http://schemas.microsoft.com/office/drawing/2014/main" id="{789AE3D5-257C-489E-8C7A-13F0B1F3E171}"/>
            </a:ext>
          </a:extLst>
        </xdr:cNvPr>
        <xdr:cNvPicPr>
          <a:picLocks noChangeAspect="1"/>
        </xdr:cNvPicPr>
      </xdr:nvPicPr>
      <xdr:blipFill>
        <a:blip xmlns:r="http://schemas.openxmlformats.org/officeDocument/2006/relationships" r:embed="rId5"/>
        <a:stretch>
          <a:fillRect/>
        </a:stretch>
      </xdr:blipFill>
      <xdr:spPr>
        <a:xfrm>
          <a:off x="0" y="12573000"/>
          <a:ext cx="8409524" cy="18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60961</xdr:rowOff>
    </xdr:from>
    <xdr:to>
      <xdr:col>22</xdr:col>
      <xdr:colOff>500729</xdr:colOff>
      <xdr:row>15</xdr:row>
      <xdr:rowOff>142330</xdr:rowOff>
    </xdr:to>
    <xdr:pic>
      <xdr:nvPicPr>
        <xdr:cNvPr id="11" name="Picture 10">
          <a:extLst>
            <a:ext uri="{FF2B5EF4-FFF2-40B4-BE49-F238E27FC236}">
              <a16:creationId xmlns:a16="http://schemas.microsoft.com/office/drawing/2014/main" id="{8FAC8FFC-2343-40D1-93F0-94476C596CE8}"/>
            </a:ext>
          </a:extLst>
        </xdr:cNvPr>
        <xdr:cNvPicPr>
          <a:picLocks noChangeAspect="1"/>
        </xdr:cNvPicPr>
      </xdr:nvPicPr>
      <xdr:blipFill>
        <a:blip xmlns:r="http://schemas.openxmlformats.org/officeDocument/2006/relationships" r:embed="rId1"/>
        <a:stretch>
          <a:fillRect/>
        </a:stretch>
      </xdr:blipFill>
      <xdr:spPr>
        <a:xfrm>
          <a:off x="0" y="396241"/>
          <a:ext cx="13911929" cy="2260689"/>
        </a:xfrm>
        <a:prstGeom prst="rect">
          <a:avLst/>
        </a:prstGeom>
      </xdr:spPr>
    </xdr:pic>
    <xdr:clientData/>
  </xdr:twoCellAnchor>
  <xdr:twoCellAnchor editAs="oneCell">
    <xdr:from>
      <xdr:col>0</xdr:col>
      <xdr:colOff>106680</xdr:colOff>
      <xdr:row>20</xdr:row>
      <xdr:rowOff>53340</xdr:rowOff>
    </xdr:from>
    <xdr:to>
      <xdr:col>22</xdr:col>
      <xdr:colOff>211422</xdr:colOff>
      <xdr:row>34</xdr:row>
      <xdr:rowOff>22687</xdr:rowOff>
    </xdr:to>
    <xdr:pic>
      <xdr:nvPicPr>
        <xdr:cNvPr id="12" name="Picture 11">
          <a:extLst>
            <a:ext uri="{FF2B5EF4-FFF2-40B4-BE49-F238E27FC236}">
              <a16:creationId xmlns:a16="http://schemas.microsoft.com/office/drawing/2014/main" id="{2C0B50D3-14E7-4122-8C54-758AB23CAA80}"/>
            </a:ext>
          </a:extLst>
        </xdr:cNvPr>
        <xdr:cNvPicPr>
          <a:picLocks noChangeAspect="1"/>
        </xdr:cNvPicPr>
      </xdr:nvPicPr>
      <xdr:blipFill>
        <a:blip xmlns:r="http://schemas.openxmlformats.org/officeDocument/2006/relationships" r:embed="rId2"/>
        <a:stretch>
          <a:fillRect/>
        </a:stretch>
      </xdr:blipFill>
      <xdr:spPr>
        <a:xfrm>
          <a:off x="106680" y="3406140"/>
          <a:ext cx="13515942" cy="2316307"/>
        </a:xfrm>
        <a:prstGeom prst="rect">
          <a:avLst/>
        </a:prstGeom>
      </xdr:spPr>
    </xdr:pic>
    <xdr:clientData/>
  </xdr:twoCellAnchor>
  <xdr:twoCellAnchor editAs="oneCell">
    <xdr:from>
      <xdr:col>0</xdr:col>
      <xdr:colOff>0</xdr:colOff>
      <xdr:row>38</xdr:row>
      <xdr:rowOff>0</xdr:rowOff>
    </xdr:from>
    <xdr:to>
      <xdr:col>24</xdr:col>
      <xdr:colOff>264838</xdr:colOff>
      <xdr:row>52</xdr:row>
      <xdr:rowOff>100659</xdr:rowOff>
    </xdr:to>
    <xdr:pic>
      <xdr:nvPicPr>
        <xdr:cNvPr id="13" name="Picture 12">
          <a:extLst>
            <a:ext uri="{FF2B5EF4-FFF2-40B4-BE49-F238E27FC236}">
              <a16:creationId xmlns:a16="http://schemas.microsoft.com/office/drawing/2014/main" id="{FC004BD3-F514-4C08-B2F2-4893C39C7132}"/>
            </a:ext>
          </a:extLst>
        </xdr:cNvPr>
        <xdr:cNvPicPr>
          <a:picLocks noChangeAspect="1"/>
        </xdr:cNvPicPr>
      </xdr:nvPicPr>
      <xdr:blipFill>
        <a:blip xmlns:r="http://schemas.openxmlformats.org/officeDocument/2006/relationships" r:embed="rId3"/>
        <a:stretch>
          <a:fillRect/>
        </a:stretch>
      </xdr:blipFill>
      <xdr:spPr>
        <a:xfrm>
          <a:off x="0" y="6370320"/>
          <a:ext cx="14895238" cy="2447619"/>
        </a:xfrm>
        <a:prstGeom prst="rect">
          <a:avLst/>
        </a:prstGeom>
      </xdr:spPr>
    </xdr:pic>
    <xdr:clientData/>
  </xdr:twoCellAnchor>
  <xdr:twoCellAnchor editAs="oneCell">
    <xdr:from>
      <xdr:col>0</xdr:col>
      <xdr:colOff>0</xdr:colOff>
      <xdr:row>55</xdr:row>
      <xdr:rowOff>0</xdr:rowOff>
    </xdr:from>
    <xdr:to>
      <xdr:col>25</xdr:col>
      <xdr:colOff>255238</xdr:colOff>
      <xdr:row>75</xdr:row>
      <xdr:rowOff>113867</xdr:rowOff>
    </xdr:to>
    <xdr:pic>
      <xdr:nvPicPr>
        <xdr:cNvPr id="14" name="Picture 13">
          <a:extLst>
            <a:ext uri="{FF2B5EF4-FFF2-40B4-BE49-F238E27FC236}">
              <a16:creationId xmlns:a16="http://schemas.microsoft.com/office/drawing/2014/main" id="{9801340E-2949-4C7D-87D1-018E294E0B02}"/>
            </a:ext>
          </a:extLst>
        </xdr:cNvPr>
        <xdr:cNvPicPr>
          <a:picLocks noChangeAspect="1"/>
        </xdr:cNvPicPr>
      </xdr:nvPicPr>
      <xdr:blipFill>
        <a:blip xmlns:r="http://schemas.openxmlformats.org/officeDocument/2006/relationships" r:embed="rId4"/>
        <a:stretch>
          <a:fillRect/>
        </a:stretch>
      </xdr:blipFill>
      <xdr:spPr>
        <a:xfrm>
          <a:off x="0" y="9220200"/>
          <a:ext cx="15495238" cy="3466667"/>
        </a:xfrm>
        <a:prstGeom prst="rect">
          <a:avLst/>
        </a:prstGeom>
      </xdr:spPr>
    </xdr:pic>
    <xdr:clientData/>
  </xdr:twoCellAnchor>
  <xdr:twoCellAnchor editAs="oneCell">
    <xdr:from>
      <xdr:col>0</xdr:col>
      <xdr:colOff>0</xdr:colOff>
      <xdr:row>82</xdr:row>
      <xdr:rowOff>0</xdr:rowOff>
    </xdr:from>
    <xdr:to>
      <xdr:col>24</xdr:col>
      <xdr:colOff>512457</xdr:colOff>
      <xdr:row>95</xdr:row>
      <xdr:rowOff>11156</xdr:rowOff>
    </xdr:to>
    <xdr:pic>
      <xdr:nvPicPr>
        <xdr:cNvPr id="15" name="Picture 14">
          <a:extLst>
            <a:ext uri="{FF2B5EF4-FFF2-40B4-BE49-F238E27FC236}">
              <a16:creationId xmlns:a16="http://schemas.microsoft.com/office/drawing/2014/main" id="{A3B51A05-9C6B-4023-952B-1D5609C8EF41}"/>
            </a:ext>
          </a:extLst>
        </xdr:cNvPr>
        <xdr:cNvPicPr>
          <a:picLocks noChangeAspect="1"/>
        </xdr:cNvPicPr>
      </xdr:nvPicPr>
      <xdr:blipFill>
        <a:blip xmlns:r="http://schemas.openxmlformats.org/officeDocument/2006/relationships" r:embed="rId5"/>
        <a:stretch>
          <a:fillRect/>
        </a:stretch>
      </xdr:blipFill>
      <xdr:spPr>
        <a:xfrm>
          <a:off x="0" y="13746480"/>
          <a:ext cx="15142857" cy="2190476"/>
        </a:xfrm>
        <a:prstGeom prst="rect">
          <a:avLst/>
        </a:prstGeom>
      </xdr:spPr>
    </xdr:pic>
    <xdr:clientData/>
  </xdr:twoCellAnchor>
  <xdr:twoCellAnchor editAs="oneCell">
    <xdr:from>
      <xdr:col>0</xdr:col>
      <xdr:colOff>0</xdr:colOff>
      <xdr:row>96</xdr:row>
      <xdr:rowOff>121921</xdr:rowOff>
    </xdr:from>
    <xdr:to>
      <xdr:col>23</xdr:col>
      <xdr:colOff>150481</xdr:colOff>
      <xdr:row>111</xdr:row>
      <xdr:rowOff>60043</xdr:rowOff>
    </xdr:to>
    <xdr:pic>
      <xdr:nvPicPr>
        <xdr:cNvPr id="16" name="Picture 15">
          <a:extLst>
            <a:ext uri="{FF2B5EF4-FFF2-40B4-BE49-F238E27FC236}">
              <a16:creationId xmlns:a16="http://schemas.microsoft.com/office/drawing/2014/main" id="{D178E92E-CC4B-40EB-ADDB-1CE64121221A}"/>
            </a:ext>
          </a:extLst>
        </xdr:cNvPr>
        <xdr:cNvPicPr>
          <a:picLocks noChangeAspect="1"/>
        </xdr:cNvPicPr>
      </xdr:nvPicPr>
      <xdr:blipFill>
        <a:blip xmlns:r="http://schemas.openxmlformats.org/officeDocument/2006/relationships" r:embed="rId6"/>
        <a:stretch>
          <a:fillRect/>
        </a:stretch>
      </xdr:blipFill>
      <xdr:spPr>
        <a:xfrm>
          <a:off x="0" y="16215361"/>
          <a:ext cx="14171281" cy="245272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77" t="s">
        <v>2</v>
      </c>
      <c r="B13" s="77"/>
      <c r="C13" s="77"/>
      <c r="D13" s="77"/>
      <c r="E13" s="77"/>
      <c r="F13" s="77"/>
      <c r="G13" s="77"/>
      <c r="H13" s="77"/>
      <c r="I13" s="77"/>
      <c r="J13" s="77"/>
      <c r="K13" s="77"/>
      <c r="L13" s="77"/>
      <c r="M13" s="77"/>
      <c r="N13" s="77"/>
      <c r="O13" s="77"/>
      <c r="P13" s="77"/>
      <c r="Q13" s="77"/>
      <c r="R13" s="77"/>
      <c r="S13" s="77"/>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78" t="s">
        <v>17</v>
      </c>
      <c r="B18" s="78"/>
      <c r="C18" s="78"/>
      <c r="D18" s="78"/>
      <c r="E18" s="78"/>
      <c r="F18" s="78"/>
      <c r="G18" s="78"/>
      <c r="H18" s="78"/>
      <c r="I18" s="78"/>
      <c r="J18" s="78"/>
      <c r="K18" s="78"/>
      <c r="L18" s="78"/>
      <c r="M18" s="78"/>
      <c r="N18" s="78"/>
      <c r="O18" s="78"/>
      <c r="P18" s="78"/>
      <c r="Q18" s="78"/>
      <c r="R18" s="78"/>
      <c r="S18" s="78"/>
    </row>
    <row r="19" spans="1:19" s="15" customFormat="1" ht="40.65" customHeight="1" x14ac:dyDescent="0.25">
      <c r="A19" s="79" t="s">
        <v>1</v>
      </c>
      <c r="B19" s="79"/>
      <c r="C19" s="79"/>
      <c r="D19" s="79"/>
      <c r="E19" s="79"/>
      <c r="F19" s="79"/>
      <c r="G19" s="79"/>
      <c r="H19" s="79"/>
      <c r="I19" s="79"/>
      <c r="J19" s="79"/>
      <c r="K19" s="79"/>
      <c r="L19" s="79"/>
      <c r="M19" s="79"/>
      <c r="N19" s="79"/>
      <c r="O19" s="79"/>
      <c r="P19" s="79"/>
      <c r="Q19" s="79"/>
      <c r="R19" s="79"/>
      <c r="S19" s="79"/>
    </row>
    <row r="20" spans="1:19" s="15" customFormat="1" ht="13.8" x14ac:dyDescent="0.25">
      <c r="A20" s="16"/>
      <c r="B20" s="16"/>
      <c r="C20" s="16"/>
      <c r="D20" s="16"/>
      <c r="E20" s="16"/>
      <c r="F20" s="16"/>
      <c r="G20" s="16"/>
      <c r="H20" s="16"/>
      <c r="I20" s="16"/>
      <c r="J20" s="16"/>
    </row>
    <row r="21" spans="1:19" s="15" customFormat="1" ht="58.65" customHeight="1" x14ac:dyDescent="0.25">
      <c r="A21" s="80" t="s">
        <v>74</v>
      </c>
      <c r="B21" s="80"/>
      <c r="C21" s="80"/>
      <c r="D21" s="80"/>
      <c r="E21" s="80"/>
      <c r="F21" s="80"/>
      <c r="G21" s="80"/>
      <c r="H21" s="80"/>
      <c r="I21" s="80"/>
      <c r="J21" s="6"/>
      <c r="K21" s="81" t="s">
        <v>89</v>
      </c>
      <c r="L21" s="81"/>
      <c r="M21" s="81"/>
      <c r="N21" s="81"/>
      <c r="O21" s="81"/>
      <c r="P21" s="81"/>
      <c r="Q21" s="81"/>
      <c r="R21" s="81"/>
      <c r="S21" s="81"/>
    </row>
    <row r="22" spans="1:19" s="15" customFormat="1" ht="13.8" x14ac:dyDescent="0.25">
      <c r="A22" s="16"/>
      <c r="B22" s="16"/>
      <c r="C22" s="16"/>
      <c r="D22" s="16"/>
      <c r="E22" s="16"/>
      <c r="F22" s="16"/>
      <c r="G22" s="16"/>
      <c r="H22" s="16"/>
      <c r="I22" s="16"/>
      <c r="J22" s="16"/>
    </row>
    <row r="23" spans="1:19" s="15" customFormat="1" ht="70.2" customHeight="1" x14ac:dyDescent="0.25">
      <c r="A23" s="84" t="s">
        <v>18</v>
      </c>
      <c r="B23" s="84"/>
      <c r="C23" s="84"/>
      <c r="D23" s="84"/>
      <c r="E23" s="84"/>
      <c r="F23" s="84"/>
      <c r="G23" s="84"/>
      <c r="H23" s="84"/>
      <c r="I23" s="84"/>
      <c r="J23" s="7"/>
      <c r="K23" s="85" t="s">
        <v>90</v>
      </c>
      <c r="L23" s="85"/>
      <c r="M23" s="85"/>
      <c r="N23" s="85"/>
      <c r="O23" s="85"/>
      <c r="P23" s="85"/>
      <c r="Q23" s="85"/>
      <c r="R23" s="85"/>
      <c r="S23" s="85"/>
    </row>
    <row r="24" spans="1:19" s="15" customFormat="1" ht="13.8" x14ac:dyDescent="0.25">
      <c r="A24" s="16"/>
      <c r="B24" s="16"/>
      <c r="C24" s="16"/>
      <c r="D24" s="16"/>
      <c r="E24" s="16"/>
      <c r="F24" s="16"/>
      <c r="G24" s="16"/>
      <c r="H24" s="16"/>
      <c r="I24" s="16"/>
      <c r="J24" s="16"/>
    </row>
    <row r="25" spans="1:19" s="15" customFormat="1" ht="70.2" customHeight="1" x14ac:dyDescent="0.25">
      <c r="A25" s="86" t="s">
        <v>3</v>
      </c>
      <c r="B25" s="86"/>
      <c r="C25" s="86"/>
      <c r="D25" s="86"/>
      <c r="E25" s="86"/>
      <c r="F25" s="86"/>
      <c r="G25" s="86"/>
      <c r="H25" s="86"/>
      <c r="I25" s="86"/>
      <c r="J25" s="7"/>
      <c r="K25" s="87" t="s">
        <v>91</v>
      </c>
      <c r="L25" s="87"/>
      <c r="M25" s="87"/>
      <c r="N25" s="87"/>
      <c r="O25" s="87"/>
      <c r="P25" s="87"/>
      <c r="Q25" s="87"/>
      <c r="R25" s="87"/>
      <c r="S25" s="87"/>
    </row>
    <row r="26" spans="1:19" s="15" customFormat="1" ht="13.8" x14ac:dyDescent="0.25">
      <c r="A26" s="16"/>
      <c r="B26" s="16"/>
      <c r="C26" s="16"/>
      <c r="D26" s="16"/>
      <c r="E26" s="16"/>
      <c r="F26" s="16"/>
      <c r="G26" s="16"/>
      <c r="H26" s="16"/>
      <c r="I26" s="16"/>
      <c r="J26" s="16"/>
    </row>
    <row r="27" spans="1:19" ht="27" customHeight="1" x14ac:dyDescent="0.25">
      <c r="A27" s="82" t="s">
        <v>13</v>
      </c>
      <c r="B27" s="82"/>
      <c r="C27" s="82"/>
      <c r="D27" s="82"/>
      <c r="E27" s="82"/>
      <c r="F27" s="82"/>
      <c r="G27" s="82"/>
      <c r="H27" s="82"/>
      <c r="I27" s="82"/>
      <c r="K27" s="83" t="s">
        <v>19</v>
      </c>
      <c r="L27" s="83"/>
      <c r="M27" s="83"/>
      <c r="N27" s="83"/>
      <c r="O27" s="83"/>
      <c r="P27" s="83"/>
      <c r="Q27" s="83"/>
      <c r="R27" s="83"/>
      <c r="S27" s="83"/>
    </row>
    <row r="28" spans="1:19" ht="27" customHeight="1" x14ac:dyDescent="0.25">
      <c r="A28" s="82"/>
      <c r="B28" s="82"/>
      <c r="C28" s="82"/>
      <c r="D28" s="82"/>
      <c r="E28" s="82"/>
      <c r="F28" s="82"/>
      <c r="G28" s="82"/>
      <c r="H28" s="82"/>
      <c r="I28" s="82"/>
      <c r="K28" s="83"/>
      <c r="L28" s="83"/>
      <c r="M28" s="83"/>
      <c r="N28" s="83"/>
      <c r="O28" s="17"/>
      <c r="P28" s="17"/>
      <c r="Q28" s="17"/>
      <c r="R28" s="17"/>
      <c r="S28" s="17"/>
    </row>
    <row r="29" spans="1:19" ht="27" customHeight="1" x14ac:dyDescent="0.25">
      <c r="A29" s="82"/>
      <c r="B29" s="82"/>
      <c r="C29" s="82"/>
      <c r="D29" s="82"/>
      <c r="E29" s="82"/>
      <c r="F29" s="82"/>
      <c r="G29" s="82"/>
      <c r="H29" s="82"/>
      <c r="I29" s="82"/>
      <c r="K29" s="83"/>
      <c r="L29" s="83"/>
      <c r="M29" s="83"/>
      <c r="N29" s="83"/>
      <c r="O29" s="83"/>
      <c r="P29" s="83"/>
      <c r="Q29" s="83"/>
      <c r="R29" s="83"/>
      <c r="S29" s="83"/>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44530</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0" workbookViewId="0">
      <selection activeCell="C35" sqref="C35"/>
    </sheetView>
  </sheetViews>
  <sheetFormatPr defaultColWidth="8" defaultRowHeight="13.2" x14ac:dyDescent="0.25"/>
  <cols>
    <col min="1" max="1" width="54.109375" style="2" customWidth="1"/>
    <col min="2" max="2" width="86.44140625" style="36" customWidth="1"/>
    <col min="3" max="3" width="25.109375" style="2" bestFit="1" customWidth="1"/>
    <col min="4" max="16384" width="8" style="2"/>
  </cols>
  <sheetData>
    <row r="1" spans="1:3" hidden="1" x14ac:dyDescent="0.25">
      <c r="A1" s="1" t="s">
        <v>5</v>
      </c>
    </row>
    <row r="2" spans="1:3" hidden="1" x14ac:dyDescent="0.25">
      <c r="A2" s="3" t="s">
        <v>20</v>
      </c>
      <c r="B2" s="37" t="s">
        <v>6</v>
      </c>
    </row>
    <row r="3" spans="1:3" hidden="1" x14ac:dyDescent="0.25">
      <c r="A3" s="3" t="s">
        <v>20</v>
      </c>
      <c r="B3" s="37" t="s">
        <v>6</v>
      </c>
    </row>
    <row r="4" spans="1:3" hidden="1" x14ac:dyDescent="0.25">
      <c r="A4" s="3" t="s">
        <v>21</v>
      </c>
      <c r="B4" s="37" t="s">
        <v>7</v>
      </c>
    </row>
    <row r="5" spans="1:3" hidden="1" x14ac:dyDescent="0.25">
      <c r="A5" s="3" t="s">
        <v>22</v>
      </c>
      <c r="B5" s="37" t="s">
        <v>7</v>
      </c>
    </row>
    <row r="6" spans="1:3" x14ac:dyDescent="0.25">
      <c r="A6" s="5"/>
      <c r="B6" s="38"/>
      <c r="C6" s="4"/>
    </row>
    <row r="7" spans="1:3" x14ac:dyDescent="0.25">
      <c r="A7" s="30"/>
      <c r="B7" s="38"/>
      <c r="C7" s="4"/>
    </row>
    <row r="8" spans="1:3" ht="28.2" x14ac:dyDescent="0.25">
      <c r="A8" s="88" t="s">
        <v>1</v>
      </c>
      <c r="B8" s="88"/>
      <c r="C8" s="29" t="s">
        <v>8</v>
      </c>
    </row>
    <row r="9" spans="1:3" x14ac:dyDescent="0.25">
      <c r="A9" s="4"/>
      <c r="B9" s="38"/>
      <c r="C9" s="4"/>
    </row>
    <row r="10" spans="1:3" x14ac:dyDescent="0.25">
      <c r="A10" s="5" t="s">
        <v>9</v>
      </c>
      <c r="B10" s="89" t="s">
        <v>10</v>
      </c>
      <c r="C10" s="89"/>
    </row>
    <row r="11" spans="1:3" x14ac:dyDescent="0.25">
      <c r="A11" s="25" t="s">
        <v>11</v>
      </c>
      <c r="B11" s="21" t="s">
        <v>84</v>
      </c>
      <c r="C11" s="22"/>
    </row>
    <row r="12" spans="1:3" x14ac:dyDescent="0.25">
      <c r="A12" s="30"/>
      <c r="B12" s="38"/>
      <c r="C12" s="4"/>
    </row>
    <row r="13" spans="1:3" x14ac:dyDescent="0.25">
      <c r="A13" s="30"/>
      <c r="B13" s="38"/>
      <c r="C13" s="4"/>
    </row>
    <row r="14" spans="1:3" ht="19.649999999999999" customHeight="1" x14ac:dyDescent="0.25">
      <c r="A14" s="26" t="str">
        <f>CONCATENATE("To be Performed by Tester : ",'Test Cycle 1'!H2)</f>
        <v>To be Performed by Tester : Mingoué Frank</v>
      </c>
      <c r="B14" s="39"/>
      <c r="C14" s="4"/>
    </row>
    <row r="15" spans="1:3" ht="21.9" customHeight="1" x14ac:dyDescent="0.3">
      <c r="A15" s="31" t="s">
        <v>23</v>
      </c>
      <c r="B15" s="90"/>
      <c r="C15" s="91"/>
    </row>
    <row r="16" spans="1:3" ht="39.75" customHeight="1" x14ac:dyDescent="0.25">
      <c r="A16" s="28" t="s">
        <v>24</v>
      </c>
      <c r="B16" s="28" t="s">
        <v>12</v>
      </c>
      <c r="C16" s="23" t="s">
        <v>25</v>
      </c>
    </row>
    <row r="17" spans="1:3" x14ac:dyDescent="0.25">
      <c r="A17" s="24" t="s">
        <v>26</v>
      </c>
      <c r="B17" s="40"/>
      <c r="C17" s="27" t="s">
        <v>82</v>
      </c>
    </row>
    <row r="18" spans="1:3" x14ac:dyDescent="0.25">
      <c r="A18" s="24" t="s">
        <v>27</v>
      </c>
      <c r="B18" s="40"/>
      <c r="C18" s="27" t="s">
        <v>83</v>
      </c>
    </row>
    <row r="19" spans="1:3" x14ac:dyDescent="0.25">
      <c r="A19" s="24" t="s">
        <v>28</v>
      </c>
      <c r="B19" s="40"/>
      <c r="C19" s="27" t="s">
        <v>83</v>
      </c>
    </row>
    <row r="20" spans="1:3" x14ac:dyDescent="0.25">
      <c r="A20" s="24" t="s">
        <v>76</v>
      </c>
      <c r="B20" s="41"/>
      <c r="C20" s="27" t="s">
        <v>125</v>
      </c>
    </row>
    <row r="21" spans="1:3" x14ac:dyDescent="0.25">
      <c r="A21" s="24" t="s">
        <v>77</v>
      </c>
      <c r="B21" s="40"/>
      <c r="C21" s="27" t="s">
        <v>125</v>
      </c>
    </row>
    <row r="22" spans="1:3" x14ac:dyDescent="0.25">
      <c r="A22" s="24" t="s">
        <v>79</v>
      </c>
      <c r="B22" s="40"/>
      <c r="C22" s="27" t="s">
        <v>125</v>
      </c>
    </row>
    <row r="23" spans="1:3" x14ac:dyDescent="0.25">
      <c r="A23" s="24" t="s">
        <v>78</v>
      </c>
      <c r="B23" s="44"/>
      <c r="C23" s="27" t="s">
        <v>83</v>
      </c>
    </row>
    <row r="24" spans="1:3" x14ac:dyDescent="0.25">
      <c r="A24" s="24" t="s">
        <v>29</v>
      </c>
      <c r="B24" s="40"/>
      <c r="C24" s="27" t="s">
        <v>82</v>
      </c>
    </row>
    <row r="25" spans="1:3" x14ac:dyDescent="0.25">
      <c r="A25" s="24" t="s">
        <v>30</v>
      </c>
      <c r="B25" s="40"/>
      <c r="C25" s="27" t="s">
        <v>83</v>
      </c>
    </row>
    <row r="26" spans="1:3" ht="26.4" x14ac:dyDescent="0.25">
      <c r="A26" s="24" t="s">
        <v>31</v>
      </c>
      <c r="B26" s="27"/>
      <c r="C26" s="27" t="s">
        <v>83</v>
      </c>
    </row>
    <row r="27" spans="1:3" x14ac:dyDescent="0.25">
      <c r="A27" s="24" t="s">
        <v>55</v>
      </c>
      <c r="B27" s="27"/>
      <c r="C27" s="27" t="s">
        <v>125</v>
      </c>
    </row>
    <row r="28" spans="1:3" x14ac:dyDescent="0.25">
      <c r="A28" s="24" t="s">
        <v>80</v>
      </c>
      <c r="B28" s="40"/>
      <c r="C28" s="27" t="s">
        <v>83</v>
      </c>
    </row>
    <row r="29" spans="1:3" x14ac:dyDescent="0.25">
      <c r="A29" s="24" t="s">
        <v>81</v>
      </c>
      <c r="B29" s="40"/>
      <c r="C29" s="27" t="s">
        <v>83</v>
      </c>
    </row>
    <row r="30" spans="1:3" x14ac:dyDescent="0.25">
      <c r="A30" s="33"/>
      <c r="B30" s="42"/>
      <c r="C30" s="34"/>
    </row>
    <row r="31" spans="1:3" x14ac:dyDescent="0.25">
      <c r="A31" s="35"/>
      <c r="B31" s="43"/>
      <c r="C31" s="35"/>
    </row>
    <row r="32" spans="1:3" x14ac:dyDescent="0.25">
      <c r="A32" s="32" t="str">
        <f>CONCATENATE("To be Performed by Reviewer : ",'Test Cycle 1'!H3)</f>
        <v xml:space="preserve">To be Performed by Reviewer : </v>
      </c>
      <c r="B32" s="39"/>
      <c r="C32" s="4"/>
    </row>
    <row r="33" spans="1:3" ht="14.4" x14ac:dyDescent="0.3">
      <c r="A33" s="31" t="s">
        <v>23</v>
      </c>
      <c r="B33" s="90"/>
      <c r="C33" s="91"/>
    </row>
    <row r="34" spans="1:3" ht="26.4" x14ac:dyDescent="0.25">
      <c r="A34" s="28" t="s">
        <v>24</v>
      </c>
      <c r="B34" s="28"/>
      <c r="C34" s="23" t="s">
        <v>25</v>
      </c>
    </row>
    <row r="35" spans="1:3" x14ac:dyDescent="0.25">
      <c r="A35" s="24" t="s">
        <v>32</v>
      </c>
      <c r="B35" s="40"/>
      <c r="C35" s="27" t="s">
        <v>82</v>
      </c>
    </row>
    <row r="36" spans="1:3" x14ac:dyDescent="0.25">
      <c r="A36" s="24" t="s">
        <v>33</v>
      </c>
      <c r="B36" s="40"/>
      <c r="C36" s="27" t="s">
        <v>82</v>
      </c>
    </row>
    <row r="37" spans="1:3" x14ac:dyDescent="0.25">
      <c r="A37" s="24" t="s">
        <v>75</v>
      </c>
      <c r="B37" s="40"/>
      <c r="C37" s="27" t="s">
        <v>82</v>
      </c>
    </row>
    <row r="38" spans="1:3" x14ac:dyDescent="0.25">
      <c r="A38" s="24" t="s">
        <v>34</v>
      </c>
      <c r="B38" s="40"/>
      <c r="C38" s="27" t="s">
        <v>82</v>
      </c>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5"/>
  <sheetViews>
    <sheetView topLeftCell="A12" zoomScale="60" zoomScaleNormal="60" workbookViewId="0">
      <selection activeCell="G11" sqref="G11"/>
    </sheetView>
  </sheetViews>
  <sheetFormatPr defaultColWidth="9.109375" defaultRowHeight="15.6" x14ac:dyDescent="0.3"/>
  <cols>
    <col min="1" max="1" width="22.88671875" style="58" customWidth="1"/>
    <col min="2" max="2" width="37.109375" style="58" customWidth="1"/>
    <col min="3" max="3" width="54.33203125" style="58" customWidth="1"/>
    <col min="4" max="4" width="23.44140625" style="58" bestFit="1" customWidth="1"/>
    <col min="5" max="5" width="41.44140625" style="64" customWidth="1"/>
    <col min="6" max="6" width="36.88671875" style="58" customWidth="1"/>
    <col min="7" max="7" width="39.44140625" style="58" customWidth="1"/>
    <col min="8" max="8" width="36.88671875" style="58" customWidth="1"/>
    <col min="9" max="9" width="25" style="58" customWidth="1"/>
    <col min="10" max="10" width="23.44140625" style="58" customWidth="1"/>
    <col min="11" max="11" width="32" style="58" customWidth="1"/>
    <col min="12" max="12" width="30.88671875" style="58" customWidth="1"/>
    <col min="13" max="22" width="9.109375" style="59"/>
    <col min="23" max="23" width="17.109375" style="59" bestFit="1" customWidth="1"/>
    <col min="24" max="24" width="9.109375" style="59"/>
    <col min="25" max="25" width="14.33203125" style="59" bestFit="1" customWidth="1"/>
    <col min="26" max="48" width="9.109375" style="59"/>
    <col min="49" max="49" width="9" style="59" customWidth="1"/>
    <col min="50" max="52" width="9.109375" style="59" hidden="1" customWidth="1"/>
    <col min="53" max="53" width="27.6640625" style="59" customWidth="1"/>
    <col min="54" max="16384" width="9.109375" style="59"/>
  </cols>
  <sheetData>
    <row r="1" spans="1:55" s="58" customFormat="1" ht="24.6" customHeight="1" x14ac:dyDescent="0.3">
      <c r="A1" s="54" t="s">
        <v>43</v>
      </c>
      <c r="B1" s="92" t="s">
        <v>122</v>
      </c>
      <c r="C1" s="92"/>
      <c r="D1" s="92"/>
      <c r="E1" s="55" t="s">
        <v>44</v>
      </c>
      <c r="F1" s="56" t="s">
        <v>121</v>
      </c>
      <c r="G1" s="57"/>
      <c r="H1" s="57"/>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60" t="s">
        <v>35</v>
      </c>
      <c r="BB1" s="60" t="s">
        <v>35</v>
      </c>
      <c r="BC1" s="58" t="s">
        <v>36</v>
      </c>
    </row>
    <row r="2" spans="1:55" s="58" customFormat="1" ht="19.2" customHeight="1" x14ac:dyDescent="0.3">
      <c r="A2" s="54" t="s">
        <v>46</v>
      </c>
      <c r="B2" s="92" t="s">
        <v>123</v>
      </c>
      <c r="C2" s="92"/>
      <c r="D2" s="92"/>
      <c r="E2" s="55" t="s">
        <v>47</v>
      </c>
      <c r="F2" s="61">
        <v>44516</v>
      </c>
      <c r="G2" s="54" t="s">
        <v>48</v>
      </c>
      <c r="H2" s="56" t="s">
        <v>85</v>
      </c>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60" t="s">
        <v>37</v>
      </c>
      <c r="BB2" s="60" t="s">
        <v>37</v>
      </c>
      <c r="BC2" s="58" t="s">
        <v>38</v>
      </c>
    </row>
    <row r="3" spans="1:55" s="58" customFormat="1" ht="26.25" customHeight="1" x14ac:dyDescent="0.3">
      <c r="A3" s="54" t="s">
        <v>50</v>
      </c>
      <c r="B3" s="93" t="s">
        <v>39</v>
      </c>
      <c r="C3" s="93"/>
      <c r="D3" s="93"/>
      <c r="E3" s="55" t="s">
        <v>51</v>
      </c>
      <c r="F3" s="62"/>
      <c r="G3" s="54" t="s">
        <v>52</v>
      </c>
      <c r="H3" s="56"/>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60" t="s">
        <v>39</v>
      </c>
      <c r="BB3" s="60" t="s">
        <v>40</v>
      </c>
      <c r="BC3" s="58" t="s">
        <v>15</v>
      </c>
    </row>
    <row r="4" spans="1:55" s="58" customFormat="1" ht="27" customHeight="1" x14ac:dyDescent="0.4">
      <c r="A4" s="54" t="s">
        <v>54</v>
      </c>
      <c r="B4" s="94"/>
      <c r="C4" s="94"/>
      <c r="D4" s="94"/>
      <c r="E4" s="94"/>
      <c r="F4" s="94"/>
      <c r="G4" s="94"/>
      <c r="H4" s="94"/>
      <c r="M4" s="59"/>
      <c r="N4" s="59"/>
      <c r="O4" s="59"/>
      <c r="P4" s="59"/>
      <c r="Q4" s="59"/>
      <c r="R4" s="59"/>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60" t="s">
        <v>41</v>
      </c>
      <c r="BB4" s="60" t="s">
        <v>15</v>
      </c>
      <c r="BC4" s="58" t="s">
        <v>16</v>
      </c>
    </row>
    <row r="5" spans="1:55" s="58" customFormat="1" x14ac:dyDescent="0.3">
      <c r="A5" s="63" t="s">
        <v>66</v>
      </c>
      <c r="B5" s="63" t="s">
        <v>67</v>
      </c>
      <c r="C5" s="63" t="s">
        <v>68</v>
      </c>
      <c r="D5" s="63" t="s">
        <v>69</v>
      </c>
      <c r="E5" s="63" t="s">
        <v>70</v>
      </c>
      <c r="F5" s="63" t="s">
        <v>71</v>
      </c>
      <c r="G5" s="63" t="s">
        <v>72</v>
      </c>
      <c r="H5" s="63" t="s">
        <v>73</v>
      </c>
      <c r="I5" s="63" t="s">
        <v>64</v>
      </c>
      <c r="J5" s="63" t="s">
        <v>65</v>
      </c>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60" t="s">
        <v>42</v>
      </c>
      <c r="AZ5" s="60" t="s">
        <v>16</v>
      </c>
    </row>
    <row r="6" spans="1:55" s="72" customFormat="1" ht="93.6" customHeight="1" x14ac:dyDescent="0.25">
      <c r="A6" s="74"/>
      <c r="B6" s="70" t="s">
        <v>93</v>
      </c>
      <c r="C6" s="70" t="s">
        <v>92</v>
      </c>
      <c r="D6" s="67" t="s">
        <v>94</v>
      </c>
      <c r="E6" s="76" t="s">
        <v>126</v>
      </c>
      <c r="F6" s="70" t="s">
        <v>95</v>
      </c>
      <c r="G6" s="67" t="s">
        <v>126</v>
      </c>
      <c r="H6" s="70" t="s">
        <v>96</v>
      </c>
      <c r="I6" s="68"/>
      <c r="J6" s="71"/>
      <c r="AY6" s="73"/>
    </row>
    <row r="7" spans="1:55" s="72" customFormat="1" ht="51.6" customHeight="1" x14ac:dyDescent="0.25">
      <c r="A7" s="74"/>
      <c r="B7" s="71" t="s">
        <v>97</v>
      </c>
      <c r="C7" s="70" t="s">
        <v>98</v>
      </c>
      <c r="D7" s="70"/>
      <c r="E7" s="67" t="s">
        <v>99</v>
      </c>
      <c r="F7" s="70" t="s">
        <v>105</v>
      </c>
      <c r="G7" s="67" t="s">
        <v>101</v>
      </c>
      <c r="H7" s="70" t="s">
        <v>100</v>
      </c>
      <c r="I7" s="68"/>
      <c r="J7" s="71"/>
      <c r="AY7" s="73"/>
    </row>
    <row r="8" spans="1:55" s="72" customFormat="1" ht="84.6" customHeight="1" x14ac:dyDescent="0.25">
      <c r="A8" s="74">
        <v>1</v>
      </c>
      <c r="B8" s="71" t="s">
        <v>102</v>
      </c>
      <c r="C8" s="70" t="s">
        <v>103</v>
      </c>
      <c r="D8" s="67" t="s">
        <v>104</v>
      </c>
      <c r="E8" s="67" t="s">
        <v>128</v>
      </c>
      <c r="F8" s="70" t="s">
        <v>95</v>
      </c>
      <c r="G8" s="67" t="s">
        <v>128</v>
      </c>
      <c r="H8" s="70" t="s">
        <v>106</v>
      </c>
      <c r="I8" s="68"/>
      <c r="J8" s="71"/>
      <c r="AY8" s="73" t="s">
        <v>45</v>
      </c>
    </row>
    <row r="9" spans="1:55" s="72" customFormat="1" ht="116.25" customHeight="1" x14ac:dyDescent="0.25">
      <c r="A9" s="68">
        <v>2</v>
      </c>
      <c r="B9" s="67" t="s">
        <v>109</v>
      </c>
      <c r="C9" s="70" t="s">
        <v>107</v>
      </c>
      <c r="D9" s="69" t="s">
        <v>104</v>
      </c>
      <c r="E9" s="67" t="s">
        <v>108</v>
      </c>
      <c r="F9" s="70" t="s">
        <v>108</v>
      </c>
      <c r="G9" s="67" t="s">
        <v>108</v>
      </c>
      <c r="H9" s="70"/>
      <c r="I9" s="68"/>
      <c r="J9" s="71"/>
      <c r="AY9" s="73" t="s">
        <v>49</v>
      </c>
    </row>
    <row r="10" spans="1:55" s="72" customFormat="1" ht="193.8" customHeight="1" x14ac:dyDescent="0.25">
      <c r="A10" s="70">
        <v>3</v>
      </c>
      <c r="B10" s="67" t="s">
        <v>110</v>
      </c>
      <c r="C10" s="67" t="s">
        <v>112</v>
      </c>
      <c r="D10" s="70" t="s">
        <v>118</v>
      </c>
      <c r="E10" s="67" t="s">
        <v>130</v>
      </c>
      <c r="F10" s="70" t="s">
        <v>95</v>
      </c>
      <c r="G10" s="67" t="s">
        <v>130</v>
      </c>
      <c r="H10" s="70" t="s">
        <v>95</v>
      </c>
      <c r="I10" s="68"/>
      <c r="J10" s="71"/>
      <c r="AY10" s="73" t="s">
        <v>53</v>
      </c>
    </row>
    <row r="11" spans="1:55" s="72" customFormat="1" ht="197.4" customHeight="1" x14ac:dyDescent="0.25">
      <c r="A11" s="74">
        <v>4</v>
      </c>
      <c r="B11" s="71" t="s">
        <v>111</v>
      </c>
      <c r="C11" s="67" t="s">
        <v>112</v>
      </c>
      <c r="D11" s="70" t="s">
        <v>118</v>
      </c>
      <c r="E11" s="67" t="s">
        <v>129</v>
      </c>
      <c r="F11" s="70" t="s">
        <v>95</v>
      </c>
      <c r="G11" s="67" t="s">
        <v>129</v>
      </c>
      <c r="H11" s="70" t="s">
        <v>88</v>
      </c>
      <c r="I11" s="68"/>
      <c r="J11" s="71"/>
      <c r="U11" s="75"/>
    </row>
    <row r="12" spans="1:55" s="72" customFormat="1" ht="202.8" x14ac:dyDescent="0.25">
      <c r="A12" s="68">
        <v>5</v>
      </c>
      <c r="B12" s="71" t="s">
        <v>114</v>
      </c>
      <c r="C12" s="67" t="s">
        <v>112</v>
      </c>
      <c r="D12" s="70" t="s">
        <v>118</v>
      </c>
      <c r="E12" s="67" t="s">
        <v>127</v>
      </c>
      <c r="F12" s="70" t="s">
        <v>95</v>
      </c>
      <c r="G12" s="67" t="s">
        <v>127</v>
      </c>
      <c r="H12" s="70" t="s">
        <v>113</v>
      </c>
      <c r="I12" s="68"/>
      <c r="J12" s="71"/>
      <c r="U12" s="75"/>
    </row>
    <row r="13" spans="1:55" s="72" customFormat="1" ht="69.599999999999994" customHeight="1" x14ac:dyDescent="0.25">
      <c r="A13" s="70">
        <v>6</v>
      </c>
      <c r="B13" s="71" t="s">
        <v>117</v>
      </c>
      <c r="C13" s="67" t="s">
        <v>112</v>
      </c>
      <c r="D13" s="70" t="s">
        <v>94</v>
      </c>
      <c r="E13" s="67" t="s">
        <v>119</v>
      </c>
      <c r="F13" s="70" t="s">
        <v>95</v>
      </c>
      <c r="G13" s="67" t="s">
        <v>119</v>
      </c>
      <c r="H13" s="70" t="s">
        <v>115</v>
      </c>
      <c r="I13" s="68"/>
      <c r="J13" s="71"/>
    </row>
    <row r="14" spans="1:55" s="72" customFormat="1" ht="149.4" customHeight="1" x14ac:dyDescent="0.25">
      <c r="A14" s="74">
        <v>7</v>
      </c>
      <c r="B14" s="71" t="s">
        <v>120</v>
      </c>
      <c r="C14" s="67" t="s">
        <v>112</v>
      </c>
      <c r="D14" s="70" t="s">
        <v>94</v>
      </c>
      <c r="E14" s="76" t="s">
        <v>126</v>
      </c>
      <c r="F14" s="70" t="s">
        <v>95</v>
      </c>
      <c r="G14" s="76" t="s">
        <v>126</v>
      </c>
      <c r="H14" s="70" t="s">
        <v>116</v>
      </c>
      <c r="I14" s="68"/>
      <c r="J14" s="71"/>
    </row>
    <row r="15" spans="1:55" s="72" customFormat="1" x14ac:dyDescent="0.25">
      <c r="A15" s="68">
        <v>8</v>
      </c>
      <c r="B15" s="71"/>
      <c r="C15" s="67"/>
      <c r="D15" s="70"/>
      <c r="E15" s="67"/>
      <c r="F15" s="70"/>
      <c r="G15" s="67"/>
      <c r="H15" s="70"/>
      <c r="I15" s="68"/>
      <c r="J15" s="71"/>
      <c r="U15" s="75"/>
    </row>
    <row r="16" spans="1:55" s="72" customFormat="1" x14ac:dyDescent="0.25">
      <c r="A16" s="70">
        <v>9</v>
      </c>
      <c r="B16" s="70"/>
      <c r="C16" s="70"/>
      <c r="D16" s="70"/>
      <c r="E16" s="67"/>
      <c r="F16" s="70"/>
      <c r="G16" s="67"/>
      <c r="H16" s="70"/>
      <c r="I16" s="68"/>
      <c r="J16" s="71"/>
    </row>
    <row r="17" spans="1:10" s="72" customFormat="1" x14ac:dyDescent="0.25">
      <c r="A17" s="74">
        <v>10</v>
      </c>
      <c r="B17" s="70"/>
      <c r="C17" s="70"/>
      <c r="D17" s="70"/>
      <c r="E17" s="67"/>
      <c r="F17" s="70"/>
      <c r="G17" s="67"/>
      <c r="H17" s="70"/>
      <c r="I17" s="68"/>
      <c r="J17" s="71"/>
    </row>
    <row r="18" spans="1:10" s="72" customFormat="1" x14ac:dyDescent="0.25">
      <c r="A18" s="68">
        <v>11</v>
      </c>
      <c r="B18" s="70"/>
      <c r="C18" s="70"/>
      <c r="D18" s="70"/>
      <c r="E18" s="67"/>
      <c r="F18" s="70"/>
      <c r="G18" s="67"/>
      <c r="H18" s="70"/>
      <c r="I18" s="68"/>
      <c r="J18" s="71"/>
    </row>
    <row r="19" spans="1:10" s="72" customFormat="1" ht="23.25" customHeight="1" x14ac:dyDescent="0.25">
      <c r="A19" s="70">
        <v>12</v>
      </c>
      <c r="B19" s="70"/>
      <c r="C19" s="70"/>
      <c r="D19" s="70"/>
      <c r="E19" s="67"/>
      <c r="F19" s="70"/>
      <c r="G19" s="67"/>
      <c r="H19" s="70"/>
      <c r="I19" s="68"/>
      <c r="J19" s="71"/>
    </row>
    <row r="20" spans="1:10" s="72" customFormat="1" ht="30" customHeight="1" x14ac:dyDescent="0.25">
      <c r="A20" s="70">
        <v>12</v>
      </c>
      <c r="B20" s="70"/>
      <c r="C20" s="70"/>
      <c r="D20" s="70"/>
      <c r="E20" s="67"/>
      <c r="F20" s="70"/>
      <c r="G20" s="67"/>
      <c r="H20" s="70"/>
      <c r="I20" s="68"/>
      <c r="J20" s="71"/>
    </row>
    <row r="21" spans="1:10" s="58" customFormat="1" x14ac:dyDescent="0.3">
      <c r="E21" s="64"/>
    </row>
    <row r="23" spans="1:10" s="58" customFormat="1" x14ac:dyDescent="0.3">
      <c r="E23" s="64"/>
    </row>
    <row r="24" spans="1:10" s="58" customFormat="1" ht="111.75" customHeight="1" x14ac:dyDescent="0.3">
      <c r="E24" s="64"/>
    </row>
    <row r="25" spans="1:10" s="58" customFormat="1" ht="111.75" customHeight="1" x14ac:dyDescent="0.3">
      <c r="E25" s="64"/>
    </row>
  </sheetData>
  <mergeCells count="4">
    <mergeCell ref="B1:D1"/>
    <mergeCell ref="B2:D2"/>
    <mergeCell ref="B3:D3"/>
    <mergeCell ref="B4:H4"/>
  </mergeCells>
  <phoneticPr fontId="49" type="noConversion"/>
  <dataValidations count="2">
    <dataValidation type="list" allowBlank="1" showInputMessage="1" showErrorMessage="1" sqref="I6:I20" xr:uid="{00000000-0002-0000-0200-000001000000}">
      <formula1>$BB$1:$BB$5</formula1>
    </dataValidation>
    <dataValidation type="list" allowBlank="1" showInputMessage="1" showErrorMessage="1" sqref="B3:D3" xr:uid="{00000000-0002-0000-0200-000000000000}">
      <formula1>$BA$1:$BA$10</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45" customWidth="1"/>
    <col min="3" max="3" width="24.44140625" customWidth="1"/>
  </cols>
  <sheetData>
    <row r="1" spans="1:2" x14ac:dyDescent="0.25">
      <c r="A1" s="46" t="s">
        <v>62</v>
      </c>
      <c r="B1" s="47" t="s">
        <v>0</v>
      </c>
    </row>
    <row r="2" spans="1:2" outlineLevel="1" x14ac:dyDescent="0.25">
      <c r="A2" s="48" t="s">
        <v>56</v>
      </c>
      <c r="B2" s="53" t="str">
        <f>PPRD</f>
        <v>Feb , 2022</v>
      </c>
    </row>
    <row r="3" spans="1:2" x14ac:dyDescent="0.25">
      <c r="A3" s="48" t="s">
        <v>59</v>
      </c>
      <c r="B3" s="49" t="str">
        <f>CRN</f>
        <v>CHG215394</v>
      </c>
    </row>
    <row r="4" spans="1:2" x14ac:dyDescent="0.25">
      <c r="A4" s="48" t="s">
        <v>60</v>
      </c>
      <c r="B4" s="49" t="str">
        <f>MA</f>
        <v xml:space="preserve"> UK 	</v>
      </c>
    </row>
    <row r="5" spans="1:2" x14ac:dyDescent="0.25">
      <c r="A5" s="48" t="s">
        <v>61</v>
      </c>
      <c r="B5" s="49" t="str">
        <f>Area</f>
        <v>Data</v>
      </c>
    </row>
    <row r="6" spans="1:2" x14ac:dyDescent="0.25">
      <c r="A6" s="48" t="s">
        <v>44</v>
      </c>
      <c r="B6" s="49" t="str">
        <f>Entity</f>
        <v>Account</v>
      </c>
    </row>
    <row r="7" spans="1:2" x14ac:dyDescent="0.25">
      <c r="A7" s="48" t="s">
        <v>57</v>
      </c>
      <c r="B7" s="50">
        <f>DTested</f>
        <v>44516</v>
      </c>
    </row>
    <row r="8" spans="1:2" x14ac:dyDescent="0.25">
      <c r="A8" s="48" t="s">
        <v>58</v>
      </c>
      <c r="B8" s="51">
        <f>DReviewed</f>
        <v>0</v>
      </c>
    </row>
    <row r="9" spans="1:2" x14ac:dyDescent="0.25">
      <c r="A9" s="48" t="s">
        <v>48</v>
      </c>
      <c r="B9" s="49" t="str">
        <f>TestedBy</f>
        <v>Mingoué Frank</v>
      </c>
    </row>
    <row r="10" spans="1:2" x14ac:dyDescent="0.25">
      <c r="A10" s="48" t="s">
        <v>52</v>
      </c>
      <c r="B10" s="49">
        <f>ReviewedBy</f>
        <v>0</v>
      </c>
    </row>
    <row r="12" spans="1:2" x14ac:dyDescent="0.25">
      <c r="A12" s="48" t="s">
        <v>63</v>
      </c>
      <c r="B12" s="52"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DDDB-CAC4-49AB-9E00-AC2D6CD6BA03}">
  <dimension ref="A2:A149"/>
  <sheetViews>
    <sheetView topLeftCell="A67" workbookViewId="0">
      <selection activeCell="A86" sqref="A86"/>
    </sheetView>
  </sheetViews>
  <sheetFormatPr defaultRowHeight="13.2" x14ac:dyDescent="0.25"/>
  <sheetData>
    <row r="2" spans="1:1" s="66" customFormat="1" x14ac:dyDescent="0.25">
      <c r="A2" s="65" t="s">
        <v>86</v>
      </c>
    </row>
    <row r="30" spans="1:1" s="66" customFormat="1" x14ac:dyDescent="0.25">
      <c r="A30" s="65" t="s">
        <v>87</v>
      </c>
    </row>
    <row r="46" spans="1:1" s="66" customFormat="1" x14ac:dyDescent="0.25">
      <c r="A46" s="65" t="s">
        <v>88</v>
      </c>
    </row>
    <row r="64" spans="1:1" s="66" customFormat="1" x14ac:dyDescent="0.25">
      <c r="A64" s="65" t="s">
        <v>113</v>
      </c>
    </row>
    <row r="86" spans="1:1" s="66" customFormat="1" x14ac:dyDescent="0.25">
      <c r="A86" s="65" t="s">
        <v>115</v>
      </c>
    </row>
    <row r="110" spans="1:1" s="66" customFormat="1" x14ac:dyDescent="0.25">
      <c r="A110" s="65" t="s">
        <v>115</v>
      </c>
    </row>
    <row r="125" spans="1:1" s="66" customFormat="1" x14ac:dyDescent="0.25">
      <c r="A125" s="65" t="s">
        <v>116</v>
      </c>
    </row>
    <row r="149" spans="1:1" s="66" customFormat="1" x14ac:dyDescent="0.25">
      <c r="A149" s="65" t="s">
        <v>124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027B6-98B2-4F6B-8EE1-B9851A514A2A}">
  <dimension ref="A2:A136"/>
  <sheetViews>
    <sheetView workbookViewId="0">
      <selection activeCell="J89" sqref="J89"/>
    </sheetView>
  </sheetViews>
  <sheetFormatPr defaultRowHeight="13.2" x14ac:dyDescent="0.25"/>
  <sheetData>
    <row r="2" spans="1:1" s="66" customFormat="1" x14ac:dyDescent="0.25">
      <c r="A2" s="65" t="s">
        <v>86</v>
      </c>
    </row>
    <row r="22" spans="1:1" s="66" customFormat="1" x14ac:dyDescent="0.25">
      <c r="A22" s="65" t="s">
        <v>87</v>
      </c>
    </row>
    <row r="38" spans="1:1" s="66" customFormat="1" x14ac:dyDescent="0.25">
      <c r="A38" s="65" t="s">
        <v>88</v>
      </c>
    </row>
    <row r="56" spans="1:1" s="66" customFormat="1" x14ac:dyDescent="0.25">
      <c r="A56" s="65" t="s">
        <v>113</v>
      </c>
    </row>
    <row r="73" spans="1:1" s="66" customFormat="1" x14ac:dyDescent="0.25">
      <c r="A73" s="65" t="s">
        <v>115</v>
      </c>
    </row>
    <row r="97" spans="1:1" s="66" customFormat="1" x14ac:dyDescent="0.25">
      <c r="A97" s="65" t="s">
        <v>115</v>
      </c>
    </row>
    <row r="112" spans="1:1" s="66" customFormat="1" x14ac:dyDescent="0.25">
      <c r="A112" s="65" t="s">
        <v>116</v>
      </c>
    </row>
    <row r="136" spans="1:1" s="66" customFormat="1" x14ac:dyDescent="0.25">
      <c r="A136" s="65" t="s">
        <v>124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42878-B9CF-49DA-A937-1C31A603E40F}">
  <dimension ref="A2:A120"/>
  <sheetViews>
    <sheetView tabSelected="1" topLeftCell="A109" workbookViewId="0">
      <selection activeCell="A54" sqref="A54"/>
    </sheetView>
  </sheetViews>
  <sheetFormatPr defaultRowHeight="13.2" x14ac:dyDescent="0.25"/>
  <sheetData>
    <row r="2" spans="1:1" s="66" customFormat="1" x14ac:dyDescent="0.25">
      <c r="A2" s="65" t="s">
        <v>86</v>
      </c>
    </row>
    <row r="20" spans="1:1" s="66" customFormat="1" x14ac:dyDescent="0.25">
      <c r="A20" s="65" t="s">
        <v>87</v>
      </c>
    </row>
    <row r="36" spans="1:1" s="66" customFormat="1" x14ac:dyDescent="0.25">
      <c r="A36" s="65" t="s">
        <v>88</v>
      </c>
    </row>
    <row r="54" spans="1:1" s="66" customFormat="1" x14ac:dyDescent="0.25">
      <c r="A54" s="65" t="s">
        <v>113</v>
      </c>
    </row>
    <row r="71" spans="1:1" s="66" customFormat="1" x14ac:dyDescent="0.25">
      <c r="A71" s="65" t="s">
        <v>113</v>
      </c>
    </row>
    <row r="81" spans="1:1" s="66" customFormat="1" x14ac:dyDescent="0.25">
      <c r="A81" s="65" t="s">
        <v>115</v>
      </c>
    </row>
    <row r="96" spans="1:1" s="66" customFormat="1" x14ac:dyDescent="0.25">
      <c r="A96" s="65" t="s">
        <v>116</v>
      </c>
    </row>
    <row r="120" spans="1:1" s="66" customFormat="1" x14ac:dyDescent="0.25">
      <c r="A120" s="65" t="s">
        <v>124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Cover</vt:lpstr>
      <vt:lpstr>Version Control</vt:lpstr>
      <vt:lpstr>Test Cycle 1</vt:lpstr>
      <vt:lpstr>AppConfig</vt:lpstr>
      <vt:lpstr>DAY 1</vt:lpstr>
      <vt:lpstr>DAY 2</vt:lpstr>
      <vt:lpstr>DAY 3</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2021-11-30T10:16:45Z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