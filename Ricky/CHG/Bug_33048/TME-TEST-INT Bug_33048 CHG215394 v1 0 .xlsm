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Ricky\CHG\C_CHG215394\"/>
    </mc:Choice>
  </mc:AlternateContent>
  <xr:revisionPtr revIDLastSave="0" documentId="13_ncr:1_{9A114F81-C7D8-4CAA-A8BA-3C735D8E2D15}" xr6:coauthVersionLast="46" xr6:coauthVersionMax="46" xr10:uidLastSave="{00000000-0000-0000-0000-000000000000}"/>
  <bookViews>
    <workbookView xWindow="-108" yWindow="-108" windowWidth="23256" windowHeight="12576" tabRatio="926" activeTab="4" xr2:uid="{00000000-000D-0000-FFFF-FFFF00000000}"/>
  </bookViews>
  <sheets>
    <sheet name="Cover" sheetId="20" r:id="rId1"/>
    <sheet name="Version Control" sheetId="23" r:id="rId2"/>
    <sheet name="Test Cycle 1" sheetId="24" r:id="rId3"/>
    <sheet name="AppConfig" sheetId="26" state="hidden" r:id="rId4"/>
    <sheet name="Screenshots" sheetId="28" r:id="rId5"/>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1'!$F$3</definedName>
    <definedName name="DTested">'Test Cycle 1'!$F$2</definedName>
    <definedName name="dTestedBy">'Test Cycle 1'!$H$2</definedName>
    <definedName name="Entity">'Test Cycle 1'!$F$1</definedName>
    <definedName name="MA">Cover!$K$25</definedName>
    <definedName name="PPRD">'Version Control'!$B$11</definedName>
    <definedName name="ReviewedBy">'Test Cycle 1'!$H$3</definedName>
    <definedName name="TestedBy">'Test Cycle 1'!$H$2</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26" l="1"/>
  <c r="B9" i="26"/>
  <c r="B8" i="26"/>
  <c r="B7" i="26"/>
  <c r="B6" i="26"/>
  <c r="B5" i="26"/>
  <c r="B4" i="26"/>
  <c r="B3" i="26"/>
  <c r="B2" i="26"/>
  <c r="A14" i="23"/>
  <c r="A32" i="23"/>
  <c r="C37"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00000000-0006-0000-0200-000001000000}">
      <text>
        <r>
          <rPr>
            <b/>
            <sz val="8"/>
            <color indexed="81"/>
            <rFont val="Tahoma"/>
            <family val="2"/>
          </rPr>
          <t>bruneau.melier:</t>
        </r>
        <r>
          <rPr>
            <sz val="8"/>
            <color indexed="81"/>
            <rFont val="Tahoma"/>
            <family val="2"/>
          </rPr>
          <t xml:space="preserve">
give the name of the mapping being tested </t>
        </r>
      </text>
    </comment>
    <comment ref="F1" authorId="0" shapeId="0" xr:uid="{00000000-0006-0000-0200-000002000000}">
      <text>
        <r>
          <rPr>
            <b/>
            <sz val="8"/>
            <color indexed="81"/>
            <rFont val="Tahoma"/>
            <family val="2"/>
          </rPr>
          <t>bruneau.melier:</t>
        </r>
        <r>
          <rPr>
            <sz val="8"/>
            <color indexed="81"/>
            <rFont val="Tahoma"/>
            <family val="2"/>
          </rPr>
          <t xml:space="preserve">
give the name of the entity being tested</t>
        </r>
      </text>
    </comment>
    <comment ref="B2" authorId="0" shapeId="0" xr:uid="{699509EE-BAB4-44F7-86B5-45BDAAABB1FA}">
      <text>
        <r>
          <rPr>
            <b/>
            <sz val="8"/>
            <color indexed="81"/>
            <rFont val="Tahoma"/>
            <family val="2"/>
          </rPr>
          <t>bruneau.melier:</t>
        </r>
        <r>
          <rPr>
            <sz val="8"/>
            <color indexed="81"/>
            <rFont val="Tahoma"/>
            <family val="2"/>
          </rPr>
          <t xml:space="preserve">
give the name of the mapping being tested </t>
        </r>
      </text>
    </comment>
    <comment ref="F2" authorId="0" shapeId="0" xr:uid="{00000000-0006-0000-0200-000004000000}">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00000000-0006-0000-0200-000005000000}">
      <text>
        <r>
          <rPr>
            <b/>
            <sz val="8"/>
            <color indexed="81"/>
            <rFont val="Tahoma"/>
            <family val="2"/>
          </rPr>
          <t>bruneau.melier:</t>
        </r>
        <r>
          <rPr>
            <sz val="8"/>
            <color indexed="81"/>
            <rFont val="Tahoma"/>
            <family val="2"/>
          </rPr>
          <t xml:space="preserve">
give the name of the developer/tester</t>
        </r>
      </text>
    </comment>
    <comment ref="B3" authorId="0" shapeId="0" xr:uid="{00000000-0006-0000-0200-000006000000}">
      <text>
        <r>
          <rPr>
            <b/>
            <sz val="8"/>
            <color indexed="81"/>
            <rFont val="Tahoma"/>
            <family val="2"/>
          </rPr>
          <t>bruneau.melier:</t>
        </r>
        <r>
          <rPr>
            <sz val="8"/>
            <color indexed="81"/>
            <rFont val="Tahoma"/>
            <family val="2"/>
          </rPr>
          <t xml:space="preserve">
indicate the status of the test script </t>
        </r>
      </text>
    </comment>
    <comment ref="F3" authorId="0" shapeId="0" xr:uid="{00000000-0006-0000-0200-000007000000}">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00000000-0006-0000-0200-000008000000}">
      <text>
        <r>
          <rPr>
            <b/>
            <sz val="8"/>
            <color indexed="81"/>
            <rFont val="Tahoma"/>
            <family val="2"/>
          </rPr>
          <t>bruneau.melier:</t>
        </r>
        <r>
          <rPr>
            <sz val="8"/>
            <color indexed="81"/>
            <rFont val="Tahoma"/>
            <family val="2"/>
          </rPr>
          <t xml:space="preserve">
give the name of the reviewer of the test script </t>
        </r>
      </text>
    </comment>
    <comment ref="B4" authorId="0" shapeId="0" xr:uid="{00000000-0006-0000-0200-000009000000}">
      <text>
        <r>
          <rPr>
            <b/>
            <sz val="8"/>
            <color indexed="81"/>
            <rFont val="Tahoma"/>
            <family val="2"/>
          </rPr>
          <t>bruneau.melier:</t>
        </r>
        <r>
          <rPr>
            <sz val="8"/>
            <color indexed="81"/>
            <rFont val="Tahoma"/>
            <family val="2"/>
          </rPr>
          <t xml:space="preserve">
give a description of the purpose of the test script </t>
        </r>
      </text>
    </comment>
    <comment ref="A5" authorId="1" shapeId="0" xr:uid="{00000000-0006-0000-0200-00000A00000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00000000-0006-0000-0200-00000B000000}">
      <text>
        <r>
          <rPr>
            <b/>
            <sz val="8"/>
            <color indexed="81"/>
            <rFont val="Tahoma"/>
            <family val="2"/>
          </rPr>
          <t>bruneau.melier:</t>
        </r>
        <r>
          <rPr>
            <sz val="8"/>
            <color indexed="81"/>
            <rFont val="Tahoma"/>
            <family val="2"/>
          </rPr>
          <t xml:space="preserve">
give a summary of the purpose of the test step </t>
        </r>
      </text>
    </comment>
    <comment ref="C5" authorId="0" shapeId="0" xr:uid="{00000000-0006-0000-0200-00000C000000}">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00000000-0006-0000-0200-00000D00000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00000000-0006-0000-0200-00000E000000}">
      <text>
        <r>
          <rPr>
            <b/>
            <sz val="8"/>
            <color indexed="81"/>
            <rFont val="Tahoma"/>
            <family val="2"/>
          </rPr>
          <t>bruneau.melier:</t>
        </r>
        <r>
          <rPr>
            <sz val="8"/>
            <color indexed="81"/>
            <rFont val="Tahoma"/>
            <family val="2"/>
          </rPr>
          <t xml:space="preserve">
SQL script (if any) to be used for executing the step</t>
        </r>
      </text>
    </comment>
    <comment ref="F5" authorId="0" shapeId="0" xr:uid="{00000000-0006-0000-0200-00000F00000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00000000-0006-0000-0200-000010000000}">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00000000-0006-0000-0200-00001100000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00000000-0006-0000-0200-000013000000}">
      <text>
        <r>
          <rPr>
            <b/>
            <sz val="8"/>
            <color indexed="81"/>
            <rFont val="Tahoma"/>
            <family val="2"/>
          </rPr>
          <t>bruneau.melier:</t>
        </r>
        <r>
          <rPr>
            <sz val="8"/>
            <color indexed="81"/>
            <rFont val="Tahoma"/>
            <family val="2"/>
          </rPr>
          <t xml:space="preserve">
Takes the value of Not Executed, WIP, Passed or Failed</t>
        </r>
      </text>
    </comment>
    <comment ref="J5" authorId="0" shapeId="0" xr:uid="{00000000-0006-0000-0200-00001400000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sharedStrings.xml><?xml version="1.0" encoding="utf-8"?>
<sst xmlns="http://schemas.openxmlformats.org/spreadsheetml/2006/main" count="175" uniqueCount="132">
  <si>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</si>
  <si>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</si>
  <si>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</si>
  <si>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</si>
  <si>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</si>
  <si>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</si>
  <si>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</si>
  <si>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</si>
  <si>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</si>
  <si>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</si>
  <si>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</si>
  <si>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</si>
  <si>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</si>
  <si>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</si>
  <si>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</si>
  <si>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</si>
  <si>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</si>
  <si>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</si>
  <si>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</si>
  <si>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</si>
  <si>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</si>
  <si>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</si>
  <si>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</si>
  <si>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</si>
  <si>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</si>
  <si>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</si>
  <si>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</si>
  <si>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</si>
  <si>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</si>
  <si>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Update Incident Template if any</t>
  </si>
  <si>
    <t>Data Impacted Objects Document Update</t>
  </si>
  <si>
    <t>Technical Solution, Data Update Flag &amp; Target Release on Scopesheet</t>
  </si>
  <si>
    <t>Test Script Passed</t>
  </si>
  <si>
    <t>Screenshots available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</si>
  <si>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</si>
  <si>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</si>
  <si>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</si>
  <si>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</si>
  <si>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</si>
  <si>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</si>
  <si>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</si>
  <si>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</si>
  <si>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</si>
  <si>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</si>
  <si>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</si>
  <si>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</si>
  <si>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</si>
  <si>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</si>
  <si>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</si>
  <si>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</si>
  <si>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</si>
  <si>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</si>
  <si>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</si>
  <si>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 xml:space="preserve">Review – Failed </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</si>
  <si>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</si>
  <si>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</si>
  <si>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</si>
  <si>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</si>
  <si>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</si>
  <si>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</si>
  <si>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</si>
  <si>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</si>
  <si>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</si>
  <si>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</si>
  <si>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</si>
  <si>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</si>
  <si>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</si>
  <si>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</si>
  <si>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</si>
  <si>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</si>
  <si>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</si>
  <si>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</si>
  <si>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</si>
  <si>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</si>
  <si>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CR\INC:</t>
  </si>
  <si>
    <t>ADO Update</t>
  </si>
  <si>
    <t>Data Issue Log in ADO correctly Updated</t>
  </si>
  <si>
    <t>Stored Procedures on ADO</t>
  </si>
  <si>
    <t xml:space="preserve">PHP/IFB Update on ADO </t>
  </si>
  <si>
    <t>PRE_EIM_TABLES on ADO if any</t>
  </si>
  <si>
    <t xml:space="preserve">Test Case completed </t>
  </si>
  <si>
    <t>Send Email for columns creation</t>
  </si>
  <si>
    <t>N</t>
  </si>
  <si>
    <t>Y</t>
  </si>
  <si>
    <t>Feb , 2022</t>
  </si>
  <si>
    <t>Mingoué Frank</t>
  </si>
  <si>
    <t>Screenshot 1</t>
  </si>
  <si>
    <t>Screenshot 2</t>
  </si>
  <si>
    <t>Screenshot 3</t>
  </si>
  <si>
    <t>CHG215394</t>
  </si>
  <si>
    <t>Account Updates Work flow</t>
  </si>
  <si>
    <t xml:space="preserve"> UK 	</t>
  </si>
  <si>
    <t xml:space="preserve">Check test data </t>
  </si>
  <si>
    <t>OLTP</t>
  </si>
  <si>
    <t>1 ROW RETURNED</t>
  </si>
  <si>
    <t>1 ROW RETURNED
SCREENSHOT 1</t>
  </si>
  <si>
    <t>create test data</t>
  </si>
  <si>
    <t xml:space="preserve">alter view </t>
  </si>
  <si>
    <t>SELECT * FROM V_ORG_EXT</t>
  </si>
  <si>
    <t>1 ROW AFFECTED</t>
  </si>
  <si>
    <t>1 ROW RETURNED
SCREENSHOT 2</t>
  </si>
  <si>
    <t>Screenshot 4</t>
  </si>
  <si>
    <t>OLAP</t>
  </si>
  <si>
    <t>Account</t>
  </si>
  <si>
    <t>SIL_Account_Attr_History_Dimension , SIL_Account_Attrib_Nullify_to_OLTP , SIA_SDE_OrganizationDimension_Merge , SIA_SIL_OrganizationDimension_Merge_CCSI</t>
  </si>
  <si>
    <t>SIA_SDE_OrganizationDimension_Merge , SIA_SIL_OrganizationDimension_Merge_CCSI</t>
  </si>
  <si>
    <t>N/A</t>
  </si>
  <si>
    <t>select  S.PR_POSTN_ID , P.LVL2ANC_POSTN AS POSITION_NAME
from S_ORG_EXT S
INNER JOIN W_POSITION_DH P ON P.INTEGRATION_ID = S.PR_POSTN_ID
where S.ROW_ID = '1-HNY0G'</t>
  </si>
  <si>
    <t xml:space="preserve">run script  and check the  S.PR_POSTN_ID and  POSITION_NAME fields </t>
  </si>
  <si>
    <t>ALTER VIEW V_ORG_EXT AS SELECT * FROM S_ORG_EXT WHERE ROW_ID in ('1-HNY0G')</t>
  </si>
  <si>
    <t>Launch 
1- Custom -- SIA_SDE_OrganizationDimension_Merge
2- Custom -- SIA_SIL_OrganizationDimension_Merge</t>
  </si>
  <si>
    <t xml:space="preserve">Load data in WC_ORG_HISTORY_D
and check S.PR_POSTN_ID and  POSITION_NAME fields </t>
  </si>
  <si>
    <t>SELECT POSITION_NAME, INTEGRATION_ID, ATTRIB_93, ATTRIB_53, ATTRIB_52, X_TRADING_AS_TXT, X_TT_EOID_TXT, X_TT_FID_TXT, X_TT_UPDATE_STAT_CD, X_TT_REQUEST_DT
, X_TT_REQ_BY, X_TT_REJECT_APP_DT, X_TT_REJECT_APP_BY,* 
 FROM WC_ORG_HISTORY_D
 WHERE INTEGRATION_ID = '1-HNY0G'</t>
  </si>
  <si>
    <t xml:space="preserve">Modify Account Primary Position Name 
</t>
  </si>
  <si>
    <t xml:space="preserve">Run the Scrip to Modify Account Primary Position Name </t>
  </si>
  <si>
    <t>INFA &amp; OLAP</t>
  </si>
  <si>
    <t>select  S.PR_POSTN_ID , P.LVL2ANC_POSTN AS POSITION_NAME , S.*
from S_ORG_EXT S
INNER JOIN W_POSITION_DH P ON P.INTEGRATION_ID = S.PR_POSTN_ID
where S.ROW_ID = '1-HNY0G'</t>
  </si>
  <si>
    <t xml:space="preserve">
1 ROW AFFECTED </t>
  </si>
  <si>
    <t>UPDATE S_ORG_EXT SET PR_POSTN_ID = '1-GLKJA' WHERE ROW_ID = '1-HNY0G'</t>
  </si>
  <si>
    <t>1 ROW RETURNED
SCREENSHOT 3</t>
  </si>
  <si>
    <t xml:space="preserve">Launch Workflows to update WC_ORG_HISTORY_D after the account has been approved/rejected
</t>
  </si>
  <si>
    <t xml:space="preserve"> SELECT POSITION_NAME, INTEGRATION_ID, ATTRIB_93, ATTRIB_53, ATTRIB_52, X_TRADING_AS_TXT, X_TT_EOID_TXT, X_TT_FID_TXT, X_TT_UPDATE_STAT_CD, X_TT_REQUEST_DT
, X_TT_REQ_BY, X_TT_REJECT_APP_DT, X_TT_REJECT_APP_BY,* 
 FROM WC_ORG_HISTORY_D
 WHERE INTEGRATION_ID = '1-HNY0G'</t>
  </si>
  <si>
    <t xml:space="preserve">2 ROWs  RETURNED
</t>
  </si>
  <si>
    <t xml:space="preserve">2 ROWS  RETURNED 
The status has been updated from 'Pending' to 'Approved' but
The 'Position Name' remain the same as expected 
SCREENSHOT 4 </t>
  </si>
  <si>
    <t xml:space="preserve">run script to reset test data </t>
  </si>
  <si>
    <t xml:space="preserve">RESET OLTP TEST DATA 
</t>
  </si>
  <si>
    <t xml:space="preserve">RESET OLAP TEST DATA 
</t>
  </si>
  <si>
    <t>UPDATE S_ORG_EXT SET PR_POSTN_ID = '1-8Y20H' WHERE ROW_ID = '1-HNY0G'</t>
  </si>
  <si>
    <t>DELETE FROM WC_ORG_HISTORY_D WHERE INTEGRATION_ID = '1-HNY0G'</t>
  </si>
  <si>
    <t>2 ROW AFFECTED</t>
  </si>
  <si>
    <t>SELECT *  FROM WC_ORG_HISTORY_D WHERE INTEGRATION_ID = '1-HNY0G'</t>
  </si>
  <si>
    <t>0 ROW RETURNED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</si>
</sst>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50" x14ac:knownFonts="1">
    <font>
      <sz val="10"/>
      <name val="Arial"/>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sz val="12"/>
      <name val="Book Antiqua"/>
      <family val="1"/>
    </font>
    <font>
      <b/>
      <sz val="9"/>
      <color indexed="81"/>
      <name val="Tahoma"/>
      <family val="2"/>
    </font>
    <font>
      <sz val="9"/>
      <color indexed="81"/>
      <name val="Tahoma"/>
      <family val="2"/>
    </font>
    <font>
      <u/>
      <sz val="10"/>
      <color theme="10"/>
      <name val="Arial"/>
      <family val="2"/>
    </font>
    <font>
      <sz val="11"/>
      <color theme="1"/>
      <name val="Calibri"/>
      <family val="2"/>
      <scheme val="minor"/>
    </font>
    <font>
      <sz val="10"/>
      <color theme="10"/>
      <name val="Arial"/>
      <family val="2"/>
    </font>
    <font>
      <b/>
      <sz val="10"/>
      <color theme="0"/>
      <name val="Arial"/>
      <family val="2"/>
    </font>
    <font>
      <b/>
      <sz val="12"/>
      <color indexed="9"/>
      <name val="Book Antiqua"/>
      <family val="1"/>
    </font>
    <font>
      <sz val="12"/>
      <name val="Arial"/>
      <family val="2"/>
    </font>
    <font>
      <b/>
      <sz val="12"/>
      <name val="Arial"/>
      <family val="2"/>
    </font>
    <font>
      <sz val="16"/>
      <name val="Book Antiqua"/>
      <family val="1"/>
    </font>
    <font>
      <sz val="8"/>
      <name val="Arial"/>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rgb="FF00B0F0"/>
        <bgColor indexed="64"/>
      </patternFill>
    </fill>
    <fill>
      <patternFill patternType="solid">
        <fgColor rgb="FF99FFCC"/>
        <bgColor indexed="64"/>
      </patternFill>
    </fill>
    <fill>
      <patternFill patternType="solid">
        <fgColor rgb="FF00B050"/>
        <bgColor indexed="64"/>
      </patternFill>
    </fill>
  </fills>
  <borders count="16">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s>
  <cellStyleXfs count="51">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5" borderId="0" applyNumberFormat="0" applyBorder="0" applyAlignment="0" applyProtection="0"/>
    <xf numFmtId="0" fontId="4" fillId="8" borderId="0" applyNumberFormat="0" applyBorder="0" applyAlignment="0" applyProtection="0"/>
    <xf numFmtId="0" fontId="4"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20" borderId="1" applyNumberFormat="0" applyAlignment="0" applyProtection="0"/>
    <xf numFmtId="0" fontId="10" fillId="20" borderId="2" applyNumberFormat="0" applyAlignment="0" applyProtection="0"/>
    <xf numFmtId="0" fontId="2" fillId="0" borderId="0" applyFont="0" applyFill="0" applyBorder="0" applyAlignment="0" applyProtection="0"/>
    <xf numFmtId="0" fontId="11" fillId="7" borderId="2" applyNumberFormat="0" applyAlignment="0" applyProtection="0"/>
    <xf numFmtId="0" fontId="5" fillId="0" borderId="4" applyNumberFormat="0" applyFill="0" applyAlignment="0" applyProtection="0"/>
    <xf numFmtId="0" fontId="12" fillId="0" borderId="0" applyNumberFormat="0" applyFill="0" applyBorder="0" applyAlignment="0" applyProtection="0"/>
    <xf numFmtId="0" fontId="13" fillId="4" borderId="0" applyNumberFormat="0" applyBorder="0" applyAlignment="0" applyProtection="0"/>
    <xf numFmtId="0" fontId="41" fillId="0" borderId="0" applyNumberFormat="0" applyFill="0" applyBorder="0" applyAlignment="0" applyProtection="0">
      <alignment vertical="top"/>
      <protection locked="0"/>
    </xf>
    <xf numFmtId="0" fontId="42" fillId="0" borderId="0"/>
    <xf numFmtId="0" fontId="2" fillId="0" borderId="0"/>
    <xf numFmtId="0" fontId="42" fillId="0" borderId="0"/>
    <xf numFmtId="0" fontId="42" fillId="0" borderId="0"/>
    <xf numFmtId="0" fontId="37" fillId="0" borderId="0"/>
    <xf numFmtId="0" fontId="2" fillId="0" borderId="0"/>
    <xf numFmtId="0" fontId="2" fillId="22" borderId="9" applyNumberFormat="0" applyFont="0" applyAlignment="0" applyProtection="0"/>
    <xf numFmtId="0" fontId="14" fillId="3" borderId="0" applyNumberFormat="0" applyBorder="0" applyAlignment="0" applyProtection="0"/>
    <xf numFmtId="0" fontId="2" fillId="0" borderId="0"/>
    <xf numFmtId="0" fontId="15" fillId="0" borderId="0"/>
    <xf numFmtId="0" fontId="16" fillId="0" borderId="0" applyNumberFormat="0" applyFill="0" applyBorder="0" applyAlignment="0" applyProtection="0"/>
    <xf numFmtId="0" fontId="17" fillId="0" borderId="5" applyNumberFormat="0" applyFill="0" applyAlignment="0" applyProtection="0"/>
    <xf numFmtId="0" fontId="18" fillId="0" borderId="6" applyNumberFormat="0" applyFill="0" applyAlignment="0" applyProtection="0"/>
    <xf numFmtId="0" fontId="19" fillId="0" borderId="7" applyNumberFormat="0" applyFill="0" applyAlignment="0" applyProtection="0"/>
    <xf numFmtId="0" fontId="19" fillId="0" borderId="0" applyNumberFormat="0" applyFill="0" applyBorder="0" applyAlignment="0" applyProtection="0"/>
    <xf numFmtId="0" fontId="20" fillId="0" borderId="8" applyNumberFormat="0" applyFill="0" applyAlignment="0" applyProtection="0"/>
    <xf numFmtId="0" fontId="21" fillId="0" borderId="0" applyNumberFormat="0" applyFill="0" applyBorder="0" applyAlignment="0" applyProtection="0"/>
    <xf numFmtId="0" fontId="22" fillId="21" borderId="3" applyNumberFormat="0" applyAlignment="0" applyProtection="0"/>
  </cellStyleXfs>
  <cellXfs count="97">
    <xf numFmtId="0" fontId="0" fillId="0" borderId="0" xfId="0"/>
    <xf numFmtId="0" fontId="3" fillId="0" borderId="0" xfId="38" applyFont="1" applyAlignment="1">
      <alignment vertical="center"/>
    </xf>
    <xf numFmtId="0" fontId="2" fillId="0" borderId="0" xfId="38" applyAlignment="1">
      <alignment vertical="center"/>
    </xf>
    <xf numFmtId="0" fontId="2" fillId="0" borderId="0" xfId="38" applyFont="1" applyAlignment="1">
      <alignment vertical="center"/>
    </xf>
    <xf numFmtId="0" fontId="2" fillId="23" borderId="0" xfId="38" applyFill="1" applyAlignment="1">
      <alignment vertical="center"/>
    </xf>
    <xf numFmtId="0" fontId="3" fillId="23" borderId="0" xfId="38" applyFont="1" applyFill="1" applyAlignment="1">
      <alignment vertical="center"/>
    </xf>
    <xf numFmtId="0" fontId="25" fillId="0" borderId="0" xfId="27" applyFont="1" applyAlignment="1">
      <alignment vertical="center"/>
    </xf>
    <xf numFmtId="0" fontId="26" fillId="0" borderId="0" xfId="27" applyFont="1" applyAlignment="1">
      <alignment vertical="center"/>
    </xf>
    <xf numFmtId="0" fontId="28" fillId="0" borderId="0" xfId="27" applyFont="1" applyAlignment="1">
      <alignment vertical="center"/>
    </xf>
    <xf numFmtId="164" fontId="29" fillId="23" borderId="0" xfId="27" applyNumberFormat="1" applyFont="1" applyFill="1" applyAlignment="1">
      <alignment vertical="center"/>
    </xf>
    <xf numFmtId="164" fontId="2" fillId="23" borderId="0" xfId="27" applyNumberFormat="1" applyFill="1" applyAlignment="1">
      <alignment vertical="center"/>
    </xf>
    <xf numFmtId="0" fontId="1" fillId="0" borderId="0" xfId="34" applyFont="1" applyAlignment="1">
      <alignment vertical="center"/>
    </xf>
    <xf numFmtId="0" fontId="2" fillId="0" borderId="0" xfId="34" applyAlignment="1">
      <alignment vertical="center"/>
    </xf>
    <xf numFmtId="164" fontId="2" fillId="23" borderId="0" xfId="27" applyNumberFormat="1" applyFill="1" applyBorder="1" applyAlignment="1">
      <alignment vertical="center"/>
    </xf>
    <xf numFmtId="164" fontId="29" fillId="23" borderId="0" xfId="27" applyNumberFormat="1" applyFont="1" applyFill="1" applyBorder="1" applyAlignment="1">
      <alignment vertical="center"/>
    </xf>
    <xf numFmtId="0" fontId="2" fillId="0" borderId="0" xfId="27" applyFont="1" applyAlignment="1">
      <alignment vertical="center"/>
    </xf>
    <xf numFmtId="0" fontId="29" fillId="0" borderId="0" xfId="27" applyFont="1" applyAlignment="1">
      <alignment vertical="center"/>
    </xf>
    <xf numFmtId="0" fontId="30" fillId="0" borderId="0" xfId="27" applyFont="1" applyAlignment="1">
      <alignment vertical="center"/>
    </xf>
    <xf numFmtId="0" fontId="23" fillId="0" borderId="0" xfId="27" applyFont="1" applyAlignment="1">
      <alignment vertical="center"/>
    </xf>
    <xf numFmtId="0" fontId="31" fillId="0" borderId="0" xfId="27" applyFont="1" applyAlignment="1">
      <alignment vertical="center"/>
    </xf>
    <xf numFmtId="165" fontId="31" fillId="0" borderId="0" xfId="27" applyNumberFormat="1" applyFont="1" applyAlignment="1">
      <alignment horizontal="left" vertical="center"/>
    </xf>
    <xf numFmtId="0" fontId="32" fillId="23" borderId="0" xfId="38" applyFont="1" applyFill="1" applyAlignment="1">
      <alignment vertical="center" wrapText="1"/>
    </xf>
    <xf numFmtId="0" fontId="3" fillId="23" borderId="0" xfId="38" applyFont="1" applyFill="1" applyAlignment="1">
      <alignment horizontal="center" vertical="center" wrapText="1"/>
    </xf>
    <xf numFmtId="0" fontId="3" fillId="24" borderId="10" xfId="38" applyFont="1" applyFill="1" applyBorder="1" applyAlignment="1">
      <alignment horizontal="center" vertical="center" wrapText="1"/>
    </xf>
    <xf numFmtId="0" fontId="33" fillId="0" borderId="10" xfId="38" applyFont="1" applyBorder="1" applyAlignment="1">
      <alignment vertical="center" wrapText="1"/>
    </xf>
    <xf numFmtId="0" fontId="3" fillId="23" borderId="0" xfId="38" applyFont="1" applyFill="1" applyAlignment="1">
      <alignment vertical="center" wrapText="1"/>
    </xf>
    <xf numFmtId="0" fontId="3" fillId="24" borderId="10" xfId="38" applyFont="1" applyFill="1" applyBorder="1" applyAlignment="1">
      <alignment vertical="center"/>
    </xf>
    <xf numFmtId="0" fontId="33" fillId="0" borderId="10" xfId="38" applyFont="1" applyBorder="1" applyAlignment="1">
      <alignment horizontal="left" vertical="center" wrapText="1"/>
    </xf>
    <xf numFmtId="0" fontId="3" fillId="24" borderId="10" xfId="38" applyFont="1" applyFill="1" applyBorder="1" applyAlignment="1">
      <alignment vertical="center" wrapText="1"/>
    </xf>
    <xf numFmtId="0" fontId="35" fillId="23" borderId="11" xfId="38" applyFont="1" applyFill="1" applyBorder="1" applyAlignment="1">
      <alignment horizontal="right" vertical="center"/>
    </xf>
    <xf numFmtId="0" fontId="2" fillId="23" borderId="0" xfId="38" applyFont="1" applyFill="1" applyAlignment="1">
      <alignment vertical="center"/>
    </xf>
    <xf numFmtId="0" fontId="3" fillId="24" borderId="12" xfId="38" applyFont="1" applyFill="1" applyBorder="1" applyAlignment="1">
      <alignment vertical="center"/>
    </xf>
    <xf numFmtId="0" fontId="3" fillId="24" borderId="13" xfId="38" applyFont="1" applyFill="1" applyBorder="1" applyAlignment="1">
      <alignment vertical="center"/>
    </xf>
    <xf numFmtId="0" fontId="2" fillId="23" borderId="0" xfId="38" applyFont="1" applyFill="1" applyBorder="1" applyAlignment="1">
      <alignment vertical="center"/>
    </xf>
    <xf numFmtId="0" fontId="2" fillId="23" borderId="0" xfId="38" applyFill="1" applyBorder="1" applyAlignment="1">
      <alignment vertical="center"/>
    </xf>
    <xf numFmtId="0" fontId="2" fillId="0" borderId="0" xfId="38" applyBorder="1" applyAlignment="1">
      <alignment vertical="center"/>
    </xf>
    <xf numFmtId="0" fontId="2" fillId="0" borderId="0" xfId="38" applyAlignment="1">
      <alignment vertical="center" wrapText="1"/>
    </xf>
    <xf numFmtId="0" fontId="2" fillId="0" borderId="0" xfId="38" applyFont="1" applyAlignment="1">
      <alignment vertical="center" wrapText="1"/>
    </xf>
    <xf numFmtId="0" fontId="2" fillId="23" borderId="0" xfId="38" applyFill="1" applyAlignment="1">
      <alignment vertical="center" wrapText="1"/>
    </xf>
    <xf numFmtId="0" fontId="2" fillId="23" borderId="0" xfId="38" applyNumberFormat="1" applyFill="1" applyAlignment="1">
      <alignment vertical="center" wrapText="1"/>
    </xf>
    <xf numFmtId="15" fontId="33" fillId="0" borderId="10" xfId="38" applyNumberFormat="1" applyFont="1" applyBorder="1" applyAlignment="1">
      <alignment horizontal="left" vertical="center" wrapText="1"/>
    </xf>
    <xf numFmtId="15" fontId="41" fillId="0" borderId="10" xfId="32" applyNumberFormat="1" applyBorder="1" applyAlignment="1" applyProtection="1">
      <alignment horizontal="left" vertical="center" wrapText="1"/>
    </xf>
    <xf numFmtId="0" fontId="2" fillId="23" borderId="0" xfId="38" applyFill="1" applyBorder="1" applyAlignment="1">
      <alignment vertical="center" wrapText="1"/>
    </xf>
    <xf numFmtId="0" fontId="2" fillId="0" borderId="0" xfId="38" applyBorder="1" applyAlignment="1">
      <alignment vertical="center" wrapText="1"/>
    </xf>
    <xf numFmtId="15" fontId="43" fillId="0" borderId="10" xfId="32" applyNumberFormat="1" applyFont="1" applyBorder="1" applyAlignment="1" applyProtection="1">
      <alignment horizontal="left" vertical="center" wrapText="1"/>
    </xf>
    <xf numFmtId="0" fontId="0" fillId="0" borderId="0" xfId="0" applyAlignment="1">
      <alignment horizontal="center"/>
    </xf>
    <xf numFmtId="0" fontId="44" fillId="26" borderId="0" xfId="0" applyFont="1" applyFill="1"/>
    <xf numFmtId="0" fontId="44" fillId="26" borderId="0" xfId="0" applyFont="1" applyFill="1" applyAlignment="1">
      <alignment horizontal="center"/>
    </xf>
    <xf numFmtId="0" fontId="3" fillId="27" borderId="10" xfId="0" applyFont="1" applyFill="1" applyBorder="1"/>
    <xf numFmtId="0" fontId="0" fillId="27" borderId="10" xfId="0" applyFill="1" applyBorder="1" applyAlignment="1">
      <alignment horizontal="center"/>
    </xf>
    <xf numFmtId="14" fontId="0" fillId="27" borderId="10" xfId="0" applyNumberFormat="1" applyFill="1" applyBorder="1" applyAlignment="1">
      <alignment horizontal="center"/>
    </xf>
    <xf numFmtId="14" fontId="2" fillId="27" borderId="10" xfId="0" quotePrefix="1" applyNumberFormat="1" applyFont="1" applyFill="1" applyBorder="1" applyAlignment="1">
      <alignment horizontal="center"/>
    </xf>
    <xf numFmtId="0" fontId="2" fillId="27" borderId="10" xfId="0" applyFont="1" applyFill="1" applyBorder="1" applyAlignment="1">
      <alignment horizontal="center"/>
    </xf>
    <xf numFmtId="166" fontId="0" fillId="27" borderId="10" xfId="0" applyNumberFormat="1" applyFill="1" applyBorder="1" applyAlignment="1">
      <alignment horizontal="center"/>
    </xf>
    <xf numFmtId="0" fontId="45" fillId="25" borderId="10" xfId="37" applyFont="1" applyFill="1" applyBorder="1" applyAlignment="1">
      <alignment horizontal="right" wrapText="1"/>
    </xf>
    <xf numFmtId="0" fontId="45" fillId="25" borderId="10" xfId="37" applyFont="1" applyFill="1" applyBorder="1" applyAlignment="1">
      <alignment horizontal="right" vertical="top" wrapText="1"/>
    </xf>
    <xf numFmtId="0" fontId="31" fillId="0" borderId="10" xfId="37" applyFont="1" applyBorder="1" applyAlignment="1">
      <alignment wrapText="1"/>
    </xf>
    <xf numFmtId="0" fontId="31" fillId="0" borderId="10" xfId="37" applyFont="1" applyBorder="1"/>
    <xf numFmtId="0" fontId="31" fillId="0" borderId="0" xfId="37" applyFont="1"/>
    <xf numFmtId="0" fontId="31" fillId="0" borderId="0" xfId="37" applyFont="1" applyBorder="1"/>
    <xf numFmtId="0" fontId="46" fillId="0" borderId="0" xfId="37" applyFont="1"/>
    <xf numFmtId="14" fontId="31" fillId="0" borderId="10" xfId="37" applyNumberFormat="1" applyFont="1" applyBorder="1" applyAlignment="1">
      <alignment horizontal="right" wrapText="1"/>
    </xf>
    <xf numFmtId="14" fontId="31" fillId="0" borderId="10" xfId="37" applyNumberFormat="1" applyFont="1" applyBorder="1" applyAlignment="1">
      <alignment wrapText="1"/>
    </xf>
    <xf numFmtId="49" fontId="47" fillId="24" borderId="10" xfId="37" applyNumberFormat="1" applyFont="1" applyFill="1" applyBorder="1" applyAlignment="1">
      <alignment horizontal="center" vertical="top"/>
    </xf>
    <xf numFmtId="0" fontId="31" fillId="0" borderId="0" xfId="37" applyFont="1" applyAlignment="1">
      <alignment horizontal="left" vertical="top"/>
    </xf>
    <xf numFmtId="0" fontId="2" fillId="28" borderId="0" xfId="0" applyFont="1" applyFill="1"/>
    <xf numFmtId="0" fontId="0" fillId="28" borderId="0" xfId="0" applyFill="1"/>
    <xf numFmtId="0" fontId="31" fillId="0" borderId="10" xfId="37" applyFont="1" applyBorder="1" applyAlignment="1">
      <alignment horizontal="left" vertical="center" wrapText="1"/>
    </xf>
    <xf numFmtId="0" fontId="31" fillId="0" borderId="10" xfId="37" applyFont="1" applyBorder="1" applyAlignment="1">
      <alignment vertical="center"/>
    </xf>
    <xf numFmtId="0" fontId="31" fillId="0" borderId="10" xfId="37" applyFont="1" applyBorder="1" applyAlignment="1">
      <alignment horizontal="center" vertical="center" wrapText="1"/>
    </xf>
    <xf numFmtId="0" fontId="31" fillId="0" borderId="10" xfId="37" applyFont="1" applyBorder="1" applyAlignment="1">
      <alignment vertical="center" wrapText="1"/>
    </xf>
    <xf numFmtId="0" fontId="31" fillId="0" borderId="10" xfId="37" applyFont="1" applyFill="1" applyBorder="1" applyAlignment="1">
      <alignment vertical="center" wrapText="1"/>
    </xf>
    <xf numFmtId="0" fontId="31" fillId="0" borderId="0" xfId="37" applyFont="1" applyAlignment="1">
      <alignment vertical="center"/>
    </xf>
    <xf numFmtId="0" fontId="46" fillId="0" borderId="0" xfId="37" applyFont="1" applyAlignment="1">
      <alignment vertical="center"/>
    </xf>
    <xf numFmtId="0" fontId="31" fillId="0" borderId="10" xfId="37" applyFont="1" applyFill="1" applyBorder="1" applyAlignment="1">
      <alignment vertical="center"/>
    </xf>
    <xf numFmtId="0" fontId="31" fillId="0" borderId="0" xfId="37" applyFont="1" applyBorder="1" applyAlignment="1">
      <alignment vertical="center"/>
    </xf>
    <xf numFmtId="0" fontId="31" fillId="0" borderId="10" xfId="37" applyFont="1" applyBorder="1" applyAlignment="1">
      <alignment horizontal="left" vertical="top" wrapText="1"/>
    </xf>
    <xf numFmtId="0" fontId="28" fillId="0" borderId="0" xfId="27" applyFont="1" applyAlignment="1">
      <alignment horizontal="right" vertical="center"/>
    </xf>
    <xf numFmtId="0" fontId="30" fillId="0" borderId="0" xfId="27" applyFont="1" applyAlignment="1">
      <alignment horizontal="left" vertical="center"/>
    </xf>
    <xf numFmtId="0" fontId="26" fillId="0" borderId="0" xfId="27" applyFont="1" applyAlignment="1">
      <alignment horizontal="right" vertical="center"/>
    </xf>
    <xf numFmtId="0" fontId="26" fillId="0" borderId="0" xfId="27" applyFont="1" applyAlignment="1">
      <alignment horizontal="left" vertical="center" wrapText="1"/>
    </xf>
    <xf numFmtId="0" fontId="27" fillId="0" borderId="0" xfId="27" applyFont="1" applyAlignment="1">
      <alignment horizontal="right" vertical="center"/>
    </xf>
    <xf numFmtId="0" fontId="27" fillId="0" borderId="0" xfId="27" applyFont="1" applyAlignment="1">
      <alignment horizontal="left" vertical="center" wrapText="1"/>
    </xf>
    <xf numFmtId="164" fontId="6" fillId="23" borderId="14" xfId="27" applyNumberFormat="1" applyFont="1" applyFill="1" applyBorder="1" applyAlignment="1">
      <alignment horizontal="center" vertical="center"/>
    </xf>
    <xf numFmtId="0" fontId="23" fillId="0" borderId="0" xfId="27" applyFont="1" applyAlignment="1">
      <alignment horizontal="center" vertical="center"/>
    </xf>
    <xf numFmtId="0" fontId="24" fillId="0" borderId="0" xfId="27" applyFont="1" applyAlignment="1">
      <alignment horizontal="center" vertical="center"/>
    </xf>
    <xf numFmtId="0" fontId="25" fillId="0" borderId="0" xfId="27" applyFont="1" applyAlignment="1">
      <alignment horizontal="right" vertical="center"/>
    </xf>
    <xf numFmtId="0" fontId="25" fillId="0" borderId="0" xfId="27" applyFont="1" applyAlignment="1">
      <alignment horizontal="left" vertical="center"/>
    </xf>
    <xf numFmtId="0" fontId="34" fillId="23" borderId="11" xfId="38" applyFont="1" applyFill="1" applyBorder="1" applyAlignment="1">
      <alignment horizontal="left" vertical="center"/>
    </xf>
    <xf numFmtId="0" fontId="32" fillId="23" borderId="0" xfId="38" applyFont="1" applyFill="1" applyAlignment="1">
      <alignment vertical="center"/>
    </xf>
    <xf numFmtId="0" fontId="32" fillId="24" borderId="15" xfId="38" applyFont="1" applyFill="1" applyBorder="1" applyAlignment="1">
      <alignment horizontal="center" vertical="center" wrapText="1"/>
    </xf>
    <xf numFmtId="0" fontId="42" fillId="0" borderId="15" xfId="36" applyBorder="1"/>
    <xf numFmtId="0" fontId="31" fillId="0" borderId="10" xfId="37" applyFont="1" applyBorder="1" applyAlignment="1">
      <alignment horizontal="center" wrapText="1"/>
    </xf>
    <xf numFmtId="0" fontId="38" fillId="0" borderId="10" xfId="37" applyFont="1" applyBorder="1" applyAlignment="1">
      <alignment horizontal="left" wrapText="1"/>
    </xf>
    <xf numFmtId="0" fontId="48" fillId="0" borderId="10" xfId="37" applyFont="1" applyBorder="1" applyAlignment="1">
      <alignment horizontal="left" wrapText="1"/>
    </xf>
    <xf numFmtId="49" fontId="47" fillId="24" borderId="10" xfId="37" applyNumberFormat="1" applyFont="1" applyFill="1" applyBorder="1" applyAlignment="1">
      <alignment horizontal="center" vertical="center"/>
    </xf>
    <xf numFmtId="0" fontId="31" fillId="0" borderId="0" xfId="37" applyFont="1" applyAlignment="1">
      <alignment horizontal="center" vertical="center"/>
    </xf>
  </cellXfs>
  <cellStyles count="51">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ormal" xfId="0" builtinId="0"/>
    <cellStyle name="Normal 2" xfId="33" xr:uid="{00000000-0005-0000-0000-000021000000}"/>
    <cellStyle name="Normal 2 2" xfId="34" xr:uid="{00000000-0005-0000-0000-000022000000}"/>
    <cellStyle name="Normal 3" xfId="35" xr:uid="{00000000-0005-0000-0000-000023000000}"/>
    <cellStyle name="Normal 3 2" xfId="36" xr:uid="{00000000-0005-0000-0000-000024000000}"/>
    <cellStyle name="Normal 4" xfId="37" xr:uid="{00000000-0005-0000-0000-000025000000}"/>
    <cellStyle name="Normal_Analytics_Test Script_CR_XXXX_Template" xfId="38" xr:uid="{00000000-0005-0000-0000-000026000000}"/>
    <cellStyle name="Notiz" xfId="39" xr:uid="{00000000-0005-0000-0000-000027000000}"/>
    <cellStyle name="Schlecht" xfId="40" xr:uid="{00000000-0005-0000-0000-000028000000}"/>
    <cellStyle name="Standard 2" xfId="41" xr:uid="{00000000-0005-0000-0000-000029000000}"/>
    <cellStyle name="Style 1" xfId="42" xr:uid="{00000000-0005-0000-0000-00002A000000}"/>
    <cellStyle name="Überschrift" xfId="43" xr:uid="{00000000-0005-0000-0000-00002B000000}"/>
    <cellStyle name="Überschrift 1" xfId="44" xr:uid="{00000000-0005-0000-0000-00002C000000}"/>
    <cellStyle name="Überschrift 2" xfId="45" xr:uid="{00000000-0005-0000-0000-00002D000000}"/>
    <cellStyle name="Überschrift 3" xfId="46" xr:uid="{00000000-0005-0000-0000-00002E000000}"/>
    <cellStyle name="Überschrift 4" xfId="47" xr:uid="{00000000-0005-0000-0000-00002F000000}"/>
    <cellStyle name="Verknüpfte Zelle" xfId="48" xr:uid="{00000000-0005-0000-0000-000030000000}"/>
    <cellStyle name="Warnender Text" xfId="49" xr:uid="{00000000-0005-0000-0000-000031000000}"/>
    <cellStyle name="Zelle überprüfen" xfId="50" xr:uid="{00000000-0005-0000-0000-00003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00000000-0008-0000-0000-000001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0000000-0008-0000-0000-000002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00000000-0008-0000-0000-000003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00000000-0008-0000-0000-000004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00000000-0008-0000-0000-000005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00000000-0008-0000-0000-00000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11</xdr:col>
      <xdr:colOff>227733</xdr:colOff>
      <xdr:row>15</xdr:row>
      <xdr:rowOff>136912</xdr:rowOff>
    </xdr:to>
    <xdr:pic>
      <xdr:nvPicPr>
        <xdr:cNvPr id="3" name="Picture 2">
          <a:extLst>
            <a:ext uri="{FF2B5EF4-FFF2-40B4-BE49-F238E27FC236}">
              <a16:creationId xmlns:a16="http://schemas.microsoft.com/office/drawing/2014/main" id="{392D6BCD-9AFF-40E4-BC84-88FBA91BC0A3}"/>
            </a:ext>
          </a:extLst>
        </xdr:cNvPr>
        <xdr:cNvPicPr>
          <a:picLocks noChangeAspect="1"/>
        </xdr:cNvPicPr>
      </xdr:nvPicPr>
      <xdr:blipFill>
        <a:blip xmlns:r="http://schemas.openxmlformats.org/officeDocument/2006/relationships" r:embed="rId1"/>
        <a:stretch>
          <a:fillRect/>
        </a:stretch>
      </xdr:blipFill>
      <xdr:spPr>
        <a:xfrm>
          <a:off x="0" y="670560"/>
          <a:ext cx="6933333" cy="1980952"/>
        </a:xfrm>
        <a:prstGeom prst="rect">
          <a:avLst/>
        </a:prstGeom>
      </xdr:spPr>
    </xdr:pic>
    <xdr:clientData/>
  </xdr:twoCellAnchor>
  <xdr:twoCellAnchor editAs="oneCell">
    <xdr:from>
      <xdr:col>0</xdr:col>
      <xdr:colOff>0</xdr:colOff>
      <xdr:row>21</xdr:row>
      <xdr:rowOff>0</xdr:rowOff>
    </xdr:from>
    <xdr:to>
      <xdr:col>19</xdr:col>
      <xdr:colOff>531886</xdr:colOff>
      <xdr:row>33</xdr:row>
      <xdr:rowOff>121653</xdr:rowOff>
    </xdr:to>
    <xdr:pic>
      <xdr:nvPicPr>
        <xdr:cNvPr id="4" name="Picture 3">
          <a:extLst>
            <a:ext uri="{FF2B5EF4-FFF2-40B4-BE49-F238E27FC236}">
              <a16:creationId xmlns:a16="http://schemas.microsoft.com/office/drawing/2014/main" id="{80C730AA-7D27-401C-A762-2E823C668DB0}"/>
            </a:ext>
          </a:extLst>
        </xdr:cNvPr>
        <xdr:cNvPicPr>
          <a:picLocks noChangeAspect="1"/>
        </xdr:cNvPicPr>
      </xdr:nvPicPr>
      <xdr:blipFill>
        <a:blip xmlns:r="http://schemas.openxmlformats.org/officeDocument/2006/relationships" r:embed="rId2"/>
        <a:stretch>
          <a:fillRect/>
        </a:stretch>
      </xdr:blipFill>
      <xdr:spPr>
        <a:xfrm>
          <a:off x="0" y="3855720"/>
          <a:ext cx="12114286" cy="2133333"/>
        </a:xfrm>
        <a:prstGeom prst="rect">
          <a:avLst/>
        </a:prstGeom>
      </xdr:spPr>
    </xdr:pic>
    <xdr:clientData/>
  </xdr:twoCellAnchor>
  <xdr:twoCellAnchor editAs="oneCell">
    <xdr:from>
      <xdr:col>0</xdr:col>
      <xdr:colOff>0</xdr:colOff>
      <xdr:row>37</xdr:row>
      <xdr:rowOff>0</xdr:rowOff>
    </xdr:from>
    <xdr:to>
      <xdr:col>8</xdr:col>
      <xdr:colOff>389867</xdr:colOff>
      <xdr:row>48</xdr:row>
      <xdr:rowOff>108341</xdr:rowOff>
    </xdr:to>
    <xdr:pic>
      <xdr:nvPicPr>
        <xdr:cNvPr id="5" name="Picture 4">
          <a:extLst>
            <a:ext uri="{FF2B5EF4-FFF2-40B4-BE49-F238E27FC236}">
              <a16:creationId xmlns:a16="http://schemas.microsoft.com/office/drawing/2014/main" id="{B93F525A-BF5F-4D3D-BE7B-43FBF825CCB9}"/>
            </a:ext>
          </a:extLst>
        </xdr:cNvPr>
        <xdr:cNvPicPr>
          <a:picLocks noChangeAspect="1"/>
        </xdr:cNvPicPr>
      </xdr:nvPicPr>
      <xdr:blipFill>
        <a:blip xmlns:r="http://schemas.openxmlformats.org/officeDocument/2006/relationships" r:embed="rId3"/>
        <a:stretch>
          <a:fillRect/>
        </a:stretch>
      </xdr:blipFill>
      <xdr:spPr>
        <a:xfrm>
          <a:off x="0" y="6537960"/>
          <a:ext cx="5266667" cy="1952381"/>
        </a:xfrm>
        <a:prstGeom prst="rect">
          <a:avLst/>
        </a:prstGeom>
      </xdr:spPr>
    </xdr:pic>
    <xdr:clientData/>
  </xdr:twoCellAnchor>
  <xdr:twoCellAnchor editAs="oneCell">
    <xdr:from>
      <xdr:col>0</xdr:col>
      <xdr:colOff>0</xdr:colOff>
      <xdr:row>54</xdr:row>
      <xdr:rowOff>0</xdr:rowOff>
    </xdr:from>
    <xdr:to>
      <xdr:col>21</xdr:col>
      <xdr:colOff>579352</xdr:colOff>
      <xdr:row>67</xdr:row>
      <xdr:rowOff>68299</xdr:rowOff>
    </xdr:to>
    <xdr:pic>
      <xdr:nvPicPr>
        <xdr:cNvPr id="6" name="Picture 5">
          <a:extLst>
            <a:ext uri="{FF2B5EF4-FFF2-40B4-BE49-F238E27FC236}">
              <a16:creationId xmlns:a16="http://schemas.microsoft.com/office/drawing/2014/main" id="{2D0B684E-1ABE-4CF1-AE57-5DC2E90E73BA}"/>
            </a:ext>
          </a:extLst>
        </xdr:cNvPr>
        <xdr:cNvPicPr>
          <a:picLocks noChangeAspect="1"/>
        </xdr:cNvPicPr>
      </xdr:nvPicPr>
      <xdr:blipFill>
        <a:blip xmlns:r="http://schemas.openxmlformats.org/officeDocument/2006/relationships" r:embed="rId4"/>
        <a:stretch>
          <a:fillRect/>
        </a:stretch>
      </xdr:blipFill>
      <xdr:spPr>
        <a:xfrm>
          <a:off x="0" y="9052560"/>
          <a:ext cx="13380952" cy="224761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zoomScale="66" workbookViewId="0">
      <selection activeCell="K21" sqref="K21:S21"/>
    </sheetView>
  </sheetViews>
  <sheetFormatPr defaultColWidth="9.109375" defaultRowHeight="13.2" x14ac:dyDescent="0.25"/>
  <cols>
    <col min="1" max="9" width="10.6640625" style="12" customWidth="1"/>
    <col min="10" max="10" width="2.6640625" style="12" customWidth="1"/>
    <col min="11" max="19" width="10.6640625" style="12" customWidth="1"/>
    <col min="20" max="16384" width="9.109375" style="12"/>
  </cols>
  <sheetData>
    <row r="1" spans="1:19" s="11" customFormat="1" ht="13.8" x14ac:dyDescent="0.25">
      <c r="A1" s="9"/>
      <c r="B1" s="10"/>
      <c r="C1" s="10"/>
      <c r="D1" s="10"/>
      <c r="E1" s="10"/>
      <c r="F1" s="10"/>
      <c r="G1" s="10"/>
      <c r="H1" s="10"/>
      <c r="I1" s="10"/>
      <c r="J1" s="10"/>
      <c r="K1" s="10"/>
      <c r="L1" s="10"/>
      <c r="M1" s="10"/>
      <c r="N1" s="10"/>
      <c r="O1" s="10"/>
      <c r="P1" s="10"/>
      <c r="Q1" s="10"/>
      <c r="R1" s="10"/>
      <c r="S1" s="10"/>
    </row>
    <row r="2" spans="1:19" s="11" customFormat="1" x14ac:dyDescent="0.25">
      <c r="A2" s="10"/>
      <c r="B2" s="10"/>
      <c r="C2" s="10"/>
      <c r="D2" s="10"/>
      <c r="E2" s="10"/>
      <c r="F2" s="10"/>
      <c r="G2" s="10"/>
      <c r="H2" s="10"/>
      <c r="I2" s="10"/>
      <c r="J2" s="10"/>
      <c r="K2" s="10"/>
      <c r="L2" s="10"/>
      <c r="M2" s="10"/>
      <c r="N2" s="10"/>
      <c r="O2" s="10"/>
      <c r="P2" s="10"/>
      <c r="Q2" s="10"/>
      <c r="R2" s="10"/>
      <c r="S2" s="10"/>
    </row>
    <row r="3" spans="1:19" s="11" customFormat="1" x14ac:dyDescent="0.25">
      <c r="A3" s="10"/>
      <c r="B3" s="10"/>
      <c r="C3" s="10"/>
      <c r="D3" s="10"/>
      <c r="E3" s="10"/>
      <c r="F3" s="10"/>
      <c r="G3" s="10"/>
      <c r="H3" s="10"/>
      <c r="I3" s="10"/>
      <c r="J3" s="10"/>
      <c r="K3" s="10"/>
      <c r="L3" s="10"/>
      <c r="M3" s="10"/>
      <c r="N3" s="10"/>
      <c r="O3" s="10"/>
      <c r="P3" s="10"/>
      <c r="Q3" s="10"/>
      <c r="R3" s="10"/>
      <c r="S3" s="10"/>
    </row>
    <row r="4" spans="1:19" s="11" customFormat="1" x14ac:dyDescent="0.25">
      <c r="A4" s="10"/>
      <c r="B4" s="10"/>
      <c r="C4" s="10"/>
      <c r="D4" s="10"/>
      <c r="E4" s="10"/>
      <c r="F4" s="10"/>
      <c r="G4" s="10"/>
      <c r="H4" s="10"/>
      <c r="I4" s="10"/>
      <c r="J4" s="10"/>
      <c r="K4" s="10"/>
      <c r="L4" s="10"/>
      <c r="M4" s="10"/>
      <c r="N4" s="10"/>
      <c r="O4" s="10"/>
      <c r="P4" s="10"/>
      <c r="Q4" s="10"/>
      <c r="R4" s="10"/>
      <c r="S4" s="10"/>
    </row>
    <row r="5" spans="1:19" s="11" customFormat="1" x14ac:dyDescent="0.25">
      <c r="A5" s="10"/>
      <c r="B5" s="10"/>
      <c r="C5" s="10"/>
      <c r="D5" s="10"/>
      <c r="E5" s="10"/>
      <c r="F5" s="10"/>
      <c r="G5" s="10"/>
      <c r="H5" s="10"/>
      <c r="I5" s="10"/>
      <c r="J5" s="10"/>
      <c r="K5" s="10"/>
      <c r="L5" s="10"/>
      <c r="M5" s="10"/>
      <c r="N5" s="10"/>
      <c r="O5" s="10"/>
      <c r="P5" s="10"/>
      <c r="Q5" s="10"/>
      <c r="R5" s="10"/>
      <c r="S5" s="10"/>
    </row>
    <row r="6" spans="1:19" x14ac:dyDescent="0.25">
      <c r="A6" s="10"/>
      <c r="B6" s="10"/>
      <c r="C6" s="10"/>
      <c r="D6" s="10"/>
      <c r="E6" s="10"/>
      <c r="F6" s="10"/>
      <c r="G6" s="10"/>
      <c r="H6" s="10"/>
      <c r="I6" s="10"/>
      <c r="J6" s="10"/>
      <c r="K6" s="10"/>
      <c r="L6" s="10"/>
      <c r="M6" s="10"/>
      <c r="N6" s="10"/>
      <c r="O6" s="10"/>
      <c r="P6" s="10"/>
      <c r="Q6" s="10"/>
      <c r="R6" s="10"/>
      <c r="S6" s="10"/>
    </row>
    <row r="7" spans="1:19" ht="12.75" customHeight="1" x14ac:dyDescent="0.25">
      <c r="A7" s="10"/>
      <c r="B7" s="10"/>
      <c r="C7" s="10"/>
      <c r="D7" s="10"/>
      <c r="E7" s="10"/>
      <c r="F7" s="10"/>
      <c r="G7" s="10"/>
      <c r="H7" s="10"/>
      <c r="I7" s="10"/>
      <c r="J7" s="10"/>
      <c r="K7" s="10"/>
      <c r="L7" s="10"/>
      <c r="M7" s="10"/>
      <c r="N7" s="10"/>
      <c r="O7" s="10"/>
      <c r="P7" s="10"/>
      <c r="Q7" s="10"/>
      <c r="R7" s="10"/>
      <c r="S7" s="10"/>
    </row>
    <row r="8" spans="1:19" ht="9.75" customHeight="1" x14ac:dyDescent="0.25">
      <c r="A8" s="10"/>
      <c r="B8" s="10"/>
      <c r="C8" s="10"/>
      <c r="D8" s="10"/>
      <c r="E8" s="10"/>
      <c r="F8" s="10"/>
      <c r="G8" s="10"/>
      <c r="H8" s="10"/>
      <c r="I8" s="10"/>
      <c r="J8" s="10"/>
      <c r="K8" s="10"/>
      <c r="L8" s="10"/>
      <c r="M8" s="10"/>
      <c r="N8" s="10"/>
      <c r="O8" s="10"/>
      <c r="P8" s="10"/>
      <c r="Q8" s="10"/>
      <c r="R8" s="10"/>
      <c r="S8" s="10"/>
    </row>
    <row r="9" spans="1:19" x14ac:dyDescent="0.25">
      <c r="A9" s="10"/>
      <c r="B9" s="10"/>
      <c r="C9" s="10"/>
      <c r="D9" s="10"/>
      <c r="E9" s="10"/>
      <c r="F9" s="10"/>
      <c r="G9" s="10"/>
      <c r="H9" s="10"/>
      <c r="I9" s="10"/>
      <c r="J9" s="10"/>
      <c r="K9" s="10"/>
      <c r="L9" s="10"/>
      <c r="M9" s="10"/>
      <c r="N9" s="10"/>
      <c r="O9" s="10"/>
      <c r="P9" s="10"/>
      <c r="Q9" s="10"/>
      <c r="R9" s="10"/>
      <c r="S9" s="10"/>
    </row>
    <row r="10" spans="1:19" ht="13.8" x14ac:dyDescent="0.25">
      <c r="A10" s="9"/>
      <c r="B10" s="9"/>
      <c r="C10" s="9"/>
      <c r="D10" s="9"/>
      <c r="E10" s="9"/>
      <c r="F10" s="9"/>
      <c r="G10" s="9"/>
      <c r="H10" s="9"/>
      <c r="I10" s="9"/>
      <c r="J10" s="9"/>
      <c r="K10" s="9"/>
      <c r="L10" s="9"/>
      <c r="M10" s="10"/>
      <c r="N10" s="10"/>
      <c r="O10" s="10"/>
      <c r="P10" s="10"/>
      <c r="Q10" s="10"/>
      <c r="R10" s="10"/>
      <c r="S10" s="10"/>
    </row>
    <row r="11" spans="1:19" ht="13.8" x14ac:dyDescent="0.25">
      <c r="A11" s="9"/>
      <c r="B11" s="9"/>
      <c r="C11" s="9"/>
      <c r="D11" s="9"/>
      <c r="E11" s="9"/>
      <c r="F11" s="9"/>
      <c r="G11" s="9"/>
      <c r="H11" s="9"/>
      <c r="I11" s="9"/>
      <c r="J11" s="9"/>
      <c r="K11" s="9"/>
      <c r="L11" s="9"/>
      <c r="M11" s="10"/>
      <c r="N11" s="10"/>
      <c r="O11" s="10"/>
      <c r="P11" s="10"/>
      <c r="Q11" s="10"/>
      <c r="R11" s="10"/>
      <c r="S11" s="10"/>
    </row>
    <row r="12" spans="1:19" ht="13.8" x14ac:dyDescent="0.25">
      <c r="A12" s="9"/>
      <c r="B12" s="9"/>
      <c r="C12" s="9"/>
      <c r="D12" s="9"/>
      <c r="E12" s="9"/>
      <c r="F12" s="9"/>
      <c r="G12" s="9"/>
      <c r="H12" s="9"/>
      <c r="I12" s="9"/>
      <c r="J12" s="9"/>
      <c r="K12" s="9"/>
      <c r="L12" s="9"/>
      <c r="M12" s="10"/>
      <c r="N12" s="10"/>
      <c r="O12" s="10"/>
      <c r="P12" s="10"/>
      <c r="Q12" s="10"/>
      <c r="R12" s="10"/>
      <c r="S12" s="10"/>
    </row>
    <row r="13" spans="1:19" ht="30.6" thickBot="1" x14ac:dyDescent="0.3">
      <c r="A13" s="83" t="s">
        <v>2</v>
      </c>
      <c r="B13" s="83"/>
      <c r="C13" s="83"/>
      <c r="D13" s="83"/>
      <c r="E13" s="83"/>
      <c r="F13" s="83"/>
      <c r="G13" s="83"/>
      <c r="H13" s="83"/>
      <c r="I13" s="83"/>
      <c r="J13" s="83"/>
      <c r="K13" s="83"/>
      <c r="L13" s="83"/>
      <c r="M13" s="83"/>
      <c r="N13" s="83"/>
      <c r="O13" s="83"/>
      <c r="P13" s="83"/>
      <c r="Q13" s="83"/>
      <c r="R13" s="83"/>
      <c r="S13" s="83"/>
    </row>
    <row r="14" spans="1:19" ht="14.4" thickTop="1" x14ac:dyDescent="0.25">
      <c r="A14" s="9"/>
      <c r="B14" s="9"/>
      <c r="C14" s="9"/>
      <c r="D14" s="9"/>
      <c r="E14" s="9"/>
      <c r="F14" s="9"/>
      <c r="G14" s="9"/>
      <c r="H14" s="9"/>
      <c r="I14" s="9"/>
      <c r="J14" s="9"/>
      <c r="K14" s="9"/>
      <c r="L14" s="9"/>
      <c r="M14" s="10"/>
      <c r="N14" s="10"/>
      <c r="O14" s="10"/>
      <c r="P14" s="10"/>
      <c r="Q14" s="10"/>
      <c r="R14" s="10"/>
      <c r="S14" s="10"/>
    </row>
    <row r="15" spans="1:19" ht="13.8" x14ac:dyDescent="0.25">
      <c r="A15" s="9"/>
      <c r="B15" s="9"/>
      <c r="C15" s="9"/>
      <c r="D15" s="9"/>
      <c r="E15" s="9"/>
      <c r="F15" s="9"/>
      <c r="G15" s="9"/>
      <c r="H15" s="9"/>
      <c r="I15" s="9"/>
      <c r="J15" s="9"/>
      <c r="K15" s="9"/>
      <c r="L15" s="9"/>
      <c r="M15" s="10"/>
      <c r="N15" s="10"/>
      <c r="O15" s="10"/>
      <c r="P15" s="10"/>
      <c r="Q15" s="10"/>
      <c r="R15" s="13"/>
      <c r="S15" s="13"/>
    </row>
    <row r="16" spans="1:19" ht="13.8" x14ac:dyDescent="0.25">
      <c r="A16" s="14"/>
      <c r="B16" s="14"/>
      <c r="C16" s="14"/>
      <c r="D16" s="14"/>
      <c r="E16" s="14"/>
      <c r="F16" s="14"/>
      <c r="G16" s="14"/>
      <c r="H16" s="14"/>
      <c r="I16" s="14"/>
      <c r="J16" s="14"/>
      <c r="K16" s="14"/>
      <c r="L16" s="14"/>
      <c r="M16" s="13"/>
      <c r="N16" s="13"/>
      <c r="O16" s="13"/>
      <c r="P16" s="13"/>
      <c r="Q16" s="13"/>
      <c r="R16" s="13"/>
      <c r="S16" s="13"/>
    </row>
    <row r="17" spans="1:19" ht="13.8" x14ac:dyDescent="0.25">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5">
      <c r="A18" s="84" t="s">
        <v>17</v>
      </c>
      <c r="B18" s="84"/>
      <c r="C18" s="84"/>
      <c r="D18" s="84"/>
      <c r="E18" s="84"/>
      <c r="F18" s="84"/>
      <c r="G18" s="84"/>
      <c r="H18" s="84"/>
      <c r="I18" s="84"/>
      <c r="J18" s="84"/>
      <c r="K18" s="84"/>
      <c r="L18" s="84"/>
      <c r="M18" s="84"/>
      <c r="N18" s="84"/>
      <c r="O18" s="84"/>
      <c r="P18" s="84"/>
      <c r="Q18" s="84"/>
      <c r="R18" s="84"/>
      <c r="S18" s="84"/>
    </row>
    <row r="19" spans="1:19" s="15" customFormat="1" ht="40.65" customHeight="1" x14ac:dyDescent="0.25">
      <c r="A19" s="85" t="s">
        <v>1</v>
      </c>
      <c r="B19" s="85"/>
      <c r="C19" s="85"/>
      <c r="D19" s="85"/>
      <c r="E19" s="85"/>
      <c r="F19" s="85"/>
      <c r="G19" s="85"/>
      <c r="H19" s="85"/>
      <c r="I19" s="85"/>
      <c r="J19" s="85"/>
      <c r="K19" s="85"/>
      <c r="L19" s="85"/>
      <c r="M19" s="85"/>
      <c r="N19" s="85"/>
      <c r="O19" s="85"/>
      <c r="P19" s="85"/>
      <c r="Q19" s="85"/>
      <c r="R19" s="85"/>
      <c r="S19" s="85"/>
    </row>
    <row r="20" spans="1:19" s="15" customFormat="1" ht="13.8" x14ac:dyDescent="0.25">
      <c r="A20" s="16"/>
      <c r="B20" s="16"/>
      <c r="C20" s="16"/>
      <c r="D20" s="16"/>
      <c r="E20" s="16"/>
      <c r="F20" s="16"/>
      <c r="G20" s="16"/>
      <c r="H20" s="16"/>
      <c r="I20" s="16"/>
      <c r="J20" s="16"/>
    </row>
    <row r="21" spans="1:19" s="15" customFormat="1" ht="58.65" customHeight="1" x14ac:dyDescent="0.25">
      <c r="A21" s="86" t="s">
        <v>74</v>
      </c>
      <c r="B21" s="86"/>
      <c r="C21" s="86"/>
      <c r="D21" s="86"/>
      <c r="E21" s="86"/>
      <c r="F21" s="86"/>
      <c r="G21" s="86"/>
      <c r="H21" s="86"/>
      <c r="I21" s="86"/>
      <c r="J21" s="6"/>
      <c r="K21" s="87" t="s">
        <v>89</v>
      </c>
      <c r="L21" s="87"/>
      <c r="M21" s="87"/>
      <c r="N21" s="87"/>
      <c r="O21" s="87"/>
      <c r="P21" s="87"/>
      <c r="Q21" s="87"/>
      <c r="R21" s="87"/>
      <c r="S21" s="87"/>
    </row>
    <row r="22" spans="1:19" s="15" customFormat="1" ht="13.8" x14ac:dyDescent="0.25">
      <c r="A22" s="16"/>
      <c r="B22" s="16"/>
      <c r="C22" s="16"/>
      <c r="D22" s="16"/>
      <c r="E22" s="16"/>
      <c r="F22" s="16"/>
      <c r="G22" s="16"/>
      <c r="H22" s="16"/>
      <c r="I22" s="16"/>
      <c r="J22" s="16"/>
    </row>
    <row r="23" spans="1:19" s="15" customFormat="1" ht="70.2" customHeight="1" x14ac:dyDescent="0.25">
      <c r="A23" s="79" t="s">
        <v>18</v>
      </c>
      <c r="B23" s="79"/>
      <c r="C23" s="79"/>
      <c r="D23" s="79"/>
      <c r="E23" s="79"/>
      <c r="F23" s="79"/>
      <c r="G23" s="79"/>
      <c r="H23" s="79"/>
      <c r="I23" s="79"/>
      <c r="J23" s="7"/>
      <c r="K23" s="80" t="s">
        <v>90</v>
      </c>
      <c r="L23" s="80"/>
      <c r="M23" s="80"/>
      <c r="N23" s="80"/>
      <c r="O23" s="80"/>
      <c r="P23" s="80"/>
      <c r="Q23" s="80"/>
      <c r="R23" s="80"/>
      <c r="S23" s="80"/>
    </row>
    <row r="24" spans="1:19" s="15" customFormat="1" ht="13.8" x14ac:dyDescent="0.25">
      <c r="A24" s="16"/>
      <c r="B24" s="16"/>
      <c r="C24" s="16"/>
      <c r="D24" s="16"/>
      <c r="E24" s="16"/>
      <c r="F24" s="16"/>
      <c r="G24" s="16"/>
      <c r="H24" s="16"/>
      <c r="I24" s="16"/>
      <c r="J24" s="16"/>
    </row>
    <row r="25" spans="1:19" s="15" customFormat="1" ht="70.2" customHeight="1" x14ac:dyDescent="0.25">
      <c r="A25" s="81" t="s">
        <v>3</v>
      </c>
      <c r="B25" s="81"/>
      <c r="C25" s="81"/>
      <c r="D25" s="81"/>
      <c r="E25" s="81"/>
      <c r="F25" s="81"/>
      <c r="G25" s="81"/>
      <c r="H25" s="81"/>
      <c r="I25" s="81"/>
      <c r="J25" s="7"/>
      <c r="K25" s="82" t="s">
        <v>91</v>
      </c>
      <c r="L25" s="82"/>
      <c r="M25" s="82"/>
      <c r="N25" s="82"/>
      <c r="O25" s="82"/>
      <c r="P25" s="82"/>
      <c r="Q25" s="82"/>
      <c r="R25" s="82"/>
      <c r="S25" s="82"/>
    </row>
    <row r="26" spans="1:19" s="15" customFormat="1" ht="13.8" x14ac:dyDescent="0.25">
      <c r="A26" s="16"/>
      <c r="B26" s="16"/>
      <c r="C26" s="16"/>
      <c r="D26" s="16"/>
      <c r="E26" s="16"/>
      <c r="F26" s="16"/>
      <c r="G26" s="16"/>
      <c r="H26" s="16"/>
      <c r="I26" s="16"/>
      <c r="J26" s="16"/>
    </row>
    <row r="27" spans="1:19" ht="27" customHeight="1" x14ac:dyDescent="0.25">
      <c r="A27" s="77" t="s">
        <v>13</v>
      </c>
      <c r="B27" s="77"/>
      <c r="C27" s="77"/>
      <c r="D27" s="77"/>
      <c r="E27" s="77"/>
      <c r="F27" s="77"/>
      <c r="G27" s="77"/>
      <c r="H27" s="77"/>
      <c r="I27" s="77"/>
      <c r="K27" s="78" t="s">
        <v>19</v>
      </c>
      <c r="L27" s="78"/>
      <c r="M27" s="78"/>
      <c r="N27" s="78"/>
      <c r="O27" s="78"/>
      <c r="P27" s="78"/>
      <c r="Q27" s="78"/>
      <c r="R27" s="78"/>
      <c r="S27" s="78"/>
    </row>
    <row r="28" spans="1:19" ht="27" customHeight="1" x14ac:dyDescent="0.25">
      <c r="A28" s="77"/>
      <c r="B28" s="77"/>
      <c r="C28" s="77"/>
      <c r="D28" s="77"/>
      <c r="E28" s="77"/>
      <c r="F28" s="77"/>
      <c r="G28" s="77"/>
      <c r="H28" s="77"/>
      <c r="I28" s="77"/>
      <c r="K28" s="78"/>
      <c r="L28" s="78"/>
      <c r="M28" s="78"/>
      <c r="N28" s="78"/>
      <c r="O28" s="17"/>
      <c r="P28" s="17"/>
      <c r="Q28" s="17"/>
      <c r="R28" s="17"/>
      <c r="S28" s="17"/>
    </row>
    <row r="29" spans="1:19" ht="27" customHeight="1" x14ac:dyDescent="0.25">
      <c r="A29" s="77"/>
      <c r="B29" s="77"/>
      <c r="C29" s="77"/>
      <c r="D29" s="77"/>
      <c r="E29" s="77"/>
      <c r="F29" s="77"/>
      <c r="G29" s="77"/>
      <c r="H29" s="77"/>
      <c r="I29" s="77"/>
      <c r="K29" s="78"/>
      <c r="L29" s="78"/>
      <c r="M29" s="78"/>
      <c r="N29" s="78"/>
      <c r="O29" s="78"/>
      <c r="P29" s="78"/>
      <c r="Q29" s="78"/>
      <c r="R29" s="78"/>
      <c r="S29" s="78"/>
    </row>
    <row r="30" spans="1:19" s="15" customFormat="1" ht="30.6" x14ac:dyDescent="0.25">
      <c r="A30" s="8"/>
      <c r="B30" s="18"/>
      <c r="C30" s="18"/>
      <c r="D30" s="18"/>
      <c r="E30" s="18"/>
      <c r="F30" s="18"/>
      <c r="G30" s="18"/>
      <c r="H30" s="18"/>
      <c r="I30" s="18"/>
      <c r="J30" s="18"/>
      <c r="K30" s="18"/>
      <c r="L30" s="18"/>
      <c r="M30" s="18"/>
      <c r="N30" s="18"/>
      <c r="O30" s="18"/>
      <c r="P30" s="18"/>
      <c r="Q30" s="18"/>
    </row>
    <row r="31" spans="1:19" x14ac:dyDescent="0.25">
      <c r="A31" s="10"/>
      <c r="B31" s="10"/>
      <c r="C31" s="10"/>
      <c r="D31" s="10"/>
      <c r="E31" s="10"/>
      <c r="F31" s="10"/>
      <c r="G31" s="10"/>
      <c r="H31" s="10"/>
      <c r="I31" s="10"/>
      <c r="J31" s="10"/>
      <c r="K31" s="10"/>
      <c r="L31" s="10"/>
      <c r="M31" s="10"/>
      <c r="N31" s="10"/>
      <c r="O31" s="10"/>
      <c r="P31" s="10"/>
      <c r="Q31" s="10"/>
      <c r="R31" s="10"/>
      <c r="S31" s="10"/>
    </row>
    <row r="32" spans="1:19" x14ac:dyDescent="0.25">
      <c r="A32" s="10"/>
      <c r="B32" s="10"/>
      <c r="C32" s="10"/>
      <c r="D32" s="10"/>
      <c r="E32" s="10"/>
      <c r="F32" s="10"/>
      <c r="G32" s="10"/>
      <c r="H32" s="10"/>
      <c r="I32" s="10"/>
      <c r="J32" s="10"/>
      <c r="K32" s="10"/>
      <c r="L32" s="10"/>
      <c r="M32" s="10"/>
      <c r="N32" s="10"/>
      <c r="O32" s="10"/>
      <c r="P32" s="10"/>
      <c r="Q32" s="10"/>
      <c r="R32" s="10"/>
      <c r="S32" s="10"/>
    </row>
    <row r="33" spans="1:19" x14ac:dyDescent="0.25">
      <c r="A33" s="10"/>
      <c r="B33" s="10"/>
      <c r="C33" s="10"/>
      <c r="D33" s="10"/>
      <c r="E33" s="10"/>
      <c r="F33" s="10"/>
      <c r="G33" s="10"/>
      <c r="H33" s="10"/>
      <c r="I33" s="10"/>
      <c r="J33" s="10"/>
      <c r="K33" s="10"/>
      <c r="L33" s="10"/>
      <c r="M33" s="10"/>
      <c r="N33" s="10"/>
      <c r="O33" s="10"/>
      <c r="P33" s="10"/>
      <c r="Q33" s="10"/>
      <c r="R33" s="10"/>
      <c r="S33" s="10"/>
    </row>
    <row r="34" spans="1:19" x14ac:dyDescent="0.25">
      <c r="A34" s="10"/>
      <c r="B34" s="10"/>
      <c r="C34" s="10"/>
      <c r="D34" s="10"/>
      <c r="E34" s="10"/>
      <c r="F34" s="10"/>
      <c r="G34" s="10"/>
      <c r="H34" s="10"/>
      <c r="I34" s="10"/>
      <c r="J34" s="10"/>
      <c r="K34" s="10"/>
      <c r="L34" s="10"/>
      <c r="M34" s="10"/>
      <c r="N34" s="10"/>
      <c r="O34" s="10"/>
      <c r="P34" s="10"/>
      <c r="Q34" s="10"/>
      <c r="R34" s="10"/>
      <c r="S34" s="10"/>
    </row>
    <row r="35" spans="1:19" x14ac:dyDescent="0.25">
      <c r="A35" s="10"/>
      <c r="B35" s="10"/>
      <c r="C35" s="10"/>
      <c r="D35" s="10"/>
      <c r="E35" s="10"/>
      <c r="F35" s="10"/>
      <c r="G35" s="10"/>
      <c r="H35" s="10"/>
      <c r="I35" s="10"/>
      <c r="J35" s="10"/>
      <c r="K35" s="10"/>
      <c r="L35" s="10"/>
      <c r="M35" s="10"/>
      <c r="N35" s="10"/>
      <c r="O35" s="10"/>
      <c r="P35" s="10"/>
      <c r="Q35" s="10"/>
      <c r="R35" s="10"/>
      <c r="S35" s="10"/>
    </row>
    <row r="36" spans="1:19" x14ac:dyDescent="0.25">
      <c r="A36" s="10"/>
      <c r="B36" s="10"/>
      <c r="C36" s="10"/>
      <c r="D36" s="10"/>
      <c r="E36" s="10"/>
      <c r="F36" s="10"/>
      <c r="G36" s="10"/>
      <c r="H36" s="10"/>
      <c r="I36" s="10"/>
      <c r="J36" s="10"/>
      <c r="K36" s="10"/>
      <c r="L36" s="10"/>
      <c r="M36" s="10"/>
      <c r="N36" s="10"/>
      <c r="O36" s="10"/>
      <c r="P36" s="10"/>
      <c r="Q36" s="10"/>
      <c r="R36" s="10"/>
      <c r="S36" s="10"/>
    </row>
    <row r="37" spans="1:19" s="15" customFormat="1" ht="15.6" x14ac:dyDescent="0.25">
      <c r="A37" s="19" t="s">
        <v>4</v>
      </c>
      <c r="C37" s="20">
        <f ca="1">TODAY()</f>
        <v>44543</v>
      </c>
      <c r="D37" s="16"/>
      <c r="E37" s="16"/>
      <c r="F37" s="16"/>
      <c r="G37" s="16"/>
      <c r="H37" s="16"/>
      <c r="I37" s="16"/>
      <c r="J37" s="16"/>
    </row>
  </sheetData>
  <mergeCells count="15">
    <mergeCell ref="A13:S13"/>
    <mergeCell ref="A18:S18"/>
    <mergeCell ref="A19:S19"/>
    <mergeCell ref="A21:I21"/>
    <mergeCell ref="K21:S21"/>
    <mergeCell ref="A28:I28"/>
    <mergeCell ref="K28:N28"/>
    <mergeCell ref="A29:I29"/>
    <mergeCell ref="K29:S29"/>
    <mergeCell ref="A23:I23"/>
    <mergeCell ref="K23:S23"/>
    <mergeCell ref="A25:I25"/>
    <mergeCell ref="K25:S25"/>
    <mergeCell ref="A27:I27"/>
    <mergeCell ref="K27:S27"/>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8"/>
  <sheetViews>
    <sheetView topLeftCell="A20" workbookViewId="0">
      <selection activeCell="C35" sqref="C35"/>
    </sheetView>
  </sheetViews>
  <sheetFormatPr defaultColWidth="8" defaultRowHeight="13.2" x14ac:dyDescent="0.25"/>
  <cols>
    <col min="1" max="1" width="54.109375" style="2" customWidth="1"/>
    <col min="2" max="2" width="86.44140625" style="36" customWidth="1"/>
    <col min="3" max="3" width="25.109375" style="2" bestFit="1" customWidth="1"/>
    <col min="4" max="16384" width="8" style="2"/>
  </cols>
  <sheetData>
    <row r="1" spans="1:3" hidden="1" x14ac:dyDescent="0.25">
      <c r="A1" s="1" t="s">
        <v>5</v>
      </c>
    </row>
    <row r="2" spans="1:3" hidden="1" x14ac:dyDescent="0.25">
      <c r="A2" s="3" t="s">
        <v>20</v>
      </c>
      <c r="B2" s="37" t="s">
        <v>6</v>
      </c>
    </row>
    <row r="3" spans="1:3" hidden="1" x14ac:dyDescent="0.25">
      <c r="A3" s="3" t="s">
        <v>20</v>
      </c>
      <c r="B3" s="37" t="s">
        <v>6</v>
      </c>
    </row>
    <row r="4" spans="1:3" hidden="1" x14ac:dyDescent="0.25">
      <c r="A4" s="3" t="s">
        <v>21</v>
      </c>
      <c r="B4" s="37" t="s">
        <v>7</v>
      </c>
    </row>
    <row r="5" spans="1:3" hidden="1" x14ac:dyDescent="0.25">
      <c r="A5" s="3" t="s">
        <v>22</v>
      </c>
      <c r="B5" s="37" t="s">
        <v>7</v>
      </c>
    </row>
    <row r="6" spans="1:3" x14ac:dyDescent="0.25">
      <c r="A6" s="5"/>
      <c r="B6" s="38"/>
      <c r="C6" s="4"/>
    </row>
    <row r="7" spans="1:3" x14ac:dyDescent="0.25">
      <c r="A7" s="30"/>
      <c r="B7" s="38"/>
      <c r="C7" s="4"/>
    </row>
    <row r="8" spans="1:3" ht="28.2" x14ac:dyDescent="0.25">
      <c r="A8" s="88" t="s">
        <v>1</v>
      </c>
      <c r="B8" s="88"/>
      <c r="C8" s="29" t="s">
        <v>8</v>
      </c>
    </row>
    <row r="9" spans="1:3" x14ac:dyDescent="0.25">
      <c r="A9" s="4"/>
      <c r="B9" s="38"/>
      <c r="C9" s="4"/>
    </row>
    <row r="10" spans="1:3" x14ac:dyDescent="0.25">
      <c r="A10" s="5" t="s">
        <v>9</v>
      </c>
      <c r="B10" s="89" t="s">
        <v>10</v>
      </c>
      <c r="C10" s="89"/>
    </row>
    <row r="11" spans="1:3" x14ac:dyDescent="0.25">
      <c r="A11" s="25" t="s">
        <v>11</v>
      </c>
      <c r="B11" s="21" t="s">
        <v>84</v>
      </c>
      <c r="C11" s="22"/>
    </row>
    <row r="12" spans="1:3" x14ac:dyDescent="0.25">
      <c r="A12" s="30"/>
      <c r="B12" s="38"/>
      <c r="C12" s="4"/>
    </row>
    <row r="13" spans="1:3" x14ac:dyDescent="0.25">
      <c r="A13" s="30"/>
      <c r="B13" s="38"/>
      <c r="C13" s="4"/>
    </row>
    <row r="14" spans="1:3" ht="19.649999999999999" customHeight="1" x14ac:dyDescent="0.25">
      <c r="A14" s="26" t="str">
        <f>CONCATENATE("To be Performed by Tester : ",'Test Cycle 1'!H2)</f>
        <v>To be Performed by Tester : Mingoué Frank</v>
      </c>
      <c r="B14" s="39"/>
      <c r="C14" s="4"/>
    </row>
    <row r="15" spans="1:3" ht="21.9" customHeight="1" x14ac:dyDescent="0.3">
      <c r="A15" s="31" t="s">
        <v>23</v>
      </c>
      <c r="B15" s="90"/>
      <c r="C15" s="91"/>
    </row>
    <row r="16" spans="1:3" ht="39.75" customHeight="1" x14ac:dyDescent="0.25">
      <c r="A16" s="28" t="s">
        <v>24</v>
      </c>
      <c r="B16" s="28" t="s">
        <v>12</v>
      </c>
      <c r="C16" s="23" t="s">
        <v>25</v>
      </c>
    </row>
    <row r="17" spans="1:3" x14ac:dyDescent="0.25">
      <c r="A17" s="24" t="s">
        <v>26</v>
      </c>
      <c r="B17" s="40"/>
      <c r="C17" s="27" t="s">
        <v>82</v>
      </c>
    </row>
    <row r="18" spans="1:3" x14ac:dyDescent="0.25">
      <c r="A18" s="24" t="s">
        <v>27</v>
      </c>
      <c r="B18" s="40"/>
      <c r="C18" s="27" t="s">
        <v>83</v>
      </c>
    </row>
    <row r="19" spans="1:3" x14ac:dyDescent="0.25">
      <c r="A19" s="24" t="s">
        <v>28</v>
      </c>
      <c r="B19" s="40"/>
      <c r="C19" s="27" t="s">
        <v>83</v>
      </c>
    </row>
    <row r="20" spans="1:3" x14ac:dyDescent="0.25">
      <c r="A20" s="24" t="s">
        <v>76</v>
      </c>
      <c r="B20" s="41"/>
      <c r="C20" s="27" t="s">
        <v>106</v>
      </c>
    </row>
    <row r="21" spans="1:3" x14ac:dyDescent="0.25">
      <c r="A21" s="24" t="s">
        <v>77</v>
      </c>
      <c r="B21" s="40"/>
      <c r="C21" s="27" t="s">
        <v>106</v>
      </c>
    </row>
    <row r="22" spans="1:3" x14ac:dyDescent="0.25">
      <c r="A22" s="24" t="s">
        <v>79</v>
      </c>
      <c r="B22" s="40"/>
      <c r="C22" s="27" t="s">
        <v>106</v>
      </c>
    </row>
    <row r="23" spans="1:3" x14ac:dyDescent="0.25">
      <c r="A23" s="24" t="s">
        <v>78</v>
      </c>
      <c r="B23" s="44"/>
      <c r="C23" s="27" t="s">
        <v>83</v>
      </c>
    </row>
    <row r="24" spans="1:3" x14ac:dyDescent="0.25">
      <c r="A24" s="24" t="s">
        <v>29</v>
      </c>
      <c r="B24" s="40"/>
      <c r="C24" s="27" t="s">
        <v>82</v>
      </c>
    </row>
    <row r="25" spans="1:3" x14ac:dyDescent="0.25">
      <c r="A25" s="24" t="s">
        <v>30</v>
      </c>
      <c r="B25" s="40"/>
      <c r="C25" s="27" t="s">
        <v>83</v>
      </c>
    </row>
    <row r="26" spans="1:3" ht="26.4" x14ac:dyDescent="0.25">
      <c r="A26" s="24" t="s">
        <v>31</v>
      </c>
      <c r="B26" s="27"/>
      <c r="C26" s="27" t="s">
        <v>83</v>
      </c>
    </row>
    <row r="27" spans="1:3" x14ac:dyDescent="0.25">
      <c r="A27" s="24" t="s">
        <v>55</v>
      </c>
      <c r="B27" s="27"/>
      <c r="C27" s="27" t="s">
        <v>106</v>
      </c>
    </row>
    <row r="28" spans="1:3" x14ac:dyDescent="0.25">
      <c r="A28" s="24" t="s">
        <v>80</v>
      </c>
      <c r="B28" s="40"/>
      <c r="C28" s="27" t="s">
        <v>83</v>
      </c>
    </row>
    <row r="29" spans="1:3" x14ac:dyDescent="0.25">
      <c r="A29" s="24" t="s">
        <v>81</v>
      </c>
      <c r="B29" s="40"/>
      <c r="C29" s="27" t="s">
        <v>83</v>
      </c>
    </row>
    <row r="30" spans="1:3" x14ac:dyDescent="0.25">
      <c r="A30" s="33"/>
      <c r="B30" s="42"/>
      <c r="C30" s="34"/>
    </row>
    <row r="31" spans="1:3" x14ac:dyDescent="0.25">
      <c r="A31" s="35"/>
      <c r="B31" s="43"/>
      <c r="C31" s="35"/>
    </row>
    <row r="32" spans="1:3" x14ac:dyDescent="0.25">
      <c r="A32" s="32" t="str">
        <f>CONCATENATE("To be Performed by Reviewer : ",'Test Cycle 1'!H3)</f>
        <v xml:space="preserve">To be Performed by Reviewer : </v>
      </c>
      <c r="B32" s="39"/>
      <c r="C32" s="4"/>
    </row>
    <row r="33" spans="1:3" ht="14.4" x14ac:dyDescent="0.3">
      <c r="A33" s="31" t="s">
        <v>23</v>
      </c>
      <c r="B33" s="90"/>
      <c r="C33" s="91"/>
    </row>
    <row r="34" spans="1:3" ht="26.4" x14ac:dyDescent="0.25">
      <c r="A34" s="28" t="s">
        <v>24</v>
      </c>
      <c r="B34" s="28"/>
      <c r="C34" s="23" t="s">
        <v>25</v>
      </c>
    </row>
    <row r="35" spans="1:3" x14ac:dyDescent="0.25">
      <c r="A35" s="24" t="s">
        <v>32</v>
      </c>
      <c r="B35" s="40"/>
      <c r="C35" s="27" t="s">
        <v>82</v>
      </c>
    </row>
    <row r="36" spans="1:3" x14ac:dyDescent="0.25">
      <c r="A36" s="24" t="s">
        <v>33</v>
      </c>
      <c r="B36" s="40"/>
      <c r="C36" s="27" t="s">
        <v>82</v>
      </c>
    </row>
    <row r="37" spans="1:3" x14ac:dyDescent="0.25">
      <c r="A37" s="24" t="s">
        <v>75</v>
      </c>
      <c r="B37" s="40"/>
      <c r="C37" s="27" t="s">
        <v>82</v>
      </c>
    </row>
    <row r="38" spans="1:3" x14ac:dyDescent="0.25">
      <c r="A38" s="24" t="s">
        <v>34</v>
      </c>
      <c r="B38" s="40"/>
      <c r="C38" s="27" t="s">
        <v>82</v>
      </c>
    </row>
  </sheetData>
  <mergeCells count="4">
    <mergeCell ref="A8:B8"/>
    <mergeCell ref="B10:C10"/>
    <mergeCell ref="B15:C15"/>
    <mergeCell ref="B33:C33"/>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BC25"/>
  <sheetViews>
    <sheetView topLeftCell="A7" zoomScale="60" zoomScaleNormal="60" workbookViewId="0">
      <selection activeCell="I12" sqref="I12"/>
    </sheetView>
  </sheetViews>
  <sheetFormatPr defaultColWidth="9.109375" defaultRowHeight="15.6" x14ac:dyDescent="0.3"/>
  <cols>
    <col min="1" max="1" width="22.88671875" style="58" customWidth="1"/>
    <col min="2" max="2" width="37.109375" style="58" customWidth="1"/>
    <col min="3" max="3" width="62.109375" style="58" customWidth="1"/>
    <col min="4" max="4" width="23.44140625" style="96" bestFit="1" customWidth="1"/>
    <col min="5" max="5" width="41.44140625" style="64" customWidth="1"/>
    <col min="6" max="6" width="36.88671875" style="58" customWidth="1"/>
    <col min="7" max="7" width="39.44140625" style="58" customWidth="1"/>
    <col min="8" max="8" width="36.88671875" style="58" customWidth="1"/>
    <col min="9" max="9" width="25" style="58" customWidth="1"/>
    <col min="10" max="10" width="23.44140625" style="58" customWidth="1"/>
    <col min="11" max="11" width="32" style="58" customWidth="1"/>
    <col min="12" max="12" width="30.88671875" style="58" customWidth="1"/>
    <col min="13" max="22" width="9.109375" style="59"/>
    <col min="23" max="23" width="17.109375" style="59" bestFit="1" customWidth="1"/>
    <col min="24" max="24" width="9.109375" style="59"/>
    <col min="25" max="25" width="14.33203125" style="59" bestFit="1" customWidth="1"/>
    <col min="26" max="48" width="9.109375" style="59"/>
    <col min="49" max="49" width="9" style="59" customWidth="1"/>
    <col min="50" max="52" width="9.109375" style="59" hidden="1" customWidth="1"/>
    <col min="53" max="53" width="27.6640625" style="59" customWidth="1"/>
    <col min="54" max="16384" width="9.109375" style="59"/>
  </cols>
  <sheetData>
    <row r="1" spans="1:55" s="58" customFormat="1" ht="24.6" customHeight="1" x14ac:dyDescent="0.3">
      <c r="A1" s="54" t="s">
        <v>43</v>
      </c>
      <c r="B1" s="92" t="s">
        <v>104</v>
      </c>
      <c r="C1" s="92"/>
      <c r="D1" s="92"/>
      <c r="E1" s="55" t="s">
        <v>44</v>
      </c>
      <c r="F1" s="56" t="s">
        <v>103</v>
      </c>
      <c r="G1" s="57"/>
      <c r="H1" s="57"/>
      <c r="M1" s="59"/>
      <c r="N1" s="59"/>
      <c r="O1" s="59"/>
      <c r="P1" s="59"/>
      <c r="Q1" s="59"/>
      <c r="R1" s="59"/>
      <c r="S1" s="59"/>
      <c r="T1" s="59"/>
      <c r="U1" s="59"/>
      <c r="V1" s="59"/>
      <c r="W1" s="59"/>
      <c r="X1" s="59"/>
      <c r="Y1" s="59"/>
      <c r="Z1" s="59"/>
      <c r="AA1" s="59"/>
      <c r="AB1" s="59"/>
      <c r="AC1" s="59"/>
      <c r="AD1" s="59"/>
      <c r="AE1" s="59"/>
      <c r="AF1" s="59"/>
      <c r="AG1" s="59"/>
      <c r="AH1" s="59"/>
      <c r="AI1" s="59"/>
      <c r="AJ1" s="59"/>
      <c r="AK1" s="59"/>
      <c r="AL1" s="59"/>
      <c r="AM1" s="59"/>
      <c r="AN1" s="59"/>
      <c r="AO1" s="59"/>
      <c r="AP1" s="59"/>
      <c r="AQ1" s="59"/>
      <c r="AR1" s="59"/>
      <c r="AS1" s="59"/>
      <c r="AT1" s="59"/>
      <c r="AU1" s="59"/>
      <c r="AV1" s="59"/>
      <c r="AW1" s="59"/>
      <c r="AX1" s="59"/>
      <c r="AY1" s="59"/>
      <c r="AZ1" s="59"/>
      <c r="BA1" s="60" t="s">
        <v>35</v>
      </c>
      <c r="BB1" s="60" t="s">
        <v>35</v>
      </c>
      <c r="BC1" s="58" t="s">
        <v>36</v>
      </c>
    </row>
    <row r="2" spans="1:55" s="58" customFormat="1" ht="19.2" customHeight="1" x14ac:dyDescent="0.3">
      <c r="A2" s="54" t="s">
        <v>46</v>
      </c>
      <c r="B2" s="92" t="s">
        <v>105</v>
      </c>
      <c r="C2" s="92"/>
      <c r="D2" s="92"/>
      <c r="E2" s="55" t="s">
        <v>47</v>
      </c>
      <c r="F2" s="61">
        <v>44543</v>
      </c>
      <c r="G2" s="54" t="s">
        <v>48</v>
      </c>
      <c r="H2" s="56" t="s">
        <v>85</v>
      </c>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60" t="s">
        <v>37</v>
      </c>
      <c r="BB2" s="60" t="s">
        <v>37</v>
      </c>
      <c r="BC2" s="58" t="s">
        <v>38</v>
      </c>
    </row>
    <row r="3" spans="1:55" s="58" customFormat="1" ht="26.25" customHeight="1" x14ac:dyDescent="0.3">
      <c r="A3" s="54" t="s">
        <v>50</v>
      </c>
      <c r="B3" s="93" t="s">
        <v>39</v>
      </c>
      <c r="C3" s="93"/>
      <c r="D3" s="93"/>
      <c r="E3" s="55" t="s">
        <v>51</v>
      </c>
      <c r="F3" s="62"/>
      <c r="G3" s="54" t="s">
        <v>52</v>
      </c>
      <c r="H3" s="56"/>
      <c r="M3" s="59"/>
      <c r="N3" s="59"/>
      <c r="O3" s="59"/>
      <c r="P3" s="59"/>
      <c r="Q3" s="59"/>
      <c r="R3" s="59"/>
      <c r="S3" s="59"/>
      <c r="T3" s="59"/>
      <c r="U3" s="59"/>
      <c r="V3" s="59"/>
      <c r="W3" s="59"/>
      <c r="X3" s="59"/>
      <c r="Y3" s="59"/>
      <c r="Z3" s="59"/>
      <c r="AA3" s="59"/>
      <c r="AB3" s="59"/>
      <c r="AC3" s="59"/>
      <c r="AD3" s="59"/>
      <c r="AE3" s="59"/>
      <c r="AF3" s="59"/>
      <c r="AG3" s="59"/>
      <c r="AH3" s="59"/>
      <c r="AI3" s="59"/>
      <c r="AJ3" s="59"/>
      <c r="AK3" s="59"/>
      <c r="AL3" s="59"/>
      <c r="AM3" s="59"/>
      <c r="AN3" s="59"/>
      <c r="AO3" s="59"/>
      <c r="AP3" s="59"/>
      <c r="AQ3" s="59"/>
      <c r="AR3" s="59"/>
      <c r="AS3" s="59"/>
      <c r="AT3" s="59"/>
      <c r="AU3" s="59"/>
      <c r="AV3" s="59"/>
      <c r="AW3" s="59"/>
      <c r="AX3" s="59"/>
      <c r="AY3" s="59"/>
      <c r="AZ3" s="59"/>
      <c r="BA3" s="60" t="s">
        <v>39</v>
      </c>
      <c r="BB3" s="60" t="s">
        <v>40</v>
      </c>
      <c r="BC3" s="58" t="s">
        <v>15</v>
      </c>
    </row>
    <row r="4" spans="1:55" s="58" customFormat="1" ht="27" customHeight="1" x14ac:dyDescent="0.4">
      <c r="A4" s="54" t="s">
        <v>54</v>
      </c>
      <c r="B4" s="94"/>
      <c r="C4" s="94"/>
      <c r="D4" s="94"/>
      <c r="E4" s="94"/>
      <c r="F4" s="94"/>
      <c r="G4" s="94"/>
      <c r="H4" s="94"/>
      <c r="M4" s="59"/>
      <c r="N4" s="59"/>
      <c r="O4" s="59"/>
      <c r="P4" s="59"/>
      <c r="Q4" s="59"/>
      <c r="R4" s="59"/>
      <c r="S4" s="59"/>
      <c r="T4" s="59"/>
      <c r="U4" s="59"/>
      <c r="V4" s="59"/>
      <c r="W4" s="59"/>
      <c r="X4" s="59"/>
      <c r="Y4" s="59"/>
      <c r="Z4" s="59"/>
      <c r="AA4" s="59"/>
      <c r="AB4" s="59"/>
      <c r="AC4" s="59"/>
      <c r="AD4" s="59"/>
      <c r="AE4" s="59"/>
      <c r="AF4" s="59"/>
      <c r="AG4" s="59"/>
      <c r="AH4" s="59"/>
      <c r="AI4" s="59"/>
      <c r="AJ4" s="59"/>
      <c r="AK4" s="59"/>
      <c r="AL4" s="59"/>
      <c r="AM4" s="59"/>
      <c r="AN4" s="59"/>
      <c r="AO4" s="59"/>
      <c r="AP4" s="59"/>
      <c r="AQ4" s="59"/>
      <c r="AR4" s="59"/>
      <c r="AS4" s="59"/>
      <c r="AT4" s="59"/>
      <c r="AU4" s="59"/>
      <c r="AV4" s="59"/>
      <c r="AW4" s="59"/>
      <c r="AX4" s="59"/>
      <c r="AY4" s="59"/>
      <c r="AZ4" s="59"/>
      <c r="BA4" s="60" t="s">
        <v>41</v>
      </c>
      <c r="BB4" s="60" t="s">
        <v>15</v>
      </c>
      <c r="BC4" s="58" t="s">
        <v>16</v>
      </c>
    </row>
    <row r="5" spans="1:55" s="58" customFormat="1" x14ac:dyDescent="0.3">
      <c r="A5" s="63" t="s">
        <v>66</v>
      </c>
      <c r="B5" s="63" t="s">
        <v>67</v>
      </c>
      <c r="C5" s="63" t="s">
        <v>68</v>
      </c>
      <c r="D5" s="95" t="s">
        <v>69</v>
      </c>
      <c r="E5" s="63" t="s">
        <v>70</v>
      </c>
      <c r="F5" s="63" t="s">
        <v>71</v>
      </c>
      <c r="G5" s="63" t="s">
        <v>72</v>
      </c>
      <c r="H5" s="63" t="s">
        <v>73</v>
      </c>
      <c r="I5" s="63" t="s">
        <v>64</v>
      </c>
      <c r="J5" s="63" t="s">
        <v>65</v>
      </c>
      <c r="K5" s="59"/>
      <c r="L5" s="59"/>
      <c r="M5" s="59"/>
      <c r="N5" s="59"/>
      <c r="O5" s="59"/>
      <c r="P5" s="59"/>
      <c r="Q5" s="59"/>
      <c r="R5" s="59"/>
      <c r="S5" s="59"/>
      <c r="T5" s="59"/>
      <c r="U5" s="59"/>
      <c r="V5" s="59"/>
      <c r="W5" s="59"/>
      <c r="X5" s="59"/>
      <c r="Y5" s="59"/>
      <c r="Z5" s="59"/>
      <c r="AA5" s="59"/>
      <c r="AB5" s="59"/>
      <c r="AC5" s="59"/>
      <c r="AD5" s="59"/>
      <c r="AE5" s="59"/>
      <c r="AF5" s="59"/>
      <c r="AG5" s="59"/>
      <c r="AH5" s="59"/>
      <c r="AI5" s="59"/>
      <c r="AJ5" s="59"/>
      <c r="AK5" s="59"/>
      <c r="AL5" s="59"/>
      <c r="AM5" s="59"/>
      <c r="AN5" s="59"/>
      <c r="AO5" s="59"/>
      <c r="AP5" s="59"/>
      <c r="AQ5" s="59"/>
      <c r="AR5" s="59"/>
      <c r="AS5" s="59"/>
      <c r="AT5" s="59"/>
      <c r="AU5" s="59"/>
      <c r="AV5" s="59"/>
      <c r="AW5" s="59"/>
      <c r="AX5" s="59"/>
      <c r="AY5" s="60" t="s">
        <v>42</v>
      </c>
      <c r="AZ5" s="60" t="s">
        <v>16</v>
      </c>
    </row>
    <row r="6" spans="1:55" s="72" customFormat="1" ht="93.6" customHeight="1" x14ac:dyDescent="0.25">
      <c r="A6" s="74"/>
      <c r="B6" s="70" t="s">
        <v>92</v>
      </c>
      <c r="C6" s="70" t="s">
        <v>108</v>
      </c>
      <c r="D6" s="69" t="s">
        <v>93</v>
      </c>
      <c r="E6" s="76" t="s">
        <v>107</v>
      </c>
      <c r="F6" s="70" t="s">
        <v>94</v>
      </c>
      <c r="G6" s="67" t="s">
        <v>107</v>
      </c>
      <c r="H6" s="70" t="s">
        <v>95</v>
      </c>
      <c r="I6" s="68"/>
      <c r="J6" s="71"/>
      <c r="AY6" s="73"/>
    </row>
    <row r="7" spans="1:55" s="72" customFormat="1" ht="51.6" customHeight="1" x14ac:dyDescent="0.25">
      <c r="A7" s="74"/>
      <c r="B7" s="71" t="s">
        <v>96</v>
      </c>
      <c r="C7" s="70" t="s">
        <v>97</v>
      </c>
      <c r="D7" s="69" t="s">
        <v>93</v>
      </c>
      <c r="E7" s="67" t="s">
        <v>109</v>
      </c>
      <c r="F7" s="70" t="s">
        <v>99</v>
      </c>
      <c r="G7" s="67" t="s">
        <v>98</v>
      </c>
      <c r="H7" s="70" t="s">
        <v>99</v>
      </c>
      <c r="I7" s="68"/>
      <c r="J7" s="71"/>
      <c r="AY7" s="73"/>
    </row>
    <row r="8" spans="1:55" s="72" customFormat="1" ht="84.6" customHeight="1" x14ac:dyDescent="0.25">
      <c r="A8" s="74">
        <v>1</v>
      </c>
      <c r="B8" s="71" t="s">
        <v>111</v>
      </c>
      <c r="C8" s="70" t="s">
        <v>110</v>
      </c>
      <c r="D8" s="69" t="s">
        <v>115</v>
      </c>
      <c r="E8" s="67" t="s">
        <v>112</v>
      </c>
      <c r="F8" s="70" t="s">
        <v>94</v>
      </c>
      <c r="G8" s="67" t="s">
        <v>112</v>
      </c>
      <c r="H8" s="70" t="s">
        <v>100</v>
      </c>
      <c r="I8" s="68"/>
      <c r="J8" s="71"/>
      <c r="AY8" s="73" t="s">
        <v>45</v>
      </c>
    </row>
    <row r="9" spans="1:55" s="72" customFormat="1" ht="163.80000000000001" customHeight="1" x14ac:dyDescent="0.25">
      <c r="A9" s="68">
        <v>2</v>
      </c>
      <c r="B9" s="67" t="s">
        <v>113</v>
      </c>
      <c r="C9" s="70" t="s">
        <v>114</v>
      </c>
      <c r="D9" s="69" t="s">
        <v>93</v>
      </c>
      <c r="E9" s="67" t="s">
        <v>118</v>
      </c>
      <c r="F9" s="69" t="s">
        <v>117</v>
      </c>
      <c r="G9" s="67" t="s">
        <v>116</v>
      </c>
      <c r="H9" s="70" t="s">
        <v>119</v>
      </c>
      <c r="I9" s="68"/>
      <c r="J9" s="71"/>
      <c r="AY9" s="73" t="s">
        <v>49</v>
      </c>
    </row>
    <row r="10" spans="1:55" s="72" customFormat="1" ht="193.8" customHeight="1" x14ac:dyDescent="0.25">
      <c r="A10" s="70">
        <v>3</v>
      </c>
      <c r="B10" s="67" t="s">
        <v>120</v>
      </c>
      <c r="C10" s="67" t="s">
        <v>110</v>
      </c>
      <c r="D10" s="69" t="s">
        <v>115</v>
      </c>
      <c r="E10" s="67" t="s">
        <v>112</v>
      </c>
      <c r="F10" s="70" t="s">
        <v>122</v>
      </c>
      <c r="G10" s="67" t="s">
        <v>121</v>
      </c>
      <c r="H10" s="70" t="s">
        <v>123</v>
      </c>
      <c r="I10" s="68"/>
      <c r="J10" s="71"/>
      <c r="AY10" s="73" t="s">
        <v>53</v>
      </c>
    </row>
    <row r="11" spans="1:55" s="72" customFormat="1" ht="197.4" customHeight="1" x14ac:dyDescent="0.25">
      <c r="A11" s="74">
        <v>4</v>
      </c>
      <c r="B11" s="71" t="s">
        <v>125</v>
      </c>
      <c r="C11" s="67" t="s">
        <v>124</v>
      </c>
      <c r="D11" s="69" t="s">
        <v>93</v>
      </c>
      <c r="E11" s="67" t="s">
        <v>127</v>
      </c>
      <c r="F11" s="70" t="s">
        <v>99</v>
      </c>
      <c r="G11" s="67" t="s">
        <v>116</v>
      </c>
      <c r="H11" s="70" t="s">
        <v>94</v>
      </c>
      <c r="I11" s="68"/>
      <c r="J11" s="71"/>
      <c r="U11" s="75"/>
    </row>
    <row r="12" spans="1:55" s="72" customFormat="1" ht="145.80000000000001" customHeight="1" x14ac:dyDescent="0.25">
      <c r="A12" s="68">
        <v>5</v>
      </c>
      <c r="B12" s="71" t="s">
        <v>126</v>
      </c>
      <c r="C12" s="67" t="s">
        <v>124</v>
      </c>
      <c r="D12" s="69" t="s">
        <v>102</v>
      </c>
      <c r="E12" s="67" t="s">
        <v>128</v>
      </c>
      <c r="F12" s="70" t="s">
        <v>129</v>
      </c>
      <c r="G12" s="67" t="s">
        <v>130</v>
      </c>
      <c r="H12" s="70" t="s">
        <v>131</v>
      </c>
      <c r="I12" s="68"/>
      <c r="J12" s="71"/>
      <c r="U12" s="75"/>
    </row>
    <row r="13" spans="1:55" s="72" customFormat="1" ht="121.8" customHeight="1" x14ac:dyDescent="0.25">
      <c r="A13" s="70">
        <v>6</v>
      </c>
      <c r="B13" s="71"/>
      <c r="C13" s="67"/>
      <c r="D13" s="69"/>
      <c r="E13" s="67"/>
      <c r="F13" s="70"/>
      <c r="G13" s="67"/>
      <c r="H13" s="70"/>
      <c r="I13" s="68"/>
      <c r="J13" s="71"/>
    </row>
    <row r="14" spans="1:55" s="72" customFormat="1" ht="149.4" customHeight="1" x14ac:dyDescent="0.25">
      <c r="A14" s="74">
        <v>7</v>
      </c>
      <c r="B14" s="71"/>
      <c r="C14" s="67"/>
      <c r="D14" s="69"/>
      <c r="E14" s="76"/>
      <c r="F14" s="70"/>
      <c r="G14" s="76"/>
      <c r="H14" s="70"/>
      <c r="I14" s="68"/>
      <c r="J14" s="71"/>
    </row>
    <row r="15" spans="1:55" s="72" customFormat="1" x14ac:dyDescent="0.25">
      <c r="A15" s="68">
        <v>8</v>
      </c>
      <c r="B15" s="71"/>
      <c r="C15" s="67"/>
      <c r="D15" s="69"/>
      <c r="E15" s="67"/>
      <c r="F15" s="70"/>
      <c r="G15" s="67"/>
      <c r="H15" s="70"/>
      <c r="I15" s="68"/>
      <c r="J15" s="71"/>
      <c r="U15" s="75"/>
    </row>
    <row r="16" spans="1:55" s="72" customFormat="1" x14ac:dyDescent="0.25">
      <c r="A16" s="70">
        <v>9</v>
      </c>
      <c r="B16" s="70"/>
      <c r="C16" s="70"/>
      <c r="D16" s="69"/>
      <c r="E16" s="67"/>
      <c r="F16" s="70"/>
      <c r="G16" s="67"/>
      <c r="H16" s="70"/>
      <c r="I16" s="68"/>
      <c r="J16" s="71"/>
    </row>
    <row r="17" spans="1:10" s="72" customFormat="1" x14ac:dyDescent="0.25">
      <c r="A17" s="74">
        <v>10</v>
      </c>
      <c r="B17" s="70"/>
      <c r="C17" s="70"/>
      <c r="D17" s="69"/>
      <c r="E17" s="67"/>
      <c r="F17" s="70"/>
      <c r="G17" s="67"/>
      <c r="H17" s="70"/>
      <c r="I17" s="68"/>
      <c r="J17" s="71"/>
    </row>
    <row r="18" spans="1:10" s="72" customFormat="1" x14ac:dyDescent="0.25">
      <c r="A18" s="68">
        <v>11</v>
      </c>
      <c r="B18" s="70"/>
      <c r="C18" s="70"/>
      <c r="D18" s="69"/>
      <c r="E18" s="67"/>
      <c r="F18" s="70"/>
      <c r="G18" s="67"/>
      <c r="H18" s="70"/>
      <c r="I18" s="68"/>
      <c r="J18" s="71"/>
    </row>
    <row r="19" spans="1:10" s="72" customFormat="1" ht="23.25" customHeight="1" x14ac:dyDescent="0.25">
      <c r="A19" s="70">
        <v>12</v>
      </c>
      <c r="B19" s="70"/>
      <c r="C19" s="70"/>
      <c r="D19" s="69"/>
      <c r="E19" s="67"/>
      <c r="F19" s="70"/>
      <c r="G19" s="67"/>
      <c r="H19" s="70"/>
      <c r="I19" s="68"/>
      <c r="J19" s="71"/>
    </row>
    <row r="20" spans="1:10" s="72" customFormat="1" ht="30" customHeight="1" x14ac:dyDescent="0.25">
      <c r="A20" s="70">
        <v>12</v>
      </c>
      <c r="B20" s="70"/>
      <c r="C20" s="70"/>
      <c r="D20" s="69"/>
      <c r="E20" s="67"/>
      <c r="F20" s="70"/>
      <c r="G20" s="67"/>
      <c r="H20" s="70"/>
      <c r="I20" s="68"/>
      <c r="J20" s="71"/>
    </row>
    <row r="21" spans="1:10" s="58" customFormat="1" x14ac:dyDescent="0.3">
      <c r="D21" s="96"/>
      <c r="E21" s="64"/>
    </row>
    <row r="23" spans="1:10" s="58" customFormat="1" x14ac:dyDescent="0.3">
      <c r="D23" s="96"/>
      <c r="E23" s="64"/>
    </row>
    <row r="24" spans="1:10" s="58" customFormat="1" ht="111.75" customHeight="1" x14ac:dyDescent="0.3">
      <c r="D24" s="96"/>
      <c r="E24" s="64"/>
    </row>
    <row r="25" spans="1:10" s="58" customFormat="1" ht="111.75" customHeight="1" x14ac:dyDescent="0.3">
      <c r="D25" s="96"/>
      <c r="E25" s="64"/>
    </row>
  </sheetData>
  <mergeCells count="4">
    <mergeCell ref="B1:D1"/>
    <mergeCell ref="B2:D2"/>
    <mergeCell ref="B3:D3"/>
    <mergeCell ref="B4:H4"/>
  </mergeCells>
  <phoneticPr fontId="49" type="noConversion"/>
  <dataValidations count="2">
    <dataValidation type="list" allowBlank="1" showInputMessage="1" showErrorMessage="1" sqref="I6:I20" xr:uid="{00000000-0002-0000-0200-000001000000}">
      <formula1>$BB$1:$BB$5</formula1>
    </dataValidation>
    <dataValidation type="list" allowBlank="1" showInputMessage="1" showErrorMessage="1" sqref="B3:D3" xr:uid="{00000000-0002-0000-0200-000000000000}">
      <formula1>$BA$1:$BA$10</formula1>
    </dataValidation>
  </dataValidations>
  <pageMargins left="0.75" right="0.75" top="1" bottom="1" header="0.5" footer="0.5"/>
  <pageSetup paperSize="9" scale="13"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heetViews>
  <sheetFormatPr defaultRowHeight="13.2" outlineLevelRow="1" x14ac:dyDescent="0.25"/>
  <cols>
    <col min="1" max="1" width="27.109375" customWidth="1"/>
    <col min="2" max="2" width="59.88671875" style="45" customWidth="1"/>
    <col min="3" max="3" width="24.44140625" customWidth="1"/>
  </cols>
  <sheetData>
    <row r="1" spans="1:2" x14ac:dyDescent="0.25">
      <c r="A1" s="46" t="s">
        <v>62</v>
      </c>
      <c r="B1" s="47" t="s">
        <v>0</v>
      </c>
    </row>
    <row r="2" spans="1:2" outlineLevel="1" x14ac:dyDescent="0.25">
      <c r="A2" s="48" t="s">
        <v>56</v>
      </c>
      <c r="B2" s="53" t="str">
        <f>PPRD</f>
        <v>Feb , 2022</v>
      </c>
    </row>
    <row r="3" spans="1:2" x14ac:dyDescent="0.25">
      <c r="A3" s="48" t="s">
        <v>59</v>
      </c>
      <c r="B3" s="49" t="str">
        <f>CRN</f>
        <v>CHG215394</v>
      </c>
    </row>
    <row r="4" spans="1:2" x14ac:dyDescent="0.25">
      <c r="A4" s="48" t="s">
        <v>60</v>
      </c>
      <c r="B4" s="49" t="str">
        <f>MA</f>
        <v xml:space="preserve"> UK 	</v>
      </c>
    </row>
    <row r="5" spans="1:2" x14ac:dyDescent="0.25">
      <c r="A5" s="48" t="s">
        <v>61</v>
      </c>
      <c r="B5" s="49" t="str">
        <f>Area</f>
        <v>Data</v>
      </c>
    </row>
    <row r="6" spans="1:2" x14ac:dyDescent="0.25">
      <c r="A6" s="48" t="s">
        <v>44</v>
      </c>
      <c r="B6" s="49" t="str">
        <f>Entity</f>
        <v>Account</v>
      </c>
    </row>
    <row r="7" spans="1:2" x14ac:dyDescent="0.25">
      <c r="A7" s="48" t="s">
        <v>57</v>
      </c>
      <c r="B7" s="50">
        <f>DTested</f>
        <v>44543</v>
      </c>
    </row>
    <row r="8" spans="1:2" x14ac:dyDescent="0.25">
      <c r="A8" s="48" t="s">
        <v>58</v>
      </c>
      <c r="B8" s="51">
        <f>DReviewed</f>
        <v>0</v>
      </c>
    </row>
    <row r="9" spans="1:2" x14ac:dyDescent="0.25">
      <c r="A9" s="48" t="s">
        <v>48</v>
      </c>
      <c r="B9" s="49" t="str">
        <f>TestedBy</f>
        <v>Mingoué Frank</v>
      </c>
    </row>
    <row r="10" spans="1:2" x14ac:dyDescent="0.25">
      <c r="A10" s="48" t="s">
        <v>52</v>
      </c>
      <c r="B10" s="49">
        <f>ReviewedBy</f>
        <v>0</v>
      </c>
    </row>
    <row r="12" spans="1:2" x14ac:dyDescent="0.25">
      <c r="A12" s="48" t="s">
        <v>63</v>
      </c>
      <c r="B12" s="52"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3DDDB-CAC4-49AB-9E00-AC2D6CD6BA03}">
  <dimension ref="A2:A53"/>
  <sheetViews>
    <sheetView tabSelected="1" workbookViewId="0">
      <selection activeCell="A135" sqref="A135:XFD135"/>
    </sheetView>
  </sheetViews>
  <sheetFormatPr defaultRowHeight="13.2" x14ac:dyDescent="0.25"/>
  <sheetData>
    <row r="2" spans="1:1" s="66" customFormat="1" x14ac:dyDescent="0.25">
      <c r="A2" s="65" t="s">
        <v>86</v>
      </c>
    </row>
    <row r="19" spans="1:1" s="66" customFormat="1" x14ac:dyDescent="0.25">
      <c r="A19" s="65" t="s">
        <v>87</v>
      </c>
    </row>
    <row r="35" spans="1:1" s="66" customFormat="1" x14ac:dyDescent="0.25">
      <c r="A35" s="65" t="s">
        <v>88</v>
      </c>
    </row>
    <row r="53" spans="1:1" s="66" customFormat="1" x14ac:dyDescent="0.25">
      <c r="A53" s="65" t="s">
        <v>101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Cover</vt:lpstr>
      <vt:lpstr>Version Control</vt:lpstr>
      <vt:lpstr>Test Cycle 1</vt:lpstr>
      <vt:lpstr>AppConfig</vt:lpstr>
      <vt:lpstr>Screenshots</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Mingoué Tchagou, Frank</cp:lastModifiedBy>
  <cp:lastPrinted>2013-10-17T06:50:38Z</cp:lastPrinted>
  <dcterms:created xsi:type="dcterms:W3CDTF">2006-03-30T08:28:02Z</dcterms:created>
  <dcterms:modified xsi:type="dcterms:W3CDTF">2021-12-13T18:21:15Z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