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00000000-0000-0000-0000-000000000000}"/>
  <workbookPr codeName="ThisWorkbook" defaultThemeVersion="124226"/>
  <mc:AlternateContent xmlns:mc="http://schemas.openxmlformats.org/markup-compatibility/2006">
    <mc:Choice Requires="x15">
      <x15ac:absPath xmlns:x15ac="http://schemas.microsoft.com/office/spreadsheetml/2010/11/ac" url="C:\Ricky\CHG\Bug_33048\"/>
    </mc:Choice>
  </mc:AlternateContent>
  <xr:revisionPtr revIDLastSave="0" documentId="13_ncr:1_{F1E84425-0096-4A8F-8880-2E0A83F4E1D2}" xr6:coauthVersionLast="46" xr6:coauthVersionMax="47" xr10:uidLastSave="{00000000-0000-0000-0000-000000000000}"/>
  <bookViews>
    <workbookView xWindow="-108" yWindow="-108" windowWidth="23256" windowHeight="12576" tabRatio="893" activeTab="1"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16" l="1"/>
  <c r="B8" i="21"/>
  <c r="B3" i="21"/>
  <c r="B9" i="21"/>
  <c r="B10" i="21"/>
  <c r="C17" i="21"/>
  <c r="D8" i="1" l="1"/>
  <c r="D7" i="1"/>
  <c r="D6" i="1"/>
  <c r="D5" i="1"/>
  <c r="D4" i="1"/>
  <c r="D3" i="1"/>
  <c r="B38" i="11"/>
  <c r="B7" i="21" l="1"/>
  <c r="G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<sst xmlns="http://schemas.openxmlformats.org/spreadsheetml/2006/main" count="447" uniqueCount="289">
  <si>
    <t>Trade Marketing Excellence Programme</t>
  </si>
  <si>
    <t>DATA</t>
  </si>
  <si>
    <t>Technical Design Mapping, Workflow &amp; Stored Procedure</t>
  </si>
  <si>
    <t>CHG/INC:</t>
  </si>
  <si>
    <t xml:space="preserve">        Title:</t>
  </si>
  <si>
    <t>Planned Prod Release Date:</t>
  </si>
  <si>
    <t>Feb, 2022</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</si>
  <si>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</si>
  <si>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</si>
  <si>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</si>
  <si>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</si>
  <si>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</si>
  <si>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</si>
  <si>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</si>
  <si>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</si>
  <si>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</si>
  <si>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</si>
  <si>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</si>
  <si>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</si>
  <si>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</si>
  <si>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</si>
  <si>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</si>
  <si>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</si>
  <si>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</si>
  <si>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</si>
  <si>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</si>
  <si>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</si>
  <si>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</si>
  <si>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</si>
  <si>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</si>
  <si>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</si>
  <si>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</si>
  <si>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</si>
  <si>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</si>
  <si>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</si>
  <si>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</si>
  <si>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</si>
  <si>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</si>
  <si>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</si>
  <si>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</si>
  <si>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</si>
  <si>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</si>
  <si>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</si>
  <si>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</si>
  <si>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</si>
  <si>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</si>
  <si>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</si>
  <si>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</si>
  <si>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</si>
  <si>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</si>
  <si>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</si>
  <si>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</si>
  <si>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</si>
  <si>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</si>
  <si>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</si>
  <si>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</si>
  <si>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</si>
  <si>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</si>
  <si>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</si>
  <si>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</si>
  <si>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</si>
  <si>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</si>
  <si>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</si>
  <si>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</si>
  <si>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</si>
  <si>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</si>
  <si>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</si>
  <si>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</si>
  <si>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</si>
  <si>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</si>
  <si>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</si>
  <si>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</si>
  <si>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</si>
  <si>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</si>
  <si>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</si>
  <si>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</si>
  <si>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</si>
  <si>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</si>
  <si>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</si>
  <si>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</si>
  <si>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</si>
  <si>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</si>
  <si>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</si>
  <si>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</si>
  <si>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</si>
  <si>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</si>
  <si>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</si>
  <si>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</si>
  <si>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</si>
  <si>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</si>
  <si>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</si>
  <si>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</si>
  <si>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</si>
  <si>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</si>
  <si>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</si>
  <si>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</si>
  <si>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</si>
  <si>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</si>
  <si>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</si>
  <si>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</si>
  <si>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</si>
  <si>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</si>
  <si>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</si>
  <si>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</si>
  <si>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</si>
  <si>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</si>
  <si>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</si>
  <si>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</si>
  <si>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</si>
  <si>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</si>
  <si>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</si>
  <si>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</si>
  <si>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</si>
  <si>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</si>
  <si>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</si>
  <si>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</si>
  <si>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</si>
  <si>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</si>
  <si>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</si>
  <si>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</si>
  <si>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</si>
  <si>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</si>
  <si>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</si>
  <si>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</si>
  <si>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</si>
  <si>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</si>
  <si>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</si>
  <si>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</si>
  <si>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</si>
  <si>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</si>
  <si>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</si>
  <si>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</si>
  <si>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</si>
  <si>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</si>
  <si>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</si>
  <si>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</si>
  <si>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</si>
  <si>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</si>
  <si>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</si>
  <si>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</si>
  <si>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</si>
  <si>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</si>
  <si>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</si>
  <si>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</si>
  <si>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</si>
  <si>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</si>
  <si>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</si>
  <si>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</si>
  <si>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</si>
  <si>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</si>
  <si>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</si>
  <si>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</si>
  <si>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</si>
  <si>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</si>
  <si>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</si>
  <si>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</si>
  <si>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</si>
  <si>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</si>
  <si>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</si>
  <si>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</si>
  <si>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</si>
  <si>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</si>
  <si>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</si>
  <si>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</si>
  <si>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</si>
  <si>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</si>
  <si>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</si>
  <si>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</si>
  <si>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</si>
  <si>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</si>
  <si>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</si>
  <si>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</si>
  <si>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</si>
  <si>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</si>
  <si>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</si>
  <si>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</si>
  <si>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</si>
  <si>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</si>
  <si>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</si>
  <si>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</si>
  <si>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</si>
  <si>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</si>
  <si>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</si>
  <si>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</si>
  <si>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</si>
  <si>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</si>
  <si>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</si>
  <si>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</si>
  <si>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</si>
  <si>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</si>
  <si>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</si>
  <si>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</si>
  <si>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</si>
  <si>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</si>
  <si>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</si>
  <si>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</si>
  <si>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</si>
  <si>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</si>
  <si>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</si>
  <si>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</si>
  <si>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</si>
  <si>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</si>
  <si>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</si>
  <si>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</si>
  <si>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</si>
  <si>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</si>
  <si>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</si>
  <si>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</si>
  <si>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</si>
  <si>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</si>
  <si>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</si>
  <si>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</si>
  <si>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</si>
  <si>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</si>
  <si>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</si>
  <si>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</si>
  <si>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</si>
  <si>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</si>
  <si>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</si>
  <si>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</si>
  <si>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</si>
  <si>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</si>
  <si>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</si>
  <si>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</si>
  <si>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</si>
  <si>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</si>
  <si>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</si>
  <si>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</si>
  <si>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</si>
  <si>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</si>
  <si>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</si>
  <si>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</si>
  <si>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</si>
  <si>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</si>
  <si>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</si>
  <si>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</si>
  <si>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</si>
  <si>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</si>
  <si>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</si>
  <si>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</si>
  <si>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</si>
  <si>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</si>
  <si>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</si>
  <si>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</si>
  <si>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</si>
  <si>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</si>
  <si>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</si>
  <si>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</si>
  <si>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</si>
  <si>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</si>
  <si>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</si>
  <si>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</si>
  <si>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Impacted</t>
  </si>
  <si>
    <t>EC4U</t>
  </si>
  <si>
    <t>JTI_DWH_ETLComplete_Incremental</t>
  </si>
  <si>
    <t>Frank</t>
  </si>
  <si>
    <t>Mingoué</t>
  </si>
  <si>
    <t>n/a</t>
  </si>
  <si>
    <t>Restart Task</t>
  </si>
  <si>
    <t>Bug_33048 ref CHG215394</t>
  </si>
  <si>
    <t>Postion Name Denormalized</t>
  </si>
  <si>
    <t>UK</t>
  </si>
  <si>
    <t>WC_ORG_HISTORY_D</t>
  </si>
  <si>
    <t>OLAP</t>
  </si>
  <si>
    <t>add column</t>
  </si>
  <si>
    <t>POSITION_NAME</t>
  </si>
  <si>
    <t>NVARCHAR (100)</t>
  </si>
  <si>
    <t>SIL_Account_Attr_History_Dimension</t>
  </si>
  <si>
    <t>Custom</t>
  </si>
  <si>
    <t>Shortcut_to_SIL_Account_Attr_History_Dimension</t>
  </si>
  <si>
    <t>Validate</t>
  </si>
  <si>
    <t>Modify</t>
  </si>
  <si>
    <t>W_POSITION_D</t>
  </si>
  <si>
    <t>Transfert field</t>
  </si>
  <si>
    <t>LKP_POSTN</t>
  </si>
  <si>
    <t>JTI_Monthly_Bulk_SalesData_Load_US</t>
  </si>
  <si>
    <t>JTI_OLAP_AL_FlatFile</t>
  </si>
  <si>
    <t>JTI_Weekly_SalesData_Load_CA</t>
  </si>
  <si>
    <t>SIA_SIL_OrganisationDimension_Merge</t>
  </si>
  <si>
    <t xml:space="preserve">Impacted </t>
  </si>
  <si>
    <t>SIL_Account_history_Dimension</t>
  </si>
  <si>
    <t>impacted</t>
  </si>
  <si>
    <t>JTI_Monthly_Bulk_SalesData_Load_US,
JTI_OLAP_AL_FlatFile
,JTI_Weekly_SalesData_Load_CA,
SIA_SIL_OrganisationDimension_Merge</t>
  </si>
  <si>
    <t>wrk_SIA_SIL_OrganisationDimension/</t>
  </si>
  <si>
    <t>Load_Account_JTI_Territory/</t>
  </si>
  <si>
    <t>JTI_Weekly_SalesData_Load_CA
,JTI_OLAP_AL_FlatFile,
JTI_Monthly_Bulk_SalesData_Load_US,
SIA_SIL_OrganisationDimension_Merge</t>
  </si>
  <si>
    <t>s_SIL_Account_Attr_History_Dimension</t>
  </si>
  <si>
    <t>s_SIL_Account_History_Dimension</t>
  </si>
  <si>
    <t>Created based on Bug_33048 ref CHG215394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</si>
</sst>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9"/>
      <name val="Segoe UI"/>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4">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0" fontId="0" fillId="0" borderId="0" xfId="0" applyFill="1" applyBorder="1"/>
    <xf numFmtId="0" fontId="0" fillId="0" borderId="0" xfId="0"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47" fillId="0" borderId="0" xfId="0" applyFo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I23" sqref="I2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2" t="s">
        <v>0</v>
      </c>
      <c r="B13" s="92"/>
      <c r="C13" s="92"/>
      <c r="D13" s="92"/>
      <c r="E13" s="92"/>
      <c r="F13" s="92"/>
      <c r="G13" s="92"/>
      <c r="H13" s="92"/>
      <c r="I13" s="92"/>
      <c r="J13" s="92"/>
      <c r="K13" s="92"/>
      <c r="L13" s="92"/>
      <c r="M13" s="92"/>
      <c r="N13" s="92"/>
      <c r="O13" s="92"/>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93" t="s">
        <v>1</v>
      </c>
      <c r="B20" s="93"/>
      <c r="C20" s="93"/>
      <c r="D20" s="93"/>
      <c r="E20" s="93"/>
      <c r="F20" s="93"/>
      <c r="G20" s="93"/>
      <c r="H20" s="93"/>
      <c r="I20" s="93"/>
      <c r="J20" s="93"/>
      <c r="K20" s="93"/>
      <c r="L20" s="93"/>
      <c r="M20" s="93"/>
      <c r="N20" s="93"/>
      <c r="O20" s="93"/>
    </row>
    <row r="21" spans="1:15" ht="30.6" x14ac:dyDescent="0.55000000000000004">
      <c r="A21" s="93" t="s">
        <v>2</v>
      </c>
      <c r="B21" s="93"/>
      <c r="C21" s="93"/>
      <c r="D21" s="93"/>
      <c r="E21" s="93"/>
      <c r="F21" s="93"/>
      <c r="G21" s="93"/>
      <c r="H21" s="93"/>
      <c r="I21" s="93"/>
      <c r="J21" s="93"/>
      <c r="K21" s="93"/>
      <c r="L21" s="93"/>
      <c r="M21" s="93"/>
      <c r="N21" s="93"/>
      <c r="O21" s="93"/>
    </row>
    <row r="22" spans="1:15" ht="13.8" x14ac:dyDescent="0.3">
      <c r="A22" s="1"/>
      <c r="B22" s="1"/>
      <c r="C22" s="1"/>
      <c r="D22" s="1"/>
      <c r="E22" s="1"/>
      <c r="F22" s="1"/>
      <c r="G22" s="1"/>
      <c r="H22" s="1"/>
      <c r="I22" s="1"/>
    </row>
    <row r="23" spans="1:15" ht="30.6" x14ac:dyDescent="0.55000000000000004">
      <c r="A23" s="81"/>
      <c r="B23" s="81"/>
      <c r="C23" s="81"/>
      <c r="D23" s="81"/>
      <c r="E23" s="81"/>
      <c r="F23" s="82"/>
      <c r="G23" s="93" t="s">
        <v>3</v>
      </c>
      <c r="H23" s="96"/>
      <c r="I23" s="73" t="s">
        <v>259</v>
      </c>
      <c r="J23" s="82"/>
      <c r="L23" s="81"/>
      <c r="M23" s="81"/>
      <c r="N23" s="81"/>
      <c r="O23" s="81"/>
    </row>
    <row r="24" spans="1:15" s="6" customFormat="1" ht="27.75" customHeight="1" x14ac:dyDescent="0.55000000000000004">
      <c r="A24" s="83"/>
      <c r="B24" s="83"/>
      <c r="C24" s="83"/>
      <c r="D24" s="83"/>
      <c r="F24" s="77"/>
      <c r="G24" s="93" t="s">
        <v>4</v>
      </c>
      <c r="H24" s="93"/>
      <c r="I24" s="73" t="s">
        <v>260</v>
      </c>
      <c r="J24" s="83"/>
      <c r="K24" s="83"/>
      <c r="L24" s="83"/>
      <c r="M24" s="83"/>
      <c r="N24" s="83"/>
      <c r="O24" s="83"/>
    </row>
    <row r="25" spans="1:15" ht="28.2" x14ac:dyDescent="0.5">
      <c r="F25" s="99" t="s">
        <v>5</v>
      </c>
      <c r="G25" s="99"/>
      <c r="H25" s="99"/>
      <c r="I25" s="99"/>
      <c r="J25" s="99"/>
      <c r="K25" s="99"/>
      <c r="L25" s="76" t="s">
        <v>6</v>
      </c>
    </row>
    <row r="26" spans="1:15" ht="28.2" x14ac:dyDescent="0.5">
      <c r="F26" s="100" t="s">
        <v>7</v>
      </c>
      <c r="G26" s="100"/>
      <c r="H26" s="100"/>
      <c r="I26" s="100"/>
      <c r="J26" s="97" t="s">
        <v>261</v>
      </c>
      <c r="K26" s="98"/>
    </row>
    <row r="27" spans="1:15" ht="15.6" x14ac:dyDescent="0.3">
      <c r="A27" s="95"/>
      <c r="B27" s="95"/>
      <c r="C27" s="95"/>
      <c r="D27" s="95"/>
      <c r="E27" s="95"/>
      <c r="F27" s="95"/>
      <c r="G27" s="95"/>
      <c r="H27" s="95"/>
      <c r="I27" s="95"/>
    </row>
    <row r="28" spans="1:15" ht="18" customHeight="1" x14ac:dyDescent="0.35">
      <c r="A28" s="94"/>
      <c r="B28" s="94"/>
      <c r="C28" s="94"/>
      <c r="D28" s="94"/>
      <c r="E28" s="94"/>
      <c r="F28" s="94"/>
      <c r="G28" s="94"/>
      <c r="H28" s="94"/>
      <c r="I28" s="94"/>
    </row>
    <row r="37" spans="1:9" ht="18" customHeight="1" x14ac:dyDescent="0.25"/>
    <row r="38" spans="1:9" ht="15.6" x14ac:dyDescent="0.3">
      <c r="A38" s="3" t="s">
        <v>8</v>
      </c>
      <c r="B38" s="4">
        <f ca="1">TODAY()</f>
        <v>44538</v>
      </c>
      <c r="C38" s="1"/>
      <c r="D38" s="1"/>
      <c r="E38" s="1"/>
      <c r="F38" s="1"/>
      <c r="G38" s="1"/>
      <c r="H38" s="1"/>
      <c r="I38" s="1"/>
    </row>
    <row r="39" spans="1:9" ht="15.6" x14ac:dyDescent="0.3">
      <c r="A39" s="3" t="s">
        <v>9</v>
      </c>
      <c r="B39" s="5" t="s">
        <v>10</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abSelected="1" zoomScaleNormal="100" workbookViewId="0">
      <selection activeCell="Q9" sqref="Q9"/>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40.5546875" style="8" customWidth="1"/>
    <col min="18" max="24" width="9.109375" style="8"/>
    <col min="25" max="25" width="0" style="8" hidden="1" customWidth="1"/>
    <col min="26" max="16384" width="9.109375" style="8"/>
  </cols>
  <sheetData>
    <row r="1" spans="1:25" ht="15.6" x14ac:dyDescent="0.25">
      <c r="A1" s="7" t="s">
        <v>11</v>
      </c>
      <c r="Y1" s="8" t="s">
        <v>12</v>
      </c>
    </row>
    <row r="2" spans="1:25" x14ac:dyDescent="0.25">
      <c r="A2" s="9"/>
      <c r="F2" s="9"/>
      <c r="Y2" s="8" t="s">
        <v>13</v>
      </c>
    </row>
    <row r="3" spans="1:25" x14ac:dyDescent="0.25">
      <c r="A3" s="113" t="s">
        <v>14</v>
      </c>
      <c r="B3" s="113"/>
      <c r="C3" s="113"/>
      <c r="D3" s="113" t="s">
        <v>15</v>
      </c>
      <c r="E3" s="113"/>
      <c r="F3" s="113"/>
      <c r="G3" s="113" t="s">
        <v>16</v>
      </c>
      <c r="H3" s="113"/>
      <c r="I3" s="113"/>
      <c r="J3" s="107" t="s">
        <v>17</v>
      </c>
      <c r="K3" s="111"/>
      <c r="L3" s="112"/>
      <c r="M3" s="113" t="s">
        <v>18</v>
      </c>
      <c r="N3" s="113"/>
      <c r="O3" s="113"/>
      <c r="P3" s="85" t="s">
        <v>19</v>
      </c>
      <c r="Q3" s="85" t="s">
        <v>20</v>
      </c>
      <c r="Y3" s="8" t="s">
        <v>21</v>
      </c>
    </row>
    <row r="4" spans="1:25" ht="27.6" x14ac:dyDescent="0.25">
      <c r="A4" s="104" t="s">
        <v>256</v>
      </c>
      <c r="B4" s="105"/>
      <c r="C4" s="106"/>
      <c r="D4" s="104" t="s">
        <v>255</v>
      </c>
      <c r="E4" s="106"/>
      <c r="F4" s="84"/>
      <c r="G4" s="102" t="s">
        <v>22</v>
      </c>
      <c r="H4" s="102"/>
      <c r="I4" s="102"/>
      <c r="J4" s="117">
        <v>1</v>
      </c>
      <c r="K4" s="118"/>
      <c r="L4" s="84"/>
      <c r="M4" s="114">
        <v>44537</v>
      </c>
      <c r="N4" s="115"/>
      <c r="O4" s="116"/>
      <c r="P4" s="86" t="s">
        <v>23</v>
      </c>
      <c r="Q4" s="10" t="s">
        <v>288</v>
      </c>
      <c r="U4" s="87"/>
      <c r="Y4" s="8" t="s">
        <v>23</v>
      </c>
    </row>
    <row r="5" spans="1:25" x14ac:dyDescent="0.25">
      <c r="A5" s="104"/>
      <c r="B5" s="105"/>
      <c r="C5" s="106"/>
      <c r="D5" s="104"/>
      <c r="E5" s="106"/>
      <c r="F5" s="84"/>
      <c r="G5" s="102"/>
      <c r="H5" s="102"/>
      <c r="I5" s="102"/>
      <c r="J5" s="117"/>
      <c r="K5" s="118"/>
      <c r="L5" s="84"/>
      <c r="M5" s="114"/>
      <c r="N5" s="115"/>
      <c r="O5" s="116"/>
      <c r="P5" s="86"/>
      <c r="Q5" s="10"/>
      <c r="U5" s="87"/>
    </row>
    <row r="7" spans="1:25" ht="15.6" x14ac:dyDescent="0.25">
      <c r="A7" s="7" t="s">
        <v>24</v>
      </c>
      <c r="B7" s="7"/>
      <c r="C7" s="7"/>
      <c r="D7" s="7"/>
      <c r="F7" s="9"/>
    </row>
    <row r="9" spans="1:25" ht="29.25" customHeight="1" x14ac:dyDescent="0.25">
      <c r="A9" s="110" t="s">
        <v>14</v>
      </c>
      <c r="B9" s="109"/>
      <c r="C9" s="110" t="s">
        <v>15</v>
      </c>
      <c r="D9" s="109"/>
      <c r="E9" s="110" t="s">
        <v>16</v>
      </c>
      <c r="F9" s="108"/>
      <c r="G9" s="109"/>
      <c r="H9" s="107" t="s">
        <v>17</v>
      </c>
      <c r="I9" s="108"/>
      <c r="J9" s="109"/>
      <c r="K9" s="110" t="s">
        <v>18</v>
      </c>
      <c r="L9" s="109"/>
      <c r="M9" s="110" t="s">
        <v>25</v>
      </c>
      <c r="N9" s="108"/>
      <c r="O9" s="109"/>
      <c r="P9" s="79"/>
    </row>
    <row r="10" spans="1:25" x14ac:dyDescent="0.25">
      <c r="A10" s="103"/>
      <c r="B10" s="103"/>
      <c r="C10" s="103"/>
      <c r="D10" s="103"/>
      <c r="E10" s="103"/>
      <c r="F10" s="103"/>
      <c r="G10" s="103"/>
      <c r="H10" s="103"/>
      <c r="I10" s="103"/>
      <c r="J10" s="103"/>
      <c r="K10" s="103"/>
      <c r="L10" s="103"/>
      <c r="M10" s="103"/>
      <c r="N10" s="103"/>
      <c r="O10" s="103"/>
      <c r="P10" s="80"/>
    </row>
    <row r="11" spans="1:25" x14ac:dyDescent="0.25">
      <c r="A11" s="103"/>
      <c r="B11" s="103"/>
      <c r="C11" s="103"/>
      <c r="D11" s="103"/>
      <c r="E11" s="103"/>
      <c r="F11" s="103"/>
      <c r="G11" s="103"/>
      <c r="H11" s="103"/>
      <c r="I11" s="103"/>
      <c r="J11" s="103"/>
      <c r="K11" s="103"/>
      <c r="L11" s="103"/>
      <c r="M11" s="103"/>
      <c r="N11" s="103"/>
      <c r="O11" s="103"/>
      <c r="P11" s="80"/>
    </row>
    <row r="12" spans="1:25" x14ac:dyDescent="0.25">
      <c r="A12" s="103"/>
      <c r="B12" s="103"/>
      <c r="C12" s="103"/>
      <c r="D12" s="103"/>
      <c r="E12" s="103"/>
      <c r="F12" s="103"/>
      <c r="G12" s="103"/>
      <c r="H12" s="103"/>
      <c r="I12" s="103"/>
      <c r="J12" s="103"/>
      <c r="K12" s="103"/>
      <c r="L12" s="103"/>
      <c r="M12" s="103"/>
      <c r="N12" s="103"/>
      <c r="O12" s="103"/>
      <c r="P12" s="80"/>
    </row>
    <row r="13" spans="1:25" x14ac:dyDescent="0.25">
      <c r="A13" s="103"/>
      <c r="B13" s="103"/>
      <c r="C13" s="103"/>
      <c r="D13" s="103"/>
      <c r="E13" s="103"/>
      <c r="F13" s="103"/>
      <c r="G13" s="103"/>
      <c r="H13" s="103"/>
      <c r="I13" s="103"/>
      <c r="J13" s="103"/>
      <c r="K13" s="103"/>
      <c r="L13" s="103"/>
      <c r="M13" s="103"/>
      <c r="N13" s="103"/>
      <c r="O13" s="103"/>
      <c r="P13" s="80"/>
    </row>
    <row r="14" spans="1:25" x14ac:dyDescent="0.25">
      <c r="A14" s="103"/>
      <c r="B14" s="103"/>
      <c r="C14" s="103"/>
      <c r="D14" s="103"/>
      <c r="E14" s="103"/>
      <c r="F14" s="103"/>
      <c r="G14" s="103"/>
      <c r="H14" s="103"/>
      <c r="I14" s="103"/>
      <c r="J14" s="103"/>
      <c r="K14" s="103"/>
      <c r="L14" s="103"/>
      <c r="M14" s="103"/>
      <c r="N14" s="103"/>
      <c r="O14" s="103"/>
      <c r="P14" s="80"/>
    </row>
    <row r="15" spans="1:25" x14ac:dyDescent="0.25">
      <c r="A15" s="103"/>
      <c r="B15" s="103"/>
      <c r="C15" s="103"/>
      <c r="D15" s="103"/>
      <c r="E15" s="103"/>
      <c r="F15" s="103"/>
      <c r="G15" s="103"/>
      <c r="H15" s="103"/>
      <c r="I15" s="103"/>
      <c r="J15" s="103"/>
      <c r="K15" s="103"/>
      <c r="L15" s="103"/>
      <c r="M15" s="103"/>
      <c r="N15" s="103"/>
      <c r="O15" s="103"/>
      <c r="P15" s="80"/>
    </row>
    <row r="16" spans="1:25" x14ac:dyDescent="0.25">
      <c r="A16" s="103"/>
      <c r="B16" s="103"/>
      <c r="C16" s="103"/>
      <c r="D16" s="103"/>
      <c r="E16" s="103"/>
      <c r="F16" s="103"/>
      <c r="G16" s="103"/>
      <c r="H16" s="103"/>
      <c r="I16" s="103"/>
      <c r="J16" s="103"/>
      <c r="K16" s="103"/>
      <c r="L16" s="103"/>
      <c r="M16" s="103"/>
      <c r="N16" s="103"/>
      <c r="O16" s="103"/>
      <c r="P16" s="80"/>
    </row>
    <row r="17" spans="1:16" x14ac:dyDescent="0.25">
      <c r="A17" s="103"/>
      <c r="B17" s="103"/>
      <c r="C17" s="103"/>
      <c r="D17" s="103"/>
      <c r="E17" s="103"/>
      <c r="F17" s="103"/>
      <c r="G17" s="103"/>
      <c r="H17" s="103"/>
      <c r="I17" s="103"/>
      <c r="J17" s="103"/>
      <c r="K17" s="103"/>
      <c r="L17" s="103"/>
      <c r="M17" s="103"/>
      <c r="N17" s="103"/>
      <c r="O17" s="103"/>
      <c r="P17" s="80"/>
    </row>
    <row r="20" spans="1:16" x14ac:dyDescent="0.25">
      <c r="A20" s="101" t="s">
        <v>26</v>
      </c>
      <c r="B20" s="101"/>
      <c r="C20" s="101" t="s">
        <v>27</v>
      </c>
      <c r="D20" s="101"/>
    </row>
    <row r="21" spans="1:16" x14ac:dyDescent="0.25">
      <c r="A21" s="102" t="s">
        <v>28</v>
      </c>
      <c r="B21" s="102"/>
      <c r="C21" s="103"/>
      <c r="D21" s="103"/>
    </row>
    <row r="22" spans="1:16" x14ac:dyDescent="0.25">
      <c r="A22" s="102" t="s">
        <v>29</v>
      </c>
      <c r="B22" s="102"/>
      <c r="C22" s="103">
        <v>0</v>
      </c>
      <c r="D22" s="103"/>
    </row>
    <row r="23" spans="1:16" x14ac:dyDescent="0.25">
      <c r="A23" s="102" t="s">
        <v>30</v>
      </c>
      <c r="B23" s="102"/>
      <c r="C23" s="103">
        <v>0</v>
      </c>
      <c r="D23" s="103"/>
    </row>
    <row r="24" spans="1:16" x14ac:dyDescent="0.25">
      <c r="A24" s="102" t="s">
        <v>31</v>
      </c>
      <c r="B24" s="102"/>
      <c r="C24" s="103">
        <v>0</v>
      </c>
      <c r="D24" s="103"/>
    </row>
    <row r="25" spans="1:16" x14ac:dyDescent="0.25">
      <c r="A25" s="102" t="s">
        <v>32</v>
      </c>
      <c r="B25" s="102"/>
      <c r="C25" s="103">
        <v>0</v>
      </c>
      <c r="D25" s="103"/>
    </row>
    <row r="26" spans="1:16" x14ac:dyDescent="0.25">
      <c r="A26" s="102" t="s">
        <v>33</v>
      </c>
      <c r="B26" s="102"/>
      <c r="C26" s="103">
        <v>0</v>
      </c>
      <c r="D26" s="103"/>
    </row>
    <row r="27" spans="1:16" x14ac:dyDescent="0.25">
      <c r="A27" s="119" t="s">
        <v>34</v>
      </c>
      <c r="B27" s="119"/>
      <c r="C27" s="101"/>
      <c r="D27" s="101"/>
      <c r="G27" s="89">
        <f>C27*8</f>
        <v>0</v>
      </c>
    </row>
    <row r="30" spans="1:16" x14ac:dyDescent="0.25">
      <c r="B30" s="126" t="s">
        <v>35</v>
      </c>
      <c r="C30" s="127"/>
      <c r="D30" s="127"/>
      <c r="E30" s="127"/>
      <c r="F30" s="127"/>
      <c r="G30" s="127"/>
      <c r="H30" s="127"/>
      <c r="I30" s="127"/>
      <c r="J30" s="127"/>
      <c r="K30" s="127"/>
      <c r="L30" s="127"/>
      <c r="M30" s="128"/>
    </row>
    <row r="31" spans="1:16" ht="33.75" customHeight="1" x14ac:dyDescent="0.25">
      <c r="B31" s="124" t="s">
        <v>28</v>
      </c>
      <c r="C31" s="125"/>
      <c r="D31" s="123" t="s">
        <v>36</v>
      </c>
      <c r="E31" s="123"/>
      <c r="F31" s="123"/>
      <c r="G31" s="123"/>
      <c r="H31" s="123"/>
      <c r="I31" s="123"/>
      <c r="J31" s="123"/>
      <c r="K31" s="123"/>
      <c r="L31" s="123"/>
      <c r="M31" s="123"/>
    </row>
    <row r="32" spans="1:16" ht="39.75" customHeight="1" x14ac:dyDescent="0.25">
      <c r="B32" s="124" t="s">
        <v>29</v>
      </c>
      <c r="C32" s="125"/>
      <c r="D32" s="123" t="s">
        <v>37</v>
      </c>
      <c r="E32" s="123"/>
      <c r="F32" s="123"/>
      <c r="G32" s="123"/>
      <c r="H32" s="123"/>
      <c r="I32" s="123"/>
      <c r="J32" s="123"/>
      <c r="K32" s="123"/>
      <c r="L32" s="123"/>
      <c r="M32" s="123"/>
    </row>
    <row r="33" spans="2:13" ht="236.25" customHeight="1" x14ac:dyDescent="0.25">
      <c r="B33" s="124" t="s">
        <v>30</v>
      </c>
      <c r="C33" s="125"/>
      <c r="D33" s="123" t="s">
        <v>38</v>
      </c>
      <c r="E33" s="123"/>
      <c r="F33" s="123"/>
      <c r="G33" s="123"/>
      <c r="H33" s="123"/>
      <c r="I33" s="123"/>
      <c r="J33" s="123"/>
      <c r="K33" s="123"/>
      <c r="L33" s="123"/>
      <c r="M33" s="123"/>
    </row>
    <row r="34" spans="2:13" x14ac:dyDescent="0.25">
      <c r="B34" s="124" t="s">
        <v>31</v>
      </c>
      <c r="C34" s="125"/>
      <c r="D34" s="123" t="s">
        <v>39</v>
      </c>
      <c r="E34" s="123"/>
      <c r="F34" s="123"/>
      <c r="G34" s="123"/>
      <c r="H34" s="123"/>
      <c r="I34" s="123"/>
      <c r="J34" s="123"/>
      <c r="K34" s="123"/>
      <c r="L34" s="123"/>
      <c r="M34" s="123"/>
    </row>
    <row r="35" spans="2:13" ht="52.5" customHeight="1" x14ac:dyDescent="0.25">
      <c r="B35" s="124" t="s">
        <v>32</v>
      </c>
      <c r="C35" s="125"/>
      <c r="D35" s="120" t="s">
        <v>40</v>
      </c>
      <c r="E35" s="121"/>
      <c r="F35" s="121"/>
      <c r="G35" s="121"/>
      <c r="H35" s="121"/>
      <c r="I35" s="121"/>
      <c r="J35" s="121"/>
      <c r="K35" s="121"/>
      <c r="L35" s="121"/>
      <c r="M35" s="122"/>
    </row>
    <row r="36" spans="2:13" ht="34.5" customHeight="1" x14ac:dyDescent="0.25">
      <c r="B36" s="124" t="s">
        <v>33</v>
      </c>
      <c r="C36" s="125"/>
      <c r="D36" s="123" t="s">
        <v>41</v>
      </c>
      <c r="E36" s="123"/>
      <c r="F36" s="123"/>
      <c r="G36" s="123"/>
      <c r="H36" s="123"/>
      <c r="I36" s="123"/>
      <c r="J36" s="123"/>
      <c r="K36" s="123"/>
      <c r="L36" s="123"/>
      <c r="M36" s="123"/>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39" sqref="B39"/>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29" t="s">
        <v>42</v>
      </c>
      <c r="B1" s="129"/>
    </row>
    <row r="2" spans="1:2" x14ac:dyDescent="0.25">
      <c r="A2" s="30"/>
      <c r="B2" s="24" t="s">
        <v>43</v>
      </c>
    </row>
    <row r="3" spans="1:2" x14ac:dyDescent="0.25">
      <c r="A3" s="31"/>
      <c r="B3" s="20"/>
    </row>
    <row r="5" spans="1:2" x14ac:dyDescent="0.25">
      <c r="A5" s="30" t="s">
        <v>44</v>
      </c>
      <c r="B5" s="23" t="s">
        <v>45</v>
      </c>
    </row>
    <row r="6" spans="1:2" x14ac:dyDescent="0.25">
      <c r="A6" s="31">
        <v>1</v>
      </c>
      <c r="B6" s="20"/>
    </row>
    <row r="7" spans="1:2" x14ac:dyDescent="0.25">
      <c r="A7" s="31">
        <v>2</v>
      </c>
      <c r="B7" s="20"/>
    </row>
    <row r="8" spans="1:2" x14ac:dyDescent="0.25">
      <c r="A8" s="31">
        <v>3</v>
      </c>
      <c r="B8" s="20"/>
    </row>
    <row r="9" spans="1:2" x14ac:dyDescent="0.25">
      <c r="A9" s="31" t="s">
        <v>46</v>
      </c>
      <c r="B9" s="20"/>
    </row>
    <row r="10" spans="1:2" x14ac:dyDescent="0.25">
      <c r="A10" s="31" t="s">
        <v>47</v>
      </c>
      <c r="B10" s="20"/>
    </row>
    <row r="12" spans="1:2" x14ac:dyDescent="0.25">
      <c r="A12" s="30" t="s">
        <v>44</v>
      </c>
      <c r="B12" s="23" t="s">
        <v>48</v>
      </c>
    </row>
    <row r="13" spans="1:2" x14ac:dyDescent="0.25">
      <c r="A13" s="31">
        <v>4</v>
      </c>
      <c r="B13" s="20"/>
    </row>
    <row r="15" spans="1:2" x14ac:dyDescent="0.25">
      <c r="A15" s="30" t="s">
        <v>44</v>
      </c>
      <c r="B15" s="23" t="s">
        <v>49</v>
      </c>
    </row>
    <row r="16" spans="1:2" x14ac:dyDescent="0.25">
      <c r="A16" s="31">
        <v>5</v>
      </c>
      <c r="B16" s="20"/>
    </row>
    <row r="17" spans="1:2" ht="13.8" thickBot="1" x14ac:dyDescent="0.3"/>
    <row r="18" spans="1:2" x14ac:dyDescent="0.25">
      <c r="A18" s="33" t="s">
        <v>44</v>
      </c>
      <c r="B18" s="22" t="s">
        <v>50</v>
      </c>
    </row>
    <row r="19" spans="1:2" x14ac:dyDescent="0.25">
      <c r="A19" s="31">
        <v>6</v>
      </c>
      <c r="B19" s="20" t="s">
        <v>51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30" t="s">
        <v>52</v>
      </c>
      <c r="B1" s="131"/>
      <c r="C1" s="131"/>
      <c r="D1" s="132"/>
      <c r="M1" s="46" t="s">
        <v>53</v>
      </c>
      <c r="N1" s="47"/>
      <c r="O1" s="47"/>
      <c r="P1" s="47"/>
      <c r="Q1" s="47"/>
      <c r="R1" s="48"/>
    </row>
    <row r="2" spans="1:18" ht="13.8" thickBot="1" x14ac:dyDescent="0.3">
      <c r="C2" s="21"/>
      <c r="M2" s="49" t="s">
        <v>54</v>
      </c>
      <c r="N2" s="34"/>
      <c r="O2" s="34"/>
      <c r="P2" s="34"/>
      <c r="Q2" s="34"/>
      <c r="R2" s="50"/>
    </row>
    <row r="3" spans="1:18" x14ac:dyDescent="0.25">
      <c r="A3" s="55" t="s">
        <v>55</v>
      </c>
      <c r="B3" s="27"/>
      <c r="C3" s="27"/>
      <c r="M3" s="49" t="s">
        <v>56</v>
      </c>
      <c r="N3" s="34"/>
      <c r="O3" s="34"/>
      <c r="P3" s="34"/>
      <c r="Q3" s="34"/>
      <c r="R3" s="50"/>
    </row>
    <row r="4" spans="1:18" ht="25.5" customHeight="1" x14ac:dyDescent="0.25">
      <c r="A4" s="12" t="s">
        <v>57</v>
      </c>
      <c r="B4" s="12" t="s">
        <v>58</v>
      </c>
      <c r="C4" s="26" t="s">
        <v>19</v>
      </c>
      <c r="D4" s="26" t="s">
        <v>59</v>
      </c>
      <c r="M4" s="51" t="s">
        <v>60</v>
      </c>
      <c r="N4" s="34"/>
      <c r="O4" s="34"/>
      <c r="P4" s="34"/>
      <c r="Q4" s="34"/>
      <c r="R4" s="50"/>
    </row>
    <row r="5" spans="1:18" ht="132.6" thickBot="1" x14ac:dyDescent="0.3">
      <c r="A5" s="39" t="s">
        <v>61</v>
      </c>
      <c r="B5" s="25" t="s">
        <v>62</v>
      </c>
      <c r="C5" s="11"/>
      <c r="D5" s="11"/>
      <c r="M5" s="52"/>
      <c r="N5" s="53"/>
      <c r="O5" s="53"/>
      <c r="P5" s="53"/>
      <c r="Q5" s="53"/>
      <c r="R5" s="54"/>
    </row>
    <row r="6" spans="1:18" x14ac:dyDescent="0.25">
      <c r="A6" s="39" t="s">
        <v>63</v>
      </c>
      <c r="B6" s="39" t="s">
        <v>64</v>
      </c>
      <c r="C6" s="11"/>
      <c r="D6" s="11"/>
    </row>
    <row r="7" spans="1:18" x14ac:dyDescent="0.25">
      <c r="A7" s="39" t="s">
        <v>65</v>
      </c>
      <c r="B7" s="39" t="s">
        <v>66</v>
      </c>
      <c r="C7" s="11"/>
      <c r="D7" s="11"/>
    </row>
    <row r="8" spans="1:18" ht="92.4" x14ac:dyDescent="0.25">
      <c r="A8" s="39" t="s">
        <v>67</v>
      </c>
      <c r="B8" s="25" t="s">
        <v>68</v>
      </c>
      <c r="C8" s="11"/>
      <c r="D8" s="11"/>
    </row>
    <row r="9" spans="1:18" x14ac:dyDescent="0.25">
      <c r="A9" s="39" t="s">
        <v>69</v>
      </c>
      <c r="B9" s="39" t="s">
        <v>70</v>
      </c>
      <c r="C9" s="11"/>
      <c r="D9" s="11"/>
    </row>
    <row r="10" spans="1:18" x14ac:dyDescent="0.25">
      <c r="A10" s="39" t="s">
        <v>71</v>
      </c>
      <c r="B10" s="11"/>
      <c r="C10" s="11"/>
      <c r="D10" s="11"/>
    </row>
    <row r="11" spans="1:18" x14ac:dyDescent="0.25">
      <c r="A11" s="39" t="s">
        <v>72</v>
      </c>
      <c r="B11" s="39" t="s">
        <v>73</v>
      </c>
      <c r="C11" s="11"/>
      <c r="D11" s="11"/>
    </row>
    <row r="12" spans="1:18" x14ac:dyDescent="0.25">
      <c r="A12" s="39" t="s">
        <v>74</v>
      </c>
      <c r="B12" s="39" t="s">
        <v>75</v>
      </c>
      <c r="C12" s="11"/>
      <c r="D12" s="11"/>
    </row>
    <row r="13" spans="1:18" x14ac:dyDescent="0.25">
      <c r="A13" s="39" t="s">
        <v>76</v>
      </c>
      <c r="B13" s="39" t="s">
        <v>77</v>
      </c>
      <c r="C13" s="11"/>
      <c r="D13" s="11"/>
    </row>
    <row r="14" spans="1:18" x14ac:dyDescent="0.25">
      <c r="A14" s="39" t="s">
        <v>78</v>
      </c>
      <c r="B14" s="39" t="s">
        <v>79</v>
      </c>
      <c r="C14" s="11"/>
      <c r="D14" s="11"/>
    </row>
    <row r="15" spans="1:18" x14ac:dyDescent="0.25">
      <c r="A15" s="39" t="s">
        <v>80</v>
      </c>
      <c r="B15" s="39" t="s">
        <v>81</v>
      </c>
      <c r="C15" s="11"/>
      <c r="D15" s="11"/>
    </row>
    <row r="16" spans="1:18" x14ac:dyDescent="0.25">
      <c r="A16" s="39" t="s">
        <v>82</v>
      </c>
      <c r="B16" s="39" t="s">
        <v>83</v>
      </c>
      <c r="C16" s="11"/>
      <c r="D16" s="11"/>
    </row>
    <row r="17" spans="1:4" x14ac:dyDescent="0.25">
      <c r="A17" s="39" t="s">
        <v>84</v>
      </c>
      <c r="B17" s="39" t="s">
        <v>85</v>
      </c>
      <c r="C17" s="11"/>
      <c r="D17" s="11"/>
    </row>
    <row r="18" spans="1:4" x14ac:dyDescent="0.25">
      <c r="A18" s="39" t="s">
        <v>86</v>
      </c>
      <c r="B18" s="39" t="s">
        <v>87</v>
      </c>
      <c r="C18" s="11"/>
      <c r="D18" s="11"/>
    </row>
    <row r="19" spans="1:4" x14ac:dyDescent="0.25">
      <c r="A19" s="39" t="s">
        <v>88</v>
      </c>
      <c r="B19" s="39" t="s">
        <v>89</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90</v>
      </c>
      <c r="B1" s="66" t="s">
        <v>91</v>
      </c>
    </row>
    <row r="2" spans="1:3" x14ac:dyDescent="0.25">
      <c r="A2" s="67" t="s">
        <v>92</v>
      </c>
      <c r="B2" s="68" t="str">
        <f>PPRD</f>
        <v>Feb, 2022</v>
      </c>
      <c r="C2" s="56"/>
    </row>
    <row r="3" spans="1:3" x14ac:dyDescent="0.25">
      <c r="A3" s="67" t="s">
        <v>93</v>
      </c>
      <c r="B3" s="69" t="str">
        <f>CRNIRN</f>
        <v>Bug_33048 ref CHG215394</v>
      </c>
      <c r="C3" s="56"/>
    </row>
    <row r="4" spans="1:3" x14ac:dyDescent="0.25">
      <c r="A4" s="67" t="s">
        <v>94</v>
      </c>
      <c r="B4" s="69" t="str">
        <f>MA</f>
        <v>UK</v>
      </c>
      <c r="C4" s="56"/>
    </row>
    <row r="5" spans="1:3" x14ac:dyDescent="0.25">
      <c r="A5" s="67" t="s">
        <v>95</v>
      </c>
      <c r="B5" s="69" t="s">
        <v>96</v>
      </c>
    </row>
    <row r="6" spans="1:3" x14ac:dyDescent="0.25">
      <c r="A6" s="67" t="s">
        <v>97</v>
      </c>
      <c r="B6" s="71" t="s">
        <v>98</v>
      </c>
    </row>
    <row r="7" spans="1:3" x14ac:dyDescent="0.25">
      <c r="A7" s="67" t="s">
        <v>99</v>
      </c>
      <c r="B7" s="72">
        <f>DevDReviewed</f>
        <v>44537</v>
      </c>
      <c r="C7" s="56"/>
    </row>
    <row r="8" spans="1:3" x14ac:dyDescent="0.25">
      <c r="A8" s="67" t="s">
        <v>100</v>
      </c>
      <c r="B8" s="71" t="str">
        <f>DevNameReviewed</f>
        <v>FrankMingoué</v>
      </c>
      <c r="C8" s="56"/>
    </row>
    <row r="9" spans="1:3" x14ac:dyDescent="0.25">
      <c r="A9" s="67" t="s">
        <v>101</v>
      </c>
      <c r="B9" s="70">
        <f>DateReviewed</f>
        <v>0</v>
      </c>
      <c r="C9" s="56"/>
    </row>
    <row r="10" spans="1:3" x14ac:dyDescent="0.25">
      <c r="A10" s="67" t="s">
        <v>102</v>
      </c>
      <c r="B10" s="71" t="str">
        <f>ReviewedBy</f>
        <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E6" sqref="E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30" t="s">
        <v>103</v>
      </c>
      <c r="B1" s="131"/>
      <c r="C1" s="131"/>
      <c r="D1" s="133"/>
    </row>
    <row r="2" spans="1:5" x14ac:dyDescent="0.25">
      <c r="B2" s="12" t="s">
        <v>104</v>
      </c>
      <c r="C2" s="12" t="s">
        <v>105</v>
      </c>
      <c r="D2" s="12" t="s">
        <v>106</v>
      </c>
      <c r="E2" s="58"/>
    </row>
    <row r="3" spans="1:5" ht="39.6" x14ac:dyDescent="0.25">
      <c r="B3" s="59" t="s">
        <v>107</v>
      </c>
      <c r="C3" s="60" t="s">
        <v>108</v>
      </c>
      <c r="D3" s="61" t="str">
        <f>IF(ISBLANK('1.0 DB Schema'!B28)=FALSE,"Impacted","Not Impacted")</f>
        <v>Not Impacted</v>
      </c>
    </row>
    <row r="4" spans="1:5" ht="26.4" x14ac:dyDescent="0.25">
      <c r="B4" s="59" t="s">
        <v>109</v>
      </c>
      <c r="C4" s="60" t="s">
        <v>110</v>
      </c>
      <c r="D4" s="61" t="str">
        <f>IF(ISBLANK('2.0 Ifb &amp; PHP'!B35)=FALSE,"Impacted","Not Impacted")</f>
        <v>Not Impacted</v>
      </c>
    </row>
    <row r="5" spans="1:5" ht="39.6" x14ac:dyDescent="0.25">
      <c r="B5" s="59" t="s">
        <v>111</v>
      </c>
      <c r="C5" s="60" t="s">
        <v>112</v>
      </c>
      <c r="D5" s="61" t="str">
        <f>IF(ISBLANK('3.0 Mapping'!B12)=FALSE,"Impacted","Not Impacted")</f>
        <v>Impacted</v>
      </c>
    </row>
    <row r="6" spans="1:5" ht="26.4" x14ac:dyDescent="0.25">
      <c r="B6" s="59" t="s">
        <v>113</v>
      </c>
      <c r="C6" s="60" t="s">
        <v>114</v>
      </c>
      <c r="D6" s="61" t="str">
        <f>IF(ISBLANK('4.0 Worklet &amp; workflow'!B22)=FALSE,"Impacted","Not Impacted")</f>
        <v>Impacted</v>
      </c>
    </row>
    <row r="7" spans="1:5" ht="26.4" x14ac:dyDescent="0.25">
      <c r="B7" s="59" t="s">
        <v>115</v>
      </c>
      <c r="C7" s="60" t="s">
        <v>116</v>
      </c>
      <c r="D7" s="61" t="str">
        <f>IF(ISBLANK('5.0 Stored Procedure'!B10)=FALSE,"Impacted","Not Impacted")</f>
        <v>Not Impacted</v>
      </c>
    </row>
    <row r="8" spans="1:5" ht="26.4" x14ac:dyDescent="0.25">
      <c r="B8" s="59" t="s">
        <v>117</v>
      </c>
      <c r="C8" s="60" t="s">
        <v>118</v>
      </c>
      <c r="D8" s="61" t="str">
        <f>IF(ISBLANK('6.0 Data Update'!E5)=FALSE,"Impacted","Not Impacted")</f>
        <v>Not Impacted</v>
      </c>
    </row>
    <row r="10" spans="1:5" ht="13.8" thickBot="1" x14ac:dyDescent="0.3"/>
    <row r="11" spans="1:5" ht="13.8" thickBot="1" x14ac:dyDescent="0.3">
      <c r="B11" s="15" t="s">
        <v>119</v>
      </c>
    </row>
    <row r="12" spans="1:5" x14ac:dyDescent="0.25">
      <c r="B12" s="12" t="s">
        <v>120</v>
      </c>
      <c r="C12" s="12" t="s">
        <v>121</v>
      </c>
      <c r="D12" s="12" t="s">
        <v>122</v>
      </c>
    </row>
    <row r="13" spans="1:5" x14ac:dyDescent="0.25">
      <c r="B13" s="61" t="s">
        <v>123</v>
      </c>
      <c r="C13" s="61" t="s">
        <v>124</v>
      </c>
      <c r="D13" s="62" t="s">
        <v>125</v>
      </c>
    </row>
    <row r="14" spans="1:5" x14ac:dyDescent="0.25">
      <c r="B14" s="61" t="s">
        <v>126</v>
      </c>
      <c r="C14" s="62" t="s">
        <v>127</v>
      </c>
      <c r="D14" s="61" t="s">
        <v>128</v>
      </c>
    </row>
    <row r="15" spans="1:5" x14ac:dyDescent="0.25">
      <c r="B15" s="61" t="s">
        <v>129</v>
      </c>
      <c r="C15" s="61" t="s">
        <v>130</v>
      </c>
      <c r="D15" s="61" t="s">
        <v>131</v>
      </c>
    </row>
    <row r="16" spans="1:5" x14ac:dyDescent="0.25">
      <c r="B16" s="61" t="s">
        <v>132</v>
      </c>
      <c r="C16" s="61" t="s">
        <v>133</v>
      </c>
      <c r="D16" s="61" t="s">
        <v>134</v>
      </c>
    </row>
    <row r="17" spans="2:4" x14ac:dyDescent="0.25">
      <c r="B17" s="61" t="s">
        <v>135</v>
      </c>
      <c r="C17" s="62" t="s">
        <v>136</v>
      </c>
      <c r="D17" s="61" t="s">
        <v>137</v>
      </c>
    </row>
    <row r="18" spans="2:4" x14ac:dyDescent="0.25">
      <c r="B18" s="61" t="s">
        <v>138</v>
      </c>
      <c r="C18" s="61" t="s">
        <v>139</v>
      </c>
      <c r="D18" s="61" t="s">
        <v>140</v>
      </c>
    </row>
    <row r="19" spans="2:4" x14ac:dyDescent="0.25">
      <c r="B19" s="61" t="s">
        <v>141</v>
      </c>
      <c r="C19" s="61" t="s">
        <v>142</v>
      </c>
      <c r="D19" s="61" t="s">
        <v>143</v>
      </c>
    </row>
    <row r="20" spans="2:4" x14ac:dyDescent="0.25">
      <c r="B20" s="61" t="s">
        <v>144</v>
      </c>
      <c r="C20" s="62" t="s">
        <v>145</v>
      </c>
      <c r="D20" s="61" t="s">
        <v>146</v>
      </c>
    </row>
    <row r="21" spans="2:4" x14ac:dyDescent="0.25">
      <c r="B21" s="61" t="s">
        <v>147</v>
      </c>
      <c r="C21" s="62" t="s">
        <v>148</v>
      </c>
      <c r="D21" s="61" t="s">
        <v>149</v>
      </c>
    </row>
    <row r="22" spans="2:4" x14ac:dyDescent="0.25">
      <c r="B22" s="61" t="s">
        <v>150</v>
      </c>
      <c r="C22" s="62" t="s">
        <v>151</v>
      </c>
      <c r="D22" s="61" t="s">
        <v>152</v>
      </c>
    </row>
    <row r="23" spans="2:4" x14ac:dyDescent="0.25">
      <c r="B23" s="61" t="s">
        <v>153</v>
      </c>
      <c r="C23" s="61" t="s">
        <v>154</v>
      </c>
      <c r="D23" s="61" t="s">
        <v>155</v>
      </c>
    </row>
    <row r="24" spans="2:4" x14ac:dyDescent="0.25">
      <c r="B24" s="61" t="s">
        <v>156</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A5" sqref="A5"/>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30" t="s">
        <v>157</v>
      </c>
      <c r="B1" s="131"/>
      <c r="C1" s="132"/>
    </row>
    <row r="2" spans="1:24" ht="14.4" thickBot="1" x14ac:dyDescent="0.3">
      <c r="E2" s="75" t="s">
        <v>158</v>
      </c>
      <c r="F2" s="34"/>
      <c r="G2" s="34"/>
      <c r="H2" s="34"/>
      <c r="I2" s="34"/>
      <c r="J2" s="34"/>
      <c r="K2" s="34"/>
      <c r="W2" s="56"/>
    </row>
    <row r="3" spans="1:24" ht="13.8" thickBot="1" x14ac:dyDescent="0.3">
      <c r="A3" s="15" t="s">
        <v>159</v>
      </c>
      <c r="B3" s="13"/>
      <c r="C3" s="13"/>
      <c r="E3" s="35" t="s">
        <v>160</v>
      </c>
      <c r="F3" s="34"/>
      <c r="G3" s="34"/>
      <c r="H3" s="34"/>
      <c r="I3" s="34"/>
      <c r="J3" s="34"/>
      <c r="K3" s="34"/>
      <c r="X3" s="56"/>
    </row>
    <row r="4" spans="1:24" x14ac:dyDescent="0.25">
      <c r="A4" s="14" t="s">
        <v>161</v>
      </c>
      <c r="B4" s="12" t="s">
        <v>162</v>
      </c>
      <c r="C4" s="12" t="s">
        <v>59</v>
      </c>
      <c r="E4" s="35" t="s">
        <v>163</v>
      </c>
      <c r="F4" s="35"/>
      <c r="G4" s="35"/>
      <c r="H4" s="35"/>
      <c r="I4" s="35"/>
      <c r="J4" s="34"/>
      <c r="K4" s="34"/>
    </row>
    <row r="5" spans="1:24" x14ac:dyDescent="0.25">
      <c r="A5" s="39" t="s">
        <v>262</v>
      </c>
      <c r="B5" s="39" t="s">
        <v>263</v>
      </c>
      <c r="C5" s="39" t="s">
        <v>264</v>
      </c>
      <c r="E5" s="35" t="s">
        <v>164</v>
      </c>
      <c r="F5" s="35"/>
      <c r="G5" s="35"/>
      <c r="H5" s="35"/>
      <c r="I5" s="35"/>
      <c r="J5" s="34"/>
      <c r="K5" s="34"/>
    </row>
    <row r="6" spans="1:24" x14ac:dyDescent="0.25">
      <c r="A6" s="11"/>
      <c r="B6" s="11"/>
      <c r="C6" s="11"/>
      <c r="E6" s="74" t="s">
        <v>165</v>
      </c>
      <c r="F6" s="34"/>
      <c r="G6" s="34"/>
      <c r="H6" s="34"/>
      <c r="I6" s="34"/>
      <c r="J6" s="34"/>
      <c r="K6" s="34"/>
      <c r="X6" s="56"/>
    </row>
    <row r="7" spans="1:24" x14ac:dyDescent="0.25">
      <c r="A7" s="11"/>
      <c r="B7" s="11"/>
      <c r="C7" s="11"/>
    </row>
    <row r="8" spans="1:24" ht="13.8" thickBot="1" x14ac:dyDescent="0.3">
      <c r="X8" s="56"/>
    </row>
    <row r="9" spans="1:24" ht="13.8" thickBot="1" x14ac:dyDescent="0.3">
      <c r="A9" s="15" t="s">
        <v>166</v>
      </c>
      <c r="X9" s="56"/>
    </row>
    <row r="10" spans="1:24" x14ac:dyDescent="0.25">
      <c r="A10" s="14" t="s">
        <v>161</v>
      </c>
      <c r="B10" s="12" t="s">
        <v>167</v>
      </c>
      <c r="C10" s="12" t="s">
        <v>168</v>
      </c>
      <c r="D10" s="12" t="s">
        <v>162</v>
      </c>
      <c r="E10" s="12" t="s">
        <v>169</v>
      </c>
      <c r="F10" s="12" t="s">
        <v>59</v>
      </c>
      <c r="X10" s="56"/>
    </row>
    <row r="11" spans="1:24" ht="13.8" x14ac:dyDescent="0.3">
      <c r="A11" s="39" t="s">
        <v>262</v>
      </c>
      <c r="B11" s="143" t="s">
        <v>265</v>
      </c>
      <c r="C11" s="39" t="s">
        <v>266</v>
      </c>
      <c r="D11" s="39"/>
      <c r="E11" s="39"/>
      <c r="F11" s="39"/>
    </row>
    <row r="12" spans="1:24" x14ac:dyDescent="0.25">
      <c r="A12" s="39"/>
      <c r="B12" s="39"/>
      <c r="C12" s="39"/>
      <c r="D12" s="39"/>
      <c r="E12" s="39"/>
      <c r="F12" s="39"/>
    </row>
    <row r="13" spans="1:24" x14ac:dyDescent="0.25">
      <c r="A13" s="39"/>
      <c r="B13" s="39"/>
      <c r="C13" s="39"/>
      <c r="D13" s="39"/>
      <c r="E13" s="39"/>
      <c r="F13" s="39"/>
    </row>
    <row r="14" spans="1:24" x14ac:dyDescent="0.25">
      <c r="A14" s="39"/>
      <c r="B14" s="39"/>
      <c r="C14" s="39"/>
      <c r="D14" s="39"/>
      <c r="E14" s="39"/>
      <c r="F14" s="39"/>
    </row>
    <row r="15" spans="1:24" x14ac:dyDescent="0.25">
      <c r="A15" s="11"/>
      <c r="B15" s="11"/>
      <c r="C15" s="11"/>
      <c r="D15" s="11"/>
      <c r="E15" s="11"/>
      <c r="F15" s="11"/>
    </row>
    <row r="16" spans="1:24" ht="13.8" thickBot="1" x14ac:dyDescent="0.3"/>
    <row r="17" spans="1:29" ht="13.8" thickBot="1" x14ac:dyDescent="0.3">
      <c r="A17" s="15" t="s">
        <v>170</v>
      </c>
    </row>
    <row r="18" spans="1:29" x14ac:dyDescent="0.25">
      <c r="A18" s="14" t="s">
        <v>171</v>
      </c>
      <c r="B18" s="12" t="s">
        <v>172</v>
      </c>
      <c r="C18" s="12" t="s">
        <v>173</v>
      </c>
      <c r="D18" s="12" t="s">
        <v>174</v>
      </c>
    </row>
    <row r="19" spans="1:29" x14ac:dyDescent="0.25">
      <c r="A19" s="39" t="s">
        <v>156</v>
      </c>
      <c r="B19" s="39"/>
      <c r="C19" s="39"/>
      <c r="D19" s="11"/>
      <c r="AA19" s="56"/>
    </row>
    <row r="20" spans="1:29" x14ac:dyDescent="0.25">
      <c r="A20" s="39"/>
      <c r="B20" s="39"/>
      <c r="C20" s="39"/>
      <c r="D20" s="11"/>
      <c r="AA20" s="56"/>
    </row>
    <row r="21" spans="1:29" x14ac:dyDescent="0.25">
      <c r="A21" s="39"/>
      <c r="B21" s="39"/>
      <c r="C21" s="39"/>
      <c r="D21" s="11"/>
    </row>
    <row r="22" spans="1:29" ht="13.8" thickBot="1" x14ac:dyDescent="0.3">
      <c r="A22" s="56"/>
      <c r="B22" s="56"/>
      <c r="C22" s="56"/>
    </row>
    <row r="23" spans="1:29" ht="13.8" thickBot="1" x14ac:dyDescent="0.3">
      <c r="A23" s="15" t="s">
        <v>175</v>
      </c>
      <c r="B23" s="56"/>
      <c r="C23" s="56"/>
    </row>
    <row r="24" spans="1:29" x14ac:dyDescent="0.25">
      <c r="A24" s="14" t="s">
        <v>120</v>
      </c>
      <c r="B24" s="12" t="s">
        <v>176</v>
      </c>
    </row>
    <row r="25" spans="1:29" x14ac:dyDescent="0.25">
      <c r="A25" s="39" t="s">
        <v>156</v>
      </c>
      <c r="B25" s="39"/>
      <c r="AC25" s="56"/>
    </row>
    <row r="26" spans="1:29" x14ac:dyDescent="0.25">
      <c r="A26" s="39"/>
      <c r="B26" s="39"/>
    </row>
    <row r="27" spans="1:29" x14ac:dyDescent="0.25">
      <c r="A27" s="19" t="s">
        <v>26</v>
      </c>
      <c r="B27" s="19" t="s">
        <v>177</v>
      </c>
    </row>
    <row r="28" spans="1:29" x14ac:dyDescent="0.25">
      <c r="A28" s="18"/>
      <c r="B28" s="18"/>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5"/>
  <sheetViews>
    <sheetView topLeftCell="A4" workbookViewId="0">
      <selection activeCell="G8" sqref="G8:L36"/>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130" t="s">
        <v>178</v>
      </c>
      <c r="B1" s="131"/>
      <c r="C1" s="132"/>
    </row>
    <row r="2" spans="1:3" ht="13.8" thickBot="1" x14ac:dyDescent="0.3"/>
    <row r="3" spans="1:3" ht="13.8" thickBot="1" x14ac:dyDescent="0.3">
      <c r="A3" s="16" t="s">
        <v>179</v>
      </c>
      <c r="B3" s="27"/>
    </row>
    <row r="4" spans="1:3" x14ac:dyDescent="0.25">
      <c r="A4" s="14" t="s">
        <v>180</v>
      </c>
      <c r="B4" s="26" t="s">
        <v>59</v>
      </c>
    </row>
    <row r="5" spans="1:3" x14ac:dyDescent="0.25">
      <c r="A5" s="11"/>
      <c r="B5" s="20"/>
    </row>
    <row r="6" spans="1:3" x14ac:dyDescent="0.25">
      <c r="A6" s="11"/>
      <c r="B6" s="20"/>
    </row>
    <row r="7" spans="1:3" ht="13.8" thickBot="1" x14ac:dyDescent="0.3"/>
    <row r="8" spans="1:3" ht="13.8" thickBot="1" x14ac:dyDescent="0.3">
      <c r="A8" s="16" t="s">
        <v>181</v>
      </c>
      <c r="B8" s="27"/>
      <c r="C8" s="13"/>
    </row>
    <row r="9" spans="1:3" x14ac:dyDescent="0.25">
      <c r="A9" s="14" t="s">
        <v>182</v>
      </c>
      <c r="B9" s="26" t="s">
        <v>59</v>
      </c>
    </row>
    <row r="10" spans="1:3" x14ac:dyDescent="0.25">
      <c r="A10" s="39"/>
      <c r="B10" s="39"/>
    </row>
    <row r="11" spans="1:3" x14ac:dyDescent="0.25">
      <c r="A11" s="11"/>
      <c r="B11" s="20"/>
    </row>
    <row r="12" spans="1:3" x14ac:dyDescent="0.25">
      <c r="A12" s="11"/>
      <c r="B12" s="20"/>
    </row>
    <row r="13" spans="1:3" ht="13.8" thickBot="1" x14ac:dyDescent="0.3"/>
    <row r="14" spans="1:3" ht="13.8" thickBot="1" x14ac:dyDescent="0.3">
      <c r="A14" s="16" t="s">
        <v>183</v>
      </c>
    </row>
    <row r="15" spans="1:3" x14ac:dyDescent="0.25">
      <c r="A15" s="14" t="s">
        <v>180</v>
      </c>
      <c r="B15" s="26" t="s">
        <v>59</v>
      </c>
    </row>
    <row r="16" spans="1:3" x14ac:dyDescent="0.25">
      <c r="A16" s="11"/>
      <c r="B16" s="20"/>
    </row>
    <row r="17" spans="1:9" x14ac:dyDescent="0.25">
      <c r="A17" s="11"/>
      <c r="B17" s="20"/>
    </row>
    <row r="18" spans="1:9" x14ac:dyDescent="0.25">
      <c r="A18" s="11"/>
      <c r="B18" s="20"/>
      <c r="I18" s="56"/>
    </row>
    <row r="19" spans="1:9" ht="13.8" thickBot="1" x14ac:dyDescent="0.3"/>
    <row r="20" spans="1:9" ht="13.8" thickBot="1" x14ac:dyDescent="0.3">
      <c r="A20" s="16" t="s">
        <v>184</v>
      </c>
      <c r="G20" s="56"/>
    </row>
    <row r="21" spans="1:9" x14ac:dyDescent="0.25">
      <c r="A21" s="14" t="s">
        <v>180</v>
      </c>
      <c r="B21" s="26" t="s">
        <v>59</v>
      </c>
    </row>
    <row r="22" spans="1:9" x14ac:dyDescent="0.25">
      <c r="A22" s="39" t="s">
        <v>156</v>
      </c>
      <c r="B22" s="20"/>
    </row>
    <row r="23" spans="1:9" x14ac:dyDescent="0.25">
      <c r="A23" s="11"/>
      <c r="B23" s="20"/>
    </row>
    <row r="24" spans="1:9" x14ac:dyDescent="0.25">
      <c r="A24" s="11"/>
      <c r="B24" s="20"/>
    </row>
    <row r="25" spans="1:9" x14ac:dyDescent="0.25">
      <c r="A25" s="11"/>
      <c r="B25" s="20"/>
    </row>
    <row r="26" spans="1:9" ht="13.8" thickBot="1" x14ac:dyDescent="0.3"/>
    <row r="27" spans="1:9" ht="13.8" thickBot="1" x14ac:dyDescent="0.3">
      <c r="A27" s="16" t="s">
        <v>185</v>
      </c>
    </row>
    <row r="28" spans="1:9" x14ac:dyDescent="0.25">
      <c r="A28" s="14" t="s">
        <v>180</v>
      </c>
      <c r="B28" s="26" t="s">
        <v>59</v>
      </c>
    </row>
    <row r="29" spans="1:9" x14ac:dyDescent="0.25">
      <c r="A29" s="39" t="s">
        <v>156</v>
      </c>
      <c r="B29" s="20"/>
    </row>
    <row r="30" spans="1:9" x14ac:dyDescent="0.25">
      <c r="A30" s="11"/>
      <c r="B30" s="20"/>
    </row>
    <row r="31" spans="1:9" x14ac:dyDescent="0.25">
      <c r="A31" s="11"/>
      <c r="B31" s="20"/>
    </row>
    <row r="32" spans="1:9" x14ac:dyDescent="0.25">
      <c r="A32" s="11"/>
      <c r="B32" s="20"/>
    </row>
    <row r="34" spans="1:2" x14ac:dyDescent="0.25">
      <c r="A34" s="19" t="s">
        <v>26</v>
      </c>
      <c r="B34" s="28" t="s">
        <v>177</v>
      </c>
    </row>
    <row r="35" spans="1:2" x14ac:dyDescent="0.25">
      <c r="A35" s="18"/>
      <c r="B35" s="2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C20" sqref="C20"/>
    </sheetView>
  </sheetViews>
  <sheetFormatPr defaultRowHeight="13.2" x14ac:dyDescent="0.25"/>
  <cols>
    <col min="1" max="1" width="12.109375" bestFit="1" customWidth="1"/>
    <col min="2" max="2" width="36.6640625" bestFit="1" customWidth="1"/>
    <col min="3" max="3" width="46.109375" customWidth="1"/>
  </cols>
  <sheetData>
    <row r="1" spans="1:3" ht="13.8" thickBot="1" x14ac:dyDescent="0.3">
      <c r="A1" s="130" t="s">
        <v>186</v>
      </c>
      <c r="B1" s="131"/>
      <c r="C1" s="132"/>
    </row>
    <row r="3" spans="1:3" x14ac:dyDescent="0.25">
      <c r="A3" s="12" t="s">
        <v>187</v>
      </c>
      <c r="B3" s="12" t="s">
        <v>188</v>
      </c>
      <c r="C3" s="12" t="s">
        <v>59</v>
      </c>
    </row>
    <row r="4" spans="1:3" x14ac:dyDescent="0.25">
      <c r="A4" s="39" t="s">
        <v>268</v>
      </c>
      <c r="B4" s="11" t="s">
        <v>267</v>
      </c>
      <c r="C4" s="39" t="s">
        <v>271</v>
      </c>
    </row>
    <row r="5" spans="1:3" x14ac:dyDescent="0.25">
      <c r="A5" s="11" t="s">
        <v>253</v>
      </c>
      <c r="B5" s="11" t="s">
        <v>269</v>
      </c>
      <c r="C5" s="11" t="s">
        <v>270</v>
      </c>
    </row>
    <row r="6" spans="1:3" x14ac:dyDescent="0.25">
      <c r="A6" s="11"/>
      <c r="B6" s="11"/>
      <c r="C6" s="20"/>
    </row>
    <row r="7" spans="1:3" x14ac:dyDescent="0.25">
      <c r="A7" s="11"/>
      <c r="B7" s="11"/>
      <c r="C7" s="11"/>
    </row>
    <row r="11" spans="1:3" x14ac:dyDescent="0.25">
      <c r="A11" s="19" t="s">
        <v>26</v>
      </c>
      <c r="B11" s="19" t="s">
        <v>177</v>
      </c>
    </row>
    <row r="12" spans="1:3" x14ac:dyDescent="0.25">
      <c r="A12" s="18"/>
      <c r="B12" s="18">
        <v>0</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0"/>
  <sheetViews>
    <sheetView workbookViewId="0">
      <selection activeCell="I28" sqref="I28"/>
    </sheetView>
  </sheetViews>
  <sheetFormatPr defaultRowHeight="13.2" x14ac:dyDescent="0.25"/>
  <cols>
    <col min="1" max="1" width="14.44140625" bestFit="1" customWidth="1"/>
    <col min="2" max="2" width="14.88671875" bestFit="1" customWidth="1"/>
    <col min="3" max="3" width="16.109375" customWidth="1"/>
    <col min="4" max="4" width="19.21875" customWidth="1"/>
    <col min="5" max="5" width="21.6640625" customWidth="1"/>
    <col min="6" max="6" width="15.44140625" bestFit="1" customWidth="1"/>
    <col min="7" max="7" width="14.44140625" bestFit="1" customWidth="1"/>
    <col min="8" max="8" width="15.77734375" customWidth="1"/>
    <col min="9" max="9" width="74.88671875" bestFit="1" customWidth="1"/>
    <col min="10" max="10" width="26.44140625" bestFit="1" customWidth="1"/>
  </cols>
  <sheetData>
    <row r="1" spans="1:10" ht="13.8" thickBot="1" x14ac:dyDescent="0.3">
      <c r="A1" s="130" t="s">
        <v>189</v>
      </c>
      <c r="B1" s="131"/>
      <c r="C1" s="131"/>
      <c r="D1" s="132"/>
    </row>
    <row r="3" spans="1:10" x14ac:dyDescent="0.25">
      <c r="A3" s="12" t="s">
        <v>188</v>
      </c>
      <c r="B3" s="134" t="s">
        <v>267</v>
      </c>
      <c r="C3" s="135"/>
    </row>
    <row r="5" spans="1:10" x14ac:dyDescent="0.25">
      <c r="A5" s="12" t="s">
        <v>190</v>
      </c>
      <c r="B5" s="12" t="s">
        <v>191</v>
      </c>
      <c r="C5" s="12" t="s">
        <v>192</v>
      </c>
      <c r="D5" s="12" t="s">
        <v>193</v>
      </c>
      <c r="E5" s="12" t="s">
        <v>194</v>
      </c>
      <c r="F5" s="12" t="s">
        <v>191</v>
      </c>
      <c r="G5" s="12" t="s">
        <v>195</v>
      </c>
      <c r="H5" s="12" t="s">
        <v>193</v>
      </c>
      <c r="I5" s="12" t="s">
        <v>196</v>
      </c>
      <c r="J5" s="12" t="s">
        <v>197</v>
      </c>
    </row>
    <row r="6" spans="1:10" x14ac:dyDescent="0.25">
      <c r="A6" t="s">
        <v>272</v>
      </c>
      <c r="B6" t="s">
        <v>272</v>
      </c>
      <c r="C6" t="s">
        <v>265</v>
      </c>
      <c r="D6" t="s">
        <v>266</v>
      </c>
      <c r="E6" s="39" t="s">
        <v>262</v>
      </c>
      <c r="F6" s="39" t="s">
        <v>262</v>
      </c>
      <c r="G6" t="s">
        <v>265</v>
      </c>
      <c r="H6" t="s">
        <v>266</v>
      </c>
      <c r="I6" s="20" t="s">
        <v>273</v>
      </c>
      <c r="J6" s="11" t="s">
        <v>274</v>
      </c>
    </row>
    <row r="7" spans="1:10" x14ac:dyDescent="0.25">
      <c r="A7" s="39"/>
      <c r="B7" s="11"/>
      <c r="C7" s="11"/>
      <c r="D7" s="11"/>
      <c r="E7" s="11"/>
      <c r="F7" s="11"/>
      <c r="G7" s="11"/>
      <c r="H7" s="11"/>
      <c r="I7" s="11"/>
      <c r="J7" s="11"/>
    </row>
    <row r="8" spans="1:10" x14ac:dyDescent="0.25">
      <c r="A8" s="39"/>
      <c r="B8" s="11"/>
      <c r="C8" s="11"/>
      <c r="D8" s="20"/>
      <c r="E8" s="11"/>
      <c r="F8" s="11"/>
      <c r="G8" s="11"/>
      <c r="H8" s="20"/>
      <c r="I8" s="11"/>
      <c r="J8" s="11"/>
    </row>
    <row r="9" spans="1:10" x14ac:dyDescent="0.25">
      <c r="A9" s="39"/>
      <c r="B9" s="11"/>
      <c r="C9" s="11"/>
      <c r="D9" s="11"/>
      <c r="E9" s="11"/>
      <c r="F9" s="11"/>
      <c r="G9" s="11"/>
      <c r="H9" s="11"/>
      <c r="I9" s="11"/>
      <c r="J9" s="11"/>
    </row>
    <row r="10" spans="1:10" x14ac:dyDescent="0.25">
      <c r="A10" s="39"/>
      <c r="B10" s="11"/>
      <c r="C10" s="11"/>
      <c r="D10" s="11"/>
      <c r="E10" s="11"/>
      <c r="F10" s="39"/>
      <c r="G10" s="11"/>
      <c r="H10" s="11"/>
      <c r="I10" s="11"/>
      <c r="J10" s="11"/>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2"/>
  <sheetViews>
    <sheetView topLeftCell="A13" workbookViewId="0">
      <selection activeCell="B22" sqref="B22"/>
    </sheetView>
  </sheetViews>
  <sheetFormatPr defaultRowHeight="13.2" x14ac:dyDescent="0.25"/>
  <cols>
    <col min="1" max="1" width="18.5546875" customWidth="1"/>
    <col min="2" max="2" width="30.5546875" bestFit="1" customWidth="1"/>
    <col min="3" max="3" width="24.88671875" bestFit="1" customWidth="1"/>
    <col min="4" max="4" width="31.5546875" customWidth="1"/>
    <col min="5" max="5" width="25.5546875" bestFit="1" customWidth="1"/>
    <col min="6" max="6" width="48.44140625" style="21" bestFit="1" customWidth="1"/>
  </cols>
  <sheetData>
    <row r="1" spans="1:5" ht="13.8" thickBot="1" x14ac:dyDescent="0.3">
      <c r="A1" s="130" t="s">
        <v>198</v>
      </c>
      <c r="B1" s="131"/>
      <c r="C1" s="132"/>
    </row>
    <row r="2" spans="1:5" ht="13.8" thickBot="1" x14ac:dyDescent="0.3"/>
    <row r="3" spans="1:5" ht="13.8" thickBot="1" x14ac:dyDescent="0.3">
      <c r="A3" s="130" t="s">
        <v>199</v>
      </c>
      <c r="B3" s="131"/>
      <c r="C3" s="132"/>
    </row>
    <row r="4" spans="1:5" x14ac:dyDescent="0.25">
      <c r="A4" s="14" t="s">
        <v>187</v>
      </c>
      <c r="B4" s="14" t="s">
        <v>200</v>
      </c>
      <c r="C4" s="14" t="s">
        <v>59</v>
      </c>
    </row>
    <row r="5" spans="1:5" x14ac:dyDescent="0.25">
      <c r="A5" s="39" t="s">
        <v>268</v>
      </c>
      <c r="B5" s="39" t="s">
        <v>275</v>
      </c>
      <c r="C5" s="39" t="s">
        <v>252</v>
      </c>
    </row>
    <row r="6" spans="1:5" x14ac:dyDescent="0.25">
      <c r="A6" s="39" t="s">
        <v>268</v>
      </c>
      <c r="B6" s="39" t="s">
        <v>280</v>
      </c>
      <c r="C6" s="39" t="s">
        <v>281</v>
      </c>
    </row>
    <row r="7" spans="1:5" x14ac:dyDescent="0.25">
      <c r="A7" s="39" t="s">
        <v>268</v>
      </c>
      <c r="B7" s="39" t="s">
        <v>276</v>
      </c>
      <c r="C7" s="39" t="s">
        <v>252</v>
      </c>
    </row>
    <row r="8" spans="1:5" x14ac:dyDescent="0.25">
      <c r="A8" s="39" t="s">
        <v>268</v>
      </c>
      <c r="B8" s="39" t="s">
        <v>277</v>
      </c>
      <c r="C8" s="39" t="s">
        <v>252</v>
      </c>
    </row>
    <row r="9" spans="1:5" x14ac:dyDescent="0.25">
      <c r="A9" s="39" t="s">
        <v>268</v>
      </c>
      <c r="B9" s="39" t="s">
        <v>278</v>
      </c>
      <c r="C9" s="39" t="s">
        <v>279</v>
      </c>
    </row>
    <row r="10" spans="1:5" x14ac:dyDescent="0.25">
      <c r="A10" s="39" t="s">
        <v>253</v>
      </c>
      <c r="B10" s="39" t="s">
        <v>254</v>
      </c>
      <c r="C10" s="39" t="s">
        <v>252</v>
      </c>
    </row>
    <row r="11" spans="1:5" x14ac:dyDescent="0.25">
      <c r="A11" s="91"/>
      <c r="B11" s="90"/>
      <c r="C11" s="91"/>
    </row>
    <row r="12" spans="1:5" x14ac:dyDescent="0.25">
      <c r="A12" s="91"/>
      <c r="B12" s="90"/>
      <c r="C12" s="91"/>
    </row>
    <row r="13" spans="1:5" x14ac:dyDescent="0.25">
      <c r="A13" s="91"/>
      <c r="B13" s="90"/>
      <c r="C13" s="91"/>
    </row>
    <row r="14" spans="1:5" ht="13.8" thickBot="1" x14ac:dyDescent="0.3"/>
    <row r="15" spans="1:5" ht="13.8" thickBot="1" x14ac:dyDescent="0.3">
      <c r="A15" s="130" t="s">
        <v>201</v>
      </c>
      <c r="B15" s="131"/>
      <c r="C15" s="132"/>
    </row>
    <row r="16" spans="1:5" x14ac:dyDescent="0.25">
      <c r="A16" s="14" t="s">
        <v>187</v>
      </c>
      <c r="B16" s="14" t="s">
        <v>200</v>
      </c>
      <c r="C16" s="14" t="s">
        <v>202</v>
      </c>
      <c r="D16" s="12" t="s">
        <v>20</v>
      </c>
      <c r="E16" s="13"/>
    </row>
    <row r="17" spans="1:4" ht="79.2" x14ac:dyDescent="0.25">
      <c r="A17" s="11" t="s">
        <v>268</v>
      </c>
      <c r="B17" s="20" t="s">
        <v>282</v>
      </c>
      <c r="C17" s="11" t="s">
        <v>283</v>
      </c>
      <c r="D17" s="11" t="s">
        <v>252</v>
      </c>
    </row>
    <row r="18" spans="1:4" x14ac:dyDescent="0.25">
      <c r="A18" s="11" t="s">
        <v>253</v>
      </c>
      <c r="B18" s="11" t="s">
        <v>254</v>
      </c>
      <c r="C18" s="11" t="s">
        <v>284</v>
      </c>
      <c r="D18" s="11" t="s">
        <v>252</v>
      </c>
    </row>
    <row r="21" spans="1:4" x14ac:dyDescent="0.25">
      <c r="A21" s="19" t="s">
        <v>26</v>
      </c>
      <c r="B21" s="19" t="s">
        <v>177</v>
      </c>
    </row>
    <row r="22" spans="1:4" x14ac:dyDescent="0.25">
      <c r="A22" s="18"/>
      <c r="B22" s="18">
        <v>0</v>
      </c>
    </row>
  </sheetData>
  <mergeCells count="3">
    <mergeCell ref="A1:C1"/>
    <mergeCell ref="A15:C15"/>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W13" sqref="W13"/>
    </sheetView>
  </sheetViews>
  <sheetFormatPr defaultRowHeight="13.2" x14ac:dyDescent="0.25"/>
  <cols>
    <col min="1" max="1" width="12.109375" bestFit="1" customWidth="1"/>
    <col min="2" max="2" width="28.6640625" customWidth="1"/>
    <col min="3" max="3" width="32.6640625" customWidth="1"/>
    <col min="4" max="4" width="37.44140625" customWidth="1"/>
    <col min="5" max="5" width="26.441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4" ht="13.8" thickBot="1" x14ac:dyDescent="0.3">
      <c r="A1" s="130" t="s">
        <v>203</v>
      </c>
      <c r="B1" s="131"/>
      <c r="C1" s="132"/>
    </row>
    <row r="2" spans="1:24" x14ac:dyDescent="0.25">
      <c r="F2" s="139" t="s">
        <v>204</v>
      </c>
      <c r="G2" s="139"/>
      <c r="H2" s="139"/>
      <c r="I2" s="136" t="s">
        <v>205</v>
      </c>
      <c r="J2" s="137"/>
      <c r="K2" s="137"/>
      <c r="L2" s="136" t="s">
        <v>206</v>
      </c>
      <c r="M2" s="137"/>
      <c r="N2" s="137"/>
      <c r="O2" s="137"/>
      <c r="P2" s="137"/>
      <c r="Q2" s="138"/>
      <c r="R2" s="136" t="s">
        <v>207</v>
      </c>
      <c r="S2" s="137"/>
      <c r="T2" s="137"/>
      <c r="U2" s="138"/>
      <c r="V2" s="136" t="s">
        <v>208</v>
      </c>
      <c r="W2" s="138"/>
    </row>
    <row r="3" spans="1:24" s="44" customFormat="1" ht="34.200000000000003" x14ac:dyDescent="0.2">
      <c r="A3" s="40" t="s">
        <v>187</v>
      </c>
      <c r="B3" s="40" t="s">
        <v>200</v>
      </c>
      <c r="C3" s="40" t="s">
        <v>202</v>
      </c>
      <c r="D3" s="40" t="s">
        <v>209</v>
      </c>
      <c r="E3" s="40" t="s">
        <v>111</v>
      </c>
      <c r="F3" s="41" t="s">
        <v>210</v>
      </c>
      <c r="G3" s="41" t="s">
        <v>211</v>
      </c>
      <c r="H3" s="40" t="s">
        <v>212</v>
      </c>
      <c r="I3" s="41" t="s">
        <v>213</v>
      </c>
      <c r="J3" s="41" t="s">
        <v>214</v>
      </c>
      <c r="K3" s="41" t="s">
        <v>215</v>
      </c>
      <c r="L3" s="45" t="s">
        <v>216</v>
      </c>
      <c r="M3" s="45" t="s">
        <v>217</v>
      </c>
      <c r="N3" s="41" t="s">
        <v>218</v>
      </c>
      <c r="O3" s="41" t="s">
        <v>219</v>
      </c>
      <c r="P3" s="41" t="s">
        <v>220</v>
      </c>
      <c r="Q3" s="41" t="s">
        <v>221</v>
      </c>
      <c r="R3" s="42" t="s">
        <v>216</v>
      </c>
      <c r="S3" s="42" t="s">
        <v>217</v>
      </c>
      <c r="T3" s="42" t="s">
        <v>222</v>
      </c>
      <c r="U3" s="43" t="s">
        <v>223</v>
      </c>
      <c r="V3" s="43" t="s">
        <v>224</v>
      </c>
      <c r="W3" s="43" t="s">
        <v>225</v>
      </c>
      <c r="X3" s="41" t="s">
        <v>20</v>
      </c>
    </row>
    <row r="4" spans="1:24" ht="92.4" x14ac:dyDescent="0.25">
      <c r="A4" s="11" t="s">
        <v>268</v>
      </c>
      <c r="B4" s="20" t="s">
        <v>285</v>
      </c>
      <c r="C4" s="11" t="s">
        <v>283</v>
      </c>
      <c r="D4" s="11" t="s">
        <v>286</v>
      </c>
      <c r="E4" s="11" t="s">
        <v>267</v>
      </c>
      <c r="F4" s="11" t="s">
        <v>232</v>
      </c>
      <c r="G4" s="11" t="s">
        <v>232</v>
      </c>
      <c r="H4" s="11" t="s">
        <v>233</v>
      </c>
      <c r="I4" s="11" t="s">
        <v>257</v>
      </c>
      <c r="J4" s="11" t="s">
        <v>258</v>
      </c>
      <c r="K4" s="11" t="s">
        <v>232</v>
      </c>
      <c r="L4" s="11" t="s">
        <v>257</v>
      </c>
      <c r="M4" s="11" t="s">
        <v>257</v>
      </c>
      <c r="N4" s="11" t="s">
        <v>257</v>
      </c>
      <c r="O4" s="11" t="s">
        <v>257</v>
      </c>
      <c r="P4" s="11" t="s">
        <v>257</v>
      </c>
      <c r="Q4" s="11" t="s">
        <v>257</v>
      </c>
      <c r="R4" s="11" t="s">
        <v>257</v>
      </c>
      <c r="S4" s="11" t="s">
        <v>257</v>
      </c>
      <c r="T4" s="11" t="s">
        <v>257</v>
      </c>
      <c r="U4" s="11" t="s">
        <v>257</v>
      </c>
      <c r="V4" s="11" t="s">
        <v>257</v>
      </c>
      <c r="W4" s="11" t="s">
        <v>257</v>
      </c>
      <c r="X4" s="20" t="s">
        <v>270</v>
      </c>
    </row>
    <row r="5" spans="1:24" x14ac:dyDescent="0.25">
      <c r="A5" s="11" t="s">
        <v>268</v>
      </c>
      <c r="B5" s="20" t="s">
        <v>280</v>
      </c>
      <c r="C5" s="11"/>
      <c r="D5" s="11" t="s">
        <v>287</v>
      </c>
      <c r="E5" s="11" t="s">
        <v>267</v>
      </c>
      <c r="F5" s="11" t="s">
        <v>232</v>
      </c>
      <c r="G5" s="11" t="s">
        <v>232</v>
      </c>
      <c r="H5" s="11" t="s">
        <v>233</v>
      </c>
      <c r="I5" s="11" t="s">
        <v>257</v>
      </c>
      <c r="J5" s="11" t="s">
        <v>258</v>
      </c>
      <c r="K5" s="11" t="s">
        <v>232</v>
      </c>
      <c r="L5" s="11" t="s">
        <v>257</v>
      </c>
      <c r="M5" s="11" t="s">
        <v>257</v>
      </c>
      <c r="N5" s="11" t="s">
        <v>257</v>
      </c>
      <c r="O5" s="11" t="s">
        <v>257</v>
      </c>
      <c r="P5" s="11" t="s">
        <v>257</v>
      </c>
      <c r="Q5" s="11" t="s">
        <v>257</v>
      </c>
      <c r="R5" s="11" t="s">
        <v>257</v>
      </c>
      <c r="S5" s="11" t="s">
        <v>257</v>
      </c>
      <c r="T5" s="11" t="s">
        <v>257</v>
      </c>
      <c r="U5" s="11" t="s">
        <v>257</v>
      </c>
      <c r="V5" s="11" t="s">
        <v>257</v>
      </c>
      <c r="W5" s="11" t="s">
        <v>257</v>
      </c>
      <c r="X5" s="20" t="s">
        <v>270</v>
      </c>
    </row>
    <row r="6" spans="1:24" x14ac:dyDescent="0.25">
      <c r="A6" s="11" t="s">
        <v>253</v>
      </c>
      <c r="B6" s="11" t="s">
        <v>254</v>
      </c>
      <c r="C6" s="11" t="s">
        <v>284</v>
      </c>
      <c r="D6" s="11" t="s">
        <v>287</v>
      </c>
      <c r="E6" s="11" t="s">
        <v>267</v>
      </c>
      <c r="F6" s="11" t="s">
        <v>232</v>
      </c>
      <c r="G6" s="11" t="s">
        <v>232</v>
      </c>
      <c r="H6" s="11" t="s">
        <v>233</v>
      </c>
      <c r="I6" s="11" t="s">
        <v>257</v>
      </c>
      <c r="J6" s="11" t="s">
        <v>258</v>
      </c>
      <c r="K6" s="11" t="s">
        <v>232</v>
      </c>
      <c r="L6" s="11" t="s">
        <v>257</v>
      </c>
      <c r="M6" s="11" t="s">
        <v>257</v>
      </c>
      <c r="N6" s="11" t="s">
        <v>257</v>
      </c>
      <c r="O6" s="11" t="s">
        <v>257</v>
      </c>
      <c r="P6" s="11" t="s">
        <v>257</v>
      </c>
      <c r="Q6" s="11" t="s">
        <v>257</v>
      </c>
      <c r="R6" s="11" t="s">
        <v>257</v>
      </c>
      <c r="S6" s="11" t="s">
        <v>257</v>
      </c>
      <c r="T6" s="11" t="s">
        <v>257</v>
      </c>
      <c r="U6" s="11" t="s">
        <v>257</v>
      </c>
      <c r="V6" s="11" t="s">
        <v>257</v>
      </c>
      <c r="W6" s="11" t="s">
        <v>257</v>
      </c>
      <c r="X6" s="20" t="s">
        <v>270</v>
      </c>
    </row>
    <row r="7" spans="1:24" x14ac:dyDescent="0.25">
      <c r="A7" s="11"/>
      <c r="B7" s="11"/>
      <c r="C7" s="11"/>
      <c r="D7" s="11"/>
      <c r="E7" s="11"/>
      <c r="F7" s="11"/>
      <c r="G7" s="11"/>
      <c r="H7" s="11"/>
      <c r="I7" s="11"/>
      <c r="J7" s="11"/>
      <c r="K7" s="11"/>
      <c r="L7" s="11"/>
      <c r="M7" s="11"/>
      <c r="N7" s="11"/>
      <c r="O7" s="11"/>
      <c r="P7" s="11"/>
      <c r="Q7" s="11"/>
      <c r="R7" s="11"/>
      <c r="S7" s="11"/>
      <c r="T7" s="11"/>
      <c r="U7" s="11"/>
      <c r="V7" s="11"/>
      <c r="X7" s="20"/>
    </row>
    <row r="8" spans="1:24" x14ac:dyDescent="0.25">
      <c r="A8" s="11"/>
      <c r="B8" s="11"/>
      <c r="C8" s="11"/>
      <c r="D8" s="11"/>
      <c r="E8" s="11"/>
      <c r="F8" s="11"/>
      <c r="G8" s="11"/>
      <c r="H8" s="11"/>
      <c r="I8" s="11"/>
      <c r="J8" s="11"/>
      <c r="K8" s="11"/>
      <c r="L8" s="11"/>
      <c r="M8" s="11"/>
      <c r="N8" s="11"/>
      <c r="O8" s="11"/>
      <c r="P8" s="11"/>
      <c r="Q8" s="11"/>
      <c r="R8" s="11"/>
      <c r="S8" s="11"/>
      <c r="T8" s="11"/>
      <c r="U8" s="11"/>
      <c r="V8" s="11"/>
      <c r="X8" s="20"/>
    </row>
    <row r="10" spans="1:24" x14ac:dyDescent="0.25">
      <c r="A10" s="19" t="s">
        <v>26</v>
      </c>
      <c r="B10" s="19" t="s">
        <v>177</v>
      </c>
    </row>
    <row r="11" spans="1:24" x14ac:dyDescent="0.25">
      <c r="A11" s="18"/>
      <c r="B11" s="18">
        <f>SUM(Y:Y)</f>
        <v>0</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30" t="s">
        <v>115</v>
      </c>
      <c r="B1" s="131"/>
      <c r="C1" s="132"/>
    </row>
    <row r="3" spans="1:3" ht="39.6" x14ac:dyDescent="0.25">
      <c r="A3" s="26" t="s">
        <v>226</v>
      </c>
      <c r="B3" s="26" t="s">
        <v>162</v>
      </c>
      <c r="C3" s="26" t="s">
        <v>59</v>
      </c>
    </row>
    <row r="4" spans="1:3" x14ac:dyDescent="0.25">
      <c r="A4" s="39"/>
      <c r="B4" s="39"/>
      <c r="C4" s="39"/>
    </row>
    <row r="5" spans="1:3" x14ac:dyDescent="0.25">
      <c r="A5" s="11"/>
      <c r="B5" s="11"/>
      <c r="C5" s="20"/>
    </row>
    <row r="6" spans="1:3" x14ac:dyDescent="0.25">
      <c r="A6" s="11"/>
      <c r="B6" s="11"/>
      <c r="C6" s="11"/>
    </row>
    <row r="9" spans="1:3" x14ac:dyDescent="0.25">
      <c r="A9" s="19" t="s">
        <v>26</v>
      </c>
      <c r="B9" s="19" t="s">
        <v>177</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24" sqref="F24"/>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30" t="s">
        <v>117</v>
      </c>
      <c r="B1" s="131"/>
      <c r="C1" s="131"/>
      <c r="D1" s="132"/>
    </row>
    <row r="3" spans="1:8" x14ac:dyDescent="0.25">
      <c r="A3" s="12" t="s">
        <v>227</v>
      </c>
      <c r="B3" s="12" t="s">
        <v>228</v>
      </c>
      <c r="C3" s="12" t="s">
        <v>94</v>
      </c>
      <c r="D3" s="12" t="s">
        <v>229</v>
      </c>
      <c r="E3" s="12" t="s">
        <v>230</v>
      </c>
      <c r="F3" s="12" t="s">
        <v>231</v>
      </c>
    </row>
    <row r="4" spans="1:8" x14ac:dyDescent="0.25">
      <c r="A4" s="17" t="s">
        <v>233</v>
      </c>
      <c r="B4" s="38"/>
      <c r="C4" s="39"/>
      <c r="D4" s="39"/>
      <c r="E4" s="39"/>
      <c r="F4" s="11" t="s">
        <v>156</v>
      </c>
    </row>
    <row r="5" spans="1:8" x14ac:dyDescent="0.25">
      <c r="A5" s="17" t="s">
        <v>233</v>
      </c>
      <c r="B5" s="38"/>
      <c r="C5" s="39"/>
      <c r="D5" s="39"/>
      <c r="E5" s="39"/>
      <c r="F5" s="11" t="s">
        <v>156</v>
      </c>
    </row>
    <row r="8" spans="1:8" x14ac:dyDescent="0.25">
      <c r="A8" s="12" t="s">
        <v>234</v>
      </c>
      <c r="B8" s="36" t="s">
        <v>235</v>
      </c>
      <c r="C8" s="36" t="s">
        <v>236</v>
      </c>
      <c r="D8" s="36" t="s">
        <v>237</v>
      </c>
      <c r="E8" s="36" t="s">
        <v>238</v>
      </c>
      <c r="F8" s="36" t="s">
        <v>239</v>
      </c>
      <c r="G8" s="36" t="s">
        <v>240</v>
      </c>
      <c r="H8" s="36" t="s">
        <v>241</v>
      </c>
    </row>
    <row r="9" spans="1:8" x14ac:dyDescent="0.25">
      <c r="A9" s="12" t="s">
        <v>242</v>
      </c>
      <c r="B9" s="37"/>
      <c r="C9" s="37"/>
      <c r="D9" s="37"/>
      <c r="E9" s="37"/>
      <c r="F9" s="37"/>
      <c r="G9" s="37"/>
      <c r="H9" s="37"/>
    </row>
    <row r="10" spans="1:8" x14ac:dyDescent="0.25">
      <c r="A10" s="12" t="s">
        <v>242</v>
      </c>
      <c r="B10" s="37"/>
      <c r="C10" s="37"/>
      <c r="D10" s="37"/>
      <c r="E10" s="37"/>
      <c r="F10" s="37"/>
      <c r="G10" s="37"/>
      <c r="H10" s="37"/>
    </row>
    <row r="11" spans="1:8" x14ac:dyDescent="0.25">
      <c r="A11" s="12" t="s">
        <v>242</v>
      </c>
      <c r="B11" s="37"/>
      <c r="C11" s="37"/>
      <c r="D11" s="37"/>
      <c r="E11" s="37"/>
      <c r="F11" s="37"/>
      <c r="G11" s="37"/>
      <c r="H11" s="37"/>
    </row>
    <row r="15" spans="1:8" x14ac:dyDescent="0.25">
      <c r="B15" s="35" t="s">
        <v>243</v>
      </c>
      <c r="C15" s="140" t="s">
        <v>244</v>
      </c>
      <c r="D15" s="140"/>
      <c r="E15" s="140"/>
      <c r="F15" s="140"/>
      <c r="G15" s="140"/>
    </row>
    <row r="16" spans="1:8" x14ac:dyDescent="0.25">
      <c r="B16" s="35" t="s">
        <v>245</v>
      </c>
      <c r="C16" s="140"/>
      <c r="D16" s="140"/>
      <c r="E16" s="140"/>
      <c r="F16" s="140"/>
      <c r="G16" s="140"/>
    </row>
    <row r="17" spans="2:7" x14ac:dyDescent="0.25">
      <c r="B17" s="35" t="s">
        <v>246</v>
      </c>
      <c r="C17" s="140"/>
      <c r="D17" s="140"/>
      <c r="E17" s="140"/>
      <c r="F17" s="140"/>
      <c r="G17" s="140"/>
    </row>
    <row r="18" spans="2:7" x14ac:dyDescent="0.25">
      <c r="B18" s="35" t="s">
        <v>247</v>
      </c>
      <c r="C18" s="140"/>
      <c r="D18" s="140"/>
      <c r="E18" s="140"/>
      <c r="F18" s="140"/>
      <c r="G18" s="140"/>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C2" sqref="B2:C3"/>
    </sheetView>
  </sheetViews>
  <sheetFormatPr defaultRowHeight="13.2" x14ac:dyDescent="0.25"/>
  <cols>
    <col min="1" max="1" width="15.109375" bestFit="1" customWidth="1"/>
    <col min="2" max="2" width="48" customWidth="1"/>
  </cols>
  <sheetData>
    <row r="1" spans="1:2" x14ac:dyDescent="0.25">
      <c r="A1" s="141" t="s">
        <v>248</v>
      </c>
      <c r="B1" s="142"/>
    </row>
    <row r="2" spans="1:2" x14ac:dyDescent="0.25">
      <c r="A2" s="63" t="s">
        <v>249</v>
      </c>
      <c r="B2" s="78"/>
    </row>
    <row r="3" spans="1:2" x14ac:dyDescent="0.25">
      <c r="A3" s="63" t="s">
        <v>250</v>
      </c>
      <c r="B3" s="78"/>
    </row>
    <row r="4" spans="1:2" ht="13.8" thickBot="1" x14ac:dyDescent="0.3">
      <c r="A4" s="64" t="s">
        <v>251</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customXml/itemProps2.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E3FF3FE-4DF8-45AA-836B-B794E5391A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2021-12-08T04:36:00Z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