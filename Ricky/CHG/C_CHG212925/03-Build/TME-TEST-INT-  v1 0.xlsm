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2925\03-Build\"/>
    </mc:Choice>
  </mc:AlternateContent>
  <xr:revisionPtr revIDLastSave="0" documentId="13_ncr:1_{76C63618-1A69-4CA8-A12F-79DFC30D22C6}" xr6:coauthVersionLast="46" xr6:coauthVersionMax="46" xr10:uidLastSave="{00000000-0000-0000-0000-000000000000}"/>
  <bookViews>
    <workbookView xWindow="-108" yWindow="-108" windowWidth="23256" windowHeight="1257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<sst xmlns="http://schemas.openxmlformats.org/spreadsheetml/2006/main" count="188" uniqueCount="138">
  <si>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</si>
  <si>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</si>
  <si>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</si>
  <si>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</si>
  <si>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</si>
  <si>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</si>
  <si>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</si>
  <si>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</si>
  <si>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</si>
  <si>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</si>
  <si>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</si>
  <si>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</si>
  <si>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</si>
  <si>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</si>
  <si>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</si>
  <si>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</si>
  <si>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</si>
  <si>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</si>
  <si>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</si>
  <si>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</si>
  <si>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</si>
  <si>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</si>
  <si>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</si>
  <si>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</si>
  <si>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</si>
  <si>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</si>
  <si>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</si>
  <si>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</si>
  <si>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</si>
  <si>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</si>
  <si>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</si>
  <si>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</si>
  <si>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</si>
  <si>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</si>
  <si>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</si>
  <si>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</si>
  <si>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</si>
  <si>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</si>
  <si>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</si>
  <si>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</si>
  <si>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</si>
  <si>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</si>
  <si>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</si>
  <si>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</si>
  <si>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</si>
  <si>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</si>
  <si>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</si>
  <si>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</si>
  <si>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</si>
  <si>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</si>
  <si>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</si>
  <si>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</si>
  <si>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</si>
  <si>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</si>
  <si>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</si>
  <si>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</si>
  <si>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</si>
  <si>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</si>
  <si>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</si>
  <si>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</si>
  <si>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</si>
  <si>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</si>
  <si>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</si>
  <si>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</si>
  <si>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</si>
  <si>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</si>
  <si>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</si>
  <si>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</si>
  <si>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</si>
  <si>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</si>
  <si>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</si>
  <si>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</si>
  <si>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</si>
  <si>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</si>
  <si>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</si>
  <si>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</si>
  <si>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</si>
  <si>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</si>
  <si>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</si>
  <si>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</si>
  <si>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</si>
  <si>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</si>
  <si>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</si>
  <si>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 xml:space="preserve">Reset Test Data </t>
  </si>
  <si>
    <t>Run Script to reset test data</t>
  </si>
  <si>
    <t>SIEBEL_OLTP_DEV14</t>
  </si>
  <si>
    <t>0 record returned</t>
  </si>
  <si>
    <t>Place FF in IUNP</t>
  </si>
  <si>
    <t>Infa Server</t>
  </si>
  <si>
    <t>N/A</t>
  </si>
  <si>
    <t>FF correctly placed</t>
  </si>
  <si>
    <t>Register FF</t>
  </si>
  <si>
    <t>1 record returned</t>
  </si>
  <si>
    <t>Load Test Data</t>
  </si>
  <si>
    <t>Open Workflow Manager.
Launch EIM_INTERFACE --&gt; wrk_pre_Etl</t>
  </si>
  <si>
    <t>Informatica &amp; SIEBEL_OLAP_DEV81</t>
  </si>
  <si>
    <t>Informatica &amp; SIEBEL_OLTP_DEV14</t>
  </si>
  <si>
    <t>N</t>
  </si>
  <si>
    <t>Y</t>
  </si>
  <si>
    <t>Frank</t>
  </si>
  <si>
    <t>INC3938667</t>
  </si>
  <si>
    <t>SELECT * FROM WC_ETL_FILES_G WHERE FILENAME LIKE '%PTAS1101_20211711_10.txt%'</t>
  </si>
  <si>
    <t>Place FF in path : \\10.186.26.22\Interfaces_IP14\Portugal\IUNP</t>
  </si>
  <si>
    <t>Check test data in OLTP</t>
  </si>
  <si>
    <t>Run Script to check test data</t>
  </si>
  <si>
    <r>
      <t xml:space="preserve">1 record returned
</t>
    </r>
    <r>
      <rPr>
        <b/>
        <sz val="10"/>
        <color rgb="FF00B050"/>
        <rFont val="Book Antiqua"/>
        <family val="1"/>
      </rPr>
      <t>SCREENSHOT 1</t>
    </r>
  </si>
  <si>
    <t xml:space="preserve">ORDER </t>
  </si>
  <si>
    <t>delete from S_ORDER where ORDER_NUM IN ('TEST_ORDER_1','TEST_ORDER_2')
delete from S_ORDER_X WHERE PAR_ROW_ID IN (SELECT ROW_ID FROM S_ORDER WHERE ORDER_NUM IN ('TEST_ORDER_1','TEST_ORDER_2'))</t>
  </si>
  <si>
    <t>1 rows affected
1 rows affected</t>
  </si>
  <si>
    <t>SELECT ORDER_NUM, * FROM S_ORDER WHERE ORDER_NUM IN ('TEST_ORDER_1','TEST_ORDER_2')
SELECT X_ORDER_CAT_CD, * FROM S_ORDER_X WHERE PAR_ROW_ID IN (SELECT ROW_ID FROM S_ORDER WHERE ORDER_NUM IN ('TEST_ORDER_1','TEST_ORDER_2'))</t>
  </si>
  <si>
    <t>SELECT  * FROM S_ORDER WHERE ORDER_NUM IN ('TEST_ORDER_1','TEST_ORDER_2')
SELECT  * FROM S_ORDER_X WHERE PAR_ROW_ID IN (SELECT ROW_ID FROM S_ORDER WHERE ORDER_NUM IN ('TEST_ORDER_1','TEST_ORDER_2'))</t>
  </si>
  <si>
    <t>0 record returned
0 record returned</t>
  </si>
  <si>
    <t>SELECT * FROM WC_ETL_FILES_G WHERE FILENAME LIKE '%IEOD0501_20211118_10%'</t>
  </si>
  <si>
    <t>Launch EC4U --&gt; Load_EIM --&gt;wrk_Orders_OD_Interface_Generic</t>
  </si>
  <si>
    <t>Launch EIM_INTERFACE --&gt; wrk_Orders_OD_Interface_Generic</t>
  </si>
  <si>
    <t>SELECT IF_ROW_STAT,X_ORDER_CAT_CD ,* FROM EIM_ORDER_DTL WHERE ORD_ORDER_NUM IN ('TEST_ORDER_1','TEST_ORDER_2')</t>
  </si>
  <si>
    <r>
      <t xml:space="preserve">
</t>
    </r>
    <r>
      <rPr>
        <b/>
        <sz val="10"/>
        <color rgb="FF00B050"/>
        <rFont val="Book Antiqua"/>
        <family val="1"/>
      </rPr>
      <t>SCREENSHOT 2</t>
    </r>
    <r>
      <rPr>
        <sz val="10"/>
        <rFont val="Book Antiqua"/>
        <family val="1"/>
      </rPr>
      <t xml:space="preserve">
</t>
    </r>
  </si>
  <si>
    <t xml:space="preserve">1 row returned with valid X_ORDER_CAT_CD  ( Order Category)
and IF_ROW_STAT='IMPORTED'
</t>
  </si>
  <si>
    <t>Check rejected records</t>
  </si>
  <si>
    <t>run script to check rejected records</t>
  </si>
  <si>
    <t xml:space="preserve"> SIEBEL_OLAP_DEV81</t>
  </si>
  <si>
    <t>SELECT FIELD_VALUE, FIELD_NAME, FAILURE_DESCRIPTION, * FROM WC_ERRORS_G WHERE FILE_NAME LIKE '%IEOD0501_20211118_10%'</t>
  </si>
  <si>
    <t xml:space="preserve">1 row returned with incorrect  X_ORDER_CAT_CD  ( Order Category)
</t>
  </si>
  <si>
    <r>
      <t xml:space="preserve">
</t>
    </r>
    <r>
      <rPr>
        <b/>
        <sz val="10"/>
        <color rgb="FF00B050"/>
        <rFont val="Book Antiqua"/>
        <family val="1"/>
      </rPr>
      <t>SCREENSHOT 3</t>
    </r>
    <r>
      <rPr>
        <sz val="10"/>
        <rFont val="Book Antiqua"/>
        <family val="1"/>
      </rPr>
      <t xml:space="preserve">
</t>
    </r>
  </si>
  <si>
    <t>1 record returned
1 record returned</t>
  </si>
  <si>
    <r>
      <t xml:space="preserve">
</t>
    </r>
    <r>
      <rPr>
        <b/>
        <sz val="10"/>
        <color rgb="FF00B050"/>
        <rFont val="Book Antiqua"/>
        <family val="1"/>
      </rPr>
      <t>SCREENSHOT 4</t>
    </r>
  </si>
  <si>
    <t>delete from S_ORDER where ORDER_NUM IN ('TEST_ORDER_1','TEST_ORDER_2')
delete from S_ORDER_X WHERE PAR_ROW_ID IN (SELECT ROW_ID FROM S_ORDER WHERE ORDER_NUM IN ('TEST_ORDER_1','TEST_ORDER_2'))</t>
  </si>
  <si>
    <t>Screenshot 1</t>
  </si>
  <si>
    <t>Screenshot 2</t>
  </si>
  <si>
    <t>Screenshot 3</t>
  </si>
  <si>
    <t>Screenshot 4</t>
  </si>
  <si>
    <t>TMEC: OM - Introduce global order categorization</t>
  </si>
  <si>
    <t>CT</t>
  </si>
  <si>
    <t>FDE_INT_ORDER_IMPORT_GENERIC,Shortcut_to_FDE_INT_ORDER_IMPORT_GENERIC</t>
  </si>
  <si>
    <t>RUN_EIM_PROCESS_GENERIC, JTI_DWH_ETLComplete_Incremental</t>
  </si>
  <si>
    <t>18/11/2021</t>
  </si>
  <si>
    <t>REPEAT STEPS  5 , 6 AND 7</t>
  </si>
  <si>
    <t>X_ORDER_CAT_CD  ( Order Category) field 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</si>
</sst>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4">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731520</xdr:colOff>
          <xdr:row>6</xdr:row>
          <xdr:rowOff>640080</xdr:rowOff>
        </xdr:from>
        <xdr:to>
          <xdr:col>2</xdr:col>
          <xdr:colOff>2430780</xdr:colOff>
          <xdr:row>6</xdr:row>
          <xdr:rowOff>1158240</xdr:rowOff>
        </xdr:to>
        <xdr:sp macro="" textlink="">
          <xdr:nvSpPr>
            <xdr:cNvPr id="10288" name="Object 48" hidden="1">
              <a:extLst>
                <a:ext uri="{63B3BB69-23CF-44E3-9099-C40C66FF867C}">
                  <a14:compatExt spid="_x0000_s10288"/>
                </a:ext>
                <a:ext uri="{FF2B5EF4-FFF2-40B4-BE49-F238E27FC236}">
                  <a16:creationId xmlns:a16="http://schemas.microsoft.com/office/drawing/2014/main" id="{00000000-0008-0000-0200-000030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662940</xdr:colOff>
          <xdr:row>12</xdr:row>
          <xdr:rowOff>784860</xdr:rowOff>
        </xdr:from>
        <xdr:to>
          <xdr:col>2</xdr:col>
          <xdr:colOff>2362200</xdr:colOff>
          <xdr:row>12</xdr:row>
          <xdr:rowOff>1303020</xdr:rowOff>
        </xdr:to>
        <xdr:sp macro="" textlink="">
          <xdr:nvSpPr>
            <xdr:cNvPr id="10289" name="Object 49" hidden="1">
              <a:extLst>
                <a:ext uri="{63B3BB69-23CF-44E3-9099-C40C66FF867C}">
                  <a14:compatExt spid="_x0000_s10289"/>
                </a:ext>
                <a:ext uri="{FF2B5EF4-FFF2-40B4-BE49-F238E27FC236}">
                  <a16:creationId xmlns:a16="http://schemas.microsoft.com/office/drawing/2014/main" id="{00000000-0008-0000-0200-00003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91440</xdr:colOff>
      <xdr:row>3</xdr:row>
      <xdr:rowOff>22860</xdr:rowOff>
    </xdr:from>
    <xdr:to>
      <xdr:col>13</xdr:col>
      <xdr:colOff>528221</xdr:colOff>
      <xdr:row>14</xdr:row>
      <xdr:rowOff>150249</xdr:rowOff>
    </xdr:to>
    <xdr:pic>
      <xdr:nvPicPr>
        <xdr:cNvPr id="2" name="Picture 1">
          <a:extLst>
            <a:ext uri="{FF2B5EF4-FFF2-40B4-BE49-F238E27FC236}">
              <a16:creationId xmlns:a16="http://schemas.microsoft.com/office/drawing/2014/main" id="{EE45BC0C-54A2-47ED-B3D1-9243C8B9BBA1}"/>
            </a:ext>
          </a:extLst>
        </xdr:cNvPr>
        <xdr:cNvPicPr>
          <a:picLocks noChangeAspect="1"/>
        </xdr:cNvPicPr>
      </xdr:nvPicPr>
      <xdr:blipFill>
        <a:blip xmlns:r="http://schemas.openxmlformats.org/officeDocument/2006/relationships" r:embed="rId1"/>
        <a:stretch>
          <a:fillRect/>
        </a:stretch>
      </xdr:blipFill>
      <xdr:spPr>
        <a:xfrm>
          <a:off x="91440" y="525780"/>
          <a:ext cx="10952381" cy="1971429"/>
        </a:xfrm>
        <a:prstGeom prst="rect">
          <a:avLst/>
        </a:prstGeom>
      </xdr:spPr>
    </xdr:pic>
    <xdr:clientData/>
  </xdr:twoCellAnchor>
  <xdr:twoCellAnchor editAs="oneCell">
    <xdr:from>
      <xdr:col>0</xdr:col>
      <xdr:colOff>0</xdr:colOff>
      <xdr:row>19</xdr:row>
      <xdr:rowOff>83820</xdr:rowOff>
    </xdr:from>
    <xdr:to>
      <xdr:col>20</xdr:col>
      <xdr:colOff>272425</xdr:colOff>
      <xdr:row>40</xdr:row>
      <xdr:rowOff>58618</xdr:rowOff>
    </xdr:to>
    <xdr:pic>
      <xdr:nvPicPr>
        <xdr:cNvPr id="3" name="Picture 2">
          <a:extLst>
            <a:ext uri="{FF2B5EF4-FFF2-40B4-BE49-F238E27FC236}">
              <a16:creationId xmlns:a16="http://schemas.microsoft.com/office/drawing/2014/main" id="{0E5C5088-B672-45BC-9D07-E657B505043E}"/>
            </a:ext>
          </a:extLst>
        </xdr:cNvPr>
        <xdr:cNvPicPr>
          <a:picLocks noChangeAspect="1"/>
        </xdr:cNvPicPr>
      </xdr:nvPicPr>
      <xdr:blipFill>
        <a:blip xmlns:r="http://schemas.openxmlformats.org/officeDocument/2006/relationships" r:embed="rId2"/>
        <a:stretch>
          <a:fillRect/>
        </a:stretch>
      </xdr:blipFill>
      <xdr:spPr>
        <a:xfrm>
          <a:off x="0" y="3268980"/>
          <a:ext cx="15161905" cy="3495238"/>
        </a:xfrm>
        <a:prstGeom prst="rect">
          <a:avLst/>
        </a:prstGeom>
      </xdr:spPr>
    </xdr:pic>
    <xdr:clientData/>
  </xdr:twoCellAnchor>
  <xdr:twoCellAnchor editAs="oneCell">
    <xdr:from>
      <xdr:col>0</xdr:col>
      <xdr:colOff>0</xdr:colOff>
      <xdr:row>45</xdr:row>
      <xdr:rowOff>0</xdr:rowOff>
    </xdr:from>
    <xdr:to>
      <xdr:col>20</xdr:col>
      <xdr:colOff>262901</xdr:colOff>
      <xdr:row>55</xdr:row>
      <xdr:rowOff>95029</xdr:rowOff>
    </xdr:to>
    <xdr:pic>
      <xdr:nvPicPr>
        <xdr:cNvPr id="4" name="Picture 3">
          <a:extLst>
            <a:ext uri="{FF2B5EF4-FFF2-40B4-BE49-F238E27FC236}">
              <a16:creationId xmlns:a16="http://schemas.microsoft.com/office/drawing/2014/main" id="{9CD638A3-030B-4456-BB56-63364D315D7E}"/>
            </a:ext>
          </a:extLst>
        </xdr:cNvPr>
        <xdr:cNvPicPr>
          <a:picLocks noChangeAspect="1"/>
        </xdr:cNvPicPr>
      </xdr:nvPicPr>
      <xdr:blipFill>
        <a:blip xmlns:r="http://schemas.openxmlformats.org/officeDocument/2006/relationships" r:embed="rId3"/>
        <a:stretch>
          <a:fillRect/>
        </a:stretch>
      </xdr:blipFill>
      <xdr:spPr>
        <a:xfrm>
          <a:off x="0" y="7543800"/>
          <a:ext cx="15152381" cy="1771429"/>
        </a:xfrm>
        <a:prstGeom prst="rect">
          <a:avLst/>
        </a:prstGeom>
      </xdr:spPr>
    </xdr:pic>
    <xdr:clientData/>
  </xdr:twoCellAnchor>
  <xdr:twoCellAnchor editAs="oneCell">
    <xdr:from>
      <xdr:col>0</xdr:col>
      <xdr:colOff>0</xdr:colOff>
      <xdr:row>60</xdr:row>
      <xdr:rowOff>0</xdr:rowOff>
    </xdr:from>
    <xdr:to>
      <xdr:col>19</xdr:col>
      <xdr:colOff>544884</xdr:colOff>
      <xdr:row>76</xdr:row>
      <xdr:rowOff>98712</xdr:rowOff>
    </xdr:to>
    <xdr:pic>
      <xdr:nvPicPr>
        <xdr:cNvPr id="5" name="Picture 4">
          <a:extLst>
            <a:ext uri="{FF2B5EF4-FFF2-40B4-BE49-F238E27FC236}">
              <a16:creationId xmlns:a16="http://schemas.microsoft.com/office/drawing/2014/main" id="{74511DD9-0594-49E4-B099-83E05E4DC81E}"/>
            </a:ext>
          </a:extLst>
        </xdr:cNvPr>
        <xdr:cNvPicPr>
          <a:picLocks noChangeAspect="1"/>
        </xdr:cNvPicPr>
      </xdr:nvPicPr>
      <xdr:blipFill>
        <a:blip xmlns:r="http://schemas.openxmlformats.org/officeDocument/2006/relationships" r:embed="rId4"/>
        <a:stretch>
          <a:fillRect/>
        </a:stretch>
      </xdr:blipFill>
      <xdr:spPr>
        <a:xfrm>
          <a:off x="0" y="10058400"/>
          <a:ext cx="14809524" cy="27809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0" zoomScale="66" workbookViewId="0">
      <selection activeCell="K25" sqref="K25:S25"/>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4" t="s">
        <v>2</v>
      </c>
      <c r="B13" s="84"/>
      <c r="C13" s="84"/>
      <c r="D13" s="84"/>
      <c r="E13" s="84"/>
      <c r="F13" s="84"/>
      <c r="G13" s="84"/>
      <c r="H13" s="84"/>
      <c r="I13" s="84"/>
      <c r="J13" s="84"/>
      <c r="K13" s="84"/>
      <c r="L13" s="84"/>
      <c r="M13" s="84"/>
      <c r="N13" s="84"/>
      <c r="O13" s="84"/>
      <c r="P13" s="84"/>
      <c r="Q13" s="84"/>
      <c r="R13" s="84"/>
      <c r="S13" s="84"/>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5" t="s">
        <v>17</v>
      </c>
      <c r="B18" s="85"/>
      <c r="C18" s="85"/>
      <c r="D18" s="85"/>
      <c r="E18" s="85"/>
      <c r="F18" s="85"/>
      <c r="G18" s="85"/>
      <c r="H18" s="85"/>
      <c r="I18" s="85"/>
      <c r="J18" s="85"/>
      <c r="K18" s="85"/>
      <c r="L18" s="85"/>
      <c r="M18" s="85"/>
      <c r="N18" s="85"/>
      <c r="O18" s="85"/>
      <c r="P18" s="85"/>
      <c r="Q18" s="85"/>
      <c r="R18" s="85"/>
      <c r="S18" s="85"/>
    </row>
    <row r="19" spans="1:19" s="15" customFormat="1" ht="40.65" customHeight="1" x14ac:dyDescent="0.25">
      <c r="A19" s="86" t="s">
        <v>1</v>
      </c>
      <c r="B19" s="86"/>
      <c r="C19" s="86"/>
      <c r="D19" s="86"/>
      <c r="E19" s="86"/>
      <c r="F19" s="86"/>
      <c r="G19" s="86"/>
      <c r="H19" s="86"/>
      <c r="I19" s="86"/>
      <c r="J19" s="86"/>
      <c r="K19" s="86"/>
      <c r="L19" s="86"/>
      <c r="M19" s="86"/>
      <c r="N19" s="86"/>
      <c r="O19" s="86"/>
      <c r="P19" s="86"/>
      <c r="Q19" s="86"/>
      <c r="R19" s="86"/>
      <c r="S19" s="86"/>
    </row>
    <row r="20" spans="1:19" s="15" customFormat="1" ht="13.8" x14ac:dyDescent="0.25">
      <c r="A20" s="16"/>
      <c r="B20" s="16"/>
      <c r="C20" s="16"/>
      <c r="D20" s="16"/>
      <c r="E20" s="16"/>
      <c r="F20" s="16"/>
      <c r="G20" s="16"/>
      <c r="H20" s="16"/>
      <c r="I20" s="16"/>
      <c r="J20" s="16"/>
    </row>
    <row r="21" spans="1:19" s="15" customFormat="1" ht="58.65" customHeight="1" x14ac:dyDescent="0.25">
      <c r="A21" s="87" t="s">
        <v>74</v>
      </c>
      <c r="B21" s="87"/>
      <c r="C21" s="87"/>
      <c r="D21" s="87"/>
      <c r="E21" s="87"/>
      <c r="F21" s="87"/>
      <c r="G21" s="87"/>
      <c r="H21" s="87"/>
      <c r="I21" s="87"/>
      <c r="J21" s="6"/>
      <c r="K21" s="88" t="s">
        <v>100</v>
      </c>
      <c r="L21" s="88"/>
      <c r="M21" s="88"/>
      <c r="N21" s="88"/>
      <c r="O21" s="88"/>
      <c r="P21" s="88"/>
      <c r="Q21" s="88"/>
      <c r="R21" s="88"/>
      <c r="S21" s="88"/>
    </row>
    <row r="22" spans="1:19" s="15" customFormat="1" ht="13.8" x14ac:dyDescent="0.25">
      <c r="A22" s="16"/>
      <c r="B22" s="16"/>
      <c r="C22" s="16"/>
      <c r="D22" s="16"/>
      <c r="E22" s="16"/>
      <c r="F22" s="16"/>
      <c r="G22" s="16"/>
      <c r="H22" s="16"/>
      <c r="I22" s="16"/>
      <c r="J22" s="16"/>
    </row>
    <row r="23" spans="1:19" s="15" customFormat="1" ht="70.2" customHeight="1" x14ac:dyDescent="0.25">
      <c r="A23" s="91" t="s">
        <v>18</v>
      </c>
      <c r="B23" s="91"/>
      <c r="C23" s="91"/>
      <c r="D23" s="91"/>
      <c r="E23" s="91"/>
      <c r="F23" s="91"/>
      <c r="G23" s="91"/>
      <c r="H23" s="91"/>
      <c r="I23" s="91"/>
      <c r="J23" s="7"/>
      <c r="K23" s="92" t="s">
        <v>131</v>
      </c>
      <c r="L23" s="92"/>
      <c r="M23" s="92"/>
      <c r="N23" s="92"/>
      <c r="O23" s="92"/>
      <c r="P23" s="92"/>
      <c r="Q23" s="92"/>
      <c r="R23" s="92"/>
      <c r="S23" s="92"/>
    </row>
    <row r="24" spans="1:19" s="15" customFormat="1" ht="13.8" x14ac:dyDescent="0.25">
      <c r="A24" s="16"/>
      <c r="B24" s="16"/>
      <c r="C24" s="16"/>
      <c r="D24" s="16"/>
      <c r="E24" s="16"/>
      <c r="F24" s="16"/>
      <c r="G24" s="16"/>
      <c r="H24" s="16"/>
      <c r="I24" s="16"/>
      <c r="J24" s="16"/>
    </row>
    <row r="25" spans="1:19" s="15" customFormat="1" ht="70.2" customHeight="1" x14ac:dyDescent="0.25">
      <c r="A25" s="93" t="s">
        <v>3</v>
      </c>
      <c r="B25" s="93"/>
      <c r="C25" s="93"/>
      <c r="D25" s="93"/>
      <c r="E25" s="93"/>
      <c r="F25" s="93"/>
      <c r="G25" s="93"/>
      <c r="H25" s="93"/>
      <c r="I25" s="93"/>
      <c r="J25" s="7"/>
      <c r="K25" s="94" t="s">
        <v>132</v>
      </c>
      <c r="L25" s="94"/>
      <c r="M25" s="94"/>
      <c r="N25" s="94"/>
      <c r="O25" s="94"/>
      <c r="P25" s="94"/>
      <c r="Q25" s="94"/>
      <c r="R25" s="94"/>
      <c r="S25" s="94"/>
    </row>
    <row r="26" spans="1:19" s="15" customFormat="1" ht="13.8" x14ac:dyDescent="0.25">
      <c r="A26" s="16"/>
      <c r="B26" s="16"/>
      <c r="C26" s="16"/>
      <c r="D26" s="16"/>
      <c r="E26" s="16"/>
      <c r="F26" s="16"/>
      <c r="G26" s="16"/>
      <c r="H26" s="16"/>
      <c r="I26" s="16"/>
      <c r="J26" s="16"/>
    </row>
    <row r="27" spans="1:19" ht="27" customHeight="1" x14ac:dyDescent="0.25">
      <c r="A27" s="89" t="s">
        <v>13</v>
      </c>
      <c r="B27" s="89"/>
      <c r="C27" s="89"/>
      <c r="D27" s="89"/>
      <c r="E27" s="89"/>
      <c r="F27" s="89"/>
      <c r="G27" s="89"/>
      <c r="H27" s="89"/>
      <c r="I27" s="89"/>
      <c r="K27" s="90" t="s">
        <v>19</v>
      </c>
      <c r="L27" s="90"/>
      <c r="M27" s="90"/>
      <c r="N27" s="90"/>
      <c r="O27" s="90"/>
      <c r="P27" s="90"/>
      <c r="Q27" s="90"/>
      <c r="R27" s="90"/>
      <c r="S27" s="90"/>
    </row>
    <row r="28" spans="1:19" ht="27" customHeight="1" x14ac:dyDescent="0.25">
      <c r="A28" s="89"/>
      <c r="B28" s="89"/>
      <c r="C28" s="89"/>
      <c r="D28" s="89"/>
      <c r="E28" s="89"/>
      <c r="F28" s="89"/>
      <c r="G28" s="89"/>
      <c r="H28" s="89"/>
      <c r="I28" s="89"/>
      <c r="K28" s="90"/>
      <c r="L28" s="90"/>
      <c r="M28" s="90"/>
      <c r="N28" s="90"/>
      <c r="O28" s="17"/>
      <c r="P28" s="17"/>
      <c r="Q28" s="17"/>
      <c r="R28" s="17"/>
      <c r="S28" s="17"/>
    </row>
    <row r="29" spans="1:19" ht="27" customHeight="1" x14ac:dyDescent="0.25">
      <c r="A29" s="89"/>
      <c r="B29" s="89"/>
      <c r="C29" s="89"/>
      <c r="D29" s="89"/>
      <c r="E29" s="89"/>
      <c r="F29" s="89"/>
      <c r="G29" s="89"/>
      <c r="H29" s="89"/>
      <c r="I29" s="89"/>
      <c r="K29" s="90"/>
      <c r="L29" s="90"/>
      <c r="M29" s="90"/>
      <c r="N29" s="90"/>
      <c r="O29" s="90"/>
      <c r="P29" s="90"/>
      <c r="Q29" s="90"/>
      <c r="R29" s="90"/>
      <c r="S29" s="90"/>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44519</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1" workbookViewId="0">
      <selection activeCell="E18" sqref="E18"/>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80</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97</v>
      </c>
    </row>
    <row r="18" spans="1:3" x14ac:dyDescent="0.25">
      <c r="A18" s="24" t="s">
        <v>27</v>
      </c>
      <c r="B18" s="54"/>
      <c r="C18" s="27" t="s">
        <v>98</v>
      </c>
    </row>
    <row r="19" spans="1:3" x14ac:dyDescent="0.25">
      <c r="A19" s="24" t="s">
        <v>28</v>
      </c>
      <c r="B19" s="54"/>
      <c r="C19" s="27" t="s">
        <v>97</v>
      </c>
    </row>
    <row r="20" spans="1:3" x14ac:dyDescent="0.25">
      <c r="A20" s="24" t="s">
        <v>76</v>
      </c>
      <c r="B20" s="55"/>
      <c r="C20" s="27" t="s">
        <v>97</v>
      </c>
    </row>
    <row r="21" spans="1:3" x14ac:dyDescent="0.25">
      <c r="A21" s="24" t="s">
        <v>77</v>
      </c>
      <c r="B21" s="54"/>
      <c r="C21" s="27" t="s">
        <v>97</v>
      </c>
    </row>
    <row r="22" spans="1:3" x14ac:dyDescent="0.25">
      <c r="A22" s="24" t="s">
        <v>79</v>
      </c>
      <c r="B22" s="54"/>
      <c r="C22" s="27" t="s">
        <v>97</v>
      </c>
    </row>
    <row r="23" spans="1:3" x14ac:dyDescent="0.25">
      <c r="A23" s="24" t="s">
        <v>78</v>
      </c>
      <c r="B23" s="59"/>
      <c r="C23" s="27" t="s">
        <v>97</v>
      </c>
    </row>
    <row r="24" spans="1:3" x14ac:dyDescent="0.25">
      <c r="A24" s="24" t="s">
        <v>29</v>
      </c>
      <c r="B24" s="54"/>
      <c r="C24" s="27" t="s">
        <v>97</v>
      </c>
    </row>
    <row r="25" spans="1:3" x14ac:dyDescent="0.25">
      <c r="A25" s="24" t="s">
        <v>30</v>
      </c>
      <c r="B25" s="54"/>
      <c r="C25" s="27" t="s">
        <v>98</v>
      </c>
    </row>
    <row r="26" spans="1:3" ht="26.4" x14ac:dyDescent="0.25">
      <c r="A26" s="24" t="s">
        <v>31</v>
      </c>
      <c r="B26" s="27"/>
      <c r="C26" s="27" t="s">
        <v>98</v>
      </c>
    </row>
    <row r="27" spans="1:3" x14ac:dyDescent="0.25">
      <c r="A27" s="24" t="s">
        <v>55</v>
      </c>
      <c r="B27" s="27"/>
      <c r="C27" s="27" t="s">
        <v>98</v>
      </c>
    </row>
    <row r="28" spans="1:3" x14ac:dyDescent="0.25">
      <c r="A28" s="24" t="s">
        <v>81</v>
      </c>
      <c r="B28" s="54"/>
      <c r="C28" s="27" t="s">
        <v>97</v>
      </c>
    </row>
    <row r="29" spans="1:3" x14ac:dyDescent="0.25">
      <c r="A29" s="24" t="s">
        <v>82</v>
      </c>
      <c r="B29" s="54"/>
      <c r="C29" s="27" t="s">
        <v>97</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4"/>
  <sheetViews>
    <sheetView tabSelected="1" zoomScale="70" zoomScaleNormal="70" workbookViewId="0">
      <selection activeCell="B3" sqref="B3:D3"/>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133</v>
      </c>
      <c r="C1" s="100"/>
      <c r="D1" s="100"/>
      <c r="E1" s="71" t="s">
        <v>44</v>
      </c>
      <c r="F1" s="36" t="s">
        <v>106</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134</v>
      </c>
      <c r="C2" s="100"/>
      <c r="D2" s="100"/>
      <c r="E2" s="71" t="s">
        <v>47</v>
      </c>
      <c r="F2" s="38" t="s">
        <v>135</v>
      </c>
      <c r="G2" s="35" t="s">
        <v>48</v>
      </c>
      <c r="H2" s="41" t="s">
        <v>99</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137</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110.4" x14ac:dyDescent="0.3">
      <c r="A6" s="46">
        <v>1</v>
      </c>
      <c r="B6" s="74" t="s">
        <v>83</v>
      </c>
      <c r="C6" s="47" t="s">
        <v>84</v>
      </c>
      <c r="D6" s="47" t="s">
        <v>85</v>
      </c>
      <c r="E6" s="48" t="s">
        <v>107</v>
      </c>
      <c r="F6" s="48" t="s">
        <v>108</v>
      </c>
      <c r="G6" s="78" t="s">
        <v>110</v>
      </c>
      <c r="H6" s="47" t="s">
        <v>111</v>
      </c>
      <c r="I6" s="37"/>
      <c r="J6" s="40"/>
      <c r="AY6" s="34" t="s">
        <v>45</v>
      </c>
    </row>
    <row r="7" spans="1:55" s="33" customFormat="1" ht="116.25" customHeight="1" x14ac:dyDescent="0.3">
      <c r="A7" s="49">
        <v>2</v>
      </c>
      <c r="B7" s="74" t="s">
        <v>87</v>
      </c>
      <c r="C7" s="75" t="s">
        <v>102</v>
      </c>
      <c r="D7" s="76" t="s">
        <v>88</v>
      </c>
      <c r="E7" s="75" t="s">
        <v>89</v>
      </c>
      <c r="F7" s="75" t="s">
        <v>90</v>
      </c>
      <c r="G7" s="80" t="s">
        <v>89</v>
      </c>
      <c r="H7" s="75" t="s">
        <v>90</v>
      </c>
      <c r="I7" s="37"/>
      <c r="J7" s="40"/>
      <c r="AY7" s="34" t="s">
        <v>49</v>
      </c>
    </row>
    <row r="8" spans="1:55" s="33" customFormat="1" ht="41.4" x14ac:dyDescent="0.3">
      <c r="A8" s="47">
        <v>3</v>
      </c>
      <c r="B8" s="75" t="s">
        <v>91</v>
      </c>
      <c r="C8" s="76" t="s">
        <v>94</v>
      </c>
      <c r="D8" s="47" t="s">
        <v>95</v>
      </c>
      <c r="E8" s="48" t="s">
        <v>112</v>
      </c>
      <c r="F8" s="47" t="s">
        <v>92</v>
      </c>
      <c r="G8" s="78" t="s">
        <v>101</v>
      </c>
      <c r="H8" s="47" t="s">
        <v>105</v>
      </c>
      <c r="I8" s="37"/>
      <c r="J8" s="58"/>
      <c r="AY8" s="34" t="s">
        <v>53</v>
      </c>
    </row>
    <row r="9" spans="1:55" s="33" customFormat="1" ht="69" x14ac:dyDescent="0.3">
      <c r="A9" s="46">
        <v>4</v>
      </c>
      <c r="B9" s="74" t="s">
        <v>93</v>
      </c>
      <c r="C9" s="76" t="s">
        <v>114</v>
      </c>
      <c r="D9" s="47" t="s">
        <v>96</v>
      </c>
      <c r="E9" s="48" t="s">
        <v>115</v>
      </c>
      <c r="F9" s="47" t="s">
        <v>117</v>
      </c>
      <c r="G9" s="78" t="s">
        <v>115</v>
      </c>
      <c r="H9" s="82" t="s">
        <v>116</v>
      </c>
      <c r="I9" s="37"/>
      <c r="J9" s="58"/>
      <c r="U9" s="32"/>
    </row>
    <row r="10" spans="1:55" s="33" customFormat="1" ht="69" x14ac:dyDescent="0.3">
      <c r="A10" s="46">
        <v>5</v>
      </c>
      <c r="B10" s="79" t="s">
        <v>118</v>
      </c>
      <c r="C10" s="81" t="s">
        <v>119</v>
      </c>
      <c r="D10" s="77" t="s">
        <v>120</v>
      </c>
      <c r="E10" s="78" t="s">
        <v>121</v>
      </c>
      <c r="F10" s="77" t="s">
        <v>122</v>
      </c>
      <c r="G10" s="78" t="s">
        <v>121</v>
      </c>
      <c r="H10" s="82" t="s">
        <v>123</v>
      </c>
      <c r="I10" s="37"/>
      <c r="J10" s="58"/>
      <c r="U10" s="32"/>
    </row>
    <row r="11" spans="1:55" s="33" customFormat="1" ht="128.4" customHeight="1" x14ac:dyDescent="0.3">
      <c r="A11" s="46">
        <v>6</v>
      </c>
      <c r="B11" s="79" t="s">
        <v>103</v>
      </c>
      <c r="C11" s="81" t="s">
        <v>104</v>
      </c>
      <c r="D11" s="77" t="s">
        <v>85</v>
      </c>
      <c r="E11" s="78" t="s">
        <v>109</v>
      </c>
      <c r="F11" s="77" t="s">
        <v>124</v>
      </c>
      <c r="G11" s="78" t="s">
        <v>109</v>
      </c>
      <c r="H11" s="82" t="s">
        <v>125</v>
      </c>
      <c r="I11" s="37"/>
      <c r="J11" s="58"/>
      <c r="U11" s="32"/>
    </row>
    <row r="12" spans="1:55" s="33" customFormat="1" ht="110.4" x14ac:dyDescent="0.3">
      <c r="A12" s="46">
        <v>7</v>
      </c>
      <c r="B12" s="74" t="s">
        <v>83</v>
      </c>
      <c r="C12" s="47" t="s">
        <v>84</v>
      </c>
      <c r="D12" s="47" t="s">
        <v>85</v>
      </c>
      <c r="E12" s="78" t="s">
        <v>126</v>
      </c>
      <c r="F12" s="78" t="s">
        <v>108</v>
      </c>
      <c r="G12" s="78" t="s">
        <v>110</v>
      </c>
      <c r="H12" s="47" t="s">
        <v>86</v>
      </c>
      <c r="I12" s="37"/>
      <c r="J12" s="58"/>
    </row>
    <row r="13" spans="1:55" s="33" customFormat="1" ht="135.75" customHeight="1" x14ac:dyDescent="0.3">
      <c r="A13" s="46">
        <v>8</v>
      </c>
      <c r="B13" s="74" t="s">
        <v>87</v>
      </c>
      <c r="C13" s="80" t="s">
        <v>102</v>
      </c>
      <c r="D13" s="76" t="s">
        <v>88</v>
      </c>
      <c r="E13" s="80" t="s">
        <v>89</v>
      </c>
      <c r="F13" s="75" t="s">
        <v>90</v>
      </c>
      <c r="G13" s="75" t="s">
        <v>89</v>
      </c>
      <c r="H13" s="75" t="s">
        <v>90</v>
      </c>
      <c r="I13" s="37"/>
      <c r="J13" s="58"/>
    </row>
    <row r="14" spans="1:55" s="33" customFormat="1" ht="69" x14ac:dyDescent="0.3">
      <c r="A14" s="46">
        <v>9</v>
      </c>
      <c r="B14" s="74" t="s">
        <v>93</v>
      </c>
      <c r="C14" s="76" t="s">
        <v>113</v>
      </c>
      <c r="D14" s="47" t="s">
        <v>96</v>
      </c>
      <c r="E14" s="78" t="s">
        <v>115</v>
      </c>
      <c r="F14" s="77" t="s">
        <v>117</v>
      </c>
      <c r="G14" s="78" t="s">
        <v>115</v>
      </c>
      <c r="H14" s="77" t="s">
        <v>117</v>
      </c>
      <c r="I14" s="37"/>
      <c r="J14" s="58"/>
      <c r="U14" s="32"/>
    </row>
    <row r="15" spans="1:55" s="33" customFormat="1" ht="36.6" customHeight="1" x14ac:dyDescent="0.3">
      <c r="A15" s="46">
        <v>10</v>
      </c>
      <c r="B15" s="82" t="s">
        <v>136</v>
      </c>
      <c r="C15" s="47"/>
      <c r="D15" s="47"/>
      <c r="E15" s="48"/>
      <c r="F15" s="47"/>
      <c r="G15" s="48"/>
      <c r="H15" s="47"/>
      <c r="I15" s="37"/>
      <c r="J15" s="58"/>
    </row>
    <row r="16" spans="1:55" s="33" customFormat="1" x14ac:dyDescent="0.3">
      <c r="A16" s="46">
        <v>11</v>
      </c>
      <c r="B16" s="47"/>
      <c r="C16" s="47"/>
      <c r="D16" s="47"/>
      <c r="E16" s="48"/>
      <c r="F16" s="47"/>
      <c r="G16" s="48"/>
      <c r="H16" s="47"/>
      <c r="I16" s="37"/>
      <c r="J16" s="58"/>
    </row>
    <row r="17" spans="1:10" s="33" customFormat="1" x14ac:dyDescent="0.3">
      <c r="A17" s="46">
        <v>12</v>
      </c>
      <c r="B17" s="47"/>
      <c r="C17" s="47"/>
      <c r="D17" s="47"/>
      <c r="E17" s="48"/>
      <c r="F17" s="47"/>
      <c r="G17" s="48"/>
      <c r="H17" s="47"/>
      <c r="I17" s="37"/>
      <c r="J17" s="58"/>
    </row>
    <row r="18" spans="1:10" s="33" customFormat="1" ht="23.25" customHeight="1" x14ac:dyDescent="0.3">
      <c r="A18" s="46">
        <v>13</v>
      </c>
      <c r="B18" s="47"/>
      <c r="C18" s="47"/>
      <c r="D18" s="47"/>
      <c r="E18" s="48"/>
      <c r="F18" s="47"/>
      <c r="G18" s="48"/>
      <c r="H18" s="47"/>
      <c r="I18" s="37"/>
      <c r="J18" s="58"/>
    </row>
    <row r="19" spans="1:10" s="33" customFormat="1" ht="30" customHeight="1" x14ac:dyDescent="0.3">
      <c r="A19" s="46">
        <v>14</v>
      </c>
      <c r="B19" s="47"/>
      <c r="C19" s="47"/>
      <c r="D19" s="47"/>
      <c r="E19" s="48"/>
      <c r="F19" s="47"/>
      <c r="G19" s="48"/>
      <c r="H19" s="47"/>
      <c r="I19" s="37"/>
      <c r="J19" s="58"/>
    </row>
    <row r="20" spans="1:10" s="33" customFormat="1" x14ac:dyDescent="0.3">
      <c r="E20" s="60"/>
    </row>
    <row r="22" spans="1:10" s="33" customFormat="1" x14ac:dyDescent="0.3">
      <c r="E22" s="60"/>
    </row>
    <row r="23" spans="1:10" s="33" customFormat="1" ht="111.75" customHeight="1" x14ac:dyDescent="0.3">
      <c r="E23" s="60"/>
    </row>
    <row r="24" spans="1:10" s="33" customFormat="1" ht="111.75" customHeight="1" x14ac:dyDescent="0.3">
      <c r="E24" s="60"/>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$BA$1:$BA$8</formula1>
    </dataValidation>
    <dataValidation type="list" allowBlank="1" showInputMessage="1" showErrorMessage="1" sqref="I6:I19" xr:uid="{00000000-0002-0000-0200-000001000000}">
      <formula1>$BB$1:$BB$5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88" r:id="rId4">
          <objectPr defaultSize="0" r:id="rId5">
            <anchor moveWithCells="1">
              <from>
                <xdr:col>2</xdr:col>
                <xdr:colOff>731520</xdr:colOff>
                <xdr:row>6</xdr:row>
                <xdr:rowOff>640080</xdr:rowOff>
              </from>
              <to>
                <xdr:col>2</xdr:col>
                <xdr:colOff>2430780</xdr:colOff>
                <xdr:row>6</xdr:row>
                <xdr:rowOff>1158240</xdr:rowOff>
              </to>
            </anchor>
          </objectPr>
        </oleObject>
      </mc:Choice>
      <mc:Fallback>
        <oleObject progId="Packager Shell Object" shapeId="10288" r:id="rId4"/>
      </mc:Fallback>
    </mc:AlternateContent>
    <mc:AlternateContent xmlns:mc="http://schemas.openxmlformats.org/markup-compatibility/2006">
      <mc:Choice Requires="x14">
        <oleObject progId="Packager Shell Object" shapeId="10289" r:id="rId6">
          <objectPr defaultSize="0" r:id="rId5">
            <anchor moveWithCells="1">
              <from>
                <xdr:col>2</xdr:col>
                <xdr:colOff>662940</xdr:colOff>
                <xdr:row>12</xdr:row>
                <xdr:rowOff>784860</xdr:rowOff>
              </from>
              <to>
                <xdr:col>2</xdr:col>
                <xdr:colOff>2362200</xdr:colOff>
                <xdr:row>12</xdr:row>
                <xdr:rowOff>1303020</xdr:rowOff>
              </to>
            </anchor>
          </objectPr>
        </oleObject>
      </mc:Choice>
      <mc:Fallback>
        <oleObject progId="Packager Shell Object" shapeId="10289"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2021</v>
      </c>
    </row>
    <row r="3" spans="1:2" x14ac:dyDescent="0.25">
      <c r="A3" s="64" t="s">
        <v>59</v>
      </c>
      <c r="B3" s="65" t="str">
        <f>CRN</f>
        <v>INC3938667</v>
      </c>
    </row>
    <row r="4" spans="1:2" x14ac:dyDescent="0.25">
      <c r="A4" s="64" t="s">
        <v>60</v>
      </c>
      <c r="B4" s="65" t="str">
        <f>MA</f>
        <v>CT</v>
      </c>
    </row>
    <row r="5" spans="1:2" x14ac:dyDescent="0.25">
      <c r="A5" s="64" t="s">
        <v>61</v>
      </c>
      <c r="B5" s="65" t="str">
        <f>Area</f>
        <v>Data</v>
      </c>
    </row>
    <row r="6" spans="1:2" x14ac:dyDescent="0.25">
      <c r="A6" s="64" t="s">
        <v>44</v>
      </c>
      <c r="B6" s="65" t="str">
        <f>Entity</f>
        <v xml:space="preserve">ORDER </v>
      </c>
    </row>
    <row r="7" spans="1:2" x14ac:dyDescent="0.25">
      <c r="A7" s="64" t="s">
        <v>57</v>
      </c>
      <c r="B7" s="66" t="str">
        <f>DTested</f>
        <v>18/11/2021</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31" workbookViewId="0">
      <selection activeCell="F41" sqref="F41"/>
    </sheetView>
  </sheetViews>
  <sheetFormatPr defaultColWidth="9.109375" defaultRowHeight="13.2" x14ac:dyDescent="0.25"/>
  <cols>
    <col min="1" max="1" width="44" style="73" bestFit="1" customWidth="1"/>
    <col min="2" max="16384" width="9.109375" style="73"/>
  </cols>
  <sheetData>
    <row r="1" spans="1:1" x14ac:dyDescent="0.25">
      <c r="A1" s="72"/>
    </row>
    <row r="2" spans="1:1" s="83" customFormat="1" x14ac:dyDescent="0.25">
      <c r="A2" s="83" t="s">
        <v>127</v>
      </c>
    </row>
    <row r="17" spans="1:1" s="83" customFormat="1" x14ac:dyDescent="0.25">
      <c r="A17" s="83" t="s">
        <v>128</v>
      </c>
    </row>
    <row r="30" spans="1:1" x14ac:dyDescent="0.25">
      <c r="A30" s="72"/>
    </row>
    <row r="43" spans="1:1" s="83" customFormat="1" x14ac:dyDescent="0.25">
      <c r="A43" s="83" t="s">
        <v>129</v>
      </c>
    </row>
    <row r="55" spans="1:1" x14ac:dyDescent="0.25">
      <c r="A55" s="72"/>
    </row>
    <row r="59" spans="1:1" s="83" customFormat="1" x14ac:dyDescent="0.25">
      <c r="A59" s="83" t="s">
        <v>130</v>
      </c>
    </row>
    <row r="70" spans="1:1" x14ac:dyDescent="0.25">
      <c r="A70" s="72"/>
    </row>
    <row r="105" spans="1:1" x14ac:dyDescent="0.25">
      <c r="A105" s="72"/>
    </row>
    <row r="146" spans="1:1" x14ac:dyDescent="0.25">
      <c r="A146" s="72"/>
    </row>
    <row r="185" spans="1:1" x14ac:dyDescent="0.25">
      <c r="A185" s="72"/>
    </row>
    <row r="220" spans="1:1" x14ac:dyDescent="0.25">
      <c r="A220" s="72"/>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2021-11-19T05:36:11Z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