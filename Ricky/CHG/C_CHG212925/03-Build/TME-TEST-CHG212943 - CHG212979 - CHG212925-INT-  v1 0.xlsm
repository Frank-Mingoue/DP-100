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f.mingoue.tchagou\Desktop\"/>
    </mc:Choice>
  </mc:AlternateContent>
  <xr:revisionPtr revIDLastSave="0" documentId="13_ncr:1_{5FBC83E7-498A-45E7-9686-5293F6E4C1E9}" xr6:coauthVersionLast="46" xr6:coauthVersionMax="46" xr10:uidLastSave="{00000000-0000-0000-0000-000000000000}"/>
  <bookViews>
    <workbookView xWindow="-108" yWindow="-108" windowWidth="23256" windowHeight="12576" tabRatio="926"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<sst xmlns="http://schemas.openxmlformats.org/spreadsheetml/2006/main" count="163" uniqueCount="128">
  <si>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</si>
  <si>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</si>
  <si>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</si>
  <si>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</si>
  <si>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</si>
  <si>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</si>
  <si>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</si>
  <si>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</si>
  <si>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</si>
  <si>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</si>
  <si>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</si>
  <si>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</si>
  <si>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</si>
  <si>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</si>
  <si>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</si>
  <si>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</si>
  <si>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</si>
  <si>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</si>
  <si>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</si>
  <si>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</si>
  <si>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</si>
  <si>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</si>
  <si>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</si>
  <si>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</si>
  <si>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</si>
  <si>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</si>
  <si>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</si>
  <si>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</si>
  <si>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</si>
  <si>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</si>
  <si>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</si>
  <si>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</si>
  <si>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</si>
  <si>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</si>
  <si>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</si>
  <si>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</si>
  <si>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</si>
  <si>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</si>
  <si>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</si>
  <si>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</si>
  <si>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</si>
  <si>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</si>
  <si>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</si>
  <si>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</si>
  <si>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</si>
  <si>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</si>
  <si>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</si>
  <si>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</si>
  <si>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</si>
  <si>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</si>
  <si>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</si>
  <si>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</si>
  <si>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</si>
  <si>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</si>
  <si>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</si>
  <si>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</si>
  <si>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</si>
  <si>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</si>
  <si>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</si>
  <si>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</si>
  <si>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</si>
  <si>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</si>
  <si>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</si>
  <si>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</si>
  <si>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</si>
  <si>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</si>
  <si>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</si>
  <si>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</si>
  <si>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</si>
  <si>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</si>
  <si>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</si>
  <si>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</si>
  <si>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</si>
  <si>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</si>
  <si>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</si>
  <si>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</si>
  <si>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</si>
  <si>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</si>
  <si>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</si>
  <si>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</si>
  <si>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</si>
  <si>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</si>
  <si>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</si>
  <si>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SIEBEL_OLTP_DEV14</t>
  </si>
  <si>
    <t>N</t>
  </si>
  <si>
    <t>Y</t>
  </si>
  <si>
    <t>Frank</t>
  </si>
  <si>
    <t xml:space="preserve">ORDER </t>
  </si>
  <si>
    <t>Screenshot 1</t>
  </si>
  <si>
    <t>Screenshot 2</t>
  </si>
  <si>
    <t>Screenshot 3</t>
  </si>
  <si>
    <t>CT</t>
  </si>
  <si>
    <t>18/11/2021</t>
  </si>
  <si>
    <t>NA</t>
  </si>
  <si>
    <t xml:space="preserve">run script to create test data </t>
  </si>
  <si>
    <t>Update S_ORDER SET ORDER_TYPE_ID = '1234TEST' WHERE ORDER_NUM  IN ('1-118340571','1-131111081')</t>
  </si>
  <si>
    <t xml:space="preserve">SELECT ORDER_NUM , * FROM  S_ORDER WHERE ORDER_TYPE_ID = '1234TEST' </t>
  </si>
  <si>
    <t>SELECT DISTINCT  SO.ORDER_NUM ,TP.NAME, OI.X_ORDER_UOM_TEXT ,OI.X_ORDER_QUANTITY_NUM ,S_ORDER_X.X_ORDER_CAT_CD
	,SO.X_SUB_TYPE
	,AC.NAME
	,AC.ALIAS_NAME
	,AC.X_ALIAS_NAME_2
	,SO.REQ_SHIP_DT
	,SO.STATUS_CD
	,OI.X_ORD_TO_CODE
	,OI.LN_NUM
	,--10
	PR.PART_NUM
	,PR.ALIAS_NAME
	,PR.TYPE
	,PL.NAME
	,OI.ADJ_UNIT_PRI
	,OI.QTY_REQ
	,OI.DLVRY_STATUS_CD
	,SO.ORDER_DT
	,SU.LOGIN
	,SOP.ALIAS_NAME
	,--20
	SOP.NAME
	,OI.X_FG_TXN_REASON_CD
	,SO.ROW_ID
	,OI.ROW_ID
	,SO.REV_NUM
	,OI.LN_NUM2
	,F2.X_CUST_NUM
	,--27
	AD.ADDR
	,AD.ZIPCODE
	,AD.CITY
	,OI.X_ACT_RECEIVED_QTY
	,OI.X_ACT_RETURNED_QTY
	,SO.X_TRADE_RETURN_NUM
	,SO.X_BAG_NUM
	,SO.X_CUST_DOCKET_NUM
	,OI.X_QTY_STICK_GRAMS
	,OI.X_RETAILER_PRICE
	,SO.X_WHLS_AUTH_BY
	,SO.DOC_NUM
	,CO.FST_NAME
	,CO.LAST_NAME
	,CO.X_QUALIFICATION
	,CX.ATTRIB_01
	,SAD.ADDR
	,SAD.CITY
	,SAD.COUNTRY
	,SAD.ZIPCODE
	,OI.X_QTY_PACKS_NUM
	,POS.NAME
	,SOP.X_ATTRIB_8
	,AC.X_ATTRIB_8
	,CONTACT.FST_NAME AS CREATED_BY_FST_NAME
	,CONTACT.LAST_NAME AS CREATED_BY_LAST_NAME
	,S_ORDER_X.ATTRIB_45 AS DELIVERY_METHOD
	,DELIVERY_CONTACT.FST_NAME AS DELIVERY_FST_NAME
	,DELIVERY_CONTACT.LAST_NAME AS DELIVERY_LAST_NAME
	,SO.BU_ID AS BU_ID
	,S_ADDR_PER1.ADDR AS ADDR_LINE_1
	,CASE 
		WHEN BU.NAME = 'United Kingdom, UK'
			THEN S_ADDR_PER1.X_ADDR2_TEXT
		ELSE S_ADDR_PER1.ADDR_LINE_2
		END AS ADDR_LINE_2
	,CASE 
		WHEN BU.NAME = 'United Kingdom, UK'
			THEN S_ADDR_PER1.ADDR_LINE_2
		ELSE 'Unspecified'
		END AS ADDR_LINE_3
	,S_ADDR_PER1.CITY AS SHIP_CITY
	,S_ADDR_PER1.ZIPCODE AS SHIP_ZIP_CODE
	,S_ADDR_PER1.X_STATE AS SHIP_STATES
	,S_ADDR_PER1.COUNTRY AS SHIP_COUNTRY
	,S_ADDR_PER1.ADDR_TYPE_CD AS SHIP_ADDR_TYPE
	,DEL_CON.FST_NAME AS DEL_CON_FST_NAME
	,DEL_CON.LAST_NAME AS DEL_CON_LAST_NAME
	,DEL_CON.PER_TITLE AS DEL_CON_TITLE
	,DEL_CON.CON_CD AS DEL_CON_TYPE
	,DEL_CON.X_LANGUAGE_CD AS DEL_CON_LANG
	,--S_LANG.NAMEremoved as per CHG062329
	S_ORDER_X.ATTRIB_53 AS DEL_EMAIL
	,S_ORDER_X.ATTRIB_46 AS DEL_FAX
	,DIGITAL_CON.FST_NAME AS DIGITAL_CON_FST_NAME
	,DIGITAL_CON.LAST_NAME AS DIGITAL_CON_LAST_NAME
	,DIGITAL_CON.PER_TITLE AS DIGITAL_CON_TITLE
	,DIGITAL_CON.CON_CD AS DIGITAL_CON_TYPE
	,DIGITAL_CON.X_LANGUAGE_CD AS DIGITAL_CON_LANG
	--SIGN_LANG.NAME removed as per CHG062329
	,S_ORDER_X.X_SIGNATURE_DT
	,REPLACE(REPLACE(SO.DESC_TEXT, CHAR(10), ' '), CHAR(13), ' ')
	,CASE 
		WHEN AC.OU_TYPE_CD = 'Wholesaler'
			THEN S_ORG_EXT_UTX.OWNERSHIP_CD
		ELSE UTX2.OWNERSHIP_CD
		END AS OWNERSHIP_CD
	,SO.DLVRY_STATUS_CD
	,SO.X_EXPORT_STATUS
	,OI.X_FIX_TAX_AMOUNT -- Calculated field: Quantity * ((Retailer Price + Fix Tax Amount)(1+ % Tax 1 CA + %Tax 2 CA)(1 + % Tax 3 CA)) AS 'X_SALES_AMOUNT'
	,OI.X_TAX_CA_1
	,OI.X_TAX_CA_2
	,OI.X_TAX_CA_3
	,SO.X_TOBACCO_LICN
	,SO.X_BANK_DEPOSIT
	,S_ORDER_X.ATTRIB_03
	,PAR_ORD.ORDER_NUM AS PAR_ORDER_NUM
	,SO.X_ORDER_REASON_CD
	--CHG067147
	,S_ORDER_X.ATTRIB_05
	--CHG067147
	,OI.X_FREE_GOODS_VALUE AS FREE_GOODS_VALUE
	,--CHG069230
	ISNULL((OI.X_VAT_TAX / 100) * (ISNULL((ISNULL((OI.X_RETAILER_PRICE * (100 - ISNULL(OI.DISCNT_PERCENT, 0))) / 100, OI.X_RETAILER_PRICE)) * OI.QTY_REQ, 0)), 0) + ISNULL((ISNULL((OI.X_RETAILER_PRICE * (100 - ISNULL(OI.DISCNT_PERCENT, 0))) / 100, OI.X_RETAILER_PRICE)) * OI.QTY_REQ, 0) AS TOTAL_ORDER_VALUE
	,--CHG069230
	AC.X_ATTRIB_8 AS X_ATTRIB_8
	,--CHG069230
	OI.X_AWARD_POINTS_NUM
	,--CHG069447
	DELIVERY_CONTACT.X_QUALIFICATION AS DELIVERY_QUALIFICATION
	--DEFECT468
	,DELIVERY_CX.ATTRIB_01 AS DELIVERY_PASSPORT
	,--DEFECT468
	DELIVERY_CONTACT.CON_CD AS DELIVERY_CON_TYPE
	,--DEFECT468
	S_ORDER_X.ATTRIB_43 --CHG091484
	,S_ORDER_X.ATTRIB_13 --CHG090896
	,S_REGION.NAME AS GEOGRAPHY_NAME --CHG099160
	,CX_REGION_X.X_ATTRIB_01 --CHG099160
	,AC.X_ATTRIB_2 --CHG099160
	,AC.X_ATTRIB_3 --CHG099160
	--------------CHG107288: New columns to be added 
	,AC.X_LEGAL_ACC_NAME
,S_ORDER_X.ATTRIB_36
,S_ORDER_X.ATTRIB_35
,S_ORDER_X.ATTRIB_34
,SO.X_CHEQUE
,S_ORDER_X.X_CRED_CARD_CONFIRM_FLG
----------CHG128424 ----------------
,OI.X_FEE_01_NUM
,OI.X_FEE_02_NUM
,OI.X_FEE_TYPE_CD
--start v20  - CHG145933 
,S_ORG_EXT_X.ATTRIB_52
,S_ORG_EXT_X.ATTRIB_53
-- End v20 -- CHG145933 
FROM S_ORDER SO
RIGHT JOIN S_ORDER_ITEM OI(NOLOCK) ON SO.ROW_ID = OI.ORDER_ID
INNER JOIN S_ORG_EXT AC(NOLOCK) ON SO.ACCNT_ID = AC.ROW_ID
LEFT OUTER JOIN S_PROD_INT PR(NOLOCK) ON OI.PROD_ID = PR.ROW_ID
LEFT OUTER JOIN S_PRI_LST PL(NOLOCK) ON SO.PRI_LST_ID = PL.ROW_ID
INNER JOIN S_USER SU(NOLOCK) ON SO.CREATED_BY = SU.ROW_ID
LEFT OUTER JOIN S_ORG_EXT SOP(NOLOCK) ON SO.PAYTO_OU_ID = SOP.ROW_ID
INNER JOIN S_ORDER_TYPE TP(NOLOCK) ON SO.ORDER_TYPE_ID = TP.ROW_ID
INNER JOIN S_BU BU(NOLOCK) ON SO.BU_ID = BU.ROW_ID
LEFT OUTER JOIN S_PARTY_REL F2(NOLOCK) ON F2.REL_PARTY_ID = SO.ACCNT_ID
	AND F2.PARTY_ID = SO.PAYTO_OU_ID
LEFT OUTER JOIN S_ADDR_PER AD(NOLOCK) ON AC.PR_ADDR_ID = AD.ROW_ID
LEFT OUTER JOIN S_CONTACT CO(NOLOCK) ON SO.BL_CON_ID = CO.ROW_ID
LEFT OUTER JOIN S_CONTACT_X CX(NOLOCK) ON CO.ROW_ID = CX.PAR_ROW_ID
LEFT OUTER JOIN S_ADDR_PER SAD(NOLOCK) ON SO.BL_ADDR_ID = SAD.ROW_ID
LEFT OUTER JOIN S_CONTACT CONTACT(NOLOCK) ON CONTACT.ROW_ID = SU.ROW_ID
LEFT OUTER JOIN S_POSTN POS(NOLOCK) ON POS.ROW_ID = CONTACT.PR_HELD_POSTN_ID
LEFT OUTER JOIN S_ORDER_X(NOLOCK) ON S_ORDER_X.ROW_ID = SO.ROW_ID
LEFT OUTER JOIN S_CONTACT DELIVERY_CONTACT(NOLOCK) ON SO.CONTACT_ID = DELIVERY_CONTACT.ROW_ID
LEFT OUTER JOIN S_CONTACT_X DELIVERY_CX(NOLOCK) ON DELIVERY_CONTACT.ROW_ID = DELIVERY_CX.PAR_ROW_ID --DEFECT468
LEFT OUTER JOIN S_ORDER PAR_ORD ON PAR_ORD.ROW_ID = SO.PAR_ORDER_ID --CHG053186
	-------------------DEFECT--------------------- 
LEFT OUTER JOIN S_ADDR_PER S_ADDR_PER1(NOLOCK) ON S_ADDR_PER1.ROW_ID = SO.SHIP_PER_ADDR_ID
LEFT OUTER JOIN S_CONTACT DEL_CON(NOLOCK) ON DEL_CON.ROW_ID = SO.SHIP_CON_ID
--LEFT OUTER JOIN S_LANG(NOLOCK)ON S_LANG.LANG_CD=DEL_CON.PREF_LANG_ID
LEFT OUTER JOIN S_CONTACT DIGITAL_CON(NOLOCK) ON DIGITAL_CON.ROW_ID = S_ORDER_X.X_SIGNED_BY_ID
--LEFT OUTER JOIN S_LANG SIGN_LANG(NOLOCK)ON SIGN_LANG.LANG_CD=DIGITAL_CON.PREF_LANG_ID
LEFT OUTER JOIN S_ORG_EXT_UTX(NOLOCK) ON S_ORG_EXT_UTX.PAR_ROW_ID = SO.ACCNT_ID
LEFT OUTER JOIN S_ORG_EXT_UTX UTX2(NOLOCK) ON UTX2.PAR_ROW_ID = SO.PAYTO_OU_ID
	-------------------CHG099160------------------
LEFT OUTER JOIN S_REGION  ON S_REGION.ROW_ID =OI.X_REGION_ID
LEFT OUTER JOIN CX_REGION_X on CX_REGION_X.PAR_ROW_ID=S_REGION.ROW_ID
	-------------------CHG145933------------------
LEFT OUTER JOIN S_ORG_EXT_X ON S_ORG_EXT_X.PAR_ROW_ID = SO.ACCNT_ID
WHERE (SO.X_EXPORT_STATUS IS NULL or SO.X_EXPORT_STATUS = 'In progress') 
AND SO.STATUS_CD IN ('Submitted', 'Returned') AND BU.NAME = 'Spain, ES'
 AND OI.QTY_REQ &lt;&gt; 0 
 AND OI.DLVRY_STATUS_CD &lt;&gt; 'Sent to Altadis' 
 AND TP.NAME IN ('Service Order', 'Stock Receive')</t>
  </si>
  <si>
    <t xml:space="preserve">Run workflow to export data </t>
  </si>
  <si>
    <t>Launch EIM_INTERFACE ------RUN_OUTBOUND_SO-------wrk_Sales_Orders_Outbound</t>
  </si>
  <si>
    <t>INFA</t>
  </si>
  <si>
    <t xml:space="preserve">Create Test Data with Order Type 
'Stock Receive' </t>
  </si>
  <si>
    <t xml:space="preserve">Run the script to check data </t>
  </si>
  <si>
    <t>SELECT DISTINCT  SO.ORDER_NUM ,TP.NAME, OI.X_ORDER_UOM_TEXT ,OI.X_ORDER_QUANTITY_NUM ,S_ORDER_X.X_ORDER_CAT_CD
	,SO.X_SUB_TYPE
	,AC.NAME
	,AC.ALIAS_NAME
	,AC.X_ALIAS_NAME_2
	,SO.REQ_SHIP_DT
	,SO.STATUS_CD
	,OI.X_ORD_TO_CODE
	,OI.LN_NUM
	,--10
	PR.PART_NUM
	,PR.ALIAS_NAME
	,PR.TYPE
	,PL.NAME
	,OI.ADJ_UNIT_PRI
	,OI.QTY_REQ
	,OI.DLVRY_STATUS_CD
	,SO.ORDER_DT
	,SU.LOGIN
	,SOP.ALIAS_NAME
	,--20
	SOP.NAME
	,OI.X_FG_TXN_REASON_CD
	,SO.ROW_ID
	,OI.ROW_ID
	,SO.REV_NUM
	,OI.LN_NUM2
	,F2.X_CUST_NUM
	,--27
	AD.ADDR
	,AD.ZIPCODE
	,AD.CITY
	,OI.X_ACT_RECEIVED_QTY
	,OI.X_ACT_RETURNED_QTY
	,SO.X_TRADE_RETURN_NUM
	,SO.X_BAG_NUM
	,SO.X_CUST_DOCKET_NUM
	,OI.X_QTY_STICK_GRAMS
	,OI.X_RETAILER_PRICE
	,SO.X_WHLS_AUTH_BY
	,SO.DOC_NUM
	,CO.FST_NAME
	,CO.LAST_NAME
	,CO.X_QUALIFICATION
	,CX.ATTRIB_01
	,SAD.ADDR
	,SAD.CITY
	,SAD.COUNTRY
	,SAD.ZIPCODE
	,OI.X_QTY_PACKS_NUM
	,POS.NAME
	,SOP.X_ATTRIB_8
	,AC.X_ATTRIB_8
	,CONTACT.FST_NAME AS CREATED_BY_FST_NAME
	,CONTACT.LAST_NAME AS CREATED_BY_LAST_NAME
	,S_ORDER_X.ATTRIB_45 AS DELIVERY_METHOD
	,DELIVERY_CONTACT.FST_NAME AS DELIVERY_FST_NAME
	,DELIVERY_CONTACT.LAST_NAME AS DELIVERY_LAST_NAME
	,SO.BU_ID AS BU_ID
	,S_ADDR_PER1.ADDR AS ADDR_LINE_1
	,CASE 
		WHEN BU.NAME = 'United Kingdom, UK'
			THEN S_ADDR_PER1.X_ADDR2_TEXT
		ELSE S_ADDR_PER1.ADDR_LINE_2
		END AS ADDR_LINE_2
	,CASE 
		WHEN BU.NAME = 'United Kingdom, UK'
			THEN S_ADDR_PER1.ADDR_LINE_2
		ELSE 'Unspecified'
		END AS ADDR_LINE_3
	,S_ADDR_PER1.CITY AS SHIP_CITY
	,S_ADDR_PER1.ZIPCODE AS SHIP_ZIP_CODE
	,S_ADDR_PER1.X_STATE AS SHIP_STATES
	,S_ADDR_PER1.COUNTRY AS SHIP_COUNTRY
	,S_ADDR_PER1.ADDR_TYPE_CD AS SHIP_ADDR_TYPE
	,DEL_CON.FST_NAME AS DEL_CON_FST_NAME
	,DEL_CON.LAST_NAME AS DEL_CON_LAST_NAME
	,DEL_CON.PER_TITLE AS DEL_CON_TITLE
	,DEL_CON.CON_CD AS DEL_CON_TYPE
	,DEL_CON.X_LANGUAGE_CD AS DEL_CON_LANG
	,--S_LANG.NAMEremoved as per CHG062329
	S_ORDER_X.ATTRIB_53 AS DEL_EMAIL
	,S_ORDER_X.ATTRIB_46 AS DEL_FAX
	,DIGITAL_CON.FST_NAME AS DIGITAL_CON_FST_NAME
	,DIGITAL_CON.LAST_NAME AS DIGITAL_CON_LAST_NAME
	,DIGITAL_CON.PER_TITLE AS DIGITAL_CON_TITLE
	,DIGITAL_CON.CON_CD AS DIGITAL_CON_TYPE
	,DIGITAL_CON.X_LANGUAGE_CD AS DIGITAL_CON_LANG
	--SIGN_LANG.NAME removed as per CHG062329
	,S_ORDER_X.X_SIGNATURE_DT
	,REPLACE(REPLACE(SO.DESC_TEXT, CHAR(10), ' '), CHAR(13), ' ')
	,CASE 
		WHEN AC.OU_TYPE_CD = 'Wholesaler'
			THEN S_ORG_EXT_UTX.OWNERSHIP_CD
		ELSE UTX2.OWNERSHIP_CD
		END AS OWNERSHIP_CD
	,SO.DLVRY_STATUS_CD
	,SO.X_EXPORT_STATUS
	,OI.X_FIX_TAX_AMOUNT -- Calculated field: Quantity * ((Retailer Price + Fix Tax Amount)(1+ % Tax 1 CA + %Tax 2 CA)(1 + % Tax 3 CA)) AS 'X_SALES_AMOUNT'
	,OI.X_TAX_CA_1
	,OI.X_TAX_CA_2
	,OI.X_TAX_CA_3
	,SO.X_TOBACCO_LICN
	,SO.X_BANK_DEPOSIT
	,S_ORDER_X.ATTRIB_03
	,PAR_ORD.ORDER_NUM AS PAR_ORDER_NUM
	,SO.X_ORDER_REASON_CD
	--CHG067147
	,S_ORDER_X.ATTRIB_05
	--CHG067147
	,OI.X_FREE_GOODS_VALUE AS FREE_GOODS_VALUE
	,--CHG069230
	ISNULL((OI.X_VAT_TAX / 100) * (ISNULL((ISNULL((OI.X_RETAILER_PRICE * (100 - ISNULL(OI.DISCNT_PERCENT, 0))) / 100, OI.X_RETAILER_PRICE)) * OI.QTY_REQ, 0)), 0) + ISNULL((ISNULL((OI.X_RETAILER_PRICE * (100 - ISNULL(OI.DISCNT_PERCENT, 0))) / 100, OI.X_RETAILER_PRICE)) * OI.QTY_REQ, 0) AS TOTAL_ORDER_VALUE
	,--CHG069230
	AC.X_ATTRIB_8 AS X_ATTRIB_8
	,--CHG069230
	OI.X_AWARD_POINTS_NUM
	,--CHG069447
	DELIVERY_CONTACT.X_QUALIFICATION AS DELIVERY_QUALIFICATION
	--DEFECT468
	,DELIVERY_CX.ATTRIB_01 AS DELIVERY_PASSPORT
	,--DEFECT468
	DELIVERY_CONTACT.CON_CD AS DELIVERY_CON_TYPE
	,--DEFECT468
	S_ORDER_X.ATTRIB_43 --CHG091484
	,S_ORDER_X.ATTRIB_13 --CHG090896
	,S_REGION.NAME AS GEOGRAPHY_NAME --CHG099160
	,CX_REGION_X.X_ATTRIB_01 --CHG099160
	,AC.X_ATTRIB_2 --CHG099160
	,AC.X_ATTRIB_3 --CHG099160
	--------------CHG107288: New columns to be added 
	,AC.X_LEGAL_ACC_NAME
,S_ORDER_X.ATTRIB_36
,S_ORDER_X.ATTRIB_35
,S_ORDER_X.ATTRIB_34
,SO.X_CHEQUE
,S_ORDER_X.X_CRED_CARD_CONFIRM_FLG
----------CHG128424 ----------------
,OI.X_FEE_01_NUM
,OI.X_FEE_02_NUM
,OI.X_FEE_TYPE_CD
--start v20  - CHG145933 
,S_ORG_EXT_X.ATTRIB_52
,S_ORG_EXT_X.ATTRIB_53
-- End v20 -- CHG145933 
FROM S_ORDER SO
RIGHT JOIN S_ORDER_ITEM OI(NOLOCK) ON SO.ROW_ID = OI.ORDER_ID
INNER JOIN S_ORG_EXT AC(NOLOCK) ON SO.ACCNT_ID = AC.ROW_ID
LEFT OUTER JOIN S_PROD_INT PR(NOLOCK) ON OI.PROD_ID = PR.ROW_ID
LEFT OUTER JOIN S_PRI_LST PL(NOLOCK) ON SO.PRI_LST_ID = PL.ROW_ID
INNER JOIN S_USER SU(NOLOCK) ON SO.CREATED_BY = SU.ROW_ID
LEFT OUTER JOIN S_ORG_EXT SOP(NOLOCK) ON SO.PAYTO_OU_ID = SOP.ROW_ID
INNER JOIN S_ORDER_TYPE TP(NOLOCK) ON SO.ORDER_TYPE_ID = TP.ROW_ID
INNER JOIN S_BU BU(NOLOCK) ON SO.BU_ID = BU.ROW_ID
LEFT OUTER JOIN S_PARTY_REL F2(NOLOCK) ON F2.REL_PARTY_ID = SO.ACCNT_ID
	AND F2.PARTY_ID = SO.PAYTO_OU_ID
LEFT OUTER JOIN S_ADDR_PER AD(NOLOCK) ON AC.PR_ADDR_ID = AD.ROW_ID
LEFT OUTER JOIN S_CONTACT CO(NOLOCK) ON SO.BL_CON_ID = CO.ROW_ID
LEFT OUTER JOIN S_CONTACT_X CX(NOLOCK) ON CO.ROW_ID = CX.PAR_ROW_ID
LEFT OUTER JOIN S_ADDR_PER SAD(NOLOCK) ON SO.BL_ADDR_ID = SAD.ROW_ID
LEFT OUTER JOIN S_CONTACT CONTACT(NOLOCK) ON CONTACT.ROW_ID = SU.ROW_ID
LEFT OUTER JOIN S_POSTN POS(NOLOCK) ON POS.ROW_ID = CONTACT.PR_HELD_POSTN_ID
LEFT OUTER JOIN S_ORDER_X(NOLOCK) ON S_ORDER_X.ROW_ID = SO.ROW_ID
LEFT OUTER JOIN S_CONTACT DELIVERY_CONTACT(NOLOCK) ON SO.CONTACT_ID = DELIVERY_CONTACT.ROW_ID
LEFT OUTER JOIN S_CONTACT_X DELIVERY_CX(NOLOCK) ON DELIVERY_CONTACT.ROW_ID = DELIVERY_CX.PAR_ROW_ID --DEFECT468
LEFT OUTER JOIN S_ORDER PAR_ORD ON PAR_ORD.ROW_ID = SO.PAR_ORDER_ID --CHG053186
	-------------------DEFECT--------------------- 
LEFT OUTER JOIN S_ADDR_PER S_ADDR_PER1(NOLOCK) ON S_ADDR_PER1.ROW_ID = SO.SHIP_PER_ADDR_ID
LEFT OUTER JOIN S_CONTACT DEL_CON(NOLOCK) ON DEL_CON.ROW_ID = SO.SHIP_CON_ID
--LEFT OUTER JOIN S_LANG(NOLOCK)ON S_LANG.LANG_CD=DEL_CON.PREF_LANG_ID
LEFT OUTER JOIN S_CONTACT DIGITAL_CON(NOLOCK) ON DIGITAL_CON.ROW_ID = S_ORDER_X.X_SIGNED_BY_ID
--LEFT OUTER JOIN S_LANG SIGN_LANG(NOLOCK)ON SIGN_LANG.LANG_CD=DIGITAL_CON.PREF_LANG_ID
LEFT OUTER JOIN S_ORG_EXT_UTX(NOLOCK) ON S_ORG_EXT_UTX.PAR_ROW_ID = SO.ACCNT_ID
LEFT OUTER JOIN S_ORG_EXT_UTX UTX2(NOLOCK) ON UTX2.PAR_ROW_ID = SO.PAYTO_OU_ID
	-------------------CHG099160------------------
LEFT OUTER JOIN S_REGION  ON S_REGION.ROW_ID =OI.X_REGION_ID
LEFT OUTER JOIN CX_REGION_X on CX_REGION_X.PAR_ROW_ID=S_REGION.ROW_ID
	-------------------CHG145933------------------
LEFT OUTER JOIN S_ORG_EXT_X ON S_ORG_EXT_X.PAR_ROW_ID = SO.ACCNT_ID
WHERE (SO.X_EXPORT_STATUS  &lt;&gt; 'Exported' OR SO.X_EXPORT_STATUS IS NULL) AND SO.STATUS_CD &lt;&gt; 'Pending' AND OI.QTY_REQ &lt;&gt; 0 AND BU.NAME = 'Belgium, BE'</t>
  </si>
  <si>
    <t>SIEBEL_OLAP_DEV81</t>
  </si>
  <si>
    <t xml:space="preserve">CHECK COUNT RECORDS  EXPORTED </t>
  </si>
  <si>
    <t>290 RECORDS RETURNED</t>
  </si>
  <si>
    <t>3 RECORDS RETURNED</t>
  </si>
  <si>
    <t>2 RECORDS affected</t>
  </si>
  <si>
    <t>2 RECORDS RETURNED</t>
  </si>
  <si>
    <t>GO TO   Interfaces_IP14\Spain\OUNP</t>
  </si>
  <si>
    <t xml:space="preserve">SERVER DRIVE </t>
  </si>
  <si>
    <t>FILE DATA HAS BEEN CREATED WITH EXPECTED RECORDS</t>
  </si>
  <si>
    <t>SELECT top 1 * from  WC_ETL_FILES_G  WHERE FILENAME LIKE '%ESSO2101%'  ORDER by 6 DESC
SELECT top 1 * from  WC_ETL_FILES_G  WHERE FILENAME LIKE '%BESO2002%'  ORDER by 6 DESC</t>
  </si>
  <si>
    <r>
      <t xml:space="preserve">RUN SCRIPT TO CHECK DATA EXPORTED AND </t>
    </r>
    <r>
      <rPr>
        <sz val="11"/>
        <color rgb="FF00B050"/>
        <rFont val="Book Antiqua"/>
        <family val="1"/>
      </rPr>
      <t>NOTE THE FILENAME AND RECORDCOUNT</t>
    </r>
    <r>
      <rPr>
        <sz val="11"/>
        <rFont val="Book Antiqua"/>
        <family val="1"/>
      </rPr>
      <t xml:space="preserve"> COLUMNS</t>
    </r>
  </si>
  <si>
    <t>2 ROWS RETURNED</t>
  </si>
  <si>
    <t>SCREENSHOT 4</t>
  </si>
  <si>
    <t xml:space="preserve">Run the script to check data and note </t>
  </si>
  <si>
    <r>
      <t xml:space="preserve">2 ROWS RETURNED
</t>
    </r>
    <r>
      <rPr>
        <b/>
        <sz val="10"/>
        <color rgb="FF00B050"/>
        <rFont val="Book Antiqua"/>
        <family val="1"/>
      </rPr>
      <t>SCREENSHOT 2</t>
    </r>
  </si>
  <si>
    <r>
      <t xml:space="preserve">3 RECORDS returned 
</t>
    </r>
    <r>
      <rPr>
        <b/>
        <sz val="10"/>
        <color rgb="FF00B050"/>
        <rFont val="Book Antiqua"/>
        <family val="1"/>
      </rPr>
      <t>SCREENSHOT 1</t>
    </r>
    <r>
      <rPr>
        <sz val="10"/>
        <rFont val="Book Antiqua"/>
        <family val="1"/>
      </rPr>
      <t xml:space="preserve">
</t>
    </r>
  </si>
  <si>
    <t xml:space="preserve">290 RECORDS returned 
</t>
  </si>
  <si>
    <t xml:space="preserve">Check data to be export for BELGIUM 
and note the number of records retuned </t>
  </si>
  <si>
    <t>RUN_OUTBOUND_SO</t>
  </si>
  <si>
    <t>s_FDE_INT_ORDER_EXPORT_V21_ES</t>
  </si>
  <si>
    <t>CHECK IF TXT FILES HAVE BEEN CREATED WITH ALL DATA AS EXPECTED   IN  X_ORDER_UOM_TEXT ,X_ORDER_QUANTITY_NUM ,X_ORDER_CAT_CD</t>
  </si>
  <si>
    <t>Check data to be export for Spain 
note the number of records retuned and the values in columns X_ORDER_UOM_TEXT ,X_ORDER_QUANTITY_NUM ,X_ORDER_CAT_CD</t>
  </si>
  <si>
    <t>CHG212943 - CHG212979 - CHG212925</t>
  </si>
  <si>
    <t>SOv21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</si>
</sst>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1"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
      <sz val="11"/>
      <color rgb="FF00B050"/>
      <name val="Book Antiqua"/>
      <family val="1"/>
    </font>
    <font>
      <sz val="10"/>
      <color rgb="FF00B050"/>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s>
  <borders count="18">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16">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xf numFmtId="0" fontId="38" fillId="0" borderId="10" xfId="37" applyFont="1" applyFill="1" applyBorder="1" applyAlignment="1">
      <alignment vertical="center" wrapText="1"/>
    </xf>
    <xf numFmtId="0" fontId="38" fillId="0" borderId="10" xfId="37" applyBorder="1" applyAlignment="1">
      <alignment horizontal="left" vertical="center" wrapText="1"/>
    </xf>
    <xf numFmtId="0" fontId="30" fillId="0" borderId="12" xfId="37" applyFont="1" applyBorder="1" applyAlignment="1">
      <alignment vertical="top"/>
    </xf>
    <xf numFmtId="0" fontId="30" fillId="0" borderId="16" xfId="37" applyFont="1" applyBorder="1" applyAlignment="1">
      <alignment vertical="top" wrapText="1"/>
    </xf>
    <xf numFmtId="0" fontId="38" fillId="0" borderId="17" xfId="37" applyFont="1" applyFill="1" applyBorder="1" applyAlignment="1">
      <alignment vertical="top" wrapText="1"/>
    </xf>
    <xf numFmtId="0" fontId="38" fillId="0" borderId="17" xfId="37" applyFont="1" applyBorder="1" applyAlignment="1">
      <alignment horizontal="left" vertical="top" wrapText="1"/>
    </xf>
    <xf numFmtId="0" fontId="38" fillId="0" borderId="13" xfId="37" applyBorder="1" applyAlignment="1">
      <alignment horizontal="left" vertical="top" wrapText="1"/>
    </xf>
    <xf numFmtId="0" fontId="38" fillId="0" borderId="13" xfId="37" applyFont="1" applyBorder="1" applyAlignment="1">
      <alignment horizontal="left" vertical="top" wrapText="1"/>
    </xf>
    <xf numFmtId="0" fontId="38" fillId="0" borderId="10" xfId="37" applyBorder="1" applyAlignment="1">
      <alignment vertical="center"/>
    </xf>
    <xf numFmtId="0" fontId="30" fillId="0" borderId="16" xfId="37" applyFont="1" applyBorder="1" applyAlignment="1">
      <alignment vertical="center" wrapText="1"/>
    </xf>
    <xf numFmtId="0" fontId="30" fillId="0" borderId="10" xfId="37" applyFont="1" applyBorder="1" applyAlignment="1">
      <alignment horizontal="left" vertical="center" wrapText="1"/>
    </xf>
    <xf numFmtId="0" fontId="38" fillId="0" borderId="10" xfId="37" applyBorder="1" applyAlignment="1">
      <alignment vertical="center" wrapText="1"/>
    </xf>
    <xf numFmtId="0" fontId="50" fillId="0" borderId="10" xfId="37" applyFont="1" applyBorder="1" applyAlignment="1">
      <alignment vertical="center"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68580</xdr:colOff>
      <xdr:row>21</xdr:row>
      <xdr:rowOff>60960</xdr:rowOff>
    </xdr:from>
    <xdr:to>
      <xdr:col>11</xdr:col>
      <xdr:colOff>31231</xdr:colOff>
      <xdr:row>37</xdr:row>
      <xdr:rowOff>131101</xdr:rowOff>
    </xdr:to>
    <xdr:pic>
      <xdr:nvPicPr>
        <xdr:cNvPr id="7" name="Picture 6">
          <a:extLst>
            <a:ext uri="{FF2B5EF4-FFF2-40B4-BE49-F238E27FC236}">
              <a16:creationId xmlns:a16="http://schemas.microsoft.com/office/drawing/2014/main" id="{613DAD05-57CB-45A3-B7A0-3E9A423B090D}"/>
            </a:ext>
          </a:extLst>
        </xdr:cNvPr>
        <xdr:cNvPicPr>
          <a:picLocks noChangeAspect="1"/>
        </xdr:cNvPicPr>
      </xdr:nvPicPr>
      <xdr:blipFill>
        <a:blip xmlns:r="http://schemas.openxmlformats.org/officeDocument/2006/relationships" r:embed="rId1"/>
        <a:stretch>
          <a:fillRect/>
        </a:stretch>
      </xdr:blipFill>
      <xdr:spPr>
        <a:xfrm>
          <a:off x="68580" y="3581400"/>
          <a:ext cx="9228571" cy="2752381"/>
        </a:xfrm>
        <a:prstGeom prst="rect">
          <a:avLst/>
        </a:prstGeom>
      </xdr:spPr>
    </xdr:pic>
    <xdr:clientData/>
  </xdr:twoCellAnchor>
  <xdr:twoCellAnchor editAs="oneCell">
    <xdr:from>
      <xdr:col>0</xdr:col>
      <xdr:colOff>0</xdr:colOff>
      <xdr:row>3</xdr:row>
      <xdr:rowOff>0</xdr:rowOff>
    </xdr:from>
    <xdr:to>
      <xdr:col>15</xdr:col>
      <xdr:colOff>396625</xdr:colOff>
      <xdr:row>16</xdr:row>
      <xdr:rowOff>68299</xdr:rowOff>
    </xdr:to>
    <xdr:pic>
      <xdr:nvPicPr>
        <xdr:cNvPr id="8" name="Picture 7">
          <a:extLst>
            <a:ext uri="{FF2B5EF4-FFF2-40B4-BE49-F238E27FC236}">
              <a16:creationId xmlns:a16="http://schemas.microsoft.com/office/drawing/2014/main" id="{7ABA3BDC-15A1-484C-9BA0-11C693C55D7B}"/>
            </a:ext>
          </a:extLst>
        </xdr:cNvPr>
        <xdr:cNvPicPr>
          <a:picLocks noChangeAspect="1"/>
        </xdr:cNvPicPr>
      </xdr:nvPicPr>
      <xdr:blipFill>
        <a:blip xmlns:r="http://schemas.openxmlformats.org/officeDocument/2006/relationships" r:embed="rId2"/>
        <a:stretch>
          <a:fillRect/>
        </a:stretch>
      </xdr:blipFill>
      <xdr:spPr>
        <a:xfrm>
          <a:off x="0" y="502920"/>
          <a:ext cx="12161905" cy="2247619"/>
        </a:xfrm>
        <a:prstGeom prst="rect">
          <a:avLst/>
        </a:prstGeom>
      </xdr:spPr>
    </xdr:pic>
    <xdr:clientData/>
  </xdr:twoCellAnchor>
  <xdr:twoCellAnchor editAs="oneCell">
    <xdr:from>
      <xdr:col>0</xdr:col>
      <xdr:colOff>15240</xdr:colOff>
      <xdr:row>45</xdr:row>
      <xdr:rowOff>132764</xdr:rowOff>
    </xdr:from>
    <xdr:to>
      <xdr:col>13</xdr:col>
      <xdr:colOff>449574</xdr:colOff>
      <xdr:row>77</xdr:row>
      <xdr:rowOff>164793</xdr:rowOff>
    </xdr:to>
    <xdr:pic>
      <xdr:nvPicPr>
        <xdr:cNvPr id="9" name="Picture 8">
          <a:extLst>
            <a:ext uri="{FF2B5EF4-FFF2-40B4-BE49-F238E27FC236}">
              <a16:creationId xmlns:a16="http://schemas.microsoft.com/office/drawing/2014/main" id="{1BA83DF6-AF18-43D4-BDF5-5CCDAC7DB0BB}"/>
            </a:ext>
          </a:extLst>
        </xdr:cNvPr>
        <xdr:cNvPicPr>
          <a:picLocks noChangeAspect="1"/>
        </xdr:cNvPicPr>
      </xdr:nvPicPr>
      <xdr:blipFill>
        <a:blip xmlns:r="http://schemas.openxmlformats.org/officeDocument/2006/relationships" r:embed="rId3"/>
        <a:stretch>
          <a:fillRect/>
        </a:stretch>
      </xdr:blipFill>
      <xdr:spPr>
        <a:xfrm>
          <a:off x="15240" y="7676564"/>
          <a:ext cx="10949934" cy="539650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abSelected="1" topLeftCell="A10"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8" width="10.6640625" style="12" customWidth="1"/>
    <col min="19" max="19" width="38.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9" t="s">
        <v>2</v>
      </c>
      <c r="B13" s="89"/>
      <c r="C13" s="89"/>
      <c r="D13" s="89"/>
      <c r="E13" s="89"/>
      <c r="F13" s="89"/>
      <c r="G13" s="89"/>
      <c r="H13" s="89"/>
      <c r="I13" s="89"/>
      <c r="J13" s="89"/>
      <c r="K13" s="89"/>
      <c r="L13" s="89"/>
      <c r="M13" s="89"/>
      <c r="N13" s="89"/>
      <c r="O13" s="89"/>
      <c r="P13" s="89"/>
      <c r="Q13" s="89"/>
      <c r="R13" s="89"/>
      <c r="S13" s="89"/>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0" t="s">
        <v>17</v>
      </c>
      <c r="B18" s="90"/>
      <c r="C18" s="90"/>
      <c r="D18" s="90"/>
      <c r="E18" s="90"/>
      <c r="F18" s="90"/>
      <c r="G18" s="90"/>
      <c r="H18" s="90"/>
      <c r="I18" s="90"/>
      <c r="J18" s="90"/>
      <c r="K18" s="90"/>
      <c r="L18" s="90"/>
      <c r="M18" s="90"/>
      <c r="N18" s="90"/>
      <c r="O18" s="90"/>
      <c r="P18" s="90"/>
      <c r="Q18" s="90"/>
      <c r="R18" s="90"/>
      <c r="S18" s="90"/>
    </row>
    <row r="19" spans="1:19" s="15" customFormat="1" ht="40.65" customHeight="1" x14ac:dyDescent="0.25">
      <c r="A19" s="91" t="s">
        <v>1</v>
      </c>
      <c r="B19" s="91"/>
      <c r="C19" s="91"/>
      <c r="D19" s="91"/>
      <c r="E19" s="91"/>
      <c r="F19" s="91"/>
      <c r="G19" s="91"/>
      <c r="H19" s="91"/>
      <c r="I19" s="91"/>
      <c r="J19" s="91"/>
      <c r="K19" s="91"/>
      <c r="L19" s="91"/>
      <c r="M19" s="91"/>
      <c r="N19" s="91"/>
      <c r="O19" s="91"/>
      <c r="P19" s="91"/>
      <c r="Q19" s="91"/>
      <c r="R19" s="91"/>
      <c r="S19" s="91"/>
    </row>
    <row r="20" spans="1:19" s="15" customFormat="1" ht="13.8" x14ac:dyDescent="0.25">
      <c r="A20" s="16"/>
      <c r="B20" s="16"/>
      <c r="C20" s="16"/>
      <c r="D20" s="16"/>
      <c r="E20" s="16"/>
      <c r="F20" s="16"/>
      <c r="G20" s="16"/>
      <c r="H20" s="16"/>
      <c r="I20" s="16"/>
      <c r="J20" s="16"/>
    </row>
    <row r="21" spans="1:19" s="15" customFormat="1" ht="58.65" customHeight="1" x14ac:dyDescent="0.25">
      <c r="A21" s="92" t="s">
        <v>74</v>
      </c>
      <c r="B21" s="92"/>
      <c r="C21" s="92"/>
      <c r="D21" s="92"/>
      <c r="E21" s="92"/>
      <c r="F21" s="92"/>
      <c r="G21" s="92"/>
      <c r="H21" s="92"/>
      <c r="I21" s="92"/>
      <c r="J21" s="6"/>
      <c r="K21" s="93" t="s">
        <v>126</v>
      </c>
      <c r="L21" s="93"/>
      <c r="M21" s="93"/>
      <c r="N21" s="93"/>
      <c r="O21" s="93"/>
      <c r="P21" s="93"/>
      <c r="Q21" s="93"/>
      <c r="R21" s="93"/>
      <c r="S21" s="93"/>
    </row>
    <row r="22" spans="1:19" s="15" customFormat="1" ht="13.8" x14ac:dyDescent="0.25">
      <c r="A22" s="16"/>
      <c r="B22" s="16"/>
      <c r="C22" s="16"/>
      <c r="D22" s="16"/>
      <c r="E22" s="16"/>
      <c r="F22" s="16"/>
      <c r="G22" s="16"/>
      <c r="H22" s="16"/>
      <c r="I22" s="16"/>
      <c r="J22" s="16"/>
    </row>
    <row r="23" spans="1:19" s="15" customFormat="1" ht="70.2" customHeight="1" x14ac:dyDescent="0.25">
      <c r="A23" s="85" t="s">
        <v>18</v>
      </c>
      <c r="B23" s="85"/>
      <c r="C23" s="85"/>
      <c r="D23" s="85"/>
      <c r="E23" s="85"/>
      <c r="F23" s="85"/>
      <c r="G23" s="85"/>
      <c r="H23" s="85"/>
      <c r="I23" s="85"/>
      <c r="J23" s="7"/>
      <c r="K23" s="86" t="s">
        <v>127</v>
      </c>
      <c r="L23" s="86"/>
      <c r="M23" s="86"/>
      <c r="N23" s="86"/>
      <c r="O23" s="86"/>
      <c r="P23" s="86"/>
      <c r="Q23" s="86"/>
      <c r="R23" s="86"/>
      <c r="S23" s="86"/>
    </row>
    <row r="24" spans="1:19" s="15" customFormat="1" ht="13.8" x14ac:dyDescent="0.25">
      <c r="A24" s="16"/>
      <c r="B24" s="16"/>
      <c r="C24" s="16"/>
      <c r="D24" s="16"/>
      <c r="E24" s="16"/>
      <c r="F24" s="16"/>
      <c r="G24" s="16"/>
      <c r="H24" s="16"/>
      <c r="I24" s="16"/>
      <c r="J24" s="16"/>
    </row>
    <row r="25" spans="1:19" s="15" customFormat="1" ht="70.2" customHeight="1" x14ac:dyDescent="0.25">
      <c r="A25" s="87" t="s">
        <v>3</v>
      </c>
      <c r="B25" s="87"/>
      <c r="C25" s="87"/>
      <c r="D25" s="87"/>
      <c r="E25" s="87"/>
      <c r="F25" s="87"/>
      <c r="G25" s="87"/>
      <c r="H25" s="87"/>
      <c r="I25" s="87"/>
      <c r="J25" s="7"/>
      <c r="K25" s="88" t="s">
        <v>91</v>
      </c>
      <c r="L25" s="88"/>
      <c r="M25" s="88"/>
      <c r="N25" s="88"/>
      <c r="O25" s="88"/>
      <c r="P25" s="88"/>
      <c r="Q25" s="88"/>
      <c r="R25" s="88"/>
      <c r="S25" s="88"/>
    </row>
    <row r="26" spans="1:19" s="15" customFormat="1" ht="13.8" x14ac:dyDescent="0.25">
      <c r="A26" s="16"/>
      <c r="B26" s="16"/>
      <c r="C26" s="16"/>
      <c r="D26" s="16"/>
      <c r="E26" s="16"/>
      <c r="F26" s="16"/>
      <c r="G26" s="16"/>
      <c r="H26" s="16"/>
      <c r="I26" s="16"/>
      <c r="J26" s="16"/>
    </row>
    <row r="27" spans="1:19" ht="27" customHeight="1" x14ac:dyDescent="0.25">
      <c r="A27" s="83" t="s">
        <v>13</v>
      </c>
      <c r="B27" s="83"/>
      <c r="C27" s="83"/>
      <c r="D27" s="83"/>
      <c r="E27" s="83"/>
      <c r="F27" s="83"/>
      <c r="G27" s="83"/>
      <c r="H27" s="83"/>
      <c r="I27" s="83"/>
      <c r="K27" s="84" t="s">
        <v>19</v>
      </c>
      <c r="L27" s="84"/>
      <c r="M27" s="84"/>
      <c r="N27" s="84"/>
      <c r="O27" s="84"/>
      <c r="P27" s="84"/>
      <c r="Q27" s="84"/>
      <c r="R27" s="84"/>
      <c r="S27" s="84"/>
    </row>
    <row r="28" spans="1:19" ht="27" customHeight="1" x14ac:dyDescent="0.25">
      <c r="A28" s="83"/>
      <c r="B28" s="83"/>
      <c r="C28" s="83"/>
      <c r="D28" s="83"/>
      <c r="E28" s="83"/>
      <c r="F28" s="83"/>
      <c r="G28" s="83"/>
      <c r="H28" s="83"/>
      <c r="I28" s="83"/>
      <c r="K28" s="84"/>
      <c r="L28" s="84"/>
      <c r="M28" s="84"/>
      <c r="N28" s="84"/>
      <c r="O28" s="17"/>
      <c r="P28" s="17"/>
      <c r="Q28" s="17"/>
      <c r="R28" s="17"/>
      <c r="S28" s="17"/>
    </row>
    <row r="29" spans="1:19" ht="27" customHeight="1" x14ac:dyDescent="0.25">
      <c r="A29" s="83"/>
      <c r="B29" s="83"/>
      <c r="C29" s="83"/>
      <c r="D29" s="83"/>
      <c r="E29" s="83"/>
      <c r="F29" s="83"/>
      <c r="G29" s="83"/>
      <c r="H29" s="83"/>
      <c r="I29" s="83"/>
      <c r="K29" s="84"/>
      <c r="L29" s="84"/>
      <c r="M29" s="84"/>
      <c r="N29" s="84"/>
      <c r="O29" s="84"/>
      <c r="P29" s="84"/>
      <c r="Q29" s="84"/>
      <c r="R29" s="84"/>
      <c r="S29" s="84"/>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44519</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1" workbookViewId="0">
      <selection activeCell="E18" sqref="E18"/>
    </sheetView>
  </sheetViews>
  <sheetFormatPr defaultColWidth="8" defaultRowHeight="13.2" x14ac:dyDescent="0.25"/>
  <cols>
    <col min="1" max="1" width="54.109375" style="2" customWidth="1"/>
    <col min="2" max="2" width="86.44140625" style="49" customWidth="1"/>
    <col min="3" max="3" width="25.109375" style="2" bestFit="1" customWidth="1"/>
    <col min="4" max="16384" width="8" style="2"/>
  </cols>
  <sheetData>
    <row r="1" spans="1:3" hidden="1" x14ac:dyDescent="0.25">
      <c r="A1" s="1" t="s">
        <v>5</v>
      </c>
    </row>
    <row r="2" spans="1:3" hidden="1" x14ac:dyDescent="0.25">
      <c r="A2" s="3" t="s">
        <v>20</v>
      </c>
      <c r="B2" s="50" t="s">
        <v>6</v>
      </c>
    </row>
    <row r="3" spans="1:3" hidden="1" x14ac:dyDescent="0.25">
      <c r="A3" s="3" t="s">
        <v>20</v>
      </c>
      <c r="B3" s="50" t="s">
        <v>6</v>
      </c>
    </row>
    <row r="4" spans="1:3" hidden="1" x14ac:dyDescent="0.25">
      <c r="A4" s="3" t="s">
        <v>21</v>
      </c>
      <c r="B4" s="50" t="s">
        <v>7</v>
      </c>
    </row>
    <row r="5" spans="1:3" hidden="1" x14ac:dyDescent="0.25">
      <c r="A5" s="3" t="s">
        <v>22</v>
      </c>
      <c r="B5" s="50" t="s">
        <v>7</v>
      </c>
    </row>
    <row r="6" spans="1:3" x14ac:dyDescent="0.25">
      <c r="A6" s="5"/>
      <c r="B6" s="51"/>
      <c r="C6" s="4"/>
    </row>
    <row r="7" spans="1:3" x14ac:dyDescent="0.25">
      <c r="A7" s="30"/>
      <c r="B7" s="51"/>
      <c r="C7" s="4"/>
    </row>
    <row r="8" spans="1:3" ht="28.2" x14ac:dyDescent="0.25">
      <c r="A8" s="94" t="s">
        <v>1</v>
      </c>
      <c r="B8" s="94"/>
      <c r="C8" s="29" t="s">
        <v>8</v>
      </c>
    </row>
    <row r="9" spans="1:3" x14ac:dyDescent="0.25">
      <c r="A9" s="4"/>
      <c r="B9" s="51"/>
      <c r="C9" s="4"/>
    </row>
    <row r="10" spans="1:3" x14ac:dyDescent="0.25">
      <c r="A10" s="5" t="s">
        <v>9</v>
      </c>
      <c r="B10" s="95" t="s">
        <v>10</v>
      </c>
      <c r="C10" s="95"/>
    </row>
    <row r="11" spans="1:3" x14ac:dyDescent="0.25">
      <c r="A11" s="25" t="s">
        <v>11</v>
      </c>
      <c r="B11" s="21" t="s">
        <v>80</v>
      </c>
      <c r="C11" s="22"/>
    </row>
    <row r="12" spans="1:3" x14ac:dyDescent="0.25">
      <c r="A12" s="30"/>
      <c r="B12" s="51"/>
      <c r="C12" s="4"/>
    </row>
    <row r="13" spans="1:3" x14ac:dyDescent="0.25">
      <c r="A13" s="30"/>
      <c r="B13" s="51"/>
      <c r="C13" s="4"/>
    </row>
    <row r="14" spans="1:3" ht="19.649999999999999" customHeight="1" x14ac:dyDescent="0.25">
      <c r="A14" s="26" t="str">
        <f>CONCATENATE("To be Performed by Tester : ",'Test Cycle 1'!H2)</f>
        <v>To be Performed by Tester : Frank</v>
      </c>
      <c r="B14" s="52"/>
      <c r="C14" s="4"/>
    </row>
    <row r="15" spans="1:3" ht="21.9" customHeight="1" x14ac:dyDescent="0.3">
      <c r="A15" s="31" t="s">
        <v>23</v>
      </c>
      <c r="B15" s="96"/>
      <c r="C15" s="97"/>
    </row>
    <row r="16" spans="1:3" ht="39.75" customHeight="1" x14ac:dyDescent="0.25">
      <c r="A16" s="28" t="s">
        <v>24</v>
      </c>
      <c r="B16" s="28" t="s">
        <v>12</v>
      </c>
      <c r="C16" s="23" t="s">
        <v>25</v>
      </c>
    </row>
    <row r="17" spans="1:3" x14ac:dyDescent="0.25">
      <c r="A17" s="24" t="s">
        <v>26</v>
      </c>
      <c r="B17" s="53"/>
      <c r="C17" s="27" t="s">
        <v>84</v>
      </c>
    </row>
    <row r="18" spans="1:3" x14ac:dyDescent="0.25">
      <c r="A18" s="24" t="s">
        <v>27</v>
      </c>
      <c r="B18" s="53"/>
      <c r="C18" s="27" t="s">
        <v>85</v>
      </c>
    </row>
    <row r="19" spans="1:3" x14ac:dyDescent="0.25">
      <c r="A19" s="24" t="s">
        <v>28</v>
      </c>
      <c r="B19" s="53"/>
      <c r="C19" s="27" t="s">
        <v>84</v>
      </c>
    </row>
    <row r="20" spans="1:3" x14ac:dyDescent="0.25">
      <c r="A20" s="24" t="s">
        <v>76</v>
      </c>
      <c r="B20" s="54"/>
      <c r="C20" s="27" t="s">
        <v>84</v>
      </c>
    </row>
    <row r="21" spans="1:3" x14ac:dyDescent="0.25">
      <c r="A21" s="24" t="s">
        <v>77</v>
      </c>
      <c r="B21" s="53"/>
      <c r="C21" s="27" t="s">
        <v>84</v>
      </c>
    </row>
    <row r="22" spans="1:3" x14ac:dyDescent="0.25">
      <c r="A22" s="24" t="s">
        <v>79</v>
      </c>
      <c r="B22" s="53"/>
      <c r="C22" s="27" t="s">
        <v>84</v>
      </c>
    </row>
    <row r="23" spans="1:3" x14ac:dyDescent="0.25">
      <c r="A23" s="24" t="s">
        <v>78</v>
      </c>
      <c r="B23" s="58"/>
      <c r="C23" s="27" t="s">
        <v>84</v>
      </c>
    </row>
    <row r="24" spans="1:3" x14ac:dyDescent="0.25">
      <c r="A24" s="24" t="s">
        <v>29</v>
      </c>
      <c r="B24" s="53"/>
      <c r="C24" s="27" t="s">
        <v>84</v>
      </c>
    </row>
    <row r="25" spans="1:3" x14ac:dyDescent="0.25">
      <c r="A25" s="24" t="s">
        <v>30</v>
      </c>
      <c r="B25" s="53"/>
      <c r="C25" s="27" t="s">
        <v>85</v>
      </c>
    </row>
    <row r="26" spans="1:3" ht="26.4" x14ac:dyDescent="0.25">
      <c r="A26" s="24" t="s">
        <v>31</v>
      </c>
      <c r="B26" s="27"/>
      <c r="C26" s="27" t="s">
        <v>85</v>
      </c>
    </row>
    <row r="27" spans="1:3" x14ac:dyDescent="0.25">
      <c r="A27" s="24" t="s">
        <v>55</v>
      </c>
      <c r="B27" s="27"/>
      <c r="C27" s="27" t="s">
        <v>85</v>
      </c>
    </row>
    <row r="28" spans="1:3" x14ac:dyDescent="0.25">
      <c r="A28" s="24" t="s">
        <v>81</v>
      </c>
      <c r="B28" s="53"/>
      <c r="C28" s="27" t="s">
        <v>84</v>
      </c>
    </row>
    <row r="29" spans="1:3" x14ac:dyDescent="0.25">
      <c r="A29" s="24" t="s">
        <v>82</v>
      </c>
      <c r="B29" s="53"/>
      <c r="C29" s="27" t="s">
        <v>84</v>
      </c>
    </row>
    <row r="30" spans="1:3" x14ac:dyDescent="0.25">
      <c r="A30" s="43"/>
      <c r="B30" s="55"/>
      <c r="C30" s="44"/>
    </row>
    <row r="31" spans="1:3" x14ac:dyDescent="0.25">
      <c r="A31" s="45"/>
      <c r="B31" s="56"/>
      <c r="C31" s="45"/>
    </row>
    <row r="32" spans="1:3" x14ac:dyDescent="0.25">
      <c r="A32" s="42" t="str">
        <f>CONCATENATE("To be Performed by Reviewer : ",'Test Cycle 1'!H3)</f>
        <v xml:space="preserve">To be Performed by Reviewer : </v>
      </c>
      <c r="B32" s="52"/>
      <c r="C32" s="4"/>
    </row>
    <row r="33" spans="1:3" ht="14.4" x14ac:dyDescent="0.3">
      <c r="A33" s="31" t="s">
        <v>23</v>
      </c>
      <c r="B33" s="96"/>
      <c r="C33" s="97"/>
    </row>
    <row r="34" spans="1:3" ht="26.4" x14ac:dyDescent="0.25">
      <c r="A34" s="28" t="s">
        <v>24</v>
      </c>
      <c r="B34" s="28"/>
      <c r="C34" s="23" t="s">
        <v>25</v>
      </c>
    </row>
    <row r="35" spans="1:3" x14ac:dyDescent="0.25">
      <c r="A35" s="24" t="s">
        <v>32</v>
      </c>
      <c r="B35" s="53"/>
      <c r="C35" s="27"/>
    </row>
    <row r="36" spans="1:3" x14ac:dyDescent="0.25">
      <c r="A36" s="24" t="s">
        <v>33</v>
      </c>
      <c r="B36" s="53"/>
      <c r="C36" s="27"/>
    </row>
    <row r="37" spans="1:3" x14ac:dyDescent="0.25">
      <c r="A37" s="24" t="s">
        <v>75</v>
      </c>
      <c r="B37" s="53"/>
      <c r="C37" s="27"/>
    </row>
    <row r="38" spans="1:3" x14ac:dyDescent="0.25">
      <c r="A38" s="24" t="s">
        <v>34</v>
      </c>
      <c r="B38" s="53"/>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5"/>
  <sheetViews>
    <sheetView topLeftCell="C2" zoomScale="70" zoomScaleNormal="70" workbookViewId="0">
      <selection activeCell="G11" sqref="G11"/>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9"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8" t="s">
        <v>123</v>
      </c>
      <c r="C1" s="99"/>
      <c r="D1" s="99"/>
      <c r="E1" s="70" t="s">
        <v>44</v>
      </c>
      <c r="F1" s="36" t="s">
        <v>87</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8" t="s">
        <v>122</v>
      </c>
      <c r="C2" s="99"/>
      <c r="D2" s="99"/>
      <c r="E2" s="70" t="s">
        <v>47</v>
      </c>
      <c r="F2" s="38" t="s">
        <v>92</v>
      </c>
      <c r="G2" s="35" t="s">
        <v>48</v>
      </c>
      <c r="H2" s="41" t="s">
        <v>86</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0"/>
      <c r="C3" s="100"/>
      <c r="D3" s="100"/>
      <c r="E3" s="70"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1"/>
      <c r="C4" s="102"/>
      <c r="D4" s="102"/>
      <c r="E4" s="102"/>
      <c r="F4" s="102"/>
      <c r="G4" s="102"/>
      <c r="H4" s="10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9" t="s">
        <v>66</v>
      </c>
      <c r="B5" s="69" t="s">
        <v>67</v>
      </c>
      <c r="C5" s="69" t="s">
        <v>68</v>
      </c>
      <c r="D5" s="69" t="s">
        <v>69</v>
      </c>
      <c r="E5" s="69" t="s">
        <v>70</v>
      </c>
      <c r="F5" s="69" t="s">
        <v>71</v>
      </c>
      <c r="G5" s="69" t="s">
        <v>72</v>
      </c>
      <c r="H5" s="69" t="s">
        <v>73</v>
      </c>
      <c r="I5" s="69" t="s">
        <v>64</v>
      </c>
      <c r="J5" s="69"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61.8" customHeight="1" x14ac:dyDescent="0.3">
      <c r="A6" s="46">
        <v>1</v>
      </c>
      <c r="B6" s="107" t="s">
        <v>101</v>
      </c>
      <c r="C6" s="108" t="s">
        <v>94</v>
      </c>
      <c r="D6" s="47" t="s">
        <v>83</v>
      </c>
      <c r="E6" s="48" t="s">
        <v>95</v>
      </c>
      <c r="F6" s="48" t="s">
        <v>108</v>
      </c>
      <c r="G6" s="77" t="s">
        <v>96</v>
      </c>
      <c r="H6" s="77" t="s">
        <v>109</v>
      </c>
      <c r="I6" s="37"/>
      <c r="J6" s="40"/>
      <c r="AY6" s="34" t="s">
        <v>45</v>
      </c>
    </row>
    <row r="7" spans="1:55" s="33" customFormat="1" ht="116.25" customHeight="1" x14ac:dyDescent="0.3">
      <c r="A7" s="105">
        <v>2</v>
      </c>
      <c r="B7" s="114" t="s">
        <v>125</v>
      </c>
      <c r="C7" s="111" t="s">
        <v>102</v>
      </c>
      <c r="D7" s="106" t="s">
        <v>83</v>
      </c>
      <c r="E7" s="79" t="s">
        <v>97</v>
      </c>
      <c r="F7" s="113" t="s">
        <v>107</v>
      </c>
      <c r="G7" s="79" t="s">
        <v>97</v>
      </c>
      <c r="H7" s="76" t="s">
        <v>119</v>
      </c>
      <c r="I7" s="37"/>
      <c r="J7" s="40"/>
      <c r="AY7" s="34" t="s">
        <v>49</v>
      </c>
    </row>
    <row r="8" spans="1:55" s="33" customFormat="1" ht="116.25" customHeight="1" x14ac:dyDescent="0.3">
      <c r="A8" s="105"/>
      <c r="B8" s="114" t="s">
        <v>121</v>
      </c>
      <c r="C8" s="111" t="s">
        <v>117</v>
      </c>
      <c r="D8" s="112" t="s">
        <v>83</v>
      </c>
      <c r="E8" s="79" t="s">
        <v>103</v>
      </c>
      <c r="F8" s="113" t="s">
        <v>106</v>
      </c>
      <c r="G8" s="79" t="s">
        <v>103</v>
      </c>
      <c r="H8" s="81" t="s">
        <v>120</v>
      </c>
      <c r="I8" s="37"/>
      <c r="J8" s="40"/>
      <c r="AY8" s="34"/>
    </row>
    <row r="9" spans="1:55" s="33" customFormat="1" ht="28.8" x14ac:dyDescent="0.3">
      <c r="A9" s="47">
        <v>3</v>
      </c>
      <c r="B9" s="110" t="s">
        <v>98</v>
      </c>
      <c r="C9" s="109" t="s">
        <v>99</v>
      </c>
      <c r="D9" s="47" t="s">
        <v>100</v>
      </c>
      <c r="E9" s="77" t="s">
        <v>93</v>
      </c>
      <c r="F9" s="47" t="s">
        <v>93</v>
      </c>
      <c r="G9" s="77" t="s">
        <v>93</v>
      </c>
      <c r="H9" s="47" t="s">
        <v>93</v>
      </c>
      <c r="I9" s="37"/>
      <c r="J9" s="57"/>
      <c r="AY9" s="34" t="s">
        <v>53</v>
      </c>
    </row>
    <row r="10" spans="1:55" s="33" customFormat="1" ht="100.2" customHeight="1" x14ac:dyDescent="0.3">
      <c r="A10" s="46">
        <v>4</v>
      </c>
      <c r="B10" s="103" t="s">
        <v>105</v>
      </c>
      <c r="C10" s="104" t="s">
        <v>114</v>
      </c>
      <c r="D10" s="81" t="s">
        <v>104</v>
      </c>
      <c r="E10" s="77" t="s">
        <v>113</v>
      </c>
      <c r="F10" s="47" t="s">
        <v>115</v>
      </c>
      <c r="G10" s="77" t="s">
        <v>113</v>
      </c>
      <c r="H10" s="76" t="s">
        <v>118</v>
      </c>
      <c r="I10" s="37"/>
      <c r="J10" s="57"/>
      <c r="U10" s="32"/>
    </row>
    <row r="11" spans="1:55" s="33" customFormat="1" ht="102.6" customHeight="1" x14ac:dyDescent="0.3">
      <c r="A11" s="46">
        <v>5</v>
      </c>
      <c r="B11" s="78" t="s">
        <v>124</v>
      </c>
      <c r="C11" s="80" t="s">
        <v>110</v>
      </c>
      <c r="D11" s="76" t="s">
        <v>111</v>
      </c>
      <c r="E11" s="77" t="s">
        <v>93</v>
      </c>
      <c r="F11" s="76" t="s">
        <v>112</v>
      </c>
      <c r="G11" s="77" t="s">
        <v>93</v>
      </c>
      <c r="H11" s="115" t="s">
        <v>116</v>
      </c>
      <c r="I11" s="37"/>
      <c r="J11" s="57"/>
      <c r="U11" s="32"/>
    </row>
    <row r="12" spans="1:55" s="33" customFormat="1" ht="128.4" customHeight="1" x14ac:dyDescent="0.3">
      <c r="A12" s="46">
        <v>6</v>
      </c>
      <c r="B12" s="78"/>
      <c r="C12" s="80"/>
      <c r="D12" s="76"/>
      <c r="E12" s="77"/>
      <c r="F12" s="76"/>
      <c r="G12" s="77"/>
      <c r="H12" s="81"/>
      <c r="I12" s="37"/>
      <c r="J12" s="57"/>
      <c r="U12" s="32"/>
    </row>
    <row r="13" spans="1:55" s="33" customFormat="1" x14ac:dyDescent="0.3">
      <c r="A13" s="46">
        <v>7</v>
      </c>
      <c r="B13" s="73"/>
      <c r="C13" s="47"/>
      <c r="D13" s="47"/>
      <c r="E13" s="77"/>
      <c r="F13" s="77"/>
      <c r="G13" s="77"/>
      <c r="H13" s="47"/>
      <c r="I13" s="37"/>
      <c r="J13" s="57"/>
    </row>
    <row r="14" spans="1:55" s="33" customFormat="1" ht="135.75" customHeight="1" x14ac:dyDescent="0.3">
      <c r="A14" s="46">
        <v>8</v>
      </c>
      <c r="B14" s="73"/>
      <c r="C14" s="79"/>
      <c r="D14" s="75"/>
      <c r="E14" s="79"/>
      <c r="F14" s="74"/>
      <c r="G14" s="74"/>
      <c r="H14" s="74"/>
      <c r="I14" s="37"/>
      <c r="J14" s="57"/>
    </row>
    <row r="15" spans="1:55" s="33" customFormat="1" x14ac:dyDescent="0.3">
      <c r="A15" s="46">
        <v>9</v>
      </c>
      <c r="B15" s="73"/>
      <c r="C15" s="75"/>
      <c r="D15" s="47"/>
      <c r="E15" s="77"/>
      <c r="F15" s="76"/>
      <c r="G15" s="77"/>
      <c r="H15" s="76"/>
      <c r="I15" s="37"/>
      <c r="J15" s="57"/>
      <c r="U15" s="32"/>
    </row>
    <row r="16" spans="1:55" s="33" customFormat="1" ht="36.6" customHeight="1" x14ac:dyDescent="0.3">
      <c r="A16" s="46">
        <v>10</v>
      </c>
      <c r="B16" s="81"/>
      <c r="C16" s="47"/>
      <c r="D16" s="47"/>
      <c r="E16" s="77"/>
      <c r="F16" s="47"/>
      <c r="G16" s="48"/>
      <c r="H16" s="47"/>
      <c r="I16" s="37"/>
      <c r="J16" s="57"/>
    </row>
    <row r="17" spans="1:10" s="33" customFormat="1" x14ac:dyDescent="0.3">
      <c r="A17" s="46">
        <v>11</v>
      </c>
      <c r="B17" s="47"/>
      <c r="C17" s="47"/>
      <c r="D17" s="47"/>
      <c r="E17" s="77"/>
      <c r="F17" s="47"/>
      <c r="G17" s="48"/>
      <c r="H17" s="47"/>
      <c r="I17" s="37"/>
      <c r="J17" s="57"/>
    </row>
    <row r="18" spans="1:10" s="33" customFormat="1" x14ac:dyDescent="0.3">
      <c r="A18" s="46">
        <v>12</v>
      </c>
      <c r="B18" s="47"/>
      <c r="C18" s="47"/>
      <c r="D18" s="47"/>
      <c r="E18" s="77"/>
      <c r="F18" s="47"/>
      <c r="G18" s="48"/>
      <c r="H18" s="47"/>
      <c r="I18" s="37"/>
      <c r="J18" s="57"/>
    </row>
    <row r="19" spans="1:10" s="33" customFormat="1" ht="23.25" customHeight="1" x14ac:dyDescent="0.3">
      <c r="A19" s="46">
        <v>13</v>
      </c>
      <c r="B19" s="47"/>
      <c r="C19" s="47"/>
      <c r="D19" s="47"/>
      <c r="E19" s="77"/>
      <c r="F19" s="47"/>
      <c r="G19" s="48"/>
      <c r="H19" s="47"/>
      <c r="I19" s="37"/>
      <c r="J19" s="57"/>
    </row>
    <row r="20" spans="1:10" s="33" customFormat="1" ht="30" customHeight="1" x14ac:dyDescent="0.3">
      <c r="A20" s="46">
        <v>14</v>
      </c>
      <c r="B20" s="47"/>
      <c r="C20" s="47"/>
      <c r="D20" s="47"/>
      <c r="E20" s="77"/>
      <c r="F20" s="47"/>
      <c r="G20" s="48"/>
      <c r="H20" s="47"/>
      <c r="I20" s="37"/>
      <c r="J20" s="57"/>
    </row>
    <row r="21" spans="1:10" s="33" customFormat="1" x14ac:dyDescent="0.3">
      <c r="E21" s="59"/>
    </row>
    <row r="23" spans="1:10" s="33" customFormat="1" x14ac:dyDescent="0.3">
      <c r="E23" s="59"/>
    </row>
    <row r="24" spans="1:10" s="33" customFormat="1" ht="111.75" customHeight="1" x14ac:dyDescent="0.3">
      <c r="E24" s="59"/>
    </row>
    <row r="25" spans="1:10" s="33" customFormat="1" ht="111.75" customHeight="1" x14ac:dyDescent="0.3">
      <c r="E25" s="59"/>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$BA$1:$BA$9</formula1>
    </dataValidation>
    <dataValidation type="list" allowBlank="1" showInputMessage="1" showErrorMessage="1" sqref="I6:I20" xr:uid="{00000000-0002-0000-0200-000001000000}">
      <formula1>$BB$1:$BB$5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0" customWidth="1"/>
    <col min="3" max="3" width="24.44140625" customWidth="1"/>
  </cols>
  <sheetData>
    <row r="1" spans="1:2" x14ac:dyDescent="0.25">
      <c r="A1" s="61" t="s">
        <v>62</v>
      </c>
      <c r="B1" s="62" t="s">
        <v>0</v>
      </c>
    </row>
    <row r="2" spans="1:2" outlineLevel="1" x14ac:dyDescent="0.25">
      <c r="A2" s="63" t="s">
        <v>56</v>
      </c>
      <c r="B2" s="68" t="str">
        <f>PPRD</f>
        <v>Jun , 2021</v>
      </c>
    </row>
    <row r="3" spans="1:2" x14ac:dyDescent="0.25">
      <c r="A3" s="63" t="s">
        <v>59</v>
      </c>
      <c r="B3" s="64" t="str">
        <f>CRN</f>
        <v>CHG212943 - CHG212979 - CHG212925</v>
      </c>
    </row>
    <row r="4" spans="1:2" x14ac:dyDescent="0.25">
      <c r="A4" s="63" t="s">
        <v>60</v>
      </c>
      <c r="B4" s="64" t="str">
        <f>MA</f>
        <v>CT</v>
      </c>
    </row>
    <row r="5" spans="1:2" x14ac:dyDescent="0.25">
      <c r="A5" s="63" t="s">
        <v>61</v>
      </c>
      <c r="B5" s="64" t="str">
        <f>Area</f>
        <v>Data</v>
      </c>
    </row>
    <row r="6" spans="1:2" x14ac:dyDescent="0.25">
      <c r="A6" s="63" t="s">
        <v>44</v>
      </c>
      <c r="B6" s="64" t="str">
        <f>Entity</f>
        <v xml:space="preserve">ORDER </v>
      </c>
    </row>
    <row r="7" spans="1:2" x14ac:dyDescent="0.25">
      <c r="A7" s="63" t="s">
        <v>57</v>
      </c>
      <c r="B7" s="65" t="str">
        <f>DTested</f>
        <v>18/11/2021</v>
      </c>
    </row>
    <row r="8" spans="1:2" x14ac:dyDescent="0.25">
      <c r="A8" s="63" t="s">
        <v>58</v>
      </c>
      <c r="B8" s="66">
        <f>DReviewed</f>
        <v>0</v>
      </c>
    </row>
    <row r="9" spans="1:2" x14ac:dyDescent="0.25">
      <c r="A9" s="63" t="s">
        <v>48</v>
      </c>
      <c r="B9" s="64" t="str">
        <f>TestedBy</f>
        <v>Frank</v>
      </c>
    </row>
    <row r="10" spans="1:2" x14ac:dyDescent="0.25">
      <c r="A10" s="63" t="s">
        <v>52</v>
      </c>
      <c r="B10" s="64">
        <f>ReviewedBy</f>
        <v>0</v>
      </c>
    </row>
    <row r="12" spans="1:2" x14ac:dyDescent="0.25">
      <c r="A12" s="63" t="s">
        <v>63</v>
      </c>
      <c r="B12" s="67"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1"/>
  <sheetViews>
    <sheetView workbookViewId="0">
      <selection activeCell="P55" sqref="P55"/>
    </sheetView>
  </sheetViews>
  <sheetFormatPr defaultColWidth="9.109375" defaultRowHeight="13.2" x14ac:dyDescent="0.25"/>
  <cols>
    <col min="1" max="1" width="44" style="72" bestFit="1" customWidth="1"/>
    <col min="2" max="16384" width="9.109375" style="72"/>
  </cols>
  <sheetData>
    <row r="1" spans="1:1" x14ac:dyDescent="0.25">
      <c r="A1" s="71"/>
    </row>
    <row r="2" spans="1:1" s="82" customFormat="1" x14ac:dyDescent="0.25">
      <c r="A2" s="82" t="s">
        <v>88</v>
      </c>
    </row>
    <row r="19" spans="1:1" s="82" customFormat="1" x14ac:dyDescent="0.25">
      <c r="A19" s="82" t="s">
        <v>89</v>
      </c>
    </row>
    <row r="32" spans="1:1" x14ac:dyDescent="0.25">
      <c r="A32" s="71"/>
    </row>
    <row r="45" spans="1:1" s="82" customFormat="1" x14ac:dyDescent="0.25">
      <c r="A45" s="82" t="s">
        <v>90</v>
      </c>
    </row>
    <row r="57" spans="1:1" x14ac:dyDescent="0.25">
      <c r="A57" s="71"/>
    </row>
    <row r="71" spans="1:1" x14ac:dyDescent="0.25">
      <c r="A71" s="71"/>
    </row>
    <row r="106" spans="1:1" x14ac:dyDescent="0.25">
      <c r="A106" s="71"/>
    </row>
    <row r="147" spans="1:1" x14ac:dyDescent="0.25">
      <c r="A147" s="71"/>
    </row>
    <row r="186" spans="1:1" x14ac:dyDescent="0.25">
      <c r="A186" s="71"/>
    </row>
    <row r="221" spans="1:1" x14ac:dyDescent="0.25">
      <c r="A221" s="71"/>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2021-11-19T16:49:10Z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