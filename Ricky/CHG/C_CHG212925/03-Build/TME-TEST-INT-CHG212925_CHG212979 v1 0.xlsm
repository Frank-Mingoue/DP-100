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2925\03-Build\"/>
    </mc:Choice>
  </mc:AlternateContent>
  <xr:revisionPtr revIDLastSave="0" documentId="13_ncr:1_{B1E45812-0CBB-4419-A626-554074BA64F1}" xr6:coauthVersionLast="46" xr6:coauthVersionMax="46" xr10:uidLastSave="{00000000-0000-0000-0000-000000000000}"/>
  <bookViews>
    <workbookView xWindow="5470" yWindow="0" windowWidth="19420" windowHeight="10420"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4FC29F70-6BBA-4354-96F4-5B2EA168FDFA}">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A57B5042-1A69-4F26-8D5E-B92A971C856F}">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<sst xmlns="http://schemas.openxmlformats.org/spreadsheetml/2006/main" count="117" uniqueCount="102">
  <si>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</si>
  <si>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</si>
  <si>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</si>
  <si>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</si>
  <si>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</si>
  <si>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</si>
  <si>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</si>
  <si>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</si>
  <si>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</si>
  <si>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</si>
  <si>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</si>
  <si>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</si>
  <si>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</si>
  <si>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</si>
  <si>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</si>
  <si>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</si>
  <si>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</si>
  <si>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</si>
  <si>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</si>
  <si>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</si>
  <si>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</si>
  <si>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</si>
  <si>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</si>
  <si>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</si>
  <si>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</si>
  <si>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</si>
  <si>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</si>
  <si>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</si>
  <si>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</si>
  <si>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</si>
  <si>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</si>
  <si>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</si>
  <si>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</si>
  <si>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</si>
  <si>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</si>
  <si>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</si>
  <si>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</si>
  <si>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</si>
  <si>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</si>
  <si>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</si>
  <si>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</si>
  <si>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</si>
  <si>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</si>
  <si>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</si>
  <si>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</si>
  <si>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</si>
  <si>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</si>
  <si>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</si>
  <si>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</si>
  <si>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</si>
  <si>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</si>
  <si>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</si>
  <si>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</si>
  <si>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</si>
  <si>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</si>
  <si>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</si>
  <si>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</si>
  <si>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</si>
  <si>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</si>
  <si>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</si>
  <si>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</si>
  <si>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</si>
  <si>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</si>
  <si>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</si>
  <si>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</si>
  <si>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</si>
  <si>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</si>
  <si>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</si>
  <si>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</si>
  <si>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</si>
  <si>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</si>
  <si>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</si>
  <si>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</si>
  <si>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</si>
  <si>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</si>
  <si>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</si>
  <si>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</si>
  <si>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</si>
  <si>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</si>
  <si>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</si>
  <si>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Jun , 2021</t>
  </si>
  <si>
    <t xml:space="preserve">Test Case completed </t>
  </si>
  <si>
    <t>Send Email for columns creation</t>
  </si>
  <si>
    <t>CHG212925_CHG212979</t>
  </si>
  <si>
    <t>TMEC: OM - Introduce global order categorization
TMEC: OM - Transfer - UOM conversion</t>
  </si>
  <si>
    <t xml:space="preserve"> ES, CZ, IT, CT</t>
  </si>
  <si>
    <t>FDE_INT_ORDER_IMPORT_GENERIC,Shortcut_to_FDE_INT_ORDER_IMPORT_GENERIC</t>
  </si>
  <si>
    <t>RUN_EIM_PROCESS_GENERIC, JTI_DWH_ETLComplete_Incremental</t>
  </si>
  <si>
    <t>SI</t>
  </si>
  <si>
    <t>Aïsha</t>
  </si>
  <si>
    <t>Place file in \\MRUINFA10\Interfaces_IP14\Belgium\IUNP</t>
  </si>
  <si>
    <t>Register File.</t>
  </si>
  <si>
    <t xml:space="preserve">Run EIM_INTERFACE&gt;RUN_EIM_PROCESS_GENERIC&gt;wrk_Pre_Etl_java </t>
  </si>
  <si>
    <t>Load File.</t>
  </si>
  <si>
    <t>Run EIM_INTERFACE&gt;RUN_EIM_PROCESS_GENERIC&gt;wrk_SalesOrdersInbound_Generic/</t>
  </si>
  <si>
    <t>File file contains the following:
Line 1: Incorrect Value for X_ORDER_CAT_CD (Ord_54)
Line 2: Incorrect Length for X_ORDER_CAT_CD (Ord_55)
Line 3: Incorrect length for X_ORDER_UOM_TEXT (Ord_56)
Line 4: Valid Line 1 (Ord_57)
Line 5: Incorrect length for X_ORDER_QUANTITY_NUM (Ord_58)
Line 6: Valid line 2 (Ord_59)</t>
  </si>
  <si>
    <t>Screenshot 1</t>
  </si>
  <si>
    <t>Line 4 and 6 should be loaded into EIM_ORDER. (Ord_57 and Ord_59)
Other lines should be rejected.</t>
  </si>
  <si>
    <r>
      <t xml:space="preserve">Line 4 and 6 only loaded into EIM_ORDER. (Ord_57 and Ord_59)
</t>
    </r>
    <r>
      <rPr>
        <sz val="10"/>
        <color theme="4"/>
        <rFont val="Book Antiqua"/>
        <family val="1"/>
      </rPr>
      <t xml:space="preserve"> Refer to screenshot 1.</t>
    </r>
  </si>
  <si>
    <t>INFORMATICA</t>
  </si>
  <si>
    <t>ETL SERVER</t>
  </si>
  <si>
    <t>Create flat file. (BESI1102_20211117_10.txt)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</si>
</sst>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8"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10"/>
      <color theme="4"/>
      <name val="Book Antiqua"/>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theme="6" tint="-0.249977111117893"/>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2" fillId="0" borderId="0"/>
    <xf numFmtId="0" fontId="44" fillId="0" borderId="0"/>
    <xf numFmtId="0" fontId="44"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2">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Fill="1" applyBorder="1" applyAlignment="1">
      <alignment vertical="top"/>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9" fillId="0" borderId="10" xfId="37" applyFont="1" applyBorder="1" applyAlignment="1">
      <alignment vertical="top"/>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7" fillId="0" borderId="0" xfId="37" applyAlignment="1">
      <alignment horizontal="left" vertical="top"/>
    </xf>
    <xf numFmtId="0" fontId="29" fillId="26" borderId="10" xfId="37" applyFont="1" applyFill="1" applyBorder="1" applyAlignment="1">
      <alignment vertical="top" wrapText="1"/>
    </xf>
    <xf numFmtId="0" fontId="29" fillId="26" borderId="10" xfId="37" applyFont="1" applyFill="1" applyBorder="1" applyAlignment="1">
      <alignment horizontal="left" vertical="top" wrapText="1"/>
    </xf>
    <xf numFmtId="0" fontId="29" fillId="26" borderId="10" xfId="37" applyFont="1" applyFill="1" applyBorder="1"/>
    <xf numFmtId="0" fontId="29" fillId="26" borderId="10" xfId="37" applyFont="1" applyFill="1" applyBorder="1" applyAlignment="1">
      <alignment wrapText="1"/>
    </xf>
    <xf numFmtId="0" fontId="40" fillId="26" borderId="10" xfId="37" applyFont="1" applyFill="1" applyBorder="1" applyAlignment="1">
      <alignment vertical="top" wrapText="1"/>
    </xf>
    <xf numFmtId="0" fontId="0" fillId="0" borderId="0" xfId="0" applyAlignment="1">
      <alignment horizontal="center"/>
    </xf>
    <xf numFmtId="0" fontId="46" fillId="27" borderId="0" xfId="0" applyFont="1" applyFill="1"/>
    <xf numFmtId="0" fontId="46" fillId="27" borderId="0" xfId="0" applyFont="1" applyFill="1" applyAlignment="1">
      <alignment horizontal="center"/>
    </xf>
    <xf numFmtId="0" fontId="3" fillId="28" borderId="10" xfId="0" applyFont="1" applyFill="1" applyBorder="1"/>
    <xf numFmtId="0" fontId="0" fillId="28" borderId="10" xfId="0" applyFill="1" applyBorder="1" applyAlignment="1">
      <alignment horizontal="center"/>
    </xf>
    <xf numFmtId="14" fontId="0" fillId="28" borderId="10" xfId="0" applyNumberFormat="1" applyFill="1" applyBorder="1" applyAlignment="1">
      <alignment horizontal="center"/>
    </xf>
    <xf numFmtId="14" fontId="2" fillId="28" borderId="10" xfId="0" quotePrefix="1" applyNumberFormat="1" applyFont="1" applyFill="1" applyBorder="1" applyAlignment="1">
      <alignment horizontal="center"/>
    </xf>
    <xf numFmtId="0" fontId="2" fillId="28" borderId="10" xfId="0" applyFont="1" applyFill="1" applyBorder="1" applyAlignment="1">
      <alignment horizontal="center"/>
    </xf>
    <xf numFmtId="166" fontId="0" fillId="28"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37" fillId="0" borderId="10" xfId="37" applyFont="1" applyFill="1" applyBorder="1" applyAlignment="1">
      <alignment vertical="top" wrapText="1"/>
    </xf>
    <xf numFmtId="0" fontId="37" fillId="0" borderId="10" xfId="37" applyFont="1" applyBorder="1" applyAlignment="1">
      <alignment horizontal="left" vertical="top" wrapText="1"/>
    </xf>
    <xf numFmtId="0" fontId="37" fillId="0" borderId="10" xfId="37" applyBorder="1" applyAlignment="1">
      <alignment horizontal="left" vertical="top" wrapText="1"/>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4" fillId="0" borderId="15" xfId="36" applyBorder="1"/>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xf numFmtId="0" fontId="29" fillId="0" borderId="10" xfId="37" quotePrefix="1" applyFont="1" applyBorder="1" applyAlignment="1">
      <alignment horizontal="left" vertical="top" wrapText="1"/>
    </xf>
    <xf numFmtId="0" fontId="3" fillId="29" borderId="0" xfId="0" applyFont="1" applyFill="1"/>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636588</xdr:colOff>
          <xdr:row>5</xdr:row>
          <xdr:rowOff>587375</xdr:rowOff>
        </xdr:from>
        <xdr:to>
          <xdr:col>1</xdr:col>
          <xdr:colOff>1506538</xdr:colOff>
          <xdr:row>5</xdr:row>
          <xdr:rowOff>1114425</xdr:rowOff>
        </xdr:to>
        <xdr:sp macro="" textlink="">
          <xdr:nvSpPr>
            <xdr:cNvPr id="10282" name="Object 42" hidden="1">
              <a:extLst>
                <a:ext uri="{63B3BB69-23CF-44E3-9099-C40C66FF867C}">
                  <a14:compatExt spid="_x0000_s10282"/>
                </a:ext>
                <a:ext uri="{FF2B5EF4-FFF2-40B4-BE49-F238E27FC236}">
                  <a16:creationId xmlns:a16="http://schemas.microsoft.com/office/drawing/2014/main" id="{A505A097-1DAB-4C0F-8F24-169C1C94484A}"/>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11545</xdr:colOff>
      <xdr:row>3</xdr:row>
      <xdr:rowOff>92364</xdr:rowOff>
    </xdr:from>
    <xdr:to>
      <xdr:col>21</xdr:col>
      <xdr:colOff>501621</xdr:colOff>
      <xdr:row>29</xdr:row>
      <xdr:rowOff>69913</xdr:rowOff>
    </xdr:to>
    <xdr:pic>
      <xdr:nvPicPr>
        <xdr:cNvPr id="2" name="Picture 1">
          <a:extLst>
            <a:ext uri="{FF2B5EF4-FFF2-40B4-BE49-F238E27FC236}">
              <a16:creationId xmlns:a16="http://schemas.microsoft.com/office/drawing/2014/main" id="{487AC3B1-E24A-4BC2-B924-F5686320BE81}"/>
            </a:ext>
          </a:extLst>
        </xdr:cNvPr>
        <xdr:cNvPicPr>
          <a:picLocks noChangeAspect="1"/>
        </xdr:cNvPicPr>
      </xdr:nvPicPr>
      <xdr:blipFill>
        <a:blip xmlns:r="http://schemas.openxmlformats.org/officeDocument/2006/relationships" r:embed="rId1"/>
        <a:stretch>
          <a:fillRect/>
        </a:stretch>
      </xdr:blipFill>
      <xdr:spPr>
        <a:xfrm>
          <a:off x="11545" y="577273"/>
          <a:ext cx="16492076" cy="4180095"/>
        </a:xfrm>
        <a:prstGeom prst="rect">
          <a:avLst/>
        </a:prstGeom>
        <a:ln w="19050">
          <a:solidFill>
            <a:schemeClr val="tx1"/>
          </a:solidFill>
        </a:ln>
      </xdr:spPr>
    </xdr:pic>
    <xdr:clientData/>
  </xdr:twoCellAnchor>
  <xdr:twoCellAnchor>
    <xdr:from>
      <xdr:col>0</xdr:col>
      <xdr:colOff>34636</xdr:colOff>
      <xdr:row>21</xdr:row>
      <xdr:rowOff>69272</xdr:rowOff>
    </xdr:from>
    <xdr:to>
      <xdr:col>21</xdr:col>
      <xdr:colOff>254000</xdr:colOff>
      <xdr:row>28</xdr:row>
      <xdr:rowOff>23091</xdr:rowOff>
    </xdr:to>
    <xdr:sp macro="" textlink="">
      <xdr:nvSpPr>
        <xdr:cNvPr id="3" name="Rectangle: Rounded Corners 2">
          <a:extLst>
            <a:ext uri="{FF2B5EF4-FFF2-40B4-BE49-F238E27FC236}">
              <a16:creationId xmlns:a16="http://schemas.microsoft.com/office/drawing/2014/main" id="{47FFF1C1-A0AE-4A4A-A4A1-B0082CE6A385}"/>
            </a:ext>
          </a:extLst>
        </xdr:cNvPr>
        <xdr:cNvSpPr/>
      </xdr:nvSpPr>
      <xdr:spPr>
        <a:xfrm>
          <a:off x="34636" y="3463636"/>
          <a:ext cx="16221364" cy="1085273"/>
        </a:xfrm>
        <a:prstGeom prst="roundRect">
          <a:avLst/>
        </a:prstGeom>
        <a:noFill/>
        <a:ln w="5715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9" zoomScale="66" workbookViewId="0">
      <selection activeCell="K27" sqref="K27:S27"/>
    </sheetView>
  </sheetViews>
  <sheetFormatPr defaultColWidth="9.1796875" defaultRowHeight="12.5" x14ac:dyDescent="0.25"/>
  <cols>
    <col min="1" max="9" width="10.7265625" style="12" customWidth="1"/>
    <col min="10" max="10" width="2.7265625" style="12" customWidth="1"/>
    <col min="11" max="18" width="10.7265625" style="12" customWidth="1"/>
    <col min="19" max="19" width="29.36328125" style="12" customWidth="1"/>
    <col min="20" max="16384" width="9.1796875" style="12"/>
  </cols>
  <sheetData>
    <row r="1" spans="1:19" s="11" customFormat="1" ht="13"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 x14ac:dyDescent="0.25">
      <c r="A10" s="9"/>
      <c r="B10" s="9"/>
      <c r="C10" s="9"/>
      <c r="D10" s="9"/>
      <c r="E10" s="9"/>
      <c r="F10" s="9"/>
      <c r="G10" s="9"/>
      <c r="H10" s="9"/>
      <c r="I10" s="9"/>
      <c r="J10" s="9"/>
      <c r="K10" s="9"/>
      <c r="L10" s="9"/>
      <c r="M10" s="10"/>
      <c r="N10" s="10"/>
      <c r="O10" s="10"/>
      <c r="P10" s="10"/>
      <c r="Q10" s="10"/>
      <c r="R10" s="10"/>
      <c r="S10" s="10"/>
    </row>
    <row r="11" spans="1:19" ht="13" x14ac:dyDescent="0.25">
      <c r="A11" s="9"/>
      <c r="B11" s="9"/>
      <c r="C11" s="9"/>
      <c r="D11" s="9"/>
      <c r="E11" s="9"/>
      <c r="F11" s="9"/>
      <c r="G11" s="9"/>
      <c r="H11" s="9"/>
      <c r="I11" s="9"/>
      <c r="J11" s="9"/>
      <c r="K11" s="9"/>
      <c r="L11" s="9"/>
      <c r="M11" s="10"/>
      <c r="N11" s="10"/>
      <c r="O11" s="10"/>
      <c r="P11" s="10"/>
      <c r="Q11" s="10"/>
      <c r="R11" s="10"/>
      <c r="S11" s="10"/>
    </row>
    <row r="12" spans="1:19" ht="13" x14ac:dyDescent="0.25">
      <c r="A12" s="9"/>
      <c r="B12" s="9"/>
      <c r="C12" s="9"/>
      <c r="D12" s="9"/>
      <c r="E12" s="9"/>
      <c r="F12" s="9"/>
      <c r="G12" s="9"/>
      <c r="H12" s="9"/>
      <c r="I12" s="9"/>
      <c r="J12" s="9"/>
      <c r="K12" s="9"/>
      <c r="L12" s="9"/>
      <c r="M12" s="10"/>
      <c r="N12" s="10"/>
      <c r="O12" s="10"/>
      <c r="P12" s="10"/>
      <c r="Q12" s="10"/>
      <c r="R12" s="10"/>
      <c r="S12" s="10"/>
    </row>
    <row r="13" spans="1:19" ht="30" thickBot="1" x14ac:dyDescent="0.3">
      <c r="A13" s="88" t="s">
        <v>2</v>
      </c>
      <c r="B13" s="88"/>
      <c r="C13" s="88"/>
      <c r="D13" s="88"/>
      <c r="E13" s="88"/>
      <c r="F13" s="88"/>
      <c r="G13" s="88"/>
      <c r="H13" s="88"/>
      <c r="I13" s="88"/>
      <c r="J13" s="88"/>
      <c r="K13" s="88"/>
      <c r="L13" s="88"/>
      <c r="M13" s="88"/>
      <c r="N13" s="88"/>
      <c r="O13" s="88"/>
      <c r="P13" s="88"/>
      <c r="Q13" s="88"/>
      <c r="R13" s="88"/>
      <c r="S13" s="88"/>
    </row>
    <row r="14" spans="1:19" ht="13.5" thickTop="1" x14ac:dyDescent="0.25">
      <c r="A14" s="9"/>
      <c r="B14" s="9"/>
      <c r="C14" s="9"/>
      <c r="D14" s="9"/>
      <c r="E14" s="9"/>
      <c r="F14" s="9"/>
      <c r="G14" s="9"/>
      <c r="H14" s="9"/>
      <c r="I14" s="9"/>
      <c r="J14" s="9"/>
      <c r="K14" s="9"/>
      <c r="L14" s="9"/>
      <c r="M14" s="10"/>
      <c r="N14" s="10"/>
      <c r="O14" s="10"/>
      <c r="P14" s="10"/>
      <c r="Q14" s="10"/>
      <c r="R14" s="10"/>
      <c r="S14" s="10"/>
    </row>
    <row r="15" spans="1:19" ht="13" x14ac:dyDescent="0.25">
      <c r="A15" s="9"/>
      <c r="B15" s="9"/>
      <c r="C15" s="9"/>
      <c r="D15" s="9"/>
      <c r="E15" s="9"/>
      <c r="F15" s="9"/>
      <c r="G15" s="9"/>
      <c r="H15" s="9"/>
      <c r="I15" s="9"/>
      <c r="J15" s="9"/>
      <c r="K15" s="9"/>
      <c r="L15" s="9"/>
      <c r="M15" s="10"/>
      <c r="N15" s="10"/>
      <c r="O15" s="10"/>
      <c r="P15" s="10"/>
      <c r="Q15" s="10"/>
      <c r="R15" s="13"/>
      <c r="S15" s="13"/>
    </row>
    <row r="16" spans="1:19" ht="13" x14ac:dyDescent="0.25">
      <c r="A16" s="14"/>
      <c r="B16" s="14"/>
      <c r="C16" s="14"/>
      <c r="D16" s="14"/>
      <c r="E16" s="14"/>
      <c r="F16" s="14"/>
      <c r="G16" s="14"/>
      <c r="H16" s="14"/>
      <c r="I16" s="14"/>
      <c r="J16" s="14"/>
      <c r="K16" s="14"/>
      <c r="L16" s="14"/>
      <c r="M16" s="13"/>
      <c r="N16" s="13"/>
      <c r="O16" s="13"/>
      <c r="P16" s="13"/>
      <c r="Q16" s="13"/>
      <c r="R16" s="13"/>
      <c r="S16" s="13"/>
    </row>
    <row r="17" spans="1:19" ht="13"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9" t="s">
        <v>17</v>
      </c>
      <c r="B18" s="89"/>
      <c r="C18" s="89"/>
      <c r="D18" s="89"/>
      <c r="E18" s="89"/>
      <c r="F18" s="89"/>
      <c r="G18" s="89"/>
      <c r="H18" s="89"/>
      <c r="I18" s="89"/>
      <c r="J18" s="89"/>
      <c r="K18" s="89"/>
      <c r="L18" s="89"/>
      <c r="M18" s="89"/>
      <c r="N18" s="89"/>
      <c r="O18" s="89"/>
      <c r="P18" s="89"/>
      <c r="Q18" s="89"/>
      <c r="R18" s="89"/>
      <c r="S18" s="89"/>
    </row>
    <row r="19" spans="1:19" s="15" customFormat="1" ht="40.75" customHeight="1" x14ac:dyDescent="0.25">
      <c r="A19" s="90" t="s">
        <v>1</v>
      </c>
      <c r="B19" s="90"/>
      <c r="C19" s="90"/>
      <c r="D19" s="90"/>
      <c r="E19" s="90"/>
      <c r="F19" s="90"/>
      <c r="G19" s="90"/>
      <c r="H19" s="90"/>
      <c r="I19" s="90"/>
      <c r="J19" s="90"/>
      <c r="K19" s="90"/>
      <c r="L19" s="90"/>
      <c r="M19" s="90"/>
      <c r="N19" s="90"/>
      <c r="O19" s="90"/>
      <c r="P19" s="90"/>
      <c r="Q19" s="90"/>
      <c r="R19" s="90"/>
      <c r="S19" s="90"/>
    </row>
    <row r="20" spans="1:19" s="15" customFormat="1" ht="13" x14ac:dyDescent="0.25">
      <c r="A20" s="16"/>
      <c r="B20" s="16"/>
      <c r="C20" s="16"/>
      <c r="D20" s="16"/>
      <c r="E20" s="16"/>
      <c r="F20" s="16"/>
      <c r="G20" s="16"/>
      <c r="H20" s="16"/>
      <c r="I20" s="16"/>
      <c r="J20" s="16"/>
    </row>
    <row r="21" spans="1:19" s="15" customFormat="1" ht="58.75" customHeight="1" x14ac:dyDescent="0.25">
      <c r="A21" s="91" t="s">
        <v>74</v>
      </c>
      <c r="B21" s="91"/>
      <c r="C21" s="91"/>
      <c r="D21" s="91"/>
      <c r="E21" s="91"/>
      <c r="F21" s="91"/>
      <c r="G21" s="91"/>
      <c r="H21" s="91"/>
      <c r="I21" s="91"/>
      <c r="J21" s="6"/>
      <c r="K21" s="92" t="s">
        <v>83</v>
      </c>
      <c r="L21" s="92"/>
      <c r="M21" s="92"/>
      <c r="N21" s="92"/>
      <c r="O21" s="92"/>
      <c r="P21" s="92"/>
      <c r="Q21" s="92"/>
      <c r="R21" s="92"/>
      <c r="S21" s="92"/>
    </row>
    <row r="22" spans="1:19" s="15" customFormat="1" ht="13" x14ac:dyDescent="0.25">
      <c r="A22" s="16"/>
      <c r="B22" s="16"/>
      <c r="C22" s="16"/>
      <c r="D22" s="16"/>
      <c r="E22" s="16"/>
      <c r="F22" s="16"/>
      <c r="G22" s="16"/>
      <c r="H22" s="16"/>
      <c r="I22" s="16"/>
      <c r="J22" s="16"/>
    </row>
    <row r="23" spans="1:19" s="15" customFormat="1" ht="111" customHeight="1" x14ac:dyDescent="0.25">
      <c r="A23" s="84" t="s">
        <v>18</v>
      </c>
      <c r="B23" s="84"/>
      <c r="C23" s="84"/>
      <c r="D23" s="84"/>
      <c r="E23" s="84"/>
      <c r="F23" s="84"/>
      <c r="G23" s="84"/>
      <c r="H23" s="84"/>
      <c r="I23" s="84"/>
      <c r="J23" s="7"/>
      <c r="K23" s="85" t="s">
        <v>84</v>
      </c>
      <c r="L23" s="85"/>
      <c r="M23" s="85"/>
      <c r="N23" s="85"/>
      <c r="O23" s="85"/>
      <c r="P23" s="85"/>
      <c r="Q23" s="85"/>
      <c r="R23" s="85"/>
      <c r="S23" s="85"/>
    </row>
    <row r="24" spans="1:19" s="15" customFormat="1" ht="13" x14ac:dyDescent="0.25">
      <c r="A24" s="16"/>
      <c r="B24" s="16"/>
      <c r="C24" s="16"/>
      <c r="D24" s="16"/>
      <c r="E24" s="16"/>
      <c r="F24" s="16"/>
      <c r="G24" s="16"/>
      <c r="H24" s="16"/>
      <c r="I24" s="16"/>
      <c r="J24" s="16"/>
    </row>
    <row r="25" spans="1:19" s="15" customFormat="1" ht="70.150000000000006" customHeight="1" x14ac:dyDescent="0.25">
      <c r="A25" s="86" t="s">
        <v>3</v>
      </c>
      <c r="B25" s="86"/>
      <c r="C25" s="86"/>
      <c r="D25" s="86"/>
      <c r="E25" s="86"/>
      <c r="F25" s="86"/>
      <c r="G25" s="86"/>
      <c r="H25" s="86"/>
      <c r="I25" s="86"/>
      <c r="J25" s="7"/>
      <c r="K25" s="87" t="s">
        <v>85</v>
      </c>
      <c r="L25" s="87"/>
      <c r="M25" s="87"/>
      <c r="N25" s="87"/>
      <c r="O25" s="87"/>
      <c r="P25" s="87"/>
      <c r="Q25" s="87"/>
      <c r="R25" s="87"/>
      <c r="S25" s="87"/>
    </row>
    <row r="26" spans="1:19" s="15" customFormat="1" ht="13" x14ac:dyDescent="0.25">
      <c r="A26" s="16"/>
      <c r="B26" s="16"/>
      <c r="C26" s="16"/>
      <c r="D26" s="16"/>
      <c r="E26" s="16"/>
      <c r="F26" s="16"/>
      <c r="G26" s="16"/>
      <c r="H26" s="16"/>
      <c r="I26" s="16"/>
      <c r="J26" s="16"/>
    </row>
    <row r="27" spans="1:19" ht="27" customHeight="1" x14ac:dyDescent="0.25">
      <c r="A27" s="82" t="s">
        <v>13</v>
      </c>
      <c r="B27" s="82"/>
      <c r="C27" s="82"/>
      <c r="D27" s="82"/>
      <c r="E27" s="82"/>
      <c r="F27" s="82"/>
      <c r="G27" s="82"/>
      <c r="H27" s="82"/>
      <c r="I27" s="82"/>
      <c r="K27" s="83" t="s">
        <v>19</v>
      </c>
      <c r="L27" s="83"/>
      <c r="M27" s="83"/>
      <c r="N27" s="83"/>
      <c r="O27" s="83"/>
      <c r="P27" s="83"/>
      <c r="Q27" s="83"/>
      <c r="R27" s="83"/>
      <c r="S27" s="83"/>
    </row>
    <row r="28" spans="1:19" ht="27" customHeight="1" x14ac:dyDescent="0.25">
      <c r="A28" s="82"/>
      <c r="B28" s="82"/>
      <c r="C28" s="82"/>
      <c r="D28" s="82"/>
      <c r="E28" s="82"/>
      <c r="F28" s="82"/>
      <c r="G28" s="82"/>
      <c r="H28" s="82"/>
      <c r="I28" s="82"/>
      <c r="K28" s="83"/>
      <c r="L28" s="83"/>
      <c r="M28" s="83"/>
      <c r="N28" s="83"/>
      <c r="O28" s="17"/>
      <c r="P28" s="17"/>
      <c r="Q28" s="17"/>
      <c r="R28" s="17"/>
      <c r="S28" s="17"/>
    </row>
    <row r="29" spans="1:19" ht="27" customHeight="1" x14ac:dyDescent="0.25">
      <c r="A29" s="82"/>
      <c r="B29" s="82"/>
      <c r="C29" s="82"/>
      <c r="D29" s="82"/>
      <c r="E29" s="82"/>
      <c r="F29" s="82"/>
      <c r="G29" s="82"/>
      <c r="H29" s="82"/>
      <c r="I29" s="82"/>
      <c r="K29" s="83"/>
      <c r="L29" s="83"/>
      <c r="M29" s="83"/>
      <c r="N29" s="83"/>
      <c r="O29" s="83"/>
      <c r="P29" s="83"/>
      <c r="Q29" s="83"/>
      <c r="R29" s="83"/>
      <c r="S29" s="83"/>
    </row>
    <row r="30" spans="1:19" s="15" customFormat="1" ht="30.5"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5" x14ac:dyDescent="0.25">
      <c r="A37" s="19" t="s">
        <v>4</v>
      </c>
      <c r="C37" s="20">
        <f ca="1">TODAY()</f>
        <v>44518</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15" zoomScale="70" zoomScaleNormal="70" workbookViewId="0">
      <selection activeCell="A29" sqref="A29"/>
    </sheetView>
  </sheetViews>
  <sheetFormatPr defaultColWidth="8" defaultRowHeight="12.5" x14ac:dyDescent="0.25"/>
  <cols>
    <col min="1" max="1" width="54.1796875" style="2" customWidth="1"/>
    <col min="2" max="2" width="86.453125" style="50" customWidth="1"/>
    <col min="3" max="3" width="25.1796875" style="2" bestFit="1" customWidth="1"/>
    <col min="4" max="16384" width="8" style="2"/>
  </cols>
  <sheetData>
    <row r="1" spans="1:3" ht="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ht="13" x14ac:dyDescent="0.25">
      <c r="A6" s="5"/>
      <c r="B6" s="52"/>
      <c r="C6" s="4"/>
    </row>
    <row r="7" spans="1:3" x14ac:dyDescent="0.25">
      <c r="A7" s="30"/>
      <c r="B7" s="52"/>
      <c r="C7" s="4"/>
    </row>
    <row r="8" spans="1:3" ht="28" x14ac:dyDescent="0.25">
      <c r="A8" s="93" t="s">
        <v>1</v>
      </c>
      <c r="B8" s="93"/>
      <c r="C8" s="29" t="s">
        <v>8</v>
      </c>
    </row>
    <row r="9" spans="1:3" x14ac:dyDescent="0.25">
      <c r="A9" s="4"/>
      <c r="B9" s="52"/>
      <c r="C9" s="4"/>
    </row>
    <row r="10" spans="1:3" ht="13" x14ac:dyDescent="0.25">
      <c r="A10" s="5" t="s">
        <v>9</v>
      </c>
      <c r="B10" s="94" t="s">
        <v>10</v>
      </c>
      <c r="C10" s="94"/>
    </row>
    <row r="11" spans="1:3" ht="13" x14ac:dyDescent="0.25">
      <c r="A11" s="25" t="s">
        <v>11</v>
      </c>
      <c r="B11" s="21" t="s">
        <v>80</v>
      </c>
      <c r="C11" s="22"/>
    </row>
    <row r="12" spans="1:3" x14ac:dyDescent="0.25">
      <c r="A12" s="30"/>
      <c r="B12" s="52"/>
      <c r="C12" s="4"/>
    </row>
    <row r="13" spans="1:3" x14ac:dyDescent="0.25">
      <c r="A13" s="30"/>
      <c r="B13" s="52"/>
      <c r="C13" s="4"/>
    </row>
    <row r="14" spans="1:3" ht="19.75" customHeight="1" x14ac:dyDescent="0.25">
      <c r="A14" s="26" t="str">
        <f>CONCATENATE("To be Performed by Tester : ",'Test Cycle 1'!H2)</f>
        <v>To be Performed by Tester : Aïsha</v>
      </c>
      <c r="B14" s="53"/>
      <c r="C14" s="4"/>
    </row>
    <row r="15" spans="1:3" ht="22" customHeight="1" x14ac:dyDescent="0.35">
      <c r="A15" s="31" t="s">
        <v>23</v>
      </c>
      <c r="B15" s="95"/>
      <c r="C15" s="96"/>
    </row>
    <row r="16" spans="1:3" ht="39.75" customHeight="1" x14ac:dyDescent="0.25">
      <c r="A16" s="28" t="s">
        <v>24</v>
      </c>
      <c r="B16" s="28" t="s">
        <v>12</v>
      </c>
      <c r="C16" s="23" t="s">
        <v>25</v>
      </c>
    </row>
    <row r="17" spans="1:3" x14ac:dyDescent="0.25">
      <c r="A17" s="24" t="s">
        <v>26</v>
      </c>
      <c r="B17" s="54"/>
      <c r="C17" s="27"/>
    </row>
    <row r="18" spans="1:3" x14ac:dyDescent="0.25">
      <c r="A18" s="24" t="s">
        <v>27</v>
      </c>
      <c r="B18" s="54"/>
      <c r="C18" s="27"/>
    </row>
    <row r="19" spans="1:3" x14ac:dyDescent="0.25">
      <c r="A19" s="24" t="s">
        <v>28</v>
      </c>
      <c r="B19" s="54"/>
      <c r="C19" s="27"/>
    </row>
    <row r="20" spans="1:3" x14ac:dyDescent="0.25">
      <c r="A20" s="24" t="s">
        <v>76</v>
      </c>
      <c r="B20" s="55"/>
      <c r="C20" s="27"/>
    </row>
    <row r="21" spans="1:3" x14ac:dyDescent="0.25">
      <c r="A21" s="24" t="s">
        <v>77</v>
      </c>
      <c r="B21" s="54"/>
      <c r="C21" s="27"/>
    </row>
    <row r="22" spans="1:3" x14ac:dyDescent="0.25">
      <c r="A22" s="24" t="s">
        <v>79</v>
      </c>
      <c r="B22" s="54"/>
      <c r="C22" s="27"/>
    </row>
    <row r="23" spans="1:3" x14ac:dyDescent="0.25">
      <c r="A23" s="24" t="s">
        <v>78</v>
      </c>
      <c r="B23" s="59"/>
      <c r="C23" s="27"/>
    </row>
    <row r="24" spans="1:3" x14ac:dyDescent="0.25">
      <c r="A24" s="24" t="s">
        <v>29</v>
      </c>
      <c r="B24" s="54"/>
      <c r="C24" s="27"/>
    </row>
    <row r="25" spans="1:3" x14ac:dyDescent="0.25">
      <c r="A25" s="24" t="s">
        <v>30</v>
      </c>
      <c r="B25" s="54"/>
      <c r="C25" s="27"/>
    </row>
    <row r="26" spans="1:3" ht="25" x14ac:dyDescent="0.25">
      <c r="A26" s="24" t="s">
        <v>31</v>
      </c>
      <c r="B26" s="27"/>
      <c r="C26" s="27"/>
    </row>
    <row r="27" spans="1:3" x14ac:dyDescent="0.25">
      <c r="A27" s="24" t="s">
        <v>55</v>
      </c>
      <c r="B27" s="27"/>
      <c r="C27" s="27"/>
    </row>
    <row r="28" spans="1:3" x14ac:dyDescent="0.25">
      <c r="A28" s="24" t="s">
        <v>81</v>
      </c>
      <c r="B28" s="54"/>
      <c r="C28" s="27"/>
    </row>
    <row r="29" spans="1:3" x14ac:dyDescent="0.25">
      <c r="A29" s="24" t="s">
        <v>82</v>
      </c>
      <c r="B29" s="54"/>
      <c r="C29" s="27"/>
    </row>
    <row r="30" spans="1:3" x14ac:dyDescent="0.25">
      <c r="A30" s="43"/>
      <c r="B30" s="56"/>
      <c r="C30" s="44"/>
    </row>
    <row r="31" spans="1:3" x14ac:dyDescent="0.25">
      <c r="A31" s="45"/>
      <c r="B31" s="57"/>
      <c r="C31" s="45"/>
    </row>
    <row r="32" spans="1:3" ht="13" x14ac:dyDescent="0.25">
      <c r="A32" s="42" t="str">
        <f>CONCATENATE("To be Performed by Reviewer : ",'Test Cycle 1'!H3)</f>
        <v xml:space="preserve">To be Performed by Reviewer : </v>
      </c>
      <c r="B32" s="53"/>
      <c r="C32" s="4"/>
    </row>
    <row r="33" spans="1:3" ht="14.5" x14ac:dyDescent="0.35">
      <c r="A33" s="31" t="s">
        <v>23</v>
      </c>
      <c r="B33" s="95"/>
      <c r="C33" s="96"/>
    </row>
    <row r="34" spans="1:3" ht="26"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35"/>
  <sheetViews>
    <sheetView tabSelected="1" zoomScale="80" zoomScaleNormal="80" workbookViewId="0">
      <selection activeCell="C6" sqref="C6"/>
    </sheetView>
  </sheetViews>
  <sheetFormatPr defaultColWidth="9.1796875" defaultRowHeight="14.5" x14ac:dyDescent="0.35"/>
  <cols>
    <col min="1" max="1" width="22.81640625" style="33" customWidth="1"/>
    <col min="2" max="2" width="37.1796875" style="33" customWidth="1"/>
    <col min="3" max="3" width="65.36328125" style="33" customWidth="1"/>
    <col min="4" max="4" width="23.453125" style="33" bestFit="1" customWidth="1"/>
    <col min="5" max="5" width="41.453125" style="60" customWidth="1"/>
    <col min="6" max="6" width="36.81640625" style="33" customWidth="1"/>
    <col min="7" max="7" width="39.453125" style="33" customWidth="1"/>
    <col min="8" max="8" width="36.81640625" style="33" customWidth="1"/>
    <col min="9" max="9" width="25" style="33" customWidth="1"/>
    <col min="10" max="10" width="23.453125" style="33" customWidth="1"/>
    <col min="11" max="11" width="32" style="33" customWidth="1"/>
    <col min="12" max="12" width="30.81640625" style="33" customWidth="1"/>
    <col min="13" max="22" width="9.1796875" style="32"/>
    <col min="23" max="23" width="17.1796875" style="32" bestFit="1" customWidth="1"/>
    <col min="24" max="24" width="9.1796875" style="32"/>
    <col min="25" max="25" width="14.26953125" style="32" bestFit="1" customWidth="1"/>
    <col min="26" max="48" width="9.1796875" style="32"/>
    <col min="49" max="49" width="9" style="32" customWidth="1"/>
    <col min="50" max="52" width="9.1796875" style="32" hidden="1" customWidth="1"/>
    <col min="53" max="53" width="27.7265625" style="32" customWidth="1"/>
    <col min="54" max="16384" width="9.1796875" style="32"/>
  </cols>
  <sheetData>
    <row r="1" spans="1:55" s="33" customFormat="1" x14ac:dyDescent="0.35">
      <c r="A1" s="35" t="s">
        <v>43</v>
      </c>
      <c r="B1" s="99" t="s">
        <v>86</v>
      </c>
      <c r="C1" s="99"/>
      <c r="D1" s="99"/>
      <c r="E1" s="76" t="s">
        <v>44</v>
      </c>
      <c r="F1" s="36" t="s">
        <v>88</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5">
      <c r="A2" s="35" t="s">
        <v>46</v>
      </c>
      <c r="B2" s="99" t="s">
        <v>87</v>
      </c>
      <c r="C2" s="99"/>
      <c r="D2" s="99"/>
      <c r="E2" s="76" t="s">
        <v>47</v>
      </c>
      <c r="F2" s="38">
        <v>44516</v>
      </c>
      <c r="G2" s="35" t="s">
        <v>48</v>
      </c>
      <c r="H2" s="41" t="s">
        <v>89</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5">
      <c r="A3" s="35" t="s">
        <v>50</v>
      </c>
      <c r="B3" s="97" t="s">
        <v>41</v>
      </c>
      <c r="C3" s="97"/>
      <c r="D3" s="97"/>
      <c r="E3" s="76"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75" customHeight="1" x14ac:dyDescent="0.35">
      <c r="A4" s="35" t="s">
        <v>54</v>
      </c>
      <c r="B4" s="98"/>
      <c r="C4" s="99"/>
      <c r="D4" s="99"/>
      <c r="E4" s="99"/>
      <c r="F4" s="99"/>
      <c r="G4" s="99"/>
      <c r="H4" s="99"/>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5">
      <c r="A5" s="75" t="s">
        <v>66</v>
      </c>
      <c r="B5" s="75" t="s">
        <v>67</v>
      </c>
      <c r="C5" s="75" t="s">
        <v>68</v>
      </c>
      <c r="D5" s="75" t="s">
        <v>69</v>
      </c>
      <c r="E5" s="75" t="s">
        <v>70</v>
      </c>
      <c r="F5" s="75" t="s">
        <v>71</v>
      </c>
      <c r="G5" s="75" t="s">
        <v>72</v>
      </c>
      <c r="H5" s="75" t="s">
        <v>73</v>
      </c>
      <c r="I5" s="75" t="s">
        <v>64</v>
      </c>
      <c r="J5" s="75"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148" customHeight="1" x14ac:dyDescent="0.35">
      <c r="A6" s="46">
        <v>1</v>
      </c>
      <c r="B6" s="79" t="s">
        <v>101</v>
      </c>
      <c r="C6" s="47" t="s">
        <v>95</v>
      </c>
      <c r="D6" s="47" t="s">
        <v>100</v>
      </c>
      <c r="E6" s="100"/>
      <c r="F6" s="48"/>
      <c r="G6" s="48"/>
      <c r="H6" s="47"/>
      <c r="I6" s="37"/>
      <c r="J6" s="40"/>
      <c r="AY6" s="34" t="s">
        <v>45</v>
      </c>
    </row>
    <row r="7" spans="1:55" s="33" customFormat="1" ht="43.5" x14ac:dyDescent="0.35">
      <c r="A7" s="49">
        <v>2</v>
      </c>
      <c r="B7" s="79" t="s">
        <v>90</v>
      </c>
      <c r="C7" s="80"/>
      <c r="D7" s="81"/>
      <c r="E7" s="80"/>
      <c r="F7" s="80"/>
      <c r="G7" s="80"/>
      <c r="H7" s="47"/>
      <c r="I7" s="37"/>
      <c r="J7" s="40"/>
      <c r="AY7" s="34" t="s">
        <v>49</v>
      </c>
    </row>
    <row r="8" spans="1:55" s="33" customFormat="1" ht="29" x14ac:dyDescent="0.35">
      <c r="A8" s="47">
        <v>3</v>
      </c>
      <c r="B8" s="80" t="s">
        <v>91</v>
      </c>
      <c r="C8" s="81" t="s">
        <v>92</v>
      </c>
      <c r="D8" s="47" t="s">
        <v>99</v>
      </c>
      <c r="E8" s="48"/>
      <c r="F8" s="47"/>
      <c r="G8" s="48"/>
      <c r="H8" s="47"/>
      <c r="I8" s="37"/>
      <c r="J8" s="58"/>
      <c r="AY8" s="34" t="s">
        <v>53</v>
      </c>
    </row>
    <row r="9" spans="1:55" s="33" customFormat="1" ht="52" x14ac:dyDescent="0.35">
      <c r="A9" s="47">
        <v>4</v>
      </c>
      <c r="B9" s="79" t="s">
        <v>93</v>
      </c>
      <c r="C9" s="81" t="s">
        <v>94</v>
      </c>
      <c r="D9" s="47"/>
      <c r="E9" s="48"/>
      <c r="F9" s="47" t="s">
        <v>97</v>
      </c>
      <c r="G9" s="48"/>
      <c r="H9" s="47" t="s">
        <v>98</v>
      </c>
      <c r="I9" s="37"/>
      <c r="J9" s="58"/>
      <c r="U9" s="32"/>
    </row>
    <row r="10" spans="1:55" s="33" customFormat="1" x14ac:dyDescent="0.35">
      <c r="A10" s="49">
        <v>5</v>
      </c>
      <c r="B10" s="79"/>
      <c r="C10" s="47"/>
      <c r="D10" s="47"/>
      <c r="E10" s="48"/>
      <c r="F10" s="48"/>
      <c r="G10" s="48"/>
      <c r="H10" s="47"/>
      <c r="I10" s="37"/>
      <c r="J10" s="58"/>
    </row>
    <row r="11" spans="1:55" s="33" customFormat="1" x14ac:dyDescent="0.35">
      <c r="A11" s="49">
        <v>7</v>
      </c>
      <c r="B11" s="79"/>
      <c r="C11" s="47"/>
      <c r="D11" s="47"/>
      <c r="E11" s="48"/>
      <c r="F11" s="48"/>
      <c r="G11" s="48"/>
      <c r="H11" s="47"/>
      <c r="I11" s="37"/>
      <c r="J11" s="58"/>
    </row>
    <row r="12" spans="1:55" s="33" customFormat="1" x14ac:dyDescent="0.35">
      <c r="A12" s="61"/>
      <c r="B12" s="61"/>
      <c r="C12" s="61"/>
      <c r="D12" s="61"/>
      <c r="E12" s="62"/>
      <c r="F12" s="65"/>
      <c r="G12" s="62"/>
      <c r="H12" s="61"/>
      <c r="I12" s="63"/>
      <c r="J12" s="64"/>
    </row>
    <row r="13" spans="1:55" s="33" customFormat="1" x14ac:dyDescent="0.35">
      <c r="A13" s="47">
        <v>9</v>
      </c>
      <c r="B13" s="79"/>
      <c r="C13" s="47"/>
      <c r="D13" s="47"/>
      <c r="E13" s="48"/>
      <c r="F13" s="48"/>
      <c r="G13" s="48"/>
      <c r="H13" s="47"/>
      <c r="I13" s="37"/>
      <c r="J13" s="58"/>
    </row>
    <row r="14" spans="1:55" s="33" customFormat="1" x14ac:dyDescent="0.35">
      <c r="A14" s="47">
        <v>8</v>
      </c>
      <c r="B14" s="47"/>
      <c r="C14" s="47"/>
      <c r="D14" s="47"/>
      <c r="E14" s="48"/>
      <c r="F14" s="47"/>
      <c r="G14" s="48"/>
      <c r="H14" s="47"/>
      <c r="I14" s="37"/>
      <c r="J14" s="58"/>
    </row>
    <row r="15" spans="1:55" s="33" customFormat="1" x14ac:dyDescent="0.35">
      <c r="A15" s="47">
        <v>9</v>
      </c>
      <c r="B15" s="47"/>
      <c r="C15" s="47"/>
      <c r="D15" s="47"/>
      <c r="E15" s="48"/>
      <c r="F15" s="47"/>
      <c r="G15" s="48"/>
      <c r="H15" s="47"/>
      <c r="I15" s="37"/>
      <c r="J15" s="58"/>
    </row>
    <row r="16" spans="1:55" s="33" customFormat="1" x14ac:dyDescent="0.35">
      <c r="A16" s="47">
        <v>10</v>
      </c>
      <c r="B16" s="47"/>
      <c r="C16" s="47"/>
      <c r="D16" s="47"/>
      <c r="E16" s="48"/>
      <c r="F16" s="47"/>
      <c r="G16" s="48"/>
      <c r="H16" s="47"/>
      <c r="I16" s="37"/>
      <c r="J16" s="58"/>
    </row>
    <row r="17" spans="1:10" s="33" customFormat="1" x14ac:dyDescent="0.35">
      <c r="A17" s="61"/>
      <c r="B17" s="61"/>
      <c r="C17" s="61"/>
      <c r="D17" s="61"/>
      <c r="E17" s="62"/>
      <c r="F17" s="65"/>
      <c r="G17" s="62"/>
      <c r="H17" s="61"/>
      <c r="I17" s="63"/>
      <c r="J17" s="64"/>
    </row>
    <row r="18" spans="1:10" s="33" customFormat="1" x14ac:dyDescent="0.35">
      <c r="A18" s="47">
        <v>11</v>
      </c>
      <c r="B18" s="47"/>
      <c r="C18" s="47"/>
      <c r="D18" s="47"/>
      <c r="E18" s="48"/>
      <c r="F18" s="47"/>
      <c r="G18" s="48"/>
      <c r="H18" s="47"/>
      <c r="I18" s="37"/>
      <c r="J18" s="58"/>
    </row>
    <row r="19" spans="1:10" s="33" customFormat="1" ht="23.25" customHeight="1" x14ac:dyDescent="0.35">
      <c r="A19" s="47">
        <v>12</v>
      </c>
      <c r="B19" s="47"/>
      <c r="C19" s="47"/>
      <c r="D19" s="47"/>
      <c r="E19" s="48"/>
      <c r="F19" s="47"/>
      <c r="G19" s="48"/>
      <c r="H19" s="47"/>
      <c r="I19" s="37"/>
      <c r="J19" s="58"/>
    </row>
    <row r="20" spans="1:10" s="33" customFormat="1" ht="30" customHeight="1" x14ac:dyDescent="0.35">
      <c r="A20" s="47">
        <v>13</v>
      </c>
      <c r="B20" s="47"/>
      <c r="C20" s="47"/>
      <c r="D20" s="47"/>
      <c r="E20" s="48"/>
      <c r="F20" s="47"/>
      <c r="G20" s="48"/>
      <c r="H20" s="47"/>
      <c r="I20" s="37"/>
      <c r="J20" s="58"/>
    </row>
    <row r="21" spans="1:10" s="33" customFormat="1" ht="19.5" customHeight="1" x14ac:dyDescent="0.35">
      <c r="A21" s="61"/>
      <c r="B21" s="61"/>
      <c r="C21" s="61"/>
      <c r="D21" s="61"/>
      <c r="E21" s="62"/>
      <c r="F21" s="65"/>
      <c r="G21" s="62"/>
      <c r="H21" s="61"/>
      <c r="I21" s="63"/>
      <c r="J21" s="64"/>
    </row>
    <row r="22" spans="1:10" s="33" customFormat="1" x14ac:dyDescent="0.35">
      <c r="A22" s="47">
        <v>14</v>
      </c>
      <c r="B22" s="47"/>
      <c r="C22" s="47"/>
      <c r="D22" s="47"/>
      <c r="E22" s="48"/>
      <c r="F22" s="47"/>
      <c r="G22" s="48"/>
      <c r="H22" s="47"/>
      <c r="I22" s="37"/>
      <c r="J22" s="58"/>
    </row>
    <row r="23" spans="1:10" s="33" customFormat="1" ht="30.75" customHeight="1" x14ac:dyDescent="0.35">
      <c r="A23" s="47">
        <v>15</v>
      </c>
      <c r="B23" s="47"/>
      <c r="C23" s="47"/>
      <c r="D23" s="47"/>
      <c r="E23" s="48"/>
      <c r="F23" s="47"/>
      <c r="G23" s="48"/>
      <c r="H23" s="47"/>
      <c r="I23" s="37"/>
      <c r="J23" s="58"/>
    </row>
    <row r="24" spans="1:10" s="33" customFormat="1" ht="29.25" customHeight="1" x14ac:dyDescent="0.35">
      <c r="A24" s="47">
        <v>16</v>
      </c>
      <c r="B24" s="47"/>
      <c r="C24" s="47"/>
      <c r="D24" s="47"/>
      <c r="E24" s="48"/>
      <c r="F24" s="47"/>
      <c r="G24" s="48"/>
      <c r="H24" s="47"/>
      <c r="I24" s="37"/>
      <c r="J24" s="58"/>
    </row>
    <row r="25" spans="1:10" s="33" customFormat="1" ht="28.5" customHeight="1" x14ac:dyDescent="0.35">
      <c r="A25" s="47">
        <v>17</v>
      </c>
      <c r="B25" s="47"/>
      <c r="C25" s="47"/>
      <c r="D25" s="47"/>
      <c r="E25" s="48"/>
      <c r="F25" s="47"/>
      <c r="G25" s="48"/>
      <c r="H25" s="47"/>
      <c r="I25" s="37"/>
      <c r="J25" s="58"/>
    </row>
    <row r="26" spans="1:10" s="33" customFormat="1" x14ac:dyDescent="0.35">
      <c r="A26" s="61"/>
      <c r="B26" s="61"/>
      <c r="C26" s="61"/>
      <c r="D26" s="61"/>
      <c r="E26" s="62"/>
      <c r="F26" s="65"/>
      <c r="G26" s="62"/>
      <c r="H26" s="61"/>
      <c r="I26" s="63"/>
      <c r="J26" s="64"/>
    </row>
    <row r="27" spans="1:10" s="33" customFormat="1" ht="18.75" customHeight="1" x14ac:dyDescent="0.35">
      <c r="A27" s="46">
        <v>18</v>
      </c>
      <c r="B27" s="47"/>
      <c r="C27" s="47"/>
      <c r="D27" s="47"/>
      <c r="E27" s="48"/>
      <c r="F27" s="47"/>
      <c r="G27" s="48"/>
      <c r="H27" s="47"/>
      <c r="I27" s="37"/>
      <c r="J27" s="37"/>
    </row>
    <row r="28" spans="1:10" s="33" customFormat="1" ht="24.75" customHeight="1" x14ac:dyDescent="0.35">
      <c r="A28" s="47">
        <v>19</v>
      </c>
      <c r="B28" s="47"/>
      <c r="C28" s="47"/>
      <c r="D28" s="47"/>
      <c r="E28" s="48"/>
      <c r="F28" s="47"/>
      <c r="G28" s="48"/>
      <c r="H28" s="47"/>
      <c r="I28" s="37"/>
      <c r="J28" s="58"/>
    </row>
    <row r="29" spans="1:10" s="33" customFormat="1" ht="23.25" customHeight="1" x14ac:dyDescent="0.35">
      <c r="A29" s="47">
        <v>20</v>
      </c>
      <c r="B29" s="47"/>
      <c r="C29" s="47"/>
      <c r="D29" s="47"/>
      <c r="E29" s="48"/>
      <c r="F29" s="47"/>
      <c r="G29" s="48"/>
      <c r="H29" s="47"/>
      <c r="I29" s="37"/>
      <c r="J29" s="58"/>
    </row>
    <row r="30" spans="1:10" s="33" customFormat="1" ht="25.5" customHeight="1" x14ac:dyDescent="0.35">
      <c r="A30" s="47">
        <v>21</v>
      </c>
      <c r="B30" s="47"/>
      <c r="C30" s="47"/>
      <c r="D30" s="47"/>
      <c r="E30" s="48"/>
      <c r="F30" s="47"/>
      <c r="G30" s="48"/>
      <c r="H30" s="47"/>
      <c r="I30" s="37"/>
      <c r="J30" s="58"/>
    </row>
    <row r="31" spans="1:10" s="33" customFormat="1" x14ac:dyDescent="0.35">
      <c r="E31" s="60"/>
    </row>
    <row r="33" spans="5:5" s="33" customFormat="1" x14ac:dyDescent="0.35">
      <c r="E33" s="60"/>
    </row>
    <row r="34" spans="5:5" s="33" customFormat="1" ht="111.75" customHeight="1" x14ac:dyDescent="0.35">
      <c r="E34" s="60"/>
    </row>
    <row r="35" spans="5:5" s="33" customFormat="1" ht="111.75" customHeight="1" x14ac:dyDescent="0.35">
      <c r="E35" s="60"/>
    </row>
  </sheetData>
  <mergeCells count="4">
    <mergeCell ref="B1:D1"/>
    <mergeCell ref="B2:D2"/>
    <mergeCell ref="B3:D3"/>
    <mergeCell ref="B4:H4"/>
  </mergeCells>
  <dataValidations count="2">
    <dataValidation type="list" allowBlank="1" showInputMessage="1" showErrorMessage="1" sqref="I18:I20 I6:I11 I22:I25 I27:I30 I14:I16" xr:uid="{00000000-0002-0000-0200-000001000000}">
      <formula1>$BB$1:$BB$5</formula1>
    </dataValidation>
    <dataValidation type="list" allowBlank="1" showInputMessage="1" showErrorMessage="1" sqref="B3:D3" xr:uid="{00000000-0002-0000-0200-000000000000}">
      <formula1>$BA$1:$BA$8</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dvAspect="DVASPECT_ICON" shapeId="10282" r:id="rId4">
          <objectPr defaultSize="0" r:id="rId5">
            <anchor moveWithCells="1">
              <from>
                <xdr:col>1</xdr:col>
                <xdr:colOff>635000</xdr:colOff>
                <xdr:row>5</xdr:row>
                <xdr:rowOff>590550</xdr:rowOff>
              </from>
              <to>
                <xdr:col>1</xdr:col>
                <xdr:colOff>1504950</xdr:colOff>
                <xdr:row>5</xdr:row>
                <xdr:rowOff>1117600</xdr:rowOff>
              </to>
            </anchor>
          </objectPr>
        </oleObject>
      </mc:Choice>
      <mc:Fallback>
        <oleObject progId="Packager Shell Object" dvAspect="DVASPECT_ICON" shapeId="10282"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2.5" outlineLevelRow="1" x14ac:dyDescent="0.25"/>
  <cols>
    <col min="1" max="1" width="27.1796875" customWidth="1"/>
    <col min="2" max="2" width="59.81640625" style="66" customWidth="1"/>
    <col min="3" max="3" width="24.453125" customWidth="1"/>
  </cols>
  <sheetData>
    <row r="1" spans="1:2" ht="13" x14ac:dyDescent="0.3">
      <c r="A1" s="67" t="s">
        <v>62</v>
      </c>
      <c r="B1" s="68" t="s">
        <v>0</v>
      </c>
    </row>
    <row r="2" spans="1:2" ht="13" outlineLevel="1" x14ac:dyDescent="0.3">
      <c r="A2" s="69" t="s">
        <v>56</v>
      </c>
      <c r="B2" s="74" t="str">
        <f>PPRD</f>
        <v>Jun , 2021</v>
      </c>
    </row>
    <row r="3" spans="1:2" ht="13" x14ac:dyDescent="0.3">
      <c r="A3" s="69" t="s">
        <v>59</v>
      </c>
      <c r="B3" s="70" t="str">
        <f>CRN</f>
        <v>CHG212925_CHG212979</v>
      </c>
    </row>
    <row r="4" spans="1:2" ht="13" x14ac:dyDescent="0.3">
      <c r="A4" s="69" t="s">
        <v>60</v>
      </c>
      <c r="B4" s="70" t="str">
        <f>MA</f>
        <v xml:space="preserve"> ES, CZ, IT, CT</v>
      </c>
    </row>
    <row r="5" spans="1:2" ht="13" x14ac:dyDescent="0.3">
      <c r="A5" s="69" t="s">
        <v>61</v>
      </c>
      <c r="B5" s="70" t="str">
        <f>Area</f>
        <v>Data</v>
      </c>
    </row>
    <row r="6" spans="1:2" ht="13" x14ac:dyDescent="0.3">
      <c r="A6" s="69" t="s">
        <v>44</v>
      </c>
      <c r="B6" s="70" t="str">
        <f>Entity</f>
        <v>SI</v>
      </c>
    </row>
    <row r="7" spans="1:2" ht="13" x14ac:dyDescent="0.3">
      <c r="A7" s="69" t="s">
        <v>57</v>
      </c>
      <c r="B7" s="71">
        <f>DTested</f>
        <v>44516</v>
      </c>
    </row>
    <row r="8" spans="1:2" ht="13" x14ac:dyDescent="0.3">
      <c r="A8" s="69" t="s">
        <v>58</v>
      </c>
      <c r="B8" s="72">
        <f>DReviewed</f>
        <v>0</v>
      </c>
    </row>
    <row r="9" spans="1:2" ht="13" x14ac:dyDescent="0.3">
      <c r="A9" s="69" t="s">
        <v>48</v>
      </c>
      <c r="B9" s="70" t="str">
        <f>TestedBy</f>
        <v>Aïsha</v>
      </c>
    </row>
    <row r="10" spans="1:2" ht="13" x14ac:dyDescent="0.3">
      <c r="A10" s="69" t="s">
        <v>52</v>
      </c>
      <c r="B10" s="70">
        <f>ReviewedBy</f>
        <v>0</v>
      </c>
    </row>
    <row r="12" spans="1:2" ht="13" x14ac:dyDescent="0.3">
      <c r="A12" s="69" t="s">
        <v>63</v>
      </c>
      <c r="B12" s="73"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zoomScale="55" zoomScaleNormal="55" workbookViewId="0">
      <selection activeCell="Q40" sqref="Q40"/>
    </sheetView>
  </sheetViews>
  <sheetFormatPr defaultColWidth="9.1796875" defaultRowHeight="12.5" x14ac:dyDescent="0.25"/>
  <cols>
    <col min="1" max="1" width="44" style="78" bestFit="1" customWidth="1"/>
    <col min="2" max="16384" width="9.1796875" style="78"/>
  </cols>
  <sheetData>
    <row r="1" spans="1:1" ht="13" x14ac:dyDescent="0.3">
      <c r="A1" s="77"/>
    </row>
    <row r="2" spans="1:1" ht="13" x14ac:dyDescent="0.3">
      <c r="A2" s="101" t="s">
        <v>96</v>
      </c>
    </row>
    <row r="30" spans="1:1" ht="13" x14ac:dyDescent="0.3">
      <c r="A30" s="77"/>
    </row>
    <row r="55" spans="1:1" ht="13" x14ac:dyDescent="0.3">
      <c r="A55" s="77"/>
    </row>
    <row r="70" spans="1:1" ht="13" x14ac:dyDescent="0.3">
      <c r="A70" s="77"/>
    </row>
    <row r="105" spans="1:1" ht="13" x14ac:dyDescent="0.3">
      <c r="A105" s="77"/>
    </row>
    <row r="146" spans="1:1" ht="13" x14ac:dyDescent="0.3">
      <c r="A146" s="77"/>
    </row>
    <row r="185" spans="1:1" ht="13" x14ac:dyDescent="0.3">
      <c r="A185" s="77"/>
    </row>
    <row r="220" spans="1:1" ht="13" x14ac:dyDescent="0.3">
      <c r="A220" s="77"/>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Abdool, Aïsha S.</cp:lastModifiedBy>
  <cp:lastPrinted>2013-10-17T06:50:38Z</cp:lastPrinted>
  <dcterms:created xsi:type="dcterms:W3CDTF">2006-03-30T08:28:02Z</dcterms:created>
  <dcterms:modified xsi:type="dcterms:W3CDTF">2021-11-18T11:36:13Z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