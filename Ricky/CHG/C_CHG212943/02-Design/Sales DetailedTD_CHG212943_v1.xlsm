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2943\02-Design\"/>
    </mc:Choice>
  </mc:AlternateContent>
  <xr:revisionPtr revIDLastSave="0" documentId="13_ncr:1_{C0721A35-5915-4D4C-8394-3DC1916E1429}" xr6:coauthVersionLast="46" xr6:coauthVersionMax="46" xr10:uidLastSave="{00000000-0000-0000-0000-000000000000}"/>
  <bookViews>
    <workbookView xWindow="-120" yWindow="-120" windowWidth="29040" windowHeight="15840" tabRatio="932" xr2:uid="{00000000-000D-0000-FFFF-FFFF00000000}"/>
  </bookViews>
  <sheets>
    <sheet name="Title" sheetId="1" r:id="rId1"/>
    <sheet name="Version Control" sheetId="2" r:id="rId2"/>
    <sheet name="Overview" sheetId="3" r:id="rId3"/>
    <sheet name="DTD Review Crosscheck" sheetId="101" r:id="rId4"/>
    <sheet name="1. BC" sheetId="86" r:id="rId5"/>
    <sheet name="2. Script&lt;Applet&gt;" sheetId="84" r:id="rId6"/>
    <sheet name="3. PR Tasks" sheetId="82" r:id="rId7"/>
  </sheets>
  <definedNames>
    <definedName name="_xlnm._FilterDatabase" localSheetId="3" hidden="1">'DTD Review Crosscheck'!$A$4:$E$44</definedName>
    <definedName name="_xlnm.Print_Area" localSheetId="1">'Version Control'!$A$1:$H$6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 i="2" l="1"/>
  <c r="B10" i="2"/>
  <c r="B38" i="1"/>
  <c r="B16" i="2" l="1"/>
</calcChain>
</file>

<file path=xl/sharedStrings.xml><?xml version="1.0" encoding="utf-8"?>
<sst xmlns="http://schemas.openxmlformats.org/spreadsheetml/2006/main" count="428" uniqueCount="223">
  <si>
    <t>Description</t>
  </si>
  <si>
    <t>Trade Marketing Excellence Programme</t>
  </si>
  <si>
    <t>Date:</t>
  </si>
  <si>
    <t>Status:</t>
  </si>
  <si>
    <t>Reviewer Control Section</t>
  </si>
  <si>
    <t>Name</t>
  </si>
  <si>
    <t>First Name</t>
  </si>
  <si>
    <t>Function</t>
  </si>
  <si>
    <t>Document Version</t>
  </si>
  <si>
    <t>Date</t>
  </si>
  <si>
    <t xml:space="preserve">Draft </t>
  </si>
  <si>
    <t>Functional Design</t>
  </si>
  <si>
    <t>Content</t>
  </si>
  <si>
    <t>Worksheet</t>
  </si>
  <si>
    <t>Ownership</t>
  </si>
  <si>
    <t>Area</t>
  </si>
  <si>
    <t>Purpose</t>
  </si>
  <si>
    <t>View</t>
  </si>
  <si>
    <t>Comments</t>
  </si>
  <si>
    <t>Applet</t>
  </si>
  <si>
    <t>Type</t>
  </si>
  <si>
    <t>Script Design</t>
  </si>
  <si>
    <t>Script</t>
  </si>
  <si>
    <t>Event Name:</t>
  </si>
  <si>
    <t>Description:</t>
  </si>
  <si>
    <t>Scripting</t>
  </si>
  <si>
    <t>Estimation</t>
  </si>
  <si>
    <t>Mandays</t>
  </si>
  <si>
    <t>Dev/Configuration</t>
  </si>
  <si>
    <t>Peer Review</t>
  </si>
  <si>
    <t>Manday</t>
  </si>
  <si>
    <t>Calculated Value</t>
  </si>
  <si>
    <t>Calculated</t>
  </si>
  <si>
    <t>Predefault Value</t>
  </si>
  <si>
    <t>Validation</t>
  </si>
  <si>
    <t>Business Component Design</t>
  </si>
  <si>
    <t>Fields</t>
  </si>
  <si>
    <t>Table</t>
  </si>
  <si>
    <t>TOTAL Estimation</t>
  </si>
  <si>
    <t>Functional design and configuration of screens &amp; screen views</t>
  </si>
  <si>
    <t>ASI UAT</t>
  </si>
  <si>
    <t>CIS UAT</t>
  </si>
  <si>
    <t>RUS UAT</t>
  </si>
  <si>
    <t>LOV TYPE</t>
  </si>
  <si>
    <t>LIC</t>
  </si>
  <si>
    <t>Display Value</t>
  </si>
  <si>
    <t>Order</t>
  </si>
  <si>
    <t>Language</t>
  </si>
  <si>
    <t>Organization</t>
  </si>
  <si>
    <t>LOV</t>
  </si>
  <si>
    <t>Active</t>
  </si>
  <si>
    <t>Status</t>
  </si>
  <si>
    <t>Post Release Task</t>
  </si>
  <si>
    <t>Translate</t>
  </si>
  <si>
    <t>Symbolic String</t>
  </si>
  <si>
    <t>Technical Design Screens, Views and Applets</t>
  </si>
  <si>
    <t>SALES</t>
  </si>
  <si>
    <t>Title:</t>
  </si>
  <si>
    <t>EU2 UAT</t>
  </si>
  <si>
    <t>Spain</t>
  </si>
  <si>
    <t>Market Affected:</t>
  </si>
  <si>
    <t>Post Release Tasks</t>
  </si>
  <si>
    <t>Test Script</t>
  </si>
  <si>
    <t>Unit Test</t>
  </si>
  <si>
    <t>EU1 UAT</t>
  </si>
  <si>
    <t>EU3 UAT</t>
  </si>
  <si>
    <t>CEU UAT</t>
  </si>
  <si>
    <t>Non Pilot Impact Analysis - Post Tasks</t>
  </si>
  <si>
    <t>New/Existing</t>
  </si>
  <si>
    <t>Impact</t>
  </si>
  <si>
    <t>ASI PROD</t>
  </si>
  <si>
    <t>EU1 PROD</t>
  </si>
  <si>
    <t>EU2 PROD</t>
  </si>
  <si>
    <t>EU3 PROD</t>
  </si>
  <si>
    <t>CEU PROD</t>
  </si>
  <si>
    <t>CIS PROD</t>
  </si>
  <si>
    <t>RUS PROD</t>
  </si>
  <si>
    <t>Multilingual</t>
  </si>
  <si>
    <t>PLIC</t>
  </si>
  <si>
    <t>Low</t>
  </si>
  <si>
    <t>High</t>
  </si>
  <si>
    <t>Target High</t>
  </si>
  <si>
    <t>Comment</t>
  </si>
  <si>
    <t>DTD Review CheckList</t>
  </si>
  <si>
    <t>Checklist</t>
  </si>
  <si>
    <t>Details</t>
  </si>
  <si>
    <t>Table Column Naming Convention</t>
  </si>
  <si>
    <t>New Boolean Column &gt;&gt; X_&lt;COLUMNNAME&gt;_FLG
New Text Column &gt;&gt; X_&lt;COLUMNNAME&gt;_TEXT
New Date Column &gt;&gt; X_&lt;COLUMNNAME&gt;_DT
New Numeric Column &gt;&gt; X_&lt;COLUMNNAME&gt;_NUM
New LOV Column &gt;&gt; X_&lt;COLUMNNAME&gt;_CD
New ID Column &gt;&gt; X_&lt;COLUMNNAME&gt;_ID
New Attribute Column &gt;&gt; X_ATTRIB_&lt;Number&gt;</t>
  </si>
  <si>
    <t>Runtime Check</t>
  </si>
  <si>
    <t>Level</t>
  </si>
  <si>
    <t>Object Naming Convention</t>
  </si>
  <si>
    <t>All</t>
  </si>
  <si>
    <t>All new Object must have JTI prefix. Ex: JTI Account</t>
  </si>
  <si>
    <t>In List Applets all number and currency controls should be aligned to the right, check boxes centered and all other aligned to the left.</t>
  </si>
  <si>
    <t>In Form Applets controls should be aligned to the left, except for check boxes (centered)</t>
  </si>
  <si>
    <t>List Colums Alignment</t>
  </si>
  <si>
    <t>Control Alignment</t>
  </si>
  <si>
    <t>Upgrade Ancestor</t>
  </si>
  <si>
    <t>Visibity Setup</t>
  </si>
  <si>
    <t>Verify Visibility Applet &amp; Visibility Applet Type</t>
  </si>
  <si>
    <t>Impact Analysis on Post Tasks</t>
  </si>
  <si>
    <t>Post Tasks</t>
  </si>
  <si>
    <t>Verify that Impact Analysis was set on each Post Release Tasks</t>
  </si>
  <si>
    <t>Script Check</t>
  </si>
  <si>
    <t>Use of – in Object/Property Name</t>
  </si>
  <si>
    <t>BC</t>
  </si>
  <si>
    <t>For New Field, verify that same column is not already used by another field</t>
  </si>
  <si>
    <t>Field Creation</t>
  </si>
  <si>
    <t>List Columns/Control Update</t>
  </si>
  <si>
    <t>Verify if there are different List Columns/Controls that uses the same field.</t>
  </si>
  <si>
    <t>Translation Update</t>
  </si>
  <si>
    <t>Verify that Symbolic String to be updated is not used by other Object (Symbolic String Finder Tool)</t>
  </si>
  <si>
    <t>DOC: Change Log</t>
  </si>
  <si>
    <t>Impact on Non-Pilot</t>
  </si>
  <si>
    <t>Proposal</t>
  </si>
  <si>
    <t>DTD Format - Grouping</t>
  </si>
  <si>
    <t>Group similar Object Change together (Applets/BC/etc..)</t>
  </si>
  <si>
    <t>BC Name</t>
  </si>
  <si>
    <t>New Column in S_EVT_ACT</t>
  </si>
  <si>
    <t>Verify that New Column in S_EVT_ACT needs to be added in Data CAP Process</t>
  </si>
  <si>
    <t>Dock Object Impacted</t>
  </si>
  <si>
    <t>Tech Arch Intervention?</t>
  </si>
  <si>
    <t>New Column in S_ORG_EXT</t>
  </si>
  <si>
    <r>
      <t xml:space="preserve">New column should </t>
    </r>
    <r>
      <rPr>
        <b/>
        <sz val="10"/>
        <rFont val="Arial"/>
        <family val="2"/>
      </rPr>
      <t>NOT</t>
    </r>
    <r>
      <rPr>
        <sz val="10"/>
        <rFont val="Arial"/>
        <family val="2"/>
      </rPr>
      <t xml:space="preserve"> be created in S_ORG_EXT
Column should be created in S_ORG_EXT_X instead</t>
    </r>
  </si>
  <si>
    <t>Visibity Applet</t>
  </si>
  <si>
    <t>Verify that Visibility Applet is updated as well when applet in view web template item is updated (for the case where applet in view web template item was the same as the Visibility applet)</t>
  </si>
  <si>
    <t>For fields using new column and having a predefault value, assess impact on existing records.</t>
  </si>
  <si>
    <t>Visibility Check (Bus Comp View Mode)</t>
  </si>
  <si>
    <t>Check if Visibility Applet Type setup v/s Bus Comp View Mode</t>
  </si>
  <si>
    <t>All Date/Numeric/Flag/LOV List Columns/Control should have RUNTIME set to TRUE (at applet level)</t>
  </si>
  <si>
    <t>CR #:</t>
  </si>
  <si>
    <t>Use of comment is properly done on new lines of code</t>
  </si>
  <si>
    <t>Use Switch instead of several nested if/then/else</t>
  </si>
  <si>
    <t>The use of ‘With‘ way to group operations performed within the same business component.</t>
  </si>
  <si>
    <t xml:space="preserve">Only one Return/Exit statement per function </t>
  </si>
  <si>
    <t>All objects set to nothing in finally clause in reverse order of creation</t>
  </si>
  <si>
    <t>ExecuteQuery should be used with ForwardOnly mode</t>
  </si>
  <si>
    <t>When using this.GetFieldValue make sure field is activated (Force Active set to TRUE on BC)</t>
  </si>
  <si>
    <t>Code properly indented to imprve readibility</t>
  </si>
  <si>
    <t>Script Required?</t>
  </si>
  <si>
    <r>
      <t xml:space="preserve">Upgrade Ancestor should be set for each object cloned when future changes to the source object shall be applied to the cloned object. Kindly note that Upgrade Ancestor should be set </t>
    </r>
    <r>
      <rPr>
        <b/>
        <sz val="10"/>
        <rFont val="Arial"/>
        <family val="2"/>
      </rPr>
      <t>ONLY to VANILLA objects</t>
    </r>
  </si>
  <si>
    <t>System Preference</t>
  </si>
  <si>
    <r>
      <t xml:space="preserve">Verify that new System Pref Name is prefix with </t>
    </r>
    <r>
      <rPr>
        <b/>
        <sz val="10"/>
        <rFont val="Arial"/>
        <family val="2"/>
      </rPr>
      <t>Company</t>
    </r>
    <r>
      <rPr>
        <sz val="10"/>
        <rFont val="Arial"/>
        <family val="2"/>
      </rPr>
      <t xml:space="preserve"> (for those that is going to be used by offline user)</t>
    </r>
  </si>
  <si>
    <t>List Colums Creation</t>
  </si>
  <si>
    <t>Verify that List Column Name &amp; Field Name is not the same for currency fields</t>
  </si>
  <si>
    <r>
      <t xml:space="preserve">When using ParentBusComp method, a check should be done first to verify there is a Parent Bus Comp associated. Example Below:-
</t>
    </r>
    <r>
      <rPr>
        <b/>
        <i/>
        <sz val="10"/>
        <rFont val="Arial"/>
        <family val="2"/>
      </rPr>
      <t>if (this.ParentBusComp() != null &amp;&amp; this.ParentBusComp() != "")</t>
    </r>
  </si>
  <si>
    <t>Personalization/Toggle Check</t>
  </si>
  <si>
    <r>
      <t>Verify using</t>
    </r>
    <r>
      <rPr>
        <b/>
        <i/>
        <sz val="10"/>
        <rFont val="Arial"/>
        <family val="2"/>
      </rPr>
      <t xml:space="preserve"> Personalization &amp; Toggle Tool</t>
    </r>
    <r>
      <rPr>
        <sz val="10"/>
        <rFont val="Arial"/>
        <family val="2"/>
      </rPr>
      <t xml:space="preserve"> that applet being modified is in Applet Personalization or Toggle Applet
</t>
    </r>
    <r>
      <rPr>
        <b/>
        <i/>
        <sz val="10"/>
        <rFont val="Arial"/>
        <family val="2"/>
      </rPr>
      <t>This will let us know if our modifications need to be done on any other applets</t>
    </r>
  </si>
  <si>
    <t>Verify that impacted field is correctly mapped and visible for the market requested.</t>
  </si>
  <si>
    <t>Do not use "–" in Object/Property Name</t>
  </si>
  <si>
    <r>
      <t xml:space="preserve">When using </t>
    </r>
    <r>
      <rPr>
        <b/>
        <i/>
        <sz val="10"/>
        <rFont val="Arial"/>
        <family val="2"/>
      </rPr>
      <t>TheApplication().ActiveBusObject()</t>
    </r>
    <r>
      <rPr>
        <sz val="10"/>
        <rFont val="Arial"/>
        <family val="2"/>
      </rPr>
      <t xml:space="preserve"> method, a check should be done first to verify there is an Active Bus Object. Example Below:-
</t>
    </r>
    <r>
      <rPr>
        <b/>
        <i/>
        <sz val="10"/>
        <rFont val="Arial"/>
        <family val="2"/>
      </rPr>
      <t>if (TheApplication().ActiveBusObject()  != null &amp;&amp; TheApplication().ActiveBusObject() != “”)</t>
    </r>
  </si>
  <si>
    <t>When using ToFixed() method make sure that result is converted to number.</t>
  </si>
  <si>
    <t>For fields having Immediate Post Change checked, verify that there is no field validation (message does no appear correctly). 
If any, move Validation to script (PresetFieldValue)</t>
  </si>
  <si>
    <t>When using try and catch, ensure that "RaiseErrorText" is called only once throughout the process when doing any validation</t>
  </si>
  <si>
    <t>Verify that subtype is populated for LOVs with same type, display and language; for example  "JTI_MARKET_SETTINGS" with value "TRUE"</t>
  </si>
  <si>
    <t>Use Event Handler (Try, Catch &amp; Finally). In RaiseErrorText use e.ErrText instead of e.ToString()</t>
  </si>
  <si>
    <t>When including logic in a button, make sure that WriteRecord is present to save the record before executing the logic</t>
  </si>
  <si>
    <t>Predefault/Postdefault Value</t>
  </si>
  <si>
    <t>For fields in activity, make sure that default values are considered as well when a Visit activity is created from an objective activity</t>
  </si>
  <si>
    <t>Change of Method Invoked for Control</t>
  </si>
  <si>
    <t>Changing the Name of Method Invoked in control, crosscheck if Method Name is also used in JS</t>
  </si>
  <si>
    <t>Changes in Schema</t>
  </si>
  <si>
    <t>Inform Data team for any changes in schema during Development</t>
  </si>
  <si>
    <t>CHG212943</t>
  </si>
  <si>
    <t>TMEC: OM - IM: Stock Receive - Ability to allocate products to TM</t>
  </si>
  <si>
    <t>CZ;ES</t>
  </si>
  <si>
    <t>JTI_SUBTYPE_TYPE</t>
  </si>
  <si>
    <t>Stock Receive</t>
  </si>
  <si>
    <t>Y</t>
  </si>
  <si>
    <t>English-American</t>
  </si>
  <si>
    <t>Czech Republic</t>
  </si>
  <si>
    <t>Service</t>
  </si>
  <si>
    <t>Add LOV</t>
  </si>
  <si>
    <t>Existing - New LIC</t>
  </si>
  <si>
    <t>Czech</t>
  </si>
  <si>
    <t>Spanish (Modern)</t>
  </si>
  <si>
    <t>Recibida de stock</t>
  </si>
  <si>
    <t>FS_ORDER_STATUS</t>
  </si>
  <si>
    <t>Rejected</t>
  </si>
  <si>
    <t>Rechazado</t>
  </si>
  <si>
    <t>Set Multilingual = Y</t>
  </si>
  <si>
    <t>Existing</t>
  </si>
  <si>
    <t>Submitted</t>
  </si>
  <si>
    <t>Enviado</t>
  </si>
  <si>
    <t>Update Display Value from 'Presentado'</t>
  </si>
  <si>
    <t>Cancelled</t>
  </si>
  <si>
    <t>Cancelado</t>
  </si>
  <si>
    <t>Update Display Value from 'Cancelada'</t>
  </si>
  <si>
    <t>Received</t>
  </si>
  <si>
    <t>Recibida</t>
  </si>
  <si>
    <t>Update Display Value from 'Received'</t>
  </si>
  <si>
    <t>To Receive</t>
  </si>
  <si>
    <t>Order Entry - Orders</t>
  </si>
  <si>
    <t>JTI Stock RO</t>
  </si>
  <si>
    <t>IIF([JTI Sub Type]=LookupValue('JTI_SUBTYPE_TYPE','Stock Receive') AND [Status]=LookupValue('FS_ORDER_STATUS','To Receive') ,'Y','N')</t>
  </si>
  <si>
    <t>New field</t>
  </si>
  <si>
    <t>JTI BC Read Only Flag</t>
  </si>
  <si>
    <t>Update Calc value from 'IIF([JTI Delivery Status Error] = 'N' AND [JTI BC Read Only Flag Ext] = 'Y', 'Y', 'N')'</t>
  </si>
  <si>
    <t>IIF(([JTI Delivery Status Error] = 'N' AND [JTI BC Read Only Flag Ext] = 'Y') OR [JTI Stock RO] = 'Y', 'Y', 'N')</t>
  </si>
  <si>
    <t>Order Entry - Line Items</t>
  </si>
  <si>
    <t>BC Read Only Flag</t>
  </si>
  <si>
    <t>JTI Parent Stock RO</t>
  </si>
  <si>
    <t>Update Calc value from '([Delete Class Registration]="N" OR [BC Read Only Flag1]="N" OR [BC Read Only Flag2])'</t>
  </si>
  <si>
    <t>([Delete Class Registration]="N" OR [BC Read Only Flag1]="N" OR [BC Read Only Flag2] OR [JTI Parent Stock RO] = "Y")</t>
  </si>
  <si>
    <t>Update script to set status depending on order type when submitting order</t>
  </si>
  <si>
    <t>function WebApplet_PreInvokeMethod</t>
  </si>
  <si>
    <t>JTI Order Entry - Order Form Applet Dashboard (Service)</t>
  </si>
  <si>
    <t>Kaudeer</t>
  </si>
  <si>
    <t>Nabeel</t>
  </si>
  <si>
    <t>Orders</t>
  </si>
  <si>
    <t>V1</t>
  </si>
  <si>
    <t>02.11.2021</t>
  </si>
  <si>
    <t>Created DTD</t>
  </si>
  <si>
    <t>1. Business Component</t>
  </si>
  <si>
    <t>BC:
Order Entry - Orders
Order Entry - Line Items</t>
  </si>
  <si>
    <t>2. Script</t>
  </si>
  <si>
    <t>Applet:
JTI Order Entry - Order Form Applet Dashboard (Service)</t>
  </si>
  <si>
    <t>3. Post Release Task</t>
  </si>
  <si>
    <t>IIf (ParentBCName () = "Order Entry - Orders", ParentFieldValue ("JTI Stock RO"), "N")</t>
  </si>
  <si>
    <t>DTYPE_BOOL</t>
  </si>
  <si>
    <t>OK</t>
  </si>
  <si>
    <t>N/A</t>
  </si>
  <si>
    <t>Service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</si>
</sst>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B_F_-;\-* #,##0.00\ _B_F_-;_-* &quot;-&quot;??\ _B_F_-;_-@_-"/>
    <numFmt numFmtId="165" formatCode="mm/dd/yy"/>
  </numFmts>
  <fonts count="54" x14ac:knownFonts="1">
    <font>
      <sz val="10"/>
      <name val="Arial"/>
    </font>
    <font>
      <sz val="10"/>
      <name val="Arial"/>
      <family val="2"/>
    </font>
    <font>
      <b/>
      <sz val="14"/>
      <name val="Arial"/>
      <family val="2"/>
    </font>
    <font>
      <b/>
      <sz val="10"/>
      <name val="Arial"/>
      <family val="2"/>
    </font>
    <font>
      <b/>
      <sz val="12"/>
      <name val="Arial"/>
      <family val="2"/>
    </font>
    <font>
      <sz val="10"/>
      <name val="Arial"/>
      <family val="2"/>
    </font>
    <font>
      <sz val="10"/>
      <name val="Book Antiqua"/>
      <family val="1"/>
    </font>
    <font>
      <b/>
      <sz val="10"/>
      <color indexed="9"/>
      <name val="Arial"/>
      <family val="2"/>
    </font>
    <font>
      <sz val="10"/>
      <color indexed="9"/>
      <name val="Arial"/>
      <family val="2"/>
    </font>
    <font>
      <b/>
      <sz val="10"/>
      <color indexed="9"/>
      <name val="Book Antiqua"/>
      <family val="1"/>
    </font>
    <font>
      <b/>
      <i/>
      <sz val="24"/>
      <color indexed="57"/>
      <name val="Arial"/>
      <family val="2"/>
    </font>
    <font>
      <b/>
      <sz val="24"/>
      <name val="Book Antiqua"/>
      <family val="1"/>
    </font>
    <font>
      <b/>
      <sz val="12"/>
      <name val="Book Antiqua"/>
      <family val="1"/>
    </font>
    <font>
      <sz val="12"/>
      <name val="Book Antiqua"/>
      <family val="1"/>
    </font>
    <font>
      <b/>
      <i/>
      <sz val="10"/>
      <name val="Book Antiqua"/>
      <family val="1"/>
    </font>
    <font>
      <sz val="11"/>
      <color indexed="17"/>
      <name val="Calibri"/>
      <family val="2"/>
    </font>
    <font>
      <sz val="11"/>
      <color indexed="20"/>
      <name val="Calibri"/>
      <family val="2"/>
    </font>
    <font>
      <sz val="8"/>
      <name val="Arial"/>
      <family val="2"/>
    </font>
    <font>
      <b/>
      <i/>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0"/>
      <name val="Book Antiqua"/>
      <family val="1"/>
    </font>
    <font>
      <b/>
      <sz val="10"/>
      <name val="Tahoma"/>
      <family val="2"/>
    </font>
    <font>
      <sz val="10"/>
      <color indexed="10"/>
      <name val="Arial"/>
      <family val="2"/>
    </font>
    <font>
      <b/>
      <sz val="14"/>
      <color indexed="9"/>
      <name val="Arial"/>
      <family val="2"/>
    </font>
    <font>
      <sz val="10"/>
      <color indexed="12"/>
      <name val="Arial"/>
      <family val="2"/>
    </font>
    <font>
      <sz val="10"/>
      <color indexed="12"/>
      <name val="Arial"/>
      <family val="2"/>
    </font>
    <font>
      <sz val="22"/>
      <name val="Arial"/>
      <family val="2"/>
    </font>
    <font>
      <b/>
      <sz val="24"/>
      <color indexed="12"/>
      <name val="Book Antiqua"/>
      <family val="1"/>
    </font>
    <font>
      <b/>
      <sz val="20"/>
      <color indexed="12"/>
      <name val="Book Antiqua"/>
      <family val="1"/>
    </font>
    <font>
      <b/>
      <sz val="22"/>
      <color indexed="12"/>
      <name val="Book Antiqua"/>
      <family val="1"/>
    </font>
    <font>
      <b/>
      <sz val="16"/>
      <color indexed="12"/>
      <name val="Book Antiqua"/>
      <family val="1"/>
    </font>
    <font>
      <b/>
      <sz val="12"/>
      <color indexed="12"/>
      <name val="Book Antiqua"/>
      <family val="1"/>
    </font>
    <font>
      <sz val="14"/>
      <color indexed="12"/>
      <name val="Book Antiqua"/>
      <family val="1"/>
    </font>
    <font>
      <b/>
      <sz val="20"/>
      <name val="Book Antiqua"/>
      <family val="1"/>
    </font>
    <font>
      <b/>
      <sz val="16"/>
      <name val="Book Antiqua"/>
      <family val="1"/>
    </font>
    <font>
      <sz val="10"/>
      <color theme="1"/>
      <name val="Arial"/>
      <family val="2"/>
    </font>
    <font>
      <sz val="14"/>
      <color theme="1"/>
      <name val="Arial"/>
      <family val="2"/>
    </font>
    <font>
      <b/>
      <sz val="11"/>
      <color theme="1"/>
      <name val="Calibri"/>
      <family val="2"/>
      <scheme val="minor"/>
    </font>
    <font>
      <b/>
      <sz val="11"/>
      <name val="Calibri"/>
      <family val="2"/>
      <scheme val="minor"/>
    </font>
    <font>
      <sz val="10"/>
      <color rgb="FF0000FF"/>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11"/>
        <bgColor indexed="64"/>
      </patternFill>
    </fill>
    <fill>
      <patternFill patternType="solid">
        <fgColor indexed="12"/>
        <bgColor indexed="64"/>
      </patternFill>
    </fill>
    <fill>
      <patternFill patternType="solid">
        <fgColor indexed="43"/>
        <bgColor indexed="64"/>
      </patternFill>
    </fill>
    <fill>
      <patternFill patternType="solid">
        <fgColor indexed="13"/>
        <bgColor indexed="64"/>
      </patternFill>
    </fill>
    <fill>
      <patternFill patternType="solid">
        <fgColor indexed="9"/>
        <bgColor indexed="64"/>
      </patternFill>
    </fill>
    <fill>
      <patternFill patternType="solid">
        <fgColor indexed="23"/>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15"/>
        <bgColor indexed="64"/>
      </patternFill>
    </fill>
    <fill>
      <patternFill patternType="solid">
        <fgColor indexed="40"/>
        <bgColor indexed="64"/>
      </patternFill>
    </fill>
  </fills>
  <borders count="39">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bottom style="thick">
        <color indexed="17"/>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bottom style="thin">
        <color indexed="64"/>
      </bottom>
      <diagonal/>
    </border>
  </borders>
  <cellStyleXfs count="51">
    <xf numFmtId="0" fontId="0" fillId="0" borderId="0" applyAlignment="0"/>
    <xf numFmtId="0" fontId="19" fillId="2" borderId="0" applyNumberFormat="0" applyBorder="0" applyAlignment="0" applyProtection="0"/>
    <xf numFmtId="0" fontId="19" fillId="3"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5" borderId="0" applyNumberFormat="0" applyBorder="0" applyAlignment="0" applyProtection="0"/>
    <xf numFmtId="0" fontId="19" fillId="8" borderId="0" applyNumberFormat="0" applyBorder="0" applyAlignment="0" applyProtection="0"/>
    <xf numFmtId="0" fontId="19" fillId="11" borderId="0" applyNumberFormat="0" applyBorder="0" applyAlignment="0" applyProtection="0"/>
    <xf numFmtId="0" fontId="20" fillId="12"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9" borderId="0" applyNumberFormat="0" applyBorder="0" applyAlignment="0" applyProtection="0"/>
    <xf numFmtId="0" fontId="21" fillId="20" borderId="1" applyNumberFormat="0" applyAlignment="0" applyProtection="0"/>
    <xf numFmtId="0" fontId="22" fillId="20" borderId="2" applyNumberFormat="0" applyAlignment="0" applyProtection="0"/>
    <xf numFmtId="164" fontId="1" fillId="0" borderId="0" applyFont="0" applyFill="0" applyBorder="0" applyAlignment="0" applyProtection="0"/>
    <xf numFmtId="0" fontId="23" fillId="7" borderId="2" applyNumberFormat="0" applyAlignment="0" applyProtection="0"/>
    <xf numFmtId="0" fontId="24" fillId="0" borderId="4" applyNumberFormat="0" applyFill="0" applyAlignment="0" applyProtection="0"/>
    <xf numFmtId="0" fontId="25" fillId="0" borderId="0" applyNumberFormat="0" applyFill="0" applyBorder="0" applyAlignment="0" applyProtection="0"/>
    <xf numFmtId="0" fontId="15" fillId="4" borderId="0" applyNumberFormat="0" applyBorder="0" applyAlignment="0" applyProtection="0"/>
    <xf numFmtId="0" fontId="26" fillId="22" borderId="0" applyNumberFormat="0" applyBorder="0" applyAlignment="0" applyProtection="0"/>
    <xf numFmtId="0" fontId="5" fillId="0" borderId="0" applyAlignment="0"/>
    <xf numFmtId="0" fontId="5" fillId="23" borderId="9" applyNumberFormat="0" applyFont="0" applyAlignment="0" applyProtection="0"/>
    <xf numFmtId="0" fontId="16" fillId="3" borderId="0" applyNumberFormat="0" applyBorder="0" applyAlignment="0" applyProtection="0"/>
    <xf numFmtId="0" fontId="5" fillId="0" borderId="0"/>
    <xf numFmtId="0" fontId="27" fillId="0" borderId="0" applyNumberFormat="0" applyFill="0" applyBorder="0" applyAlignment="0" applyProtection="0"/>
    <xf numFmtId="0" fontId="28" fillId="0" borderId="5" applyNumberFormat="0" applyFill="0" applyAlignment="0" applyProtection="0"/>
    <xf numFmtId="0" fontId="29" fillId="0" borderId="6" applyNumberFormat="0" applyFill="0" applyAlignment="0" applyProtection="0"/>
    <xf numFmtId="0" fontId="30" fillId="0" borderId="7" applyNumberFormat="0" applyFill="0" applyAlignment="0" applyProtection="0"/>
    <xf numFmtId="0" fontId="30" fillId="0" borderId="0" applyNumberFormat="0" applyFill="0" applyBorder="0" applyAlignment="0" applyProtection="0"/>
    <xf numFmtId="0" fontId="31" fillId="0" borderId="8" applyNumberFormat="0" applyFill="0" applyAlignment="0" applyProtection="0"/>
    <xf numFmtId="0" fontId="32" fillId="0" borderId="0" applyNumberFormat="0" applyFill="0" applyBorder="0" applyAlignment="0" applyProtection="0"/>
    <xf numFmtId="0" fontId="33" fillId="21" borderId="3" applyNumberFormat="0" applyAlignment="0" applyProtection="0"/>
    <xf numFmtId="0" fontId="1" fillId="0" borderId="0" applyAlignment="0"/>
    <xf numFmtId="0" fontId="1" fillId="0" borderId="0" applyAlignment="0"/>
    <xf numFmtId="0" fontId="26" fillId="22" borderId="0" applyNumberFormat="0" applyBorder="0" applyAlignment="0" applyProtection="0"/>
    <xf numFmtId="0" fontId="1" fillId="23" borderId="9" applyNumberFormat="0" applyFont="0" applyAlignment="0" applyProtection="0"/>
    <xf numFmtId="0" fontId="1" fillId="0" borderId="0"/>
    <xf numFmtId="0" fontId="1" fillId="0" borderId="0" applyAlignment="0"/>
  </cellStyleXfs>
  <cellXfs count="140">
    <xf numFmtId="0" fontId="0" fillId="0" borderId="0" xfId="0"/>
    <xf numFmtId="0" fontId="2" fillId="0" borderId="0" xfId="0" applyFont="1"/>
    <xf numFmtId="164" fontId="6" fillId="0" borderId="0" xfId="27" applyFont="1"/>
    <xf numFmtId="164" fontId="1" fillId="0" borderId="0" xfId="27"/>
    <xf numFmtId="164" fontId="13" fillId="0" borderId="0" xfId="27" applyFont="1"/>
    <xf numFmtId="165" fontId="13" fillId="0" borderId="0" xfId="27" applyNumberFormat="1" applyFont="1" applyAlignment="1">
      <alignment horizontal="left"/>
    </xf>
    <xf numFmtId="164" fontId="13" fillId="0" borderId="0" xfId="27" applyFont="1" applyAlignment="1">
      <alignment horizontal="left" vertical="top"/>
    </xf>
    <xf numFmtId="0" fontId="5" fillId="0" borderId="0" xfId="0" applyFont="1" applyFill="1" applyBorder="1"/>
    <xf numFmtId="0" fontId="5" fillId="0" borderId="0" xfId="0" applyFont="1" applyFill="1" applyBorder="1" applyAlignment="1">
      <alignment horizontal="left"/>
    </xf>
    <xf numFmtId="0" fontId="7" fillId="26" borderId="12" xfId="0" applyFont="1" applyFill="1" applyBorder="1" applyAlignment="1">
      <alignment vertical="top" wrapText="1"/>
    </xf>
    <xf numFmtId="0" fontId="7" fillId="26" borderId="13" xfId="0" applyFont="1" applyFill="1" applyBorder="1" applyAlignment="1">
      <alignment vertical="top" wrapText="1"/>
    </xf>
    <xf numFmtId="0" fontId="7" fillId="26" borderId="14" xfId="0" applyFont="1" applyFill="1" applyBorder="1" applyAlignment="1">
      <alignment vertical="top" wrapText="1"/>
    </xf>
    <xf numFmtId="0" fontId="12" fillId="0" borderId="0" xfId="0" applyFont="1" applyFill="1" applyBorder="1" applyAlignment="1">
      <alignment vertical="top"/>
    </xf>
    <xf numFmtId="0" fontId="6" fillId="0" borderId="0" xfId="0" applyFont="1" applyFill="1" applyBorder="1" applyAlignment="1">
      <alignment vertical="top"/>
    </xf>
    <xf numFmtId="0" fontId="6" fillId="0" borderId="0" xfId="0" applyFont="1" applyAlignment="1">
      <alignment vertical="top"/>
    </xf>
    <xf numFmtId="0" fontId="14" fillId="0" borderId="0" xfId="0" applyFont="1" applyFill="1" applyBorder="1" applyAlignment="1">
      <alignment vertical="top"/>
    </xf>
    <xf numFmtId="0" fontId="6" fillId="0" borderId="15" xfId="0" applyFont="1" applyBorder="1" applyAlignment="1">
      <alignment horizontal="left" vertical="top"/>
    </xf>
    <xf numFmtId="0" fontId="9" fillId="24" borderId="15" xfId="0" applyFont="1" applyFill="1" applyBorder="1" applyAlignment="1">
      <alignment horizontal="left" vertical="top"/>
    </xf>
    <xf numFmtId="0" fontId="5" fillId="0" borderId="0" xfId="0" applyFont="1"/>
    <xf numFmtId="16" fontId="6" fillId="27" borderId="15" xfId="0" applyNumberFormat="1" applyFont="1" applyFill="1" applyBorder="1" applyAlignment="1">
      <alignment horizontal="left" vertical="top" wrapText="1"/>
    </xf>
    <xf numFmtId="0" fontId="5" fillId="0" borderId="0" xfId="36" applyFont="1" applyFill="1" applyBorder="1"/>
    <xf numFmtId="0" fontId="5" fillId="0" borderId="0" xfId="36" applyFont="1" applyFill="1" applyBorder="1" applyAlignment="1">
      <alignment horizontal="left"/>
    </xf>
    <xf numFmtId="0" fontId="5" fillId="0" borderId="0" xfId="36" applyFont="1"/>
    <xf numFmtId="0" fontId="18" fillId="0" borderId="0" xfId="36" applyFont="1"/>
    <xf numFmtId="0" fontId="6" fillId="29" borderId="0" xfId="0" applyFont="1" applyFill="1" applyAlignment="1">
      <alignment vertical="top"/>
    </xf>
    <xf numFmtId="0" fontId="0" fillId="29" borderId="0" xfId="0" applyFill="1" applyBorder="1"/>
    <xf numFmtId="0" fontId="4" fillId="29" borderId="0" xfId="0" applyFont="1" applyFill="1" applyAlignment="1">
      <alignment vertical="top" wrapText="1"/>
    </xf>
    <xf numFmtId="0" fontId="0" fillId="29" borderId="0" xfId="0" applyFill="1" applyAlignment="1">
      <alignment vertical="top" wrapText="1"/>
    </xf>
    <xf numFmtId="0" fontId="0" fillId="29" borderId="21" xfId="0" applyFill="1" applyBorder="1" applyAlignment="1">
      <alignment vertical="top" wrapText="1"/>
    </xf>
    <xf numFmtId="0" fontId="0" fillId="29" borderId="15" xfId="0" applyFill="1" applyBorder="1" applyAlignment="1">
      <alignment vertical="top" wrapText="1"/>
    </xf>
    <xf numFmtId="0" fontId="0" fillId="29" borderId="22" xfId="0" applyFill="1" applyBorder="1" applyAlignment="1">
      <alignment horizontal="center" vertical="top" wrapText="1"/>
    </xf>
    <xf numFmtId="0" fontId="5" fillId="29" borderId="0" xfId="0" applyFont="1" applyFill="1" applyBorder="1" applyAlignment="1">
      <alignment horizontal="left"/>
    </xf>
    <xf numFmtId="0" fontId="1" fillId="29" borderId="0" xfId="0" applyFont="1" applyFill="1" applyBorder="1" applyAlignment="1">
      <alignment horizontal="left"/>
    </xf>
    <xf numFmtId="0" fontId="5" fillId="29" borderId="0" xfId="0" applyFont="1" applyFill="1" applyBorder="1"/>
    <xf numFmtId="0" fontId="0" fillId="28" borderId="15" xfId="0" applyFill="1" applyBorder="1"/>
    <xf numFmtId="0" fontId="0" fillId="29" borderId="15" xfId="0" applyFill="1" applyBorder="1"/>
    <xf numFmtId="0" fontId="4" fillId="29" borderId="0" xfId="0" applyFont="1" applyFill="1" applyBorder="1" applyAlignment="1">
      <alignment horizontal="left"/>
    </xf>
    <xf numFmtId="0" fontId="0" fillId="0" borderId="15" xfId="0" applyBorder="1"/>
    <xf numFmtId="0" fontId="0" fillId="29" borderId="0" xfId="0" applyFill="1" applyBorder="1" applyAlignment="1">
      <alignment vertical="top" wrapText="1"/>
    </xf>
    <xf numFmtId="0" fontId="0" fillId="29" borderId="22" xfId="0" applyFill="1" applyBorder="1" applyAlignment="1">
      <alignment vertical="top" wrapText="1"/>
    </xf>
    <xf numFmtId="0" fontId="36" fillId="0" borderId="0" xfId="0" applyFont="1"/>
    <xf numFmtId="0" fontId="37" fillId="30" borderId="0" xfId="0" applyFont="1" applyFill="1"/>
    <xf numFmtId="0" fontId="8" fillId="30" borderId="0" xfId="0" applyFont="1" applyFill="1"/>
    <xf numFmtId="0" fontId="5" fillId="0" borderId="26" xfId="36" applyFont="1" applyBorder="1"/>
    <xf numFmtId="0" fontId="5" fillId="0" borderId="30" xfId="36" applyFont="1" applyFill="1" applyBorder="1"/>
    <xf numFmtId="0" fontId="5" fillId="0" borderId="30" xfId="36" applyFont="1" applyFill="1" applyBorder="1" applyAlignment="1">
      <alignment horizontal="left"/>
    </xf>
    <xf numFmtId="164" fontId="40" fillId="0" borderId="0" xfId="27" applyFont="1"/>
    <xf numFmtId="164" fontId="43" fillId="0" borderId="0" xfId="27" applyFont="1" applyAlignment="1"/>
    <xf numFmtId="164" fontId="39" fillId="0" borderId="0" xfId="27" applyFont="1"/>
    <xf numFmtId="0" fontId="5" fillId="28" borderId="31" xfId="36" applyFont="1" applyFill="1" applyBorder="1" applyAlignment="1"/>
    <xf numFmtId="0" fontId="5" fillId="0" borderId="36" xfId="36" applyFont="1" applyBorder="1" applyAlignment="1"/>
    <xf numFmtId="0" fontId="9" fillId="24" borderId="29" xfId="0" applyFont="1" applyFill="1" applyBorder="1" applyAlignment="1">
      <alignment horizontal="left" vertical="top"/>
    </xf>
    <xf numFmtId="0" fontId="9" fillId="24" borderId="15" xfId="0" applyFont="1" applyFill="1" applyBorder="1" applyAlignment="1">
      <alignment horizontal="left" vertical="top"/>
    </xf>
    <xf numFmtId="14" fontId="6" fillId="0" borderId="29" xfId="0" applyNumberFormat="1" applyFont="1" applyBorder="1" applyAlignment="1">
      <alignment horizontal="left" vertical="top"/>
    </xf>
    <xf numFmtId="49" fontId="6" fillId="0" borderId="29" xfId="0" applyNumberFormat="1" applyFont="1" applyBorder="1" applyAlignment="1">
      <alignment horizontal="left" vertical="top"/>
    </xf>
    <xf numFmtId="0" fontId="6" fillId="0" borderId="29" xfId="0" applyNumberFormat="1" applyFont="1" applyBorder="1" applyAlignment="1">
      <alignment horizontal="left" vertical="top"/>
    </xf>
    <xf numFmtId="0" fontId="6" fillId="0" borderId="29" xfId="0" applyFont="1" applyFill="1" applyBorder="1" applyAlignment="1">
      <alignment horizontal="left" vertical="top"/>
    </xf>
    <xf numFmtId="0" fontId="49" fillId="31" borderId="0" xfId="36" applyFont="1" applyFill="1"/>
    <xf numFmtId="0" fontId="50" fillId="31" borderId="0" xfId="36" applyFont="1" applyFill="1"/>
    <xf numFmtId="0" fontId="6" fillId="28" borderId="29" xfId="0" applyFont="1" applyFill="1" applyBorder="1" applyAlignment="1">
      <alignment vertical="top"/>
    </xf>
    <xf numFmtId="0" fontId="6" fillId="0" borderId="29" xfId="0" applyFont="1" applyBorder="1" applyAlignment="1">
      <alignment vertical="top"/>
    </xf>
    <xf numFmtId="0" fontId="34" fillId="27" borderId="29" xfId="0" applyFont="1" applyFill="1" applyBorder="1" applyAlignment="1">
      <alignment vertical="top"/>
    </xf>
    <xf numFmtId="0" fontId="6" fillId="28" borderId="15" xfId="0" applyFont="1" applyFill="1" applyBorder="1" applyAlignment="1">
      <alignment vertical="top"/>
    </xf>
    <xf numFmtId="0" fontId="6" fillId="0" borderId="15" xfId="0" applyFont="1" applyBorder="1" applyAlignment="1">
      <alignment vertical="top"/>
    </xf>
    <xf numFmtId="0" fontId="6" fillId="27" borderId="15" xfId="0" applyFont="1" applyFill="1" applyBorder="1" applyAlignment="1">
      <alignment vertical="top"/>
    </xf>
    <xf numFmtId="0" fontId="6" fillId="32" borderId="15" xfId="0" applyFont="1" applyFill="1" applyBorder="1" applyAlignment="1">
      <alignment vertical="top"/>
    </xf>
    <xf numFmtId="0" fontId="52" fillId="32" borderId="15" xfId="33" applyFont="1" applyFill="1" applyBorder="1" applyAlignment="1">
      <alignment horizontal="center" vertical="center" wrapText="1"/>
    </xf>
    <xf numFmtId="0" fontId="52" fillId="33" borderId="15" xfId="33" applyFont="1" applyFill="1" applyBorder="1" applyAlignment="1">
      <alignment horizontal="center" vertical="center" wrapText="1"/>
    </xf>
    <xf numFmtId="0" fontId="52" fillId="34" borderId="15" xfId="33" applyFont="1" applyFill="1" applyBorder="1" applyAlignment="1">
      <alignment horizontal="center" vertical="center" wrapText="1"/>
    </xf>
    <xf numFmtId="0" fontId="51" fillId="24" borderId="15" xfId="33" applyFont="1" applyFill="1" applyBorder="1" applyAlignment="1">
      <alignment vertical="center"/>
    </xf>
    <xf numFmtId="0" fontId="51" fillId="24" borderId="15" xfId="33" applyFont="1" applyFill="1" applyBorder="1" applyAlignment="1">
      <alignment horizontal="center" vertical="center"/>
    </xf>
    <xf numFmtId="0" fontId="51" fillId="32" borderId="15" xfId="33" applyFont="1" applyFill="1" applyBorder="1" applyAlignment="1">
      <alignment horizontal="center" vertical="center"/>
    </xf>
    <xf numFmtId="0" fontId="0" fillId="0" borderId="15" xfId="0" applyBorder="1" applyAlignment="1">
      <alignment vertical="center"/>
    </xf>
    <xf numFmtId="0" fontId="5" fillId="29" borderId="0" xfId="0" applyFont="1" applyFill="1" applyBorder="1" applyAlignment="1">
      <alignment horizontal="center"/>
    </xf>
    <xf numFmtId="0" fontId="0" fillId="0" borderId="0" xfId="0" applyAlignment="1">
      <alignment vertical="center"/>
    </xf>
    <xf numFmtId="0" fontId="0" fillId="0" borderId="0" xfId="0" applyAlignment="1">
      <alignment vertical="center" wrapText="1"/>
    </xf>
    <xf numFmtId="0" fontId="35" fillId="27" borderId="37" xfId="0" applyFont="1" applyFill="1" applyBorder="1" applyAlignment="1">
      <alignment horizontal="center" vertical="center"/>
    </xf>
    <xf numFmtId="0" fontId="35" fillId="0" borderId="0" xfId="0" applyFont="1" applyFill="1" applyAlignment="1">
      <alignment vertical="center" wrapText="1"/>
    </xf>
    <xf numFmtId="0" fontId="35" fillId="35" borderId="15" xfId="0" applyFont="1" applyFill="1" applyBorder="1" applyAlignment="1">
      <alignment vertical="center"/>
    </xf>
    <xf numFmtId="0" fontId="35" fillId="35" borderId="15" xfId="0" applyFont="1" applyFill="1" applyBorder="1" applyAlignment="1">
      <alignment vertical="center" wrapText="1"/>
    </xf>
    <xf numFmtId="0" fontId="1" fillId="0" borderId="15" xfId="0" applyFont="1" applyBorder="1" applyAlignment="1">
      <alignment vertical="center"/>
    </xf>
    <xf numFmtId="0" fontId="1" fillId="0" borderId="15" xfId="0" applyFont="1" applyBorder="1" applyAlignment="1">
      <alignment vertical="center" wrapText="1"/>
    </xf>
    <xf numFmtId="0" fontId="1" fillId="0" borderId="24" xfId="0" applyFont="1" applyFill="1" applyBorder="1" applyAlignment="1">
      <alignment vertical="center"/>
    </xf>
    <xf numFmtId="0" fontId="1" fillId="0" borderId="15" xfId="0" applyFont="1" applyBorder="1"/>
    <xf numFmtId="0" fontId="1" fillId="25" borderId="37" xfId="0" applyFont="1" applyFill="1" applyBorder="1"/>
    <xf numFmtId="0" fontId="0" fillId="24" borderId="23" xfId="0" applyFill="1" applyBorder="1"/>
    <xf numFmtId="0" fontId="1" fillId="0" borderId="15" xfId="0" applyFont="1" applyFill="1" applyBorder="1" applyAlignment="1">
      <alignment horizontal="left"/>
    </xf>
    <xf numFmtId="0" fontId="38" fillId="0" borderId="15" xfId="0" applyFont="1" applyFill="1" applyBorder="1" applyAlignment="1">
      <alignment horizontal="left"/>
    </xf>
    <xf numFmtId="0" fontId="38" fillId="0" borderId="15" xfId="0" applyFont="1" applyFill="1" applyBorder="1" applyAlignment="1">
      <alignment wrapText="1"/>
    </xf>
    <xf numFmtId="0" fontId="53" fillId="0" borderId="15" xfId="0" applyFont="1" applyFill="1" applyBorder="1" applyAlignment="1">
      <alignment wrapText="1"/>
    </xf>
    <xf numFmtId="0" fontId="38" fillId="0" borderId="15" xfId="0" applyFont="1" applyFill="1" applyBorder="1" applyAlignment="1">
      <alignment horizontal="left" wrapText="1"/>
    </xf>
    <xf numFmtId="0" fontId="53" fillId="0" borderId="15" xfId="0" applyFont="1" applyFill="1" applyBorder="1" applyAlignment="1">
      <alignment horizontal="left"/>
    </xf>
    <xf numFmtId="0" fontId="1" fillId="29" borderId="15" xfId="0" applyFont="1" applyFill="1" applyBorder="1" applyAlignment="1">
      <alignment vertical="top" wrapText="1"/>
    </xf>
    <xf numFmtId="0" fontId="1" fillId="29" borderId="21" xfId="0" applyFont="1" applyFill="1" applyBorder="1" applyAlignment="1">
      <alignment vertical="top" wrapText="1"/>
    </xf>
    <xf numFmtId="0" fontId="0" fillId="29" borderId="38" xfId="0" applyFill="1" applyBorder="1" applyAlignment="1">
      <alignment vertical="top" wrapText="1"/>
    </xf>
    <xf numFmtId="0" fontId="0" fillId="29" borderId="20" xfId="0" applyFill="1" applyBorder="1" applyAlignment="1">
      <alignment vertical="top" wrapText="1"/>
    </xf>
    <xf numFmtId="0" fontId="1" fillId="0" borderId="0" xfId="0" applyFont="1" applyFill="1" applyBorder="1"/>
    <xf numFmtId="0" fontId="1" fillId="29" borderId="0" xfId="0" applyFont="1" applyFill="1" applyAlignment="1">
      <alignment horizontal="center" vertical="top" wrapText="1"/>
    </xf>
    <xf numFmtId="164" fontId="44" fillId="0" borderId="0" xfId="27" applyFont="1" applyAlignment="1">
      <alignment horizontal="center" wrapText="1"/>
    </xf>
    <xf numFmtId="164" fontId="10" fillId="0" borderId="32" xfId="27" applyFont="1" applyBorder="1" applyAlignment="1">
      <alignment horizontal="center"/>
    </xf>
    <xf numFmtId="164" fontId="11" fillId="0" borderId="0" xfId="27" applyFont="1" applyAlignment="1">
      <alignment horizontal="center"/>
    </xf>
    <xf numFmtId="164" fontId="46" fillId="0" borderId="0" xfId="27" applyFont="1" applyAlignment="1">
      <alignment horizontal="center"/>
    </xf>
    <xf numFmtId="164" fontId="45" fillId="0" borderId="0" xfId="27" applyFont="1" applyAlignment="1">
      <alignment horizontal="center"/>
    </xf>
    <xf numFmtId="164" fontId="11" fillId="0" borderId="0" xfId="27" applyFont="1" applyAlignment="1">
      <alignment horizontal="right"/>
    </xf>
    <xf numFmtId="0" fontId="41" fillId="0" borderId="0" xfId="27" applyNumberFormat="1" applyFont="1" applyAlignment="1">
      <alignment horizontal="center"/>
    </xf>
    <xf numFmtId="164" fontId="47" fillId="0" borderId="0" xfId="27" applyFont="1" applyAlignment="1">
      <alignment horizontal="right"/>
    </xf>
    <xf numFmtId="164" fontId="42" fillId="0" borderId="0" xfId="27" applyFont="1" applyAlignment="1">
      <alignment horizontal="center" wrapText="1"/>
    </xf>
    <xf numFmtId="164" fontId="48" fillId="0" borderId="0" xfId="27" applyFont="1" applyAlignment="1">
      <alignment horizontal="right"/>
    </xf>
    <xf numFmtId="0" fontId="6" fillId="0" borderId="15" xfId="0" applyFont="1" applyFill="1" applyBorder="1" applyAlignment="1">
      <alignment horizontal="left" vertical="top"/>
    </xf>
    <xf numFmtId="0" fontId="9" fillId="24" borderId="15" xfId="0" applyFont="1" applyFill="1" applyBorder="1" applyAlignment="1">
      <alignment horizontal="left" vertical="top"/>
    </xf>
    <xf numFmtId="0" fontId="9" fillId="24" borderId="29" xfId="0" applyFont="1" applyFill="1" applyBorder="1" applyAlignment="1">
      <alignment horizontal="left" vertical="top" wrapText="1"/>
    </xf>
    <xf numFmtId="0" fontId="9" fillId="24" borderId="27" xfId="0" applyFont="1" applyFill="1" applyBorder="1" applyAlignment="1">
      <alignment horizontal="left" vertical="top" wrapText="1"/>
    </xf>
    <xf numFmtId="0" fontId="35" fillId="27" borderId="10" xfId="0" applyFont="1" applyFill="1" applyBorder="1" applyAlignment="1">
      <alignment horizontal="left" vertical="center"/>
    </xf>
    <xf numFmtId="0" fontId="35" fillId="27" borderId="30" xfId="0" applyFont="1" applyFill="1" applyBorder="1" applyAlignment="1">
      <alignment horizontal="left" vertical="center"/>
    </xf>
    <xf numFmtId="0" fontId="35" fillId="27" borderId="11" xfId="0" applyFont="1" applyFill="1" applyBorder="1" applyAlignment="1">
      <alignment horizontal="left" vertical="center"/>
    </xf>
    <xf numFmtId="0" fontId="3" fillId="24" borderId="10" xfId="36" applyFont="1" applyFill="1" applyBorder="1" applyAlignment="1">
      <alignment horizontal="left" vertical="top"/>
    </xf>
    <xf numFmtId="0" fontId="3" fillId="24" borderId="30" xfId="36" applyFont="1" applyFill="1" applyBorder="1" applyAlignment="1">
      <alignment horizontal="left" vertical="top"/>
    </xf>
    <xf numFmtId="0" fontId="1" fillId="0" borderId="30" xfId="36" applyFont="1" applyFill="1" applyBorder="1" applyAlignment="1">
      <alignment horizontal="left" vertical="top" wrapText="1"/>
    </xf>
    <xf numFmtId="0" fontId="5" fillId="0" borderId="30" xfId="36" applyFont="1" applyFill="1" applyBorder="1" applyAlignment="1">
      <alignment horizontal="left" vertical="top" wrapText="1"/>
    </xf>
    <xf numFmtId="0" fontId="5" fillId="0" borderId="11" xfId="36" applyFont="1" applyFill="1" applyBorder="1" applyAlignment="1">
      <alignment horizontal="left" vertical="top" wrapText="1"/>
    </xf>
    <xf numFmtId="0" fontId="2" fillId="0" borderId="0" xfId="36" applyFont="1"/>
    <xf numFmtId="0" fontId="3" fillId="25" borderId="10" xfId="36" applyFont="1" applyFill="1" applyBorder="1"/>
    <xf numFmtId="0" fontId="3" fillId="25" borderId="30" xfId="36" applyFont="1" applyFill="1" applyBorder="1"/>
    <xf numFmtId="0" fontId="3" fillId="25" borderId="11" xfId="36" applyFont="1" applyFill="1" applyBorder="1"/>
    <xf numFmtId="0" fontId="3" fillId="24" borderId="16" xfId="36" applyFont="1" applyFill="1" applyBorder="1" applyAlignment="1">
      <alignment horizontal="left" vertical="top"/>
    </xf>
    <xf numFmtId="0" fontId="3" fillId="24" borderId="21" xfId="36" applyFont="1" applyFill="1" applyBorder="1" applyAlignment="1">
      <alignment horizontal="left" vertical="top"/>
    </xf>
    <xf numFmtId="0" fontId="1" fillId="0" borderId="28" xfId="36" applyFont="1" applyFill="1" applyBorder="1" applyAlignment="1">
      <alignment horizontal="left" vertical="top" wrapText="1"/>
    </xf>
    <xf numFmtId="0" fontId="5" fillId="0" borderId="19" xfId="36" applyFont="1" applyFill="1" applyBorder="1" applyAlignment="1">
      <alignment horizontal="left" vertical="top" wrapText="1"/>
    </xf>
    <xf numFmtId="0" fontId="5" fillId="0" borderId="20" xfId="36" applyFont="1" applyFill="1" applyBorder="1" applyAlignment="1">
      <alignment horizontal="left" vertical="top" wrapText="1"/>
    </xf>
    <xf numFmtId="0" fontId="5" fillId="28" borderId="16" xfId="36" applyFont="1" applyFill="1" applyBorder="1" applyAlignment="1"/>
    <xf numFmtId="0" fontId="5" fillId="28" borderId="21" xfId="36" applyFont="1" applyFill="1" applyBorder="1" applyAlignment="1"/>
    <xf numFmtId="0" fontId="5" fillId="28" borderId="35" xfId="36" applyFont="1" applyFill="1" applyBorder="1" applyAlignment="1"/>
    <xf numFmtId="0" fontId="5" fillId="0" borderId="18" xfId="36" applyFont="1" applyBorder="1" applyAlignment="1"/>
    <xf numFmtId="0" fontId="5" fillId="0" borderId="25" xfId="0" applyFont="1" applyBorder="1" applyAlignment="1"/>
    <xf numFmtId="0" fontId="5" fillId="0" borderId="34" xfId="0" applyFont="1" applyBorder="1" applyAlignment="1"/>
    <xf numFmtId="0" fontId="3" fillId="24" borderId="33" xfId="36" applyFont="1" applyFill="1" applyBorder="1" applyAlignment="1">
      <alignment horizontal="left" vertical="top" wrapText="1"/>
    </xf>
    <xf numFmtId="0" fontId="3" fillId="24" borderId="15" xfId="36" applyFont="1" applyFill="1" applyBorder="1" applyAlignment="1">
      <alignment horizontal="left" vertical="top" wrapText="1"/>
    </xf>
    <xf numFmtId="0" fontId="1" fillId="0" borderId="27" xfId="36" applyFont="1" applyFill="1" applyBorder="1" applyAlignment="1">
      <alignment horizontal="left" vertical="top" wrapText="1"/>
    </xf>
    <xf numFmtId="0" fontId="5" fillId="0" borderId="15" xfId="36" applyFont="1" applyFill="1" applyBorder="1" applyAlignment="1">
      <alignment horizontal="left" vertical="top" wrapText="1"/>
    </xf>
    <xf numFmtId="0" fontId="5" fillId="0" borderId="17" xfId="36" applyFont="1" applyFill="1" applyBorder="1" applyAlignment="1">
      <alignment horizontal="left" vertical="top" wrapText="1"/>
    </xf>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Neutral" xfId="32" builtinId="28" customBuiltin="1"/>
    <cellStyle name="Neutral 2" xfId="47" xr:uid="{00000000-0005-0000-0000-000020000000}"/>
    <cellStyle name="Normal" xfId="0" builtinId="0"/>
    <cellStyle name="Normal 2" xfId="33" xr:uid="{00000000-0005-0000-0000-000022000000}"/>
    <cellStyle name="Normal 2 10" xfId="50" xr:uid="{00000000-0005-0000-0000-000023000000}"/>
    <cellStyle name="Normal 2 2" xfId="46" xr:uid="{00000000-0005-0000-0000-000024000000}"/>
    <cellStyle name="Normal 3" xfId="45" xr:uid="{00000000-0005-0000-0000-000025000000}"/>
    <cellStyle name="Notiz" xfId="34" xr:uid="{00000000-0005-0000-0000-000027000000}"/>
    <cellStyle name="Notiz 2" xfId="48" xr:uid="{00000000-0005-0000-0000-000028000000}"/>
    <cellStyle name="Schlecht" xfId="35" xr:uid="{00000000-0005-0000-0000-000029000000}"/>
    <cellStyle name="Standard 2" xfId="36" xr:uid="{00000000-0005-0000-0000-00002A000000}"/>
    <cellStyle name="Standard 2 2" xfId="49" xr:uid="{00000000-0005-0000-0000-00002B000000}"/>
    <cellStyle name="Überschrift" xfId="37" xr:uid="{00000000-0005-0000-0000-00002C000000}"/>
    <cellStyle name="Überschrift 1" xfId="38" xr:uid="{00000000-0005-0000-0000-00002D000000}"/>
    <cellStyle name="Überschrift 2" xfId="39" xr:uid="{00000000-0005-0000-0000-00002E000000}"/>
    <cellStyle name="Überschrift 3" xfId="40" xr:uid="{00000000-0005-0000-0000-00002F000000}"/>
    <cellStyle name="Überschrift 4" xfId="41" xr:uid="{00000000-0005-0000-0000-000030000000}"/>
    <cellStyle name="Verknüpfte Zelle" xfId="42" xr:uid="{00000000-0005-0000-0000-000031000000}"/>
    <cellStyle name="Warnender Text" xfId="43" xr:uid="{00000000-0005-0000-0000-000032000000}"/>
    <cellStyle name="Zelle überprüfen" xfId="44" xr:uid="{00000000-0005-0000-0000-000033000000}"/>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6</xdr:row>
      <xdr:rowOff>104775</xdr:rowOff>
    </xdr:from>
    <xdr:to>
      <xdr:col>6</xdr:col>
      <xdr:colOff>104775</xdr:colOff>
      <xdr:row>11</xdr:row>
      <xdr:rowOff>161925</xdr:rowOff>
    </xdr:to>
    <xdr:sp macro="" textlink="">
      <xdr:nvSpPr>
        <xdr:cNvPr id="12338" name="Rectangle 1">
          <a:extLst>
            <a:ext uri="{FF2B5EF4-FFF2-40B4-BE49-F238E27FC236}">
              <a16:creationId xmlns:a16="http://schemas.microsoft.com/office/drawing/2014/main" id="{00000000-0008-0000-0000-000032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5</xdr:col>
      <xdr:colOff>485775</xdr:colOff>
      <xdr:row>6</xdr:row>
      <xdr:rowOff>104775</xdr:rowOff>
    </xdr:from>
    <xdr:to>
      <xdr:col>6</xdr:col>
      <xdr:colOff>104775</xdr:colOff>
      <xdr:row>11</xdr:row>
      <xdr:rowOff>161925</xdr:rowOff>
    </xdr:to>
    <xdr:sp macro="" textlink="">
      <xdr:nvSpPr>
        <xdr:cNvPr id="12339" name="Rectangle 4">
          <a:extLst>
            <a:ext uri="{FF2B5EF4-FFF2-40B4-BE49-F238E27FC236}">
              <a16:creationId xmlns:a16="http://schemas.microsoft.com/office/drawing/2014/main" id="{00000000-0008-0000-0000-000033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14</xdr:col>
      <xdr:colOff>535781</xdr:colOff>
      <xdr:row>9</xdr:row>
      <xdr:rowOff>9525</xdr:rowOff>
    </xdr:to>
    <xdr:pic>
      <xdr:nvPicPr>
        <xdr:cNvPr id="12340" name="Picture 7">
          <a:extLst>
            <a:ext uri="{FF2B5EF4-FFF2-40B4-BE49-F238E27FC236}">
              <a16:creationId xmlns:a16="http://schemas.microsoft.com/office/drawing/2014/main" id="{00000000-0008-0000-0000-0000343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1134725" cy="1476375"/>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123824</xdr:colOff>
      <xdr:row>8</xdr:row>
      <xdr:rowOff>121921</xdr:rowOff>
    </xdr:from>
    <xdr:ext cx="12022455" cy="21276209"/>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23824" y="1729741"/>
          <a:ext cx="12022455" cy="212762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GB">
              <a:effectLst/>
            </a:rPr>
            <a:t>function WebApplet_PreInvokeMethod (MethodName)</a:t>
          </a:r>
        </a:p>
        <a:p>
          <a:r>
            <a:rPr lang="en-GB">
              <a:effectLst/>
            </a:rPr>
            <a:t>{</a:t>
          </a:r>
        </a:p>
        <a:p>
          <a:endParaRPr lang="en-GB">
            <a:effectLst/>
          </a:endParaRPr>
        </a:p>
        <a:p>
          <a:r>
            <a:rPr lang="en-GB">
              <a:effectLst/>
            </a:rPr>
            <a:t>	</a:t>
          </a:r>
          <a:r>
            <a:rPr lang="en-GB" b="1">
              <a:effectLst/>
            </a:rPr>
            <a:t>.</a:t>
          </a:r>
        </a:p>
        <a:p>
          <a:r>
            <a:rPr lang="en-GB" b="1">
              <a:effectLst/>
            </a:rPr>
            <a:t>	. Existing Script</a:t>
          </a:r>
        </a:p>
        <a:p>
          <a:r>
            <a:rPr lang="en-GB" b="1">
              <a:effectLst/>
            </a:rPr>
            <a:t>	.</a:t>
          </a:r>
        </a:p>
        <a:p>
          <a:endParaRPr lang="en-GB">
            <a:effectLst/>
          </a:endParaRPr>
        </a:p>
        <a:p>
          <a:r>
            <a:rPr lang="en-GB">
              <a:effectLst/>
            </a:rPr>
            <a:t>	else if (MethodName == "SubmitOrder")</a:t>
          </a:r>
        </a:p>
        <a:p>
          <a:r>
            <a:rPr lang="en-GB">
              <a:effectLst/>
            </a:rPr>
            <a:t>	{</a:t>
          </a:r>
        </a:p>
        <a:p>
          <a:endParaRPr lang="en-GB">
            <a:effectLst/>
          </a:endParaRPr>
        </a:p>
        <a:p>
          <a:r>
            <a:rPr lang="en-GB">
              <a:effectLst/>
            </a:rPr>
            <a:t>		// Set the Order Status to Submitted &amp; Export Status to In Progress</a:t>
          </a:r>
        </a:p>
        <a:p>
          <a:r>
            <a:rPr lang="en-GB">
              <a:effectLst/>
            </a:rPr>
            <a:t>		this.BusComp().WriteRecord();</a:t>
          </a:r>
        </a:p>
        <a:p>
          <a:r>
            <a:rPr lang="en-GB">
              <a:effectLst/>
            </a:rPr>
            <a:t>		//	this.BusComp().InvokeMethod( "UpdateLinks" );	//VH 21.03.2007 Added a writerecord statement in the SubmitOrder method</a:t>
          </a:r>
        </a:p>
        <a:p>
          <a:r>
            <a:rPr lang="en-GB">
              <a:effectLst/>
            </a:rPr>
            <a:t>		//this.BusComp().InvokeMethod("RefreshRecord");</a:t>
          </a:r>
        </a:p>
        <a:p>
          <a:r>
            <a:rPr lang="en-GB">
              <a:effectLst/>
            </a:rPr>
            <a:t>		var sId = this.BusComp().GetFieldValue("Id");</a:t>
          </a:r>
        </a:p>
        <a:p>
          <a:r>
            <a:rPr lang="en-GB">
              <a:effectLst/>
            </a:rPr>
            <a:t>		var oBO = TheApplication().GetBusObject("Order Entry (Sales)");</a:t>
          </a:r>
        </a:p>
        <a:p>
          <a:r>
            <a:rPr lang="en-GB">
              <a:effectLst/>
            </a:rPr>
            <a:t>		var oBC = oBO.GetBusComp("JTI Order Entry - Orders");</a:t>
          </a:r>
        </a:p>
        <a:p>
          <a:r>
            <a:rPr lang="en-GB">
              <a:effectLst/>
            </a:rPr>
            <a:t>		var sStatus = TheApplication().InvokeMethod("LookupValue","FS_ORDER_STATUS","Submitted");</a:t>
          </a:r>
        </a:p>
        <a:p>
          <a:r>
            <a:rPr lang="en-GB">
              <a:effectLst/>
            </a:rPr>
            <a:t>	</a:t>
          </a:r>
          <a:r>
            <a:rPr lang="en-GB">
              <a:solidFill>
                <a:srgbClr val="0000FF"/>
              </a:solidFill>
              <a:effectLst/>
            </a:rPr>
            <a:t>	var sStatusToRececeive = TheApplication().InvokeMethod("LookupValue","FS_ORDER_STATUS","To Receive"); //[Developper Initials + Date]CHG212943: new variable</a:t>
          </a:r>
        </a:p>
        <a:p>
          <a:r>
            <a:rPr lang="en-GB">
              <a:solidFill>
                <a:srgbClr val="0000FF"/>
              </a:solidFill>
              <a:effectLst/>
            </a:rPr>
            <a:t>		var sStockReceiveLOV = TheApplication().InvokeMethod("LookupValue","JTI_SUBTYPE_TYPE", "Stock Receive"); //[Developper Initials + Date]CHG212943: new variable</a:t>
          </a:r>
        </a:p>
        <a:p>
          <a:r>
            <a:rPr lang="en-GB">
              <a:effectLst/>
            </a:rPr>
            <a:t>		var sExportStatus = TheApplication().InvokeMethod("LookupValue","JTI_ORDER_EXPORT_STATUS","In Progress");</a:t>
          </a:r>
        </a:p>
        <a:p>
          <a:endParaRPr lang="en-GB">
            <a:effectLst/>
          </a:endParaRPr>
        </a:p>
        <a:p>
          <a:r>
            <a:rPr lang="en-GB">
              <a:effectLst/>
            </a:rPr>
            <a:t>		with (oBC)</a:t>
          </a:r>
        </a:p>
        <a:p>
          <a:r>
            <a:rPr lang="en-GB">
              <a:effectLst/>
            </a:rPr>
            <a:t>		{</a:t>
          </a:r>
        </a:p>
        <a:p>
          <a:r>
            <a:rPr lang="en-GB">
              <a:effectLst/>
            </a:rPr>
            <a:t>			ClearToQuery();</a:t>
          </a:r>
        </a:p>
        <a:p>
          <a:r>
            <a:rPr lang="en-GB">
              <a:effectLst/>
            </a:rPr>
            <a:t>			ActivateField("JTI Sub Type"); //[Developper Initials + Date]CHG212943: Activate Field</a:t>
          </a:r>
        </a:p>
        <a:p>
          <a:r>
            <a:rPr lang="en-GB">
              <a:effectLst/>
            </a:rPr>
            <a:t>			SetViewMode(AllView);</a:t>
          </a:r>
        </a:p>
        <a:p>
          <a:r>
            <a:rPr lang="en-GB">
              <a:effectLst/>
            </a:rPr>
            <a:t>			SetSearchSpec("Id", sId);</a:t>
          </a:r>
        </a:p>
        <a:p>
          <a:r>
            <a:rPr lang="en-GB">
              <a:effectLst/>
            </a:rPr>
            <a:t>			//ExecuteQuery(); // [HV 11.09.2014] INC0907506: Commented this line which could degrade the performance</a:t>
          </a:r>
        </a:p>
        <a:p>
          <a:r>
            <a:rPr lang="en-GB">
              <a:effectLst/>
            </a:rPr>
            <a:t>			ExecuteQuery(ForwardOnly); //[HV 11.09.2014] INC0907506: Added cursor mode in the ExecuteQuery.</a:t>
          </a:r>
        </a:p>
        <a:p>
          <a:endParaRPr lang="en-GB">
            <a:effectLst/>
          </a:endParaRPr>
        </a:p>
        <a:p>
          <a:r>
            <a:rPr lang="en-GB">
              <a:effectLst/>
            </a:rPr>
            <a:t>		}</a:t>
          </a:r>
        </a:p>
        <a:p>
          <a:r>
            <a:rPr lang="en-GB">
              <a:effectLst/>
            </a:rPr>
            <a:t>		if (oBC.FirstRecord())</a:t>
          </a:r>
        </a:p>
        <a:p>
          <a:r>
            <a:rPr lang="en-GB">
              <a:effectLst/>
            </a:rPr>
            <a:t>			{</a:t>
          </a:r>
        </a:p>
        <a:p>
          <a:r>
            <a:rPr lang="en-GB">
              <a:effectLst/>
            </a:rPr>
            <a:t>				oBC.SetFieldValue("JTI Export Status",sExportStatus);</a:t>
          </a:r>
        </a:p>
        <a:p>
          <a:endParaRPr lang="en-GB">
            <a:effectLst/>
          </a:endParaRPr>
        </a:p>
        <a:p>
          <a:r>
            <a:rPr lang="en-GB">
              <a:effectLst/>
            </a:rPr>
            <a:t>				</a:t>
          </a:r>
          <a:r>
            <a:rPr lang="en-GB">
              <a:solidFill>
                <a:srgbClr val="0000FF"/>
              </a:solidFill>
              <a:effectLst/>
            </a:rPr>
            <a:t>//[Developper Initials + Date]CHG212943: Update Code to set status</a:t>
          </a:r>
        </a:p>
        <a:p>
          <a:r>
            <a:rPr lang="en-GB">
              <a:solidFill>
                <a:srgbClr val="0000FF"/>
              </a:solidFill>
              <a:effectLst/>
            </a:rPr>
            <a:t>				var sOrderType = oBC.GetFieldValue("JTI Sub Type");</a:t>
          </a:r>
        </a:p>
        <a:p>
          <a:r>
            <a:rPr lang="en-GB">
              <a:effectLst/>
            </a:rPr>
            <a:t>				</a:t>
          </a:r>
          <a:r>
            <a:rPr lang="en-GB">
              <a:solidFill>
                <a:srgbClr val="0000FF"/>
              </a:solidFill>
              <a:effectLst/>
            </a:rPr>
            <a:t>if(sOrderType == sStockReceiveLOV)</a:t>
          </a:r>
        </a:p>
        <a:p>
          <a:r>
            <a:rPr lang="en-GB">
              <a:solidFill>
                <a:srgbClr val="0000FF"/>
              </a:solidFill>
              <a:effectLst/>
            </a:rPr>
            <a:t>				{</a:t>
          </a:r>
        </a:p>
        <a:p>
          <a:r>
            <a:rPr lang="en-GB">
              <a:solidFill>
                <a:srgbClr val="0000FF"/>
              </a:solidFill>
              <a:effectLst/>
            </a:rPr>
            <a:t>					oBC.SetFieldValue("Status",sStatusToRececeive);</a:t>
          </a:r>
        </a:p>
        <a:p>
          <a:r>
            <a:rPr lang="en-GB">
              <a:solidFill>
                <a:srgbClr val="0000FF"/>
              </a:solidFill>
              <a:effectLst/>
            </a:rPr>
            <a:t>					oBC.WriteRecord();</a:t>
          </a:r>
        </a:p>
        <a:p>
          <a:r>
            <a:rPr lang="en-GB">
              <a:solidFill>
                <a:srgbClr val="0000FF"/>
              </a:solidFill>
              <a:effectLst/>
            </a:rPr>
            <a:t>				}</a:t>
          </a:r>
        </a:p>
        <a:p>
          <a:r>
            <a:rPr lang="en-GB">
              <a:solidFill>
                <a:srgbClr val="0000FF"/>
              </a:solidFill>
              <a:effectLst/>
            </a:rPr>
            <a:t>				else</a:t>
          </a:r>
        </a:p>
        <a:p>
          <a:r>
            <a:rPr lang="en-GB">
              <a:solidFill>
                <a:srgbClr val="0000FF"/>
              </a:solidFill>
              <a:effectLst/>
            </a:rPr>
            <a:t>				{</a:t>
          </a:r>
        </a:p>
        <a:p>
          <a:r>
            <a:rPr lang="en-GB">
              <a:effectLst/>
            </a:rPr>
            <a:t>					oBC.SetFieldValue("Status",sStatus);</a:t>
          </a:r>
        </a:p>
        <a:p>
          <a:endParaRPr lang="en-GB">
            <a:effectLst/>
          </a:endParaRPr>
        </a:p>
        <a:p>
          <a:r>
            <a:rPr lang="en-GB">
              <a:effectLst/>
            </a:rPr>
            <a:t>					//[02.04.2012WS]CHG027927: Added script to update Invoice Delivery Status Field just as in Sales Orders</a:t>
          </a:r>
        </a:p>
        <a:p>
          <a:r>
            <a:rPr lang="en-GB">
              <a:effectLst/>
            </a:rPr>
            <a:t>					// [VW 24.05.2012]Defect409: Changed from To be sent to To be processed</a:t>
          </a:r>
        </a:p>
        <a:p>
          <a:r>
            <a:rPr lang="en-GB">
              <a:effectLst/>
            </a:rPr>
            <a:t>					var sDeliveryStatus = TheApplication().InvokeMethod("LookupValue","JTI_INV_DEL_STATUS","To be processed");</a:t>
          </a:r>
        </a:p>
        <a:p>
          <a:r>
            <a:rPr lang="en-GB">
              <a:effectLst/>
            </a:rPr>
            <a:t>					var sOrg = TheApplication().GetProfileAttr("Org.Name");</a:t>
          </a:r>
        </a:p>
        <a:p>
          <a:r>
            <a:rPr lang="en-GB">
              <a:effectLst/>
            </a:rPr>
            <a:t>					var sDeliveryStatusManual = TheApplication().InvokeMethod("LookupValue","JTI_INV_DEL_STATUS","Not to be sent");</a:t>
          </a:r>
        </a:p>
        <a:p>
          <a:endParaRPr lang="en-GB">
            <a:effectLst/>
          </a:endParaRPr>
        </a:p>
        <a:p>
          <a:r>
            <a:rPr lang="en-GB">
              <a:effectLst/>
            </a:rPr>
            <a:t>					if (sOrg == "Belgium" || sOrg == "Netherlands")</a:t>
          </a:r>
        </a:p>
        <a:p>
          <a:r>
            <a:rPr lang="en-GB">
              <a:effectLst/>
            </a:rPr>
            <a:t>					{</a:t>
          </a:r>
        </a:p>
        <a:p>
          <a:r>
            <a:rPr lang="en-GB">
              <a:effectLst/>
            </a:rPr>
            <a:t>						//[MNK-18.03.2015]CHG069431 - Def435: Set Delivery Status to 'To be processed' for Benelux irrespective of Delivery Method</a:t>
          </a:r>
        </a:p>
        <a:p>
          <a:r>
            <a:rPr lang="en-GB">
              <a:effectLst/>
            </a:rPr>
            <a:t>						/*</a:t>
          </a:r>
        </a:p>
        <a:p>
          <a:r>
            <a:rPr lang="en-GB">
              <a:effectLst/>
            </a:rPr>
            <a:t>						if (oBC.GetFieldValue("Invoice Delivery Method") == TheApplication().InvokeMethod("LookupValue","COMM_MEDIA_TYPE","Manual"))</a:t>
          </a:r>
        </a:p>
        <a:p>
          <a:r>
            <a:rPr lang="en-GB">
              <a:effectLst/>
            </a:rPr>
            <a:t>							{</a:t>
          </a:r>
        </a:p>
        <a:p>
          <a:r>
            <a:rPr lang="en-GB">
              <a:effectLst/>
            </a:rPr>
            <a:t>								oBC.SetFieldValue("Delivery Status",sDeliveryStatusManual);</a:t>
          </a:r>
        </a:p>
        <a:p>
          <a:r>
            <a:rPr lang="en-GB">
              <a:effectLst/>
            </a:rPr>
            <a:t>							}</a:t>
          </a:r>
        </a:p>
        <a:p>
          <a:endParaRPr lang="en-GB">
            <a:effectLst/>
          </a:endParaRPr>
        </a:p>
        <a:p>
          <a:r>
            <a:rPr lang="en-GB">
              <a:effectLst/>
            </a:rPr>
            <a:t>						else</a:t>
          </a:r>
        </a:p>
        <a:p>
          <a:r>
            <a:rPr lang="en-GB">
              <a:effectLst/>
            </a:rPr>
            <a:t>							{</a:t>
          </a:r>
        </a:p>
        <a:p>
          <a:r>
            <a:rPr lang="en-GB">
              <a:effectLst/>
            </a:rPr>
            <a:t>						*/</a:t>
          </a:r>
        </a:p>
        <a:p>
          <a:r>
            <a:rPr lang="en-GB">
              <a:effectLst/>
            </a:rPr>
            <a:t>								oBC.SetFieldValue("Delivery Status",sDeliveryStatus);</a:t>
          </a:r>
        </a:p>
        <a:p>
          <a:r>
            <a:rPr lang="en-GB">
              <a:effectLst/>
            </a:rPr>
            <a:t>						//	}</a:t>
          </a:r>
        </a:p>
        <a:p>
          <a:endParaRPr lang="en-GB">
            <a:effectLst/>
          </a:endParaRPr>
        </a:p>
        <a:p>
          <a:r>
            <a:rPr lang="en-GB">
              <a:effectLst/>
            </a:rPr>
            <a:t>					}</a:t>
          </a:r>
        </a:p>
        <a:p>
          <a:r>
            <a:rPr lang="en-GB">
              <a:effectLst/>
            </a:rPr>
            <a:t>				// [02.04.2012WS]CHG027927: End of script</a:t>
          </a:r>
        </a:p>
        <a:p>
          <a:endParaRPr lang="en-GB">
            <a:effectLst/>
          </a:endParaRPr>
        </a:p>
        <a:p>
          <a:endParaRPr lang="en-GB">
            <a:effectLst/>
          </a:endParaRPr>
        </a:p>
        <a:p>
          <a:r>
            <a:rPr lang="en-GB">
              <a:effectLst/>
            </a:rPr>
            <a:t>					oBC.WriteRecord();</a:t>
          </a:r>
        </a:p>
        <a:p>
          <a:r>
            <a:rPr lang="en-GB">
              <a:effectLst/>
            </a:rPr>
            <a:t>					var boListOfVal = TheApplication().GetBusObject("List Of Values");</a:t>
          </a:r>
        </a:p>
        <a:p>
          <a:r>
            <a:rPr lang="en-GB">
              <a:effectLst/>
            </a:rPr>
            <a:t>					var bcListOfVal = boListOfVal.GetBusComp("List Of Values");</a:t>
          </a:r>
        </a:p>
        <a:p>
          <a:r>
            <a:rPr lang="en-GB">
              <a:effectLst/>
            </a:rPr>
            <a:t>					var sDispName = this.BusComp().GetFieldValue("JTI Sub Type");</a:t>
          </a:r>
        </a:p>
        <a:p>
          <a:r>
            <a:rPr lang="en-GB">
              <a:effectLst/>
            </a:rPr>
            <a:t>					var sOrgId = TheApplication().GetProfileAttr("Primary Organization Id");</a:t>
          </a:r>
        </a:p>
        <a:p>
          <a:r>
            <a:rPr lang="en-GB">
              <a:effectLst/>
            </a:rPr>
            <a:t>					//TheApplication().RaiseErrorText(sDispName);</a:t>
          </a:r>
        </a:p>
        <a:p>
          <a:r>
            <a:rPr lang="en-GB">
              <a:effectLst/>
            </a:rPr>
            <a:t>					with (bcListOfVal)</a:t>
          </a:r>
        </a:p>
        <a:p>
          <a:r>
            <a:rPr lang="en-GB">
              <a:effectLst/>
            </a:rPr>
            <a:t>					{</a:t>
          </a:r>
        </a:p>
        <a:p>
          <a:r>
            <a:rPr lang="en-GB">
              <a:effectLst/>
            </a:rPr>
            <a:t>						// Loop through all LOVs with LOV Type "CHANNEL_TYPE" and the active Language</a:t>
          </a:r>
        </a:p>
        <a:p>
          <a:r>
            <a:rPr lang="en-GB">
              <a:effectLst/>
            </a:rPr>
            <a:t>						var sSearchString = "[Type] = 'JTI_INV_ORD_TYPE' AND [Value] = '" + sDispName + "' AND [OrganizationId] = '" + sOrgId + "' AND [Active] = 'Y'";</a:t>
          </a:r>
        </a:p>
        <a:p>
          <a:r>
            <a:rPr lang="en-GB">
              <a:effectLst/>
            </a:rPr>
            <a:t>						ClearToQuery();</a:t>
          </a:r>
        </a:p>
        <a:p>
          <a:r>
            <a:rPr lang="en-GB">
              <a:effectLst/>
            </a:rPr>
            <a:t>						SetSearchExpr(sSearchString);</a:t>
          </a:r>
        </a:p>
        <a:p>
          <a:r>
            <a:rPr lang="en-GB">
              <a:effectLst/>
            </a:rPr>
            <a:t>						ExecuteQuery(ForwardOnly);</a:t>
          </a:r>
        </a:p>
        <a:p>
          <a:r>
            <a:rPr lang="en-GB">
              <a:effectLst/>
            </a:rPr>
            <a:t>						if (FirstRecord())</a:t>
          </a:r>
        </a:p>
        <a:p>
          <a:r>
            <a:rPr lang="en-GB">
              <a:effectLst/>
            </a:rPr>
            <a:t>						{</a:t>
          </a:r>
        </a:p>
        <a:p>
          <a:r>
            <a:rPr lang="en-GB">
              <a:effectLst/>
            </a:rPr>
            <a:t>					//		var sOrderId = this.GetFieldValue("Id");</a:t>
          </a:r>
        </a:p>
        <a:p>
          <a:r>
            <a:rPr lang="en-GB">
              <a:effectLst/>
            </a:rPr>
            <a:t>							var oBS		 = TheApplication().GetService("JTI Create Transaction");</a:t>
          </a:r>
        </a:p>
        <a:p>
          <a:r>
            <a:rPr lang="en-GB">
              <a:effectLst/>
            </a:rPr>
            <a:t>							var oOutput	 = TheApplication().NewPropertySet();</a:t>
          </a:r>
        </a:p>
        <a:p>
          <a:r>
            <a:rPr lang="en-GB">
              <a:effectLst/>
            </a:rPr>
            <a:t>							var oInput	 = TheApplication().NewPropertySet();</a:t>
          </a:r>
        </a:p>
        <a:p>
          <a:endParaRPr lang="en-GB">
            <a:effectLst/>
          </a:endParaRPr>
        </a:p>
        <a:p>
          <a:r>
            <a:rPr lang="en-GB">
              <a:effectLst/>
            </a:rPr>
            <a:t>							oInput.SetProperty("Order Id", sId);</a:t>
          </a:r>
        </a:p>
        <a:p>
          <a:r>
            <a:rPr lang="en-GB">
              <a:effectLst/>
            </a:rPr>
            <a:t>						//	oInput.SetProperty("Status", this.GetFieldValue("Status"));</a:t>
          </a:r>
        </a:p>
        <a:p>
          <a:r>
            <a:rPr lang="en-GB">
              <a:effectLst/>
            </a:rPr>
            <a:t>							//oBS.InvokeMethod("CreateTransaction", oInput, oOutput);</a:t>
          </a:r>
        </a:p>
        <a:p>
          <a:r>
            <a:rPr lang="en-GB">
              <a:effectLst/>
            </a:rPr>
            <a:t>							oBS.InvokeMethod("CreateTransaction_Service", oInput, oOutput);</a:t>
          </a:r>
        </a:p>
        <a:p>
          <a:endParaRPr lang="en-GB">
            <a:effectLst/>
          </a:endParaRPr>
        </a:p>
        <a:p>
          <a:endParaRPr lang="en-GB">
            <a:effectLst/>
          </a:endParaRPr>
        </a:p>
        <a:p>
          <a:r>
            <a:rPr lang="en-GB">
              <a:effectLst/>
            </a:rPr>
            <a:t>							oInput	= null;</a:t>
          </a:r>
        </a:p>
        <a:p>
          <a:r>
            <a:rPr lang="en-GB">
              <a:effectLst/>
            </a:rPr>
            <a:t>							oOutput	= null;</a:t>
          </a:r>
        </a:p>
        <a:p>
          <a:r>
            <a:rPr lang="en-GB">
              <a:effectLst/>
            </a:rPr>
            <a:t>							oBS		= null;</a:t>
          </a:r>
        </a:p>
        <a:p>
          <a:r>
            <a:rPr lang="en-GB">
              <a:effectLst/>
            </a:rPr>
            <a:t>						}</a:t>
          </a:r>
        </a:p>
        <a:p>
          <a:r>
            <a:rPr lang="en-GB">
              <a:effectLst/>
            </a:rPr>
            <a:t>						bcListOfVal = null</a:t>
          </a:r>
        </a:p>
        <a:p>
          <a:r>
            <a:rPr lang="en-GB">
              <a:effectLst/>
            </a:rPr>
            <a:t>						boListOfVal = null;</a:t>
          </a:r>
        </a:p>
        <a:p>
          <a:r>
            <a:rPr lang="en-GB">
              <a:effectLst/>
            </a:rPr>
            <a:t>					}</a:t>
          </a:r>
        </a:p>
        <a:p>
          <a:r>
            <a:rPr lang="en-GB">
              <a:effectLst/>
            </a:rPr>
            <a:t>				}</a:t>
          </a:r>
        </a:p>
        <a:p>
          <a:r>
            <a:rPr lang="en-GB">
              <a:effectLst/>
            </a:rPr>
            <a:t>			</a:t>
          </a:r>
          <a:r>
            <a:rPr lang="en-GB">
              <a:solidFill>
                <a:srgbClr val="0000FF"/>
              </a:solidFill>
              <a:effectLst/>
            </a:rPr>
            <a:t>}</a:t>
          </a:r>
        </a:p>
        <a:p>
          <a:endParaRPr lang="en-GB">
            <a:effectLst/>
          </a:endParaRPr>
        </a:p>
        <a:p>
          <a:endParaRPr lang="en-GB">
            <a:effectLst/>
          </a:endParaRPr>
        </a:p>
        <a:p>
          <a:r>
            <a:rPr lang="en-GB">
              <a:effectLst/>
            </a:rPr>
            <a:t>		this.BusComp().InvokeMethod("RefreshRecord");</a:t>
          </a:r>
        </a:p>
        <a:p>
          <a:r>
            <a:rPr lang="en-GB">
              <a:effectLst/>
            </a:rPr>
            <a:t>		this.BusComp().InvokeMethod( "UpdateLinks" );</a:t>
          </a:r>
        </a:p>
        <a:p>
          <a:endParaRPr lang="en-GB">
            <a:effectLst/>
          </a:endParaRPr>
        </a:p>
        <a:p>
          <a:r>
            <a:rPr lang="en-GB">
              <a:effectLst/>
            </a:rPr>
            <a:t>		return (CancelOperation);</a:t>
          </a:r>
        </a:p>
        <a:p>
          <a:r>
            <a:rPr lang="en-GB">
              <a:effectLst/>
            </a:rPr>
            <a:t>	}</a:t>
          </a:r>
        </a:p>
        <a:p>
          <a:r>
            <a:rPr lang="en-GB">
              <a:effectLst/>
            </a:rPr>
            <a:t>	</a:t>
          </a:r>
        </a:p>
        <a:p>
          <a:r>
            <a:rPr lang="en-GB">
              <a:effectLst/>
            </a:rPr>
            <a:t>	</a:t>
          </a:r>
          <a:r>
            <a:rPr lang="en-GB" b="1">
              <a:effectLst/>
            </a:rPr>
            <a:t>.</a:t>
          </a:r>
        </a:p>
        <a:p>
          <a:r>
            <a:rPr lang="en-GB" b="1">
              <a:effectLst/>
            </a:rPr>
            <a:t>	. Existing Script</a:t>
          </a:r>
        </a:p>
        <a:p>
          <a:r>
            <a:rPr lang="en-GB" b="1">
              <a:effectLst/>
            </a:rPr>
            <a:t>	.</a:t>
          </a:r>
        </a:p>
        <a:p>
          <a:r>
            <a:rPr lang="en-GB">
              <a:effectLst/>
            </a:rPr>
            <a:t>	return (ContinueOperation);</a:t>
          </a:r>
        </a:p>
        <a:p>
          <a:r>
            <a:rPr lang="en-GB">
              <a:effectLst/>
            </a:rPr>
            <a:t>}</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abSelected="1" zoomScale="80" zoomScaleNormal="75" workbookViewId="0">
      <selection activeCell="F25" sqref="F25:N25"/>
    </sheetView>
  </sheetViews>
  <sheetFormatPr defaultColWidth="9.140625" defaultRowHeight="12.75" x14ac:dyDescent="0.2"/>
  <cols>
    <col min="1" max="1" width="11.5703125" style="3" customWidth="1"/>
    <col min="2" max="2" width="12.85546875" style="3" bestFit="1" customWidth="1"/>
    <col min="3" max="5" width="9.140625" style="3"/>
    <col min="6" max="6" width="8.5703125" style="3" customWidth="1"/>
    <col min="7" max="7" width="29.140625" style="3" bestFit="1" customWidth="1"/>
    <col min="8" max="9" width="9.140625" style="3"/>
    <col min="10" max="10" width="10.28515625" style="3" bestFit="1" customWidth="1"/>
    <col min="11" max="12" width="9.140625" style="3"/>
    <col min="13" max="13" width="9.140625" style="3" customWidth="1"/>
    <col min="14" max="14" width="13.140625" style="3" customWidth="1"/>
    <col min="15" max="16384" width="9.140625" style="3"/>
  </cols>
  <sheetData>
    <row r="1" spans="1:15" ht="13.5" x14ac:dyDescent="0.25">
      <c r="A1" s="2"/>
    </row>
    <row r="10" spans="1:15" ht="13.5" x14ac:dyDescent="0.25">
      <c r="A10" s="2"/>
      <c r="B10" s="2"/>
      <c r="C10" s="2"/>
      <c r="D10" s="2"/>
      <c r="E10" s="2"/>
      <c r="F10" s="2"/>
      <c r="G10" s="2"/>
      <c r="H10" s="2"/>
      <c r="I10" s="2"/>
    </row>
    <row r="11" spans="1:15" ht="13.5" x14ac:dyDescent="0.25">
      <c r="A11" s="2"/>
      <c r="B11" s="2"/>
      <c r="C11" s="2"/>
      <c r="D11" s="2"/>
      <c r="E11" s="2"/>
      <c r="F11" s="2"/>
      <c r="G11" s="2"/>
      <c r="H11" s="2"/>
      <c r="I11" s="2"/>
    </row>
    <row r="12" spans="1:15" ht="13.5" x14ac:dyDescent="0.25">
      <c r="A12" s="2"/>
      <c r="B12" s="2"/>
      <c r="C12" s="2"/>
      <c r="D12" s="2"/>
      <c r="E12" s="2"/>
      <c r="F12" s="2"/>
      <c r="G12" s="2"/>
      <c r="H12" s="2"/>
      <c r="I12" s="2"/>
    </row>
    <row r="13" spans="1:15" ht="32.25" customHeight="1" thickBot="1" x14ac:dyDescent="0.45">
      <c r="A13" s="99" t="s">
        <v>1</v>
      </c>
      <c r="B13" s="99"/>
      <c r="C13" s="99"/>
      <c r="D13" s="99"/>
      <c r="E13" s="99"/>
      <c r="F13" s="99"/>
      <c r="G13" s="99"/>
      <c r="H13" s="99"/>
      <c r="I13" s="99"/>
      <c r="J13" s="99"/>
      <c r="K13" s="99"/>
      <c r="L13" s="99"/>
      <c r="M13" s="99"/>
      <c r="N13" s="99"/>
      <c r="O13" s="99"/>
    </row>
    <row r="14" spans="1:15" ht="14.25" thickTop="1" x14ac:dyDescent="0.25">
      <c r="A14" s="2"/>
      <c r="B14" s="2"/>
      <c r="C14" s="2"/>
      <c r="D14" s="2"/>
      <c r="E14" s="2"/>
      <c r="F14" s="2"/>
      <c r="G14" s="2"/>
      <c r="H14" s="2"/>
      <c r="I14" s="2"/>
    </row>
    <row r="15" spans="1:15" ht="13.5" x14ac:dyDescent="0.25">
      <c r="A15" s="2"/>
      <c r="B15" s="2"/>
      <c r="C15" s="2"/>
      <c r="D15" s="2"/>
      <c r="E15" s="2"/>
      <c r="F15" s="2"/>
      <c r="G15" s="2"/>
      <c r="H15" s="2"/>
      <c r="I15" s="2"/>
    </row>
    <row r="16" spans="1:15" ht="13.5" customHeight="1" x14ac:dyDescent="0.25">
      <c r="A16" s="2"/>
      <c r="B16" s="2"/>
      <c r="C16" s="2"/>
      <c r="D16" s="2"/>
      <c r="E16" s="2"/>
      <c r="F16" s="2"/>
      <c r="G16" s="2"/>
      <c r="H16" s="2"/>
      <c r="I16" s="2"/>
    </row>
    <row r="17" spans="1:15" ht="14.25" customHeight="1" x14ac:dyDescent="0.25">
      <c r="A17" s="2"/>
      <c r="B17" s="2"/>
      <c r="C17" s="2"/>
      <c r="D17" s="2"/>
      <c r="E17" s="2"/>
      <c r="F17" s="2"/>
      <c r="G17" s="2"/>
      <c r="H17" s="2"/>
      <c r="I17" s="2"/>
    </row>
    <row r="18" spans="1:15" ht="13.5" x14ac:dyDescent="0.25">
      <c r="A18" s="2"/>
      <c r="B18" s="2"/>
      <c r="C18" s="2"/>
      <c r="D18" s="2"/>
      <c r="E18" s="2"/>
      <c r="F18" s="2"/>
      <c r="G18" s="2"/>
      <c r="H18" s="2"/>
      <c r="I18" s="2"/>
    </row>
    <row r="19" spans="1:15" ht="13.5" x14ac:dyDescent="0.25">
      <c r="A19" s="2"/>
      <c r="B19" s="2"/>
      <c r="C19" s="2"/>
      <c r="D19" s="2"/>
      <c r="E19" s="2"/>
      <c r="F19" s="2"/>
      <c r="G19" s="2"/>
      <c r="H19" s="2"/>
      <c r="I19" s="2"/>
    </row>
    <row r="20" spans="1:15" ht="30.75" x14ac:dyDescent="0.45">
      <c r="A20" s="100" t="s">
        <v>56</v>
      </c>
      <c r="B20" s="100"/>
      <c r="C20" s="100"/>
      <c r="D20" s="100"/>
      <c r="E20" s="100"/>
      <c r="F20" s="100"/>
      <c r="G20" s="100"/>
      <c r="H20" s="100"/>
      <c r="I20" s="100"/>
      <c r="J20" s="100"/>
      <c r="K20" s="100"/>
      <c r="L20" s="100"/>
      <c r="M20" s="100"/>
      <c r="N20" s="100"/>
      <c r="O20" s="100"/>
    </row>
    <row r="21" spans="1:15" ht="30.75" x14ac:dyDescent="0.45">
      <c r="A21" s="100" t="s">
        <v>55</v>
      </c>
      <c r="B21" s="100"/>
      <c r="C21" s="100"/>
      <c r="D21" s="100"/>
      <c r="E21" s="100"/>
      <c r="F21" s="100"/>
      <c r="G21" s="100"/>
      <c r="H21" s="100"/>
      <c r="I21" s="100"/>
      <c r="J21" s="100"/>
      <c r="K21" s="100"/>
      <c r="L21" s="100"/>
      <c r="M21" s="100"/>
      <c r="N21" s="100"/>
      <c r="O21" s="100"/>
    </row>
    <row r="22" spans="1:15" ht="13.5" x14ac:dyDescent="0.25">
      <c r="A22" s="2"/>
      <c r="B22" s="2"/>
      <c r="C22" s="2"/>
      <c r="D22" s="2"/>
      <c r="E22" s="2"/>
      <c r="F22" s="2"/>
      <c r="G22" s="2"/>
      <c r="H22" s="2"/>
      <c r="I22" s="2"/>
    </row>
    <row r="23" spans="1:15" ht="30.75" x14ac:dyDescent="0.45">
      <c r="A23" s="103" t="s">
        <v>130</v>
      </c>
      <c r="B23" s="103"/>
      <c r="C23" s="103"/>
      <c r="D23" s="103"/>
      <c r="E23" s="103"/>
      <c r="F23" s="104" t="s">
        <v>163</v>
      </c>
      <c r="G23" s="104"/>
      <c r="H23" s="104"/>
      <c r="I23" s="104"/>
      <c r="J23" s="104"/>
      <c r="K23" s="104"/>
      <c r="L23" s="104"/>
      <c r="M23" s="104"/>
      <c r="N23" s="104"/>
      <c r="O23" s="104"/>
    </row>
    <row r="24" spans="1:15" s="46" customFormat="1" ht="66" customHeight="1" x14ac:dyDescent="0.4">
      <c r="A24" s="105" t="s">
        <v>57</v>
      </c>
      <c r="B24" s="105"/>
      <c r="C24" s="105"/>
      <c r="D24" s="105"/>
      <c r="E24" s="105"/>
      <c r="F24" s="106" t="s">
        <v>164</v>
      </c>
      <c r="G24" s="106"/>
      <c r="H24" s="106"/>
      <c r="I24" s="106"/>
      <c r="J24" s="106"/>
      <c r="K24" s="106"/>
      <c r="L24" s="106"/>
      <c r="M24" s="106"/>
      <c r="N24" s="106"/>
      <c r="O24" s="47"/>
    </row>
    <row r="25" spans="1:15" s="46" customFormat="1" ht="27.75" x14ac:dyDescent="0.4">
      <c r="A25" s="107" t="s">
        <v>60</v>
      </c>
      <c r="B25" s="107"/>
      <c r="C25" s="107"/>
      <c r="D25" s="107"/>
      <c r="E25" s="107"/>
      <c r="F25" s="98" t="s">
        <v>165</v>
      </c>
      <c r="G25" s="98"/>
      <c r="H25" s="98"/>
      <c r="I25" s="98"/>
      <c r="J25" s="98"/>
      <c r="K25" s="98"/>
      <c r="L25" s="98"/>
      <c r="M25" s="98"/>
      <c r="N25" s="98"/>
      <c r="O25" s="47"/>
    </row>
    <row r="26" spans="1:15" x14ac:dyDescent="0.2">
      <c r="A26" s="48"/>
      <c r="B26" s="48"/>
      <c r="C26" s="48"/>
      <c r="D26" s="48"/>
      <c r="E26" s="48"/>
      <c r="F26" s="48"/>
      <c r="G26" s="48"/>
      <c r="H26" s="48"/>
      <c r="I26" s="48"/>
      <c r="J26" s="48"/>
      <c r="K26" s="48"/>
      <c r="L26" s="48"/>
      <c r="M26" s="48"/>
      <c r="N26" s="48"/>
      <c r="O26" s="48"/>
    </row>
    <row r="27" spans="1:15" ht="16.5" x14ac:dyDescent="0.3">
      <c r="A27" s="102"/>
      <c r="B27" s="102"/>
      <c r="C27" s="102"/>
      <c r="D27" s="102"/>
      <c r="E27" s="102"/>
      <c r="F27" s="102"/>
      <c r="G27" s="102"/>
      <c r="H27" s="102"/>
      <c r="I27" s="102"/>
      <c r="J27" s="48"/>
      <c r="K27" s="48"/>
      <c r="L27" s="48"/>
      <c r="M27" s="48"/>
      <c r="N27" s="48"/>
      <c r="O27" s="48"/>
    </row>
    <row r="28" spans="1:15" ht="18" customHeight="1" x14ac:dyDescent="0.3">
      <c r="A28" s="101"/>
      <c r="B28" s="101"/>
      <c r="C28" s="101"/>
      <c r="D28" s="101"/>
      <c r="E28" s="101"/>
      <c r="F28" s="101"/>
      <c r="G28" s="101"/>
      <c r="H28" s="101"/>
      <c r="I28" s="101"/>
      <c r="J28" s="48"/>
      <c r="K28" s="48"/>
      <c r="L28" s="48"/>
      <c r="M28" s="48"/>
      <c r="N28" s="48"/>
      <c r="O28" s="48"/>
    </row>
    <row r="37" spans="1:9" ht="18" customHeight="1" x14ac:dyDescent="0.2"/>
    <row r="38" spans="1:9" ht="15.75" x14ac:dyDescent="0.25">
      <c r="A38" s="4" t="s">
        <v>2</v>
      </c>
      <c r="B38" s="5">
        <f ca="1">TODAY()</f>
        <v>44505</v>
      </c>
      <c r="C38" s="2"/>
      <c r="D38" s="2"/>
      <c r="E38" s="2"/>
      <c r="F38" s="2"/>
      <c r="G38" s="2"/>
      <c r="H38" s="2"/>
      <c r="I38" s="2"/>
    </row>
    <row r="39" spans="1:9" ht="15.75" x14ac:dyDescent="0.25">
      <c r="A39" s="4" t="s">
        <v>3</v>
      </c>
      <c r="B39" s="6" t="s">
        <v>10</v>
      </c>
      <c r="C39" s="2"/>
      <c r="D39" s="2"/>
      <c r="E39" s="2"/>
      <c r="F39" s="2"/>
      <c r="G39" s="2"/>
      <c r="H39" s="2"/>
      <c r="I39" s="2"/>
    </row>
    <row r="40" spans="1:9" ht="15.75" x14ac:dyDescent="0.25">
      <c r="A40" s="4"/>
      <c r="B40" s="6"/>
      <c r="C40" s="2"/>
      <c r="D40" s="2"/>
      <c r="E40" s="2"/>
      <c r="F40" s="2"/>
      <c r="G40" s="2"/>
      <c r="H40" s="2"/>
      <c r="I40" s="2"/>
    </row>
  </sheetData>
  <mergeCells count="11">
    <mergeCell ref="F25:N25"/>
    <mergeCell ref="A13:O13"/>
    <mergeCell ref="A20:O20"/>
    <mergeCell ref="A21:O21"/>
    <mergeCell ref="A28:I28"/>
    <mergeCell ref="A27:I27"/>
    <mergeCell ref="A23:E23"/>
    <mergeCell ref="F23:O23"/>
    <mergeCell ref="A24:E24"/>
    <mergeCell ref="F24:N24"/>
    <mergeCell ref="A25:E25"/>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6"/>
  <sheetViews>
    <sheetView showGridLines="0" zoomScale="85" zoomScaleNormal="85" workbookViewId="0">
      <selection activeCell="C33" sqref="C33"/>
    </sheetView>
  </sheetViews>
  <sheetFormatPr defaultColWidth="9.140625" defaultRowHeight="13.5" x14ac:dyDescent="0.2"/>
  <cols>
    <col min="1" max="1" width="34.140625" style="14" bestFit="1" customWidth="1"/>
    <col min="2" max="2" width="29" style="14" customWidth="1"/>
    <col min="3" max="3" width="35.28515625" style="14" customWidth="1"/>
    <col min="4" max="4" width="9.140625" style="14" hidden="1" customWidth="1"/>
    <col min="5" max="5" width="9.28515625" style="14" hidden="1" customWidth="1"/>
    <col min="6" max="6" width="11.140625" style="14" customWidth="1"/>
    <col min="7" max="7" width="9.140625" style="14" hidden="1" customWidth="1"/>
    <col min="8" max="8" width="21.5703125" style="14" customWidth="1"/>
    <col min="9" max="9" width="37.140625" style="14" customWidth="1"/>
    <col min="10" max="10" width="21.42578125" style="14" bestFit="1" customWidth="1"/>
    <col min="11" max="11" width="17.5703125" style="14" bestFit="1" customWidth="1"/>
    <col min="12" max="12" width="8" style="14" bestFit="1" customWidth="1"/>
    <col min="13" max="16384" width="9.140625" style="14"/>
  </cols>
  <sheetData>
    <row r="1" spans="1:9" ht="16.5" x14ac:dyDescent="0.2">
      <c r="A1" s="12" t="s">
        <v>4</v>
      </c>
      <c r="B1" s="13"/>
      <c r="C1" s="13"/>
      <c r="D1" s="13"/>
      <c r="E1" s="13"/>
    </row>
    <row r="2" spans="1:9" x14ac:dyDescent="0.2">
      <c r="A2" s="15"/>
      <c r="B2" s="13"/>
      <c r="C2" s="13"/>
      <c r="D2" s="13"/>
      <c r="E2" s="13"/>
    </row>
    <row r="3" spans="1:9" ht="15" x14ac:dyDescent="0.2">
      <c r="A3" s="51" t="s">
        <v>5</v>
      </c>
      <c r="B3" s="52" t="s">
        <v>6</v>
      </c>
      <c r="C3" s="109" t="s">
        <v>7</v>
      </c>
      <c r="D3" s="109"/>
      <c r="E3" s="109"/>
      <c r="F3" s="110" t="s">
        <v>8</v>
      </c>
      <c r="G3" s="111"/>
      <c r="H3" s="52" t="s">
        <v>9</v>
      </c>
      <c r="I3" s="17" t="s">
        <v>18</v>
      </c>
    </row>
    <row r="4" spans="1:9" x14ac:dyDescent="0.2">
      <c r="A4" s="56" t="s">
        <v>207</v>
      </c>
      <c r="B4" s="56" t="s">
        <v>208</v>
      </c>
      <c r="C4" s="108" t="s">
        <v>209</v>
      </c>
      <c r="D4" s="108"/>
      <c r="E4" s="108"/>
      <c r="F4" s="55" t="s">
        <v>210</v>
      </c>
      <c r="G4" s="16"/>
      <c r="H4" s="53" t="s">
        <v>211</v>
      </c>
      <c r="I4" s="19" t="s">
        <v>212</v>
      </c>
    </row>
    <row r="5" spans="1:9" x14ac:dyDescent="0.2">
      <c r="A5" s="56"/>
      <c r="B5" s="56"/>
      <c r="C5" s="108"/>
      <c r="D5" s="108"/>
      <c r="E5" s="108"/>
      <c r="F5" s="54"/>
      <c r="G5" s="16"/>
      <c r="H5" s="53"/>
      <c r="I5" s="19"/>
    </row>
    <row r="6" spans="1:9" x14ac:dyDescent="0.2">
      <c r="A6" s="13"/>
      <c r="B6" s="13"/>
      <c r="C6" s="13"/>
      <c r="D6" s="13"/>
      <c r="E6" s="13"/>
    </row>
    <row r="8" spans="1:9" x14ac:dyDescent="0.2">
      <c r="A8" s="59" t="s">
        <v>26</v>
      </c>
      <c r="B8" s="62" t="s">
        <v>30</v>
      </c>
    </row>
    <row r="9" spans="1:9" x14ac:dyDescent="0.2">
      <c r="A9" s="60" t="s">
        <v>112</v>
      </c>
      <c r="B9" s="63">
        <v>0.03</v>
      </c>
    </row>
    <row r="10" spans="1:9" x14ac:dyDescent="0.2">
      <c r="A10" s="60" t="s">
        <v>28</v>
      </c>
      <c r="B10" s="63">
        <f>'1. BC'!B4</f>
        <v>0.05</v>
      </c>
    </row>
    <row r="11" spans="1:9" x14ac:dyDescent="0.2">
      <c r="A11" s="60" t="s">
        <v>25</v>
      </c>
      <c r="B11" s="63">
        <f>'2. Script&lt;Applet&gt;'!V4</f>
        <v>0.05</v>
      </c>
    </row>
    <row r="12" spans="1:9" x14ac:dyDescent="0.2">
      <c r="A12" s="60" t="s">
        <v>63</v>
      </c>
      <c r="B12" s="63">
        <v>0.12</v>
      </c>
    </row>
    <row r="13" spans="1:9" x14ac:dyDescent="0.2">
      <c r="A13" s="60" t="s">
        <v>62</v>
      </c>
      <c r="B13" s="63">
        <v>0.06</v>
      </c>
    </row>
    <row r="14" spans="1:9" x14ac:dyDescent="0.2">
      <c r="A14" s="60" t="s">
        <v>29</v>
      </c>
      <c r="B14" s="63">
        <v>0.06</v>
      </c>
    </row>
    <row r="15" spans="1:9" x14ac:dyDescent="0.2">
      <c r="A15" s="60" t="s">
        <v>61</v>
      </c>
      <c r="B15" s="63">
        <v>0.03</v>
      </c>
    </row>
    <row r="16" spans="1:9" ht="15" x14ac:dyDescent="0.2">
      <c r="A16" s="61" t="s">
        <v>38</v>
      </c>
      <c r="B16" s="64">
        <f>ROUNDUP(SUM(B9:B15), 2)</f>
        <v>0.4</v>
      </c>
    </row>
    <row r="18" spans="1:10" x14ac:dyDescent="0.2">
      <c r="A18" s="65" t="s">
        <v>67</v>
      </c>
      <c r="B18" s="65" t="s">
        <v>113</v>
      </c>
      <c r="C18" s="65" t="s">
        <v>114</v>
      </c>
      <c r="I18" s="65" t="s">
        <v>120</v>
      </c>
      <c r="J18" s="65" t="s">
        <v>121</v>
      </c>
    </row>
    <row r="19" spans="1:10" x14ac:dyDescent="0.2">
      <c r="A19" s="63"/>
      <c r="B19" s="63"/>
      <c r="C19" s="63"/>
      <c r="I19" s="63"/>
      <c r="J19" s="63"/>
    </row>
    <row r="20" spans="1:10" x14ac:dyDescent="0.2">
      <c r="A20" s="63"/>
      <c r="B20" s="63"/>
      <c r="C20" s="63"/>
    </row>
    <row r="21" spans="1:10" x14ac:dyDescent="0.2">
      <c r="A21" s="63"/>
      <c r="B21" s="63"/>
      <c r="C21" s="63"/>
    </row>
    <row r="22" spans="1:10" x14ac:dyDescent="0.2">
      <c r="A22" s="63"/>
      <c r="B22" s="63"/>
      <c r="C22" s="63"/>
    </row>
    <row r="23" spans="1:10" x14ac:dyDescent="0.2">
      <c r="A23" s="63"/>
      <c r="B23" s="63"/>
      <c r="C23" s="63"/>
    </row>
    <row r="24" spans="1:10" x14ac:dyDescent="0.2">
      <c r="A24" s="63"/>
      <c r="B24" s="63"/>
      <c r="C24" s="63"/>
    </row>
    <row r="25" spans="1:10" x14ac:dyDescent="0.2">
      <c r="A25" s="63"/>
      <c r="B25" s="63"/>
      <c r="C25" s="63"/>
    </row>
    <row r="26" spans="1:10" x14ac:dyDescent="0.2">
      <c r="A26" s="63"/>
      <c r="B26" s="63"/>
      <c r="C26" s="63"/>
    </row>
  </sheetData>
  <mergeCells count="4">
    <mergeCell ref="C5:E5"/>
    <mergeCell ref="C3:E3"/>
    <mergeCell ref="F3:G3"/>
    <mergeCell ref="C4:E4"/>
  </mergeCells>
  <phoneticPr fontId="0" type="noConversion"/>
  <pageMargins left="0.75" right="0.75" top="1" bottom="1" header="0.5" footer="0.5"/>
  <pageSetup paperSize="9" orientation="landscape" r:id="rId1"/>
  <headerFooter alignWithMargins="0">
    <oddFooter>&amp;L&amp;"Book Antiqua,Regular"&amp;8Document: &amp;F&amp;R&amp;"Book Antiqua,Regular"&amp;8Page &amp;P /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F13"/>
  <sheetViews>
    <sheetView zoomScale="85" workbookViewId="0"/>
  </sheetViews>
  <sheetFormatPr defaultColWidth="9.140625" defaultRowHeight="12.75" x14ac:dyDescent="0.2"/>
  <cols>
    <col min="1" max="1" width="25.42578125" style="27" customWidth="1"/>
    <col min="2" max="2" width="27.42578125" style="27" customWidth="1"/>
    <col min="3" max="3" width="48.28515625" style="27" customWidth="1"/>
    <col min="4" max="4" width="35.85546875" style="27" customWidth="1"/>
    <col min="5" max="5" width="27.42578125" style="27" customWidth="1"/>
    <col min="6" max="16384" width="9.140625" style="27"/>
  </cols>
  <sheetData>
    <row r="1" spans="1:6" ht="15.75" x14ac:dyDescent="0.2">
      <c r="A1" s="26" t="s">
        <v>12</v>
      </c>
    </row>
    <row r="2" spans="1:6" ht="13.5" thickBot="1" x14ac:dyDescent="0.25"/>
    <row r="3" spans="1:6" ht="13.5" thickBot="1" x14ac:dyDescent="0.25">
      <c r="A3" s="9" t="s">
        <v>15</v>
      </c>
      <c r="B3" s="10" t="s">
        <v>13</v>
      </c>
      <c r="C3" s="10" t="s">
        <v>0</v>
      </c>
      <c r="D3" s="10" t="s">
        <v>16</v>
      </c>
      <c r="E3" s="11" t="s">
        <v>14</v>
      </c>
    </row>
    <row r="4" spans="1:6" ht="38.25" x14ac:dyDescent="0.2">
      <c r="A4" s="97" t="s">
        <v>222</v>
      </c>
      <c r="B4" s="93" t="s">
        <v>213</v>
      </c>
      <c r="C4" s="93" t="s">
        <v>214</v>
      </c>
      <c r="D4" s="28" t="s">
        <v>39</v>
      </c>
      <c r="E4" s="30" t="s">
        <v>11</v>
      </c>
      <c r="F4" s="38"/>
    </row>
    <row r="5" spans="1:6" ht="38.25" x14ac:dyDescent="0.2">
      <c r="A5" s="38"/>
      <c r="B5" s="92" t="s">
        <v>215</v>
      </c>
      <c r="C5" s="92" t="s">
        <v>216</v>
      </c>
      <c r="D5" s="29"/>
      <c r="E5" s="39"/>
    </row>
    <row r="6" spans="1:6" x14ac:dyDescent="0.2">
      <c r="A6" s="94"/>
      <c r="B6" s="92" t="s">
        <v>217</v>
      </c>
      <c r="C6" s="29" t="s">
        <v>52</v>
      </c>
      <c r="D6" s="29"/>
      <c r="E6" s="95"/>
    </row>
    <row r="13" spans="1:6" s="24" customFormat="1" ht="13.5" x14ac:dyDescent="0.2"/>
  </sheetData>
  <phoneticPr fontId="0" type="noConversion"/>
  <pageMargins left="0.75" right="0.75" top="1" bottom="1" header="0.5" footer="0.5"/>
  <pageSetup paperSize="9" scale="80" fitToHeight="0" orientation="landscape" r:id="rId1"/>
  <headerFooter alignWithMargins="0">
    <oddHeader>&amp;C&amp;A</oddHeader>
    <oddFooter>&amp;L&amp;F&amp;C&amp;D&amp;R&amp;P /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46"/>
  <sheetViews>
    <sheetView zoomScale="85" zoomScaleNormal="85" workbookViewId="0">
      <selection sqref="A1:E1"/>
    </sheetView>
  </sheetViews>
  <sheetFormatPr defaultColWidth="9.140625" defaultRowHeight="12.75" x14ac:dyDescent="0.2"/>
  <cols>
    <col min="1" max="1" width="32.42578125" style="74" bestFit="1" customWidth="1"/>
    <col min="2" max="2" width="27.42578125" style="74" bestFit="1" customWidth="1"/>
    <col min="3" max="3" width="120.140625" style="74" bestFit="1" customWidth="1"/>
    <col min="4" max="4" width="7.140625" style="74" bestFit="1" customWidth="1"/>
    <col min="5" max="5" width="12.7109375" style="74" bestFit="1" customWidth="1"/>
    <col min="6" max="16384" width="9.140625" style="74"/>
  </cols>
  <sheetData>
    <row r="1" spans="1:5" ht="13.5" thickBot="1" x14ac:dyDescent="0.25">
      <c r="A1" s="112" t="s">
        <v>83</v>
      </c>
      <c r="B1" s="113"/>
      <c r="C1" s="113"/>
      <c r="D1" s="113"/>
      <c r="E1" s="114"/>
    </row>
    <row r="2" spans="1:5" ht="13.5" thickBot="1" x14ac:dyDescent="0.25">
      <c r="D2" s="75"/>
    </row>
    <row r="3" spans="1:5" x14ac:dyDescent="0.2">
      <c r="A3" s="76" t="s">
        <v>84</v>
      </c>
      <c r="B3" s="77"/>
      <c r="C3" s="77"/>
      <c r="D3" s="77"/>
    </row>
    <row r="4" spans="1:5" x14ac:dyDescent="0.2">
      <c r="A4" s="78" t="s">
        <v>34</v>
      </c>
      <c r="B4" s="78" t="s">
        <v>89</v>
      </c>
      <c r="C4" s="78" t="s">
        <v>85</v>
      </c>
      <c r="D4" s="79" t="s">
        <v>51</v>
      </c>
      <c r="E4" s="79" t="s">
        <v>82</v>
      </c>
    </row>
    <row r="5" spans="1:5" x14ac:dyDescent="0.2">
      <c r="A5" s="80" t="s">
        <v>90</v>
      </c>
      <c r="B5" s="80" t="s">
        <v>91</v>
      </c>
      <c r="C5" s="80" t="s">
        <v>92</v>
      </c>
      <c r="D5" s="72" t="s">
        <v>220</v>
      </c>
      <c r="E5" s="72"/>
    </row>
    <row r="6" spans="1:5" ht="25.5" x14ac:dyDescent="0.2">
      <c r="A6" s="80" t="s">
        <v>97</v>
      </c>
      <c r="B6" s="80" t="s">
        <v>91</v>
      </c>
      <c r="C6" s="81" t="s">
        <v>140</v>
      </c>
      <c r="D6" s="72" t="s">
        <v>221</v>
      </c>
      <c r="E6" s="72"/>
    </row>
    <row r="7" spans="1:5" x14ac:dyDescent="0.2">
      <c r="A7" s="80" t="s">
        <v>104</v>
      </c>
      <c r="B7" s="80" t="s">
        <v>91</v>
      </c>
      <c r="C7" s="80" t="s">
        <v>149</v>
      </c>
      <c r="D7" s="72" t="s">
        <v>220</v>
      </c>
      <c r="E7" s="72"/>
    </row>
    <row r="8" spans="1:5" ht="89.25" x14ac:dyDescent="0.2">
      <c r="A8" s="80" t="s">
        <v>86</v>
      </c>
      <c r="B8" s="80" t="s">
        <v>37</v>
      </c>
      <c r="C8" s="81" t="s">
        <v>87</v>
      </c>
      <c r="D8" s="72" t="s">
        <v>221</v>
      </c>
      <c r="E8" s="72"/>
    </row>
    <row r="9" spans="1:5" x14ac:dyDescent="0.2">
      <c r="A9" s="80" t="s">
        <v>88</v>
      </c>
      <c r="B9" s="80" t="s">
        <v>19</v>
      </c>
      <c r="C9" s="80" t="s">
        <v>129</v>
      </c>
      <c r="D9" s="72" t="s">
        <v>221</v>
      </c>
      <c r="E9" s="72"/>
    </row>
    <row r="10" spans="1:5" x14ac:dyDescent="0.2">
      <c r="A10" s="80" t="s">
        <v>95</v>
      </c>
      <c r="B10" s="80" t="s">
        <v>19</v>
      </c>
      <c r="C10" s="81" t="s">
        <v>93</v>
      </c>
      <c r="D10" s="72" t="s">
        <v>221</v>
      </c>
      <c r="E10" s="72"/>
    </row>
    <row r="11" spans="1:5" x14ac:dyDescent="0.2">
      <c r="A11" s="80" t="s">
        <v>143</v>
      </c>
      <c r="B11" s="80" t="s">
        <v>19</v>
      </c>
      <c r="C11" s="81" t="s">
        <v>144</v>
      </c>
      <c r="D11" s="72" t="s">
        <v>221</v>
      </c>
      <c r="E11" s="72"/>
    </row>
    <row r="12" spans="1:5" x14ac:dyDescent="0.2">
      <c r="A12" s="80" t="s">
        <v>96</v>
      </c>
      <c r="B12" s="80" t="s">
        <v>19</v>
      </c>
      <c r="C12" s="80" t="s">
        <v>94</v>
      </c>
      <c r="D12" s="72" t="s">
        <v>221</v>
      </c>
      <c r="E12" s="72"/>
    </row>
    <row r="13" spans="1:5" x14ac:dyDescent="0.2">
      <c r="A13" s="80" t="s">
        <v>108</v>
      </c>
      <c r="B13" s="80" t="s">
        <v>19</v>
      </c>
      <c r="C13" s="80" t="s">
        <v>109</v>
      </c>
      <c r="D13" s="72" t="s">
        <v>221</v>
      </c>
      <c r="E13" s="72"/>
    </row>
    <row r="14" spans="1:5" ht="25.5" x14ac:dyDescent="0.2">
      <c r="A14" s="80" t="s">
        <v>146</v>
      </c>
      <c r="B14" s="80" t="s">
        <v>19</v>
      </c>
      <c r="C14" s="81" t="s">
        <v>147</v>
      </c>
      <c r="D14" s="72" t="s">
        <v>221</v>
      </c>
      <c r="E14" s="72"/>
    </row>
    <row r="15" spans="1:5" x14ac:dyDescent="0.2">
      <c r="A15" s="80" t="s">
        <v>159</v>
      </c>
      <c r="B15" s="80" t="s">
        <v>19</v>
      </c>
      <c r="C15" s="81" t="s">
        <v>160</v>
      </c>
      <c r="D15" s="72" t="s">
        <v>221</v>
      </c>
      <c r="E15" s="72"/>
    </row>
    <row r="16" spans="1:5" x14ac:dyDescent="0.2">
      <c r="A16" s="80" t="s">
        <v>107</v>
      </c>
      <c r="B16" s="80" t="s">
        <v>105</v>
      </c>
      <c r="C16" s="80" t="s">
        <v>106</v>
      </c>
      <c r="D16" s="72" t="s">
        <v>221</v>
      </c>
      <c r="E16" s="72"/>
    </row>
    <row r="17" spans="1:5" x14ac:dyDescent="0.2">
      <c r="A17" s="80" t="s">
        <v>33</v>
      </c>
      <c r="B17" s="80" t="s">
        <v>105</v>
      </c>
      <c r="C17" s="80" t="s">
        <v>126</v>
      </c>
      <c r="D17" s="72" t="s">
        <v>221</v>
      </c>
      <c r="E17" s="72"/>
    </row>
    <row r="18" spans="1:5" x14ac:dyDescent="0.2">
      <c r="A18" s="80" t="s">
        <v>157</v>
      </c>
      <c r="B18" s="80" t="s">
        <v>105</v>
      </c>
      <c r="C18" s="80" t="s">
        <v>158</v>
      </c>
      <c r="D18" s="72" t="s">
        <v>221</v>
      </c>
      <c r="E18" s="72"/>
    </row>
    <row r="19" spans="1:5" ht="25.5" x14ac:dyDescent="0.2">
      <c r="A19" s="80" t="s">
        <v>34</v>
      </c>
      <c r="B19" s="80" t="s">
        <v>105</v>
      </c>
      <c r="C19" s="81" t="s">
        <v>152</v>
      </c>
      <c r="D19" s="72" t="s">
        <v>221</v>
      </c>
      <c r="E19" s="72"/>
    </row>
    <row r="20" spans="1:5" x14ac:dyDescent="0.2">
      <c r="A20" s="80" t="s">
        <v>98</v>
      </c>
      <c r="B20" s="80" t="s">
        <v>17</v>
      </c>
      <c r="C20" s="81" t="s">
        <v>99</v>
      </c>
      <c r="D20" s="72" t="s">
        <v>221</v>
      </c>
      <c r="E20" s="72"/>
    </row>
    <row r="21" spans="1:5" ht="25.5" x14ac:dyDescent="0.2">
      <c r="A21" s="80" t="s">
        <v>124</v>
      </c>
      <c r="B21" s="80" t="s">
        <v>17</v>
      </c>
      <c r="C21" s="81" t="s">
        <v>125</v>
      </c>
      <c r="D21" s="72" t="s">
        <v>221</v>
      </c>
      <c r="E21" s="72"/>
    </row>
    <row r="22" spans="1:5" ht="25.5" x14ac:dyDescent="0.2">
      <c r="A22" s="81" t="s">
        <v>127</v>
      </c>
      <c r="B22" s="80" t="s">
        <v>17</v>
      </c>
      <c r="C22" s="81" t="s">
        <v>128</v>
      </c>
      <c r="D22" s="72" t="s">
        <v>221</v>
      </c>
      <c r="E22" s="72"/>
    </row>
    <row r="23" spans="1:5" x14ac:dyDescent="0.2">
      <c r="A23" s="80" t="s">
        <v>101</v>
      </c>
      <c r="B23" s="80" t="s">
        <v>100</v>
      </c>
      <c r="C23" s="80" t="s">
        <v>102</v>
      </c>
      <c r="D23" s="72" t="s">
        <v>220</v>
      </c>
      <c r="E23" s="72"/>
    </row>
    <row r="24" spans="1:5" x14ac:dyDescent="0.2">
      <c r="A24" s="80"/>
      <c r="B24" s="80" t="s">
        <v>141</v>
      </c>
      <c r="C24" s="80" t="s">
        <v>142</v>
      </c>
      <c r="D24" s="72" t="s">
        <v>221</v>
      </c>
      <c r="E24" s="72"/>
    </row>
    <row r="25" spans="1:5" x14ac:dyDescent="0.2">
      <c r="A25" s="80"/>
      <c r="B25" s="80" t="s">
        <v>49</v>
      </c>
      <c r="C25" s="80" t="s">
        <v>154</v>
      </c>
      <c r="D25" s="72" t="s">
        <v>221</v>
      </c>
      <c r="E25" s="72"/>
    </row>
    <row r="26" spans="1:5" x14ac:dyDescent="0.2">
      <c r="A26" s="80" t="s">
        <v>110</v>
      </c>
      <c r="B26" s="80" t="s">
        <v>54</v>
      </c>
      <c r="C26" s="80" t="s">
        <v>111</v>
      </c>
      <c r="D26" s="72" t="s">
        <v>221</v>
      </c>
      <c r="E26" s="72"/>
    </row>
    <row r="27" spans="1:5" x14ac:dyDescent="0.2">
      <c r="A27" s="80"/>
      <c r="B27" s="80" t="s">
        <v>54</v>
      </c>
      <c r="C27" s="80" t="s">
        <v>148</v>
      </c>
      <c r="D27" s="72" t="s">
        <v>221</v>
      </c>
      <c r="E27" s="72"/>
    </row>
    <row r="28" spans="1:5" x14ac:dyDescent="0.2">
      <c r="A28" s="80" t="s">
        <v>118</v>
      </c>
      <c r="B28" s="80" t="s">
        <v>37</v>
      </c>
      <c r="C28" s="80" t="s">
        <v>119</v>
      </c>
      <c r="D28" s="72" t="s">
        <v>221</v>
      </c>
      <c r="E28" s="72"/>
    </row>
    <row r="29" spans="1:5" ht="25.5" x14ac:dyDescent="0.2">
      <c r="A29" s="80" t="s">
        <v>122</v>
      </c>
      <c r="B29" s="80" t="s">
        <v>37</v>
      </c>
      <c r="C29" s="81" t="s">
        <v>123</v>
      </c>
      <c r="D29" s="72" t="s">
        <v>221</v>
      </c>
      <c r="E29" s="72"/>
    </row>
    <row r="30" spans="1:5" x14ac:dyDescent="0.2">
      <c r="A30" s="80" t="s">
        <v>161</v>
      </c>
      <c r="B30" s="80" t="s">
        <v>37</v>
      </c>
      <c r="C30" s="81" t="s">
        <v>162</v>
      </c>
      <c r="D30" s="72" t="s">
        <v>221</v>
      </c>
      <c r="E30" s="72"/>
    </row>
    <row r="31" spans="1:5" x14ac:dyDescent="0.2">
      <c r="A31" s="80" t="s">
        <v>115</v>
      </c>
      <c r="B31" s="80" t="s">
        <v>91</v>
      </c>
      <c r="C31" s="80" t="s">
        <v>116</v>
      </c>
      <c r="D31" s="72" t="s">
        <v>220</v>
      </c>
      <c r="E31" s="72"/>
    </row>
    <row r="32" spans="1:5" x14ac:dyDescent="0.2">
      <c r="A32" s="80" t="s">
        <v>103</v>
      </c>
      <c r="B32" s="80" t="s">
        <v>22</v>
      </c>
      <c r="C32" s="81" t="s">
        <v>139</v>
      </c>
      <c r="D32" s="72" t="s">
        <v>220</v>
      </c>
      <c r="E32" s="72"/>
    </row>
    <row r="33" spans="1:5" x14ac:dyDescent="0.2">
      <c r="A33" s="80"/>
      <c r="B33" s="80" t="s">
        <v>22</v>
      </c>
      <c r="C33" s="81" t="s">
        <v>131</v>
      </c>
      <c r="D33" s="72" t="s">
        <v>220</v>
      </c>
      <c r="E33" s="72"/>
    </row>
    <row r="34" spans="1:5" x14ac:dyDescent="0.2">
      <c r="A34" s="80"/>
      <c r="B34" s="80" t="s">
        <v>22</v>
      </c>
      <c r="C34" s="82" t="s">
        <v>138</v>
      </c>
      <c r="D34" s="72" t="s">
        <v>220</v>
      </c>
      <c r="E34" s="72"/>
    </row>
    <row r="35" spans="1:5" x14ac:dyDescent="0.2">
      <c r="A35" s="80"/>
      <c r="B35" s="80" t="s">
        <v>22</v>
      </c>
      <c r="C35" s="81" t="s">
        <v>132</v>
      </c>
      <c r="D35" s="72" t="s">
        <v>221</v>
      </c>
      <c r="E35" s="72"/>
    </row>
    <row r="36" spans="1:5" x14ac:dyDescent="0.2">
      <c r="A36" s="80"/>
      <c r="B36" s="80" t="s">
        <v>22</v>
      </c>
      <c r="C36" s="81" t="s">
        <v>133</v>
      </c>
      <c r="D36" s="72" t="s">
        <v>221</v>
      </c>
      <c r="E36" s="72"/>
    </row>
    <row r="37" spans="1:5" x14ac:dyDescent="0.2">
      <c r="A37" s="80"/>
      <c r="B37" s="80" t="s">
        <v>22</v>
      </c>
      <c r="C37" s="81" t="s">
        <v>155</v>
      </c>
      <c r="D37" s="72" t="s">
        <v>221</v>
      </c>
      <c r="E37" s="72"/>
    </row>
    <row r="38" spans="1:5" x14ac:dyDescent="0.2">
      <c r="A38" s="80"/>
      <c r="B38" s="80" t="s">
        <v>22</v>
      </c>
      <c r="C38" s="81" t="s">
        <v>134</v>
      </c>
      <c r="D38" s="72" t="s">
        <v>221</v>
      </c>
      <c r="E38" s="72"/>
    </row>
    <row r="39" spans="1:5" x14ac:dyDescent="0.2">
      <c r="A39" s="80"/>
      <c r="B39" s="80" t="s">
        <v>22</v>
      </c>
      <c r="C39" s="81" t="s">
        <v>135</v>
      </c>
      <c r="D39" s="72" t="s">
        <v>221</v>
      </c>
      <c r="E39" s="72"/>
    </row>
    <row r="40" spans="1:5" x14ac:dyDescent="0.2">
      <c r="A40" s="80"/>
      <c r="B40" s="80" t="s">
        <v>22</v>
      </c>
      <c r="C40" s="81" t="s">
        <v>136</v>
      </c>
      <c r="D40" s="72" t="s">
        <v>221</v>
      </c>
      <c r="E40" s="72"/>
    </row>
    <row r="41" spans="1:5" x14ac:dyDescent="0.2">
      <c r="A41" s="80"/>
      <c r="B41" s="80" t="s">
        <v>22</v>
      </c>
      <c r="C41" s="81" t="s">
        <v>137</v>
      </c>
      <c r="D41" s="72" t="s">
        <v>220</v>
      </c>
      <c r="E41" s="72"/>
    </row>
    <row r="42" spans="1:5" ht="25.5" x14ac:dyDescent="0.2">
      <c r="A42" s="80"/>
      <c r="B42" s="80" t="s">
        <v>22</v>
      </c>
      <c r="C42" s="81" t="s">
        <v>145</v>
      </c>
      <c r="D42" s="72" t="s">
        <v>221</v>
      </c>
      <c r="E42" s="72"/>
    </row>
    <row r="43" spans="1:5" ht="38.25" x14ac:dyDescent="0.2">
      <c r="A43" s="80"/>
      <c r="B43" s="80" t="s">
        <v>22</v>
      </c>
      <c r="C43" s="81" t="s">
        <v>150</v>
      </c>
      <c r="D43" s="72" t="s">
        <v>221</v>
      </c>
      <c r="E43" s="72"/>
    </row>
    <row r="44" spans="1:5" x14ac:dyDescent="0.2">
      <c r="A44" s="80"/>
      <c r="B44" s="80" t="s">
        <v>22</v>
      </c>
      <c r="C44" s="81" t="s">
        <v>151</v>
      </c>
      <c r="D44" s="72" t="s">
        <v>221</v>
      </c>
      <c r="E44" s="72"/>
    </row>
    <row r="45" spans="1:5" x14ac:dyDescent="0.2">
      <c r="A45" s="80"/>
      <c r="B45" s="80" t="s">
        <v>22</v>
      </c>
      <c r="C45" s="81" t="s">
        <v>153</v>
      </c>
      <c r="D45" s="72" t="s">
        <v>221</v>
      </c>
      <c r="E45" s="72"/>
    </row>
    <row r="46" spans="1:5" x14ac:dyDescent="0.2">
      <c r="A46" s="80"/>
      <c r="B46" s="80" t="s">
        <v>22</v>
      </c>
      <c r="C46" s="81" t="s">
        <v>156</v>
      </c>
      <c r="D46" s="72" t="s">
        <v>221</v>
      </c>
      <c r="E46" s="72"/>
    </row>
  </sheetData>
  <autoFilter ref="A4:E44" xr:uid="{00000000-0009-0000-0000-000003000000}"/>
  <mergeCells count="1">
    <mergeCell ref="A1:E1"/>
  </mergeCells>
  <dataValidations count="1">
    <dataValidation type="list" allowBlank="1" showInputMessage="1" showErrorMessage="1" sqref="D5:D46" xr:uid="{00000000-0002-0000-0300-000000000000}">
      <formula1>"OK, KO, N/A"</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5">
    <pageSetUpPr fitToPage="1"/>
  </sheetPr>
  <dimension ref="A1:H17"/>
  <sheetViews>
    <sheetView zoomScale="85" workbookViewId="0"/>
  </sheetViews>
  <sheetFormatPr defaultRowHeight="12.75" x14ac:dyDescent="0.2"/>
  <cols>
    <col min="1" max="1" width="38.28515625" style="8" bestFit="1" customWidth="1"/>
    <col min="2" max="2" width="20" style="7" bestFit="1" customWidth="1"/>
    <col min="3" max="3" width="73.5703125" style="7" bestFit="1" customWidth="1"/>
    <col min="4" max="4" width="9.7109375" style="7" bestFit="1" customWidth="1"/>
    <col min="5" max="5" width="13" style="7" bestFit="1" customWidth="1"/>
    <col min="6" max="6" width="49.7109375" style="7" bestFit="1" customWidth="1"/>
    <col min="7" max="8" width="9.140625" style="7"/>
  </cols>
  <sheetData>
    <row r="1" spans="1:8" ht="18" x14ac:dyDescent="0.25">
      <c r="A1" s="1" t="s">
        <v>35</v>
      </c>
      <c r="B1" s="73"/>
      <c r="C1" s="73"/>
      <c r="D1" s="73"/>
      <c r="E1" s="73"/>
      <c r="F1" s="73"/>
      <c r="G1" s="73"/>
      <c r="H1" s="73"/>
    </row>
    <row r="2" spans="1:8" x14ac:dyDescent="0.2">
      <c r="A2" s="73"/>
      <c r="B2" s="73"/>
      <c r="C2" s="73"/>
      <c r="D2" s="73"/>
      <c r="E2" s="73"/>
      <c r="F2" s="73"/>
      <c r="G2" s="73"/>
      <c r="H2" s="73"/>
    </row>
    <row r="3" spans="1:8" x14ac:dyDescent="0.2">
      <c r="A3" s="34" t="s">
        <v>26</v>
      </c>
      <c r="B3" s="34" t="s">
        <v>27</v>
      </c>
      <c r="C3" s="73"/>
      <c r="D3" s="73"/>
      <c r="E3" s="73"/>
      <c r="F3" s="73"/>
      <c r="G3" s="73"/>
      <c r="H3" s="73"/>
    </row>
    <row r="4" spans="1:8" x14ac:dyDescent="0.2">
      <c r="A4" s="35"/>
      <c r="B4" s="35">
        <v>0.05</v>
      </c>
      <c r="C4" s="73"/>
      <c r="D4" s="73"/>
      <c r="E4" s="73"/>
      <c r="F4" s="73"/>
      <c r="G4" s="73"/>
      <c r="H4" s="73"/>
    </row>
    <row r="5" spans="1:8" x14ac:dyDescent="0.2">
      <c r="A5" s="7"/>
      <c r="C5" s="73"/>
      <c r="D5" s="73"/>
      <c r="E5" s="73"/>
      <c r="F5" s="73"/>
      <c r="G5" s="73"/>
      <c r="H5" s="73"/>
    </row>
    <row r="6" spans="1:8" x14ac:dyDescent="0.2">
      <c r="A6" s="25"/>
      <c r="B6" s="25"/>
      <c r="C6" s="33"/>
      <c r="D6" s="33"/>
      <c r="E6" s="73"/>
      <c r="F6" s="73"/>
      <c r="G6" s="73"/>
      <c r="H6" s="73"/>
    </row>
    <row r="7" spans="1:8" ht="16.5" thickBot="1" x14ac:dyDescent="0.3">
      <c r="A7" s="36" t="s">
        <v>36</v>
      </c>
      <c r="B7" s="33"/>
      <c r="C7" s="33"/>
      <c r="D7" s="33"/>
      <c r="E7" s="73"/>
      <c r="F7" s="73"/>
      <c r="G7" s="73"/>
      <c r="H7" s="73"/>
    </row>
    <row r="8" spans="1:8" x14ac:dyDescent="0.2">
      <c r="A8" s="84" t="s">
        <v>117</v>
      </c>
      <c r="B8" s="85" t="s">
        <v>5</v>
      </c>
      <c r="C8" s="85" t="s">
        <v>31</v>
      </c>
      <c r="D8" s="85" t="s">
        <v>32</v>
      </c>
      <c r="E8" s="85" t="s">
        <v>20</v>
      </c>
      <c r="F8" s="85" t="s">
        <v>18</v>
      </c>
      <c r="G8" s="73"/>
      <c r="H8" s="73"/>
    </row>
    <row r="9" spans="1:8" ht="25.5" x14ac:dyDescent="0.2">
      <c r="A9" s="86" t="s">
        <v>192</v>
      </c>
      <c r="B9" s="87" t="s">
        <v>193</v>
      </c>
      <c r="C9" s="88" t="s">
        <v>194</v>
      </c>
      <c r="D9" s="87" t="s">
        <v>168</v>
      </c>
      <c r="E9" s="87" t="s">
        <v>219</v>
      </c>
      <c r="F9" s="87" t="s">
        <v>195</v>
      </c>
      <c r="G9" s="73"/>
      <c r="H9" s="73"/>
    </row>
    <row r="10" spans="1:8" ht="25.5" x14ac:dyDescent="0.2">
      <c r="A10" s="86" t="s">
        <v>192</v>
      </c>
      <c r="B10" s="86" t="s">
        <v>196</v>
      </c>
      <c r="C10" s="89" t="s">
        <v>198</v>
      </c>
      <c r="D10" s="87"/>
      <c r="E10" s="87"/>
      <c r="F10" s="90" t="s">
        <v>197</v>
      </c>
      <c r="G10" s="73"/>
      <c r="H10" s="73"/>
    </row>
    <row r="11" spans="1:8" ht="25.5" x14ac:dyDescent="0.2">
      <c r="A11" s="86" t="s">
        <v>199</v>
      </c>
      <c r="B11" s="91" t="s">
        <v>201</v>
      </c>
      <c r="C11" s="89" t="s">
        <v>218</v>
      </c>
      <c r="D11" s="87" t="s">
        <v>168</v>
      </c>
      <c r="E11" s="87" t="s">
        <v>219</v>
      </c>
      <c r="F11" s="87" t="s">
        <v>195</v>
      </c>
      <c r="G11" s="73"/>
      <c r="H11" s="73"/>
    </row>
    <row r="12" spans="1:8" ht="38.25" x14ac:dyDescent="0.2">
      <c r="A12" s="86" t="s">
        <v>199</v>
      </c>
      <c r="B12" s="86" t="s">
        <v>200</v>
      </c>
      <c r="C12" s="88" t="s">
        <v>203</v>
      </c>
      <c r="D12" s="87"/>
      <c r="E12" s="87"/>
      <c r="F12" s="90" t="s">
        <v>202</v>
      </c>
      <c r="G12" s="73"/>
      <c r="H12" s="73"/>
    </row>
    <row r="13" spans="1:8" x14ac:dyDescent="0.2">
      <c r="A13" s="31"/>
      <c r="B13" s="31"/>
      <c r="C13" s="32"/>
      <c r="D13" s="31"/>
      <c r="E13" s="33"/>
      <c r="F13" s="73"/>
      <c r="G13" s="73"/>
      <c r="H13" s="73"/>
    </row>
    <row r="17" spans="3:3" x14ac:dyDescent="0.2">
      <c r="C17" s="96"/>
    </row>
  </sheetData>
  <phoneticPr fontId="0" type="noConversion"/>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pageSetUpPr fitToPage="1"/>
  </sheetPr>
  <dimension ref="A1:AS32"/>
  <sheetViews>
    <sheetView showGridLines="0" zoomScale="85" zoomScaleNormal="85" workbookViewId="0">
      <selection sqref="A1:F1"/>
    </sheetView>
  </sheetViews>
  <sheetFormatPr defaultColWidth="4.28515625" defaultRowHeight="12.75" x14ac:dyDescent="0.2"/>
  <cols>
    <col min="1" max="21" width="4.28515625" style="22"/>
    <col min="22" max="22" width="7.5703125" style="22" bestFit="1" customWidth="1"/>
    <col min="23" max="45" width="4.28515625" style="22"/>
  </cols>
  <sheetData>
    <row r="1" spans="1:45" ht="18" x14ac:dyDescent="0.25">
      <c r="A1" s="120" t="s">
        <v>21</v>
      </c>
      <c r="B1" s="120"/>
      <c r="C1" s="120"/>
      <c r="D1" s="120"/>
      <c r="E1" s="120"/>
      <c r="F1" s="120"/>
      <c r="G1" s="20"/>
      <c r="H1" s="20"/>
      <c r="I1" s="21"/>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row>
    <row r="2" spans="1:45" ht="13.5" thickBot="1" x14ac:dyDescent="0.25">
      <c r="A2" s="21"/>
      <c r="B2" s="20"/>
      <c r="C2" s="20"/>
      <c r="D2" s="20"/>
      <c r="E2" s="20"/>
      <c r="F2" s="20"/>
      <c r="G2" s="20"/>
      <c r="H2" s="20"/>
      <c r="I2" s="21"/>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row>
    <row r="3" spans="1:45" ht="13.5" thickBot="1" x14ac:dyDescent="0.25">
      <c r="A3" s="121" t="s">
        <v>22</v>
      </c>
      <c r="B3" s="122"/>
      <c r="C3" s="122"/>
      <c r="D3" s="122"/>
      <c r="E3" s="122"/>
      <c r="F3" s="122"/>
      <c r="G3" s="122"/>
      <c r="H3" s="122"/>
      <c r="I3" s="122"/>
      <c r="J3" s="122"/>
      <c r="K3" s="122"/>
      <c r="L3" s="122"/>
      <c r="M3" s="122"/>
      <c r="N3" s="123"/>
      <c r="O3" s="20"/>
      <c r="P3" s="20"/>
      <c r="Q3" s="129" t="s">
        <v>26</v>
      </c>
      <c r="R3" s="130"/>
      <c r="S3" s="130"/>
      <c r="T3" s="130"/>
      <c r="U3" s="131"/>
      <c r="V3" s="49" t="s">
        <v>30</v>
      </c>
      <c r="W3" s="20"/>
      <c r="X3" s="20"/>
      <c r="Y3" s="20"/>
      <c r="Z3" s="20"/>
      <c r="AA3" s="20"/>
      <c r="AB3" s="20"/>
      <c r="AC3" s="20"/>
      <c r="AD3" s="20"/>
      <c r="AE3" s="20"/>
      <c r="AF3" s="20"/>
      <c r="AG3" s="20"/>
      <c r="AH3" s="20"/>
      <c r="AI3" s="20"/>
      <c r="AJ3" s="20"/>
      <c r="AK3" s="20"/>
      <c r="AL3" s="20"/>
      <c r="AM3" s="20"/>
      <c r="AN3" s="20"/>
      <c r="AO3" s="20"/>
      <c r="AP3" s="20"/>
      <c r="AQ3" s="20"/>
      <c r="AR3" s="20"/>
      <c r="AS3" s="20"/>
    </row>
    <row r="4" spans="1:45" ht="13.5" thickBot="1" x14ac:dyDescent="0.25">
      <c r="A4" s="21"/>
      <c r="B4" s="20"/>
      <c r="C4" s="20"/>
      <c r="D4" s="20"/>
      <c r="E4" s="20"/>
      <c r="F4" s="20"/>
      <c r="G4" s="44"/>
      <c r="H4" s="44"/>
      <c r="I4" s="45"/>
      <c r="J4" s="44"/>
      <c r="K4" s="44"/>
      <c r="L4" s="44"/>
      <c r="M4" s="44"/>
      <c r="N4" s="44"/>
      <c r="O4" s="20"/>
      <c r="P4" s="20"/>
      <c r="Q4" s="132"/>
      <c r="R4" s="133"/>
      <c r="S4" s="133"/>
      <c r="T4" s="133"/>
      <c r="U4" s="134"/>
      <c r="V4" s="50">
        <v>0.05</v>
      </c>
      <c r="W4" s="20"/>
      <c r="X4" s="20"/>
      <c r="Y4" s="20"/>
      <c r="Z4" s="20"/>
      <c r="AA4" s="20"/>
      <c r="AB4" s="20"/>
      <c r="AC4" s="20"/>
      <c r="AD4" s="20"/>
      <c r="AE4" s="20"/>
      <c r="AF4" s="20"/>
      <c r="AG4" s="20"/>
      <c r="AH4" s="20"/>
      <c r="AI4" s="20"/>
      <c r="AJ4" s="20"/>
      <c r="AK4" s="20"/>
      <c r="AL4" s="20"/>
      <c r="AM4" s="20"/>
      <c r="AN4" s="20"/>
      <c r="AO4" s="20"/>
      <c r="AP4" s="20"/>
      <c r="AQ4" s="20"/>
      <c r="AR4" s="20"/>
      <c r="AS4" s="20"/>
    </row>
    <row r="5" spans="1:45" x14ac:dyDescent="0.2">
      <c r="A5" s="124" t="s">
        <v>23</v>
      </c>
      <c r="B5" s="125"/>
      <c r="C5" s="125"/>
      <c r="D5" s="125"/>
      <c r="E5" s="125"/>
      <c r="F5" s="125"/>
      <c r="G5" s="126" t="s">
        <v>205</v>
      </c>
      <c r="H5" s="127"/>
      <c r="I5" s="127"/>
      <c r="J5" s="127"/>
      <c r="K5" s="127"/>
      <c r="L5" s="127"/>
      <c r="M5" s="127"/>
      <c r="N5" s="128"/>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row>
    <row r="6" spans="1:45" ht="27" customHeight="1" x14ac:dyDescent="0.2">
      <c r="A6" s="135" t="s">
        <v>19</v>
      </c>
      <c r="B6" s="136"/>
      <c r="C6" s="136"/>
      <c r="D6" s="136"/>
      <c r="E6" s="136"/>
      <c r="F6" s="136"/>
      <c r="G6" s="137" t="s">
        <v>206</v>
      </c>
      <c r="H6" s="138"/>
      <c r="I6" s="138"/>
      <c r="J6" s="138"/>
      <c r="K6" s="138"/>
      <c r="L6" s="138"/>
      <c r="M6" s="138"/>
      <c r="N6" s="139"/>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row>
    <row r="7" spans="1:45" ht="13.5" thickBot="1" x14ac:dyDescent="0.25">
      <c r="K7" s="43"/>
    </row>
    <row r="8" spans="1:45" ht="13.5" thickBot="1" x14ac:dyDescent="0.25">
      <c r="A8" s="115" t="s">
        <v>24</v>
      </c>
      <c r="B8" s="116"/>
      <c r="C8" s="116"/>
      <c r="D8" s="116"/>
      <c r="E8" s="116"/>
      <c r="F8" s="116"/>
      <c r="G8" s="117" t="s">
        <v>204</v>
      </c>
      <c r="H8" s="118"/>
      <c r="I8" s="118"/>
      <c r="J8" s="118"/>
      <c r="K8" s="118"/>
      <c r="L8" s="118"/>
      <c r="M8" s="118"/>
      <c r="N8" s="118"/>
      <c r="O8" s="118"/>
      <c r="P8" s="118"/>
      <c r="Q8" s="118"/>
      <c r="R8" s="118"/>
      <c r="S8" s="118"/>
      <c r="T8" s="118"/>
      <c r="U8" s="118"/>
      <c r="V8" s="118"/>
      <c r="W8" s="118"/>
      <c r="X8" s="118"/>
      <c r="Y8" s="118"/>
      <c r="Z8" s="118"/>
      <c r="AA8" s="118"/>
      <c r="AB8" s="118"/>
      <c r="AC8" s="118"/>
      <c r="AD8" s="118"/>
      <c r="AE8" s="118"/>
      <c r="AF8" s="118"/>
      <c r="AG8" s="118"/>
      <c r="AH8" s="118"/>
      <c r="AI8" s="118"/>
      <c r="AJ8" s="118"/>
      <c r="AK8" s="118"/>
      <c r="AL8" s="118"/>
      <c r="AM8" s="118"/>
      <c r="AN8" s="118"/>
      <c r="AO8" s="119"/>
      <c r="AP8" s="20"/>
      <c r="AQ8" s="20"/>
      <c r="AR8" s="20"/>
      <c r="AS8" s="20"/>
    </row>
    <row r="15" spans="1:45" x14ac:dyDescent="0.2">
      <c r="AB15" s="57"/>
      <c r="AC15" s="57"/>
      <c r="AD15" s="57"/>
      <c r="AE15" s="57"/>
      <c r="AF15" s="57"/>
      <c r="AG15" s="57"/>
      <c r="AH15" s="57"/>
      <c r="AI15" s="57"/>
      <c r="AJ15" s="57"/>
      <c r="AK15" s="57"/>
      <c r="AL15" s="57"/>
    </row>
    <row r="16" spans="1:45" ht="18" x14ac:dyDescent="0.25">
      <c r="AB16" s="57"/>
      <c r="AC16" s="58"/>
      <c r="AD16" s="57"/>
      <c r="AE16" s="57"/>
      <c r="AF16" s="57"/>
      <c r="AG16" s="57"/>
      <c r="AH16" s="57"/>
      <c r="AI16" s="57"/>
      <c r="AJ16" s="57"/>
      <c r="AK16" s="57"/>
      <c r="AL16" s="57"/>
    </row>
    <row r="17" spans="4:38" x14ac:dyDescent="0.2">
      <c r="AB17" s="57"/>
      <c r="AC17" s="57"/>
      <c r="AD17" s="57"/>
      <c r="AE17" s="57"/>
      <c r="AF17" s="57"/>
      <c r="AG17" s="57"/>
      <c r="AH17" s="57"/>
      <c r="AI17" s="57"/>
      <c r="AJ17" s="57"/>
      <c r="AK17" s="57"/>
      <c r="AL17" s="57"/>
    </row>
    <row r="18" spans="4:38" x14ac:dyDescent="0.2">
      <c r="AB18" s="57"/>
      <c r="AC18" s="57"/>
      <c r="AD18" s="57"/>
      <c r="AE18" s="57"/>
      <c r="AF18" s="57"/>
      <c r="AG18" s="57"/>
      <c r="AH18" s="57"/>
      <c r="AI18" s="57"/>
      <c r="AJ18" s="57"/>
      <c r="AK18" s="57"/>
      <c r="AL18" s="57"/>
    </row>
    <row r="19" spans="4:38" x14ac:dyDescent="0.2">
      <c r="AB19" s="57"/>
      <c r="AC19" s="57"/>
      <c r="AD19" s="57"/>
      <c r="AE19" s="57"/>
      <c r="AF19" s="57"/>
      <c r="AG19" s="57"/>
      <c r="AH19" s="57"/>
      <c r="AI19" s="57"/>
      <c r="AJ19" s="57"/>
      <c r="AK19" s="57"/>
      <c r="AL19" s="57"/>
    </row>
    <row r="20" spans="4:38" x14ac:dyDescent="0.2">
      <c r="AB20" s="57"/>
      <c r="AC20" s="57"/>
      <c r="AD20" s="57"/>
      <c r="AE20" s="57"/>
      <c r="AF20" s="57"/>
      <c r="AG20" s="57"/>
      <c r="AH20" s="57"/>
      <c r="AI20" s="57"/>
      <c r="AJ20" s="57"/>
      <c r="AK20" s="57"/>
      <c r="AL20" s="57"/>
    </row>
    <row r="21" spans="4:38" x14ac:dyDescent="0.2">
      <c r="AB21" s="57"/>
      <c r="AC21" s="57"/>
      <c r="AD21" s="57"/>
      <c r="AE21" s="57"/>
      <c r="AF21" s="57"/>
      <c r="AG21" s="57"/>
      <c r="AH21" s="57"/>
      <c r="AI21" s="57"/>
      <c r="AJ21" s="57"/>
      <c r="AK21" s="57"/>
      <c r="AL21" s="57"/>
    </row>
    <row r="28" spans="4:38" x14ac:dyDescent="0.2">
      <c r="D28" s="23"/>
    </row>
    <row r="29" spans="4:38" x14ac:dyDescent="0.2">
      <c r="D29" s="23"/>
    </row>
    <row r="32" spans="4:38" x14ac:dyDescent="0.2">
      <c r="D32" s="23"/>
    </row>
  </sheetData>
  <mergeCells count="11">
    <mergeCell ref="A8:F8"/>
    <mergeCell ref="G8:AO8"/>
    <mergeCell ref="A1:F1"/>
    <mergeCell ref="A3:F3"/>
    <mergeCell ref="G3:N3"/>
    <mergeCell ref="A5:F5"/>
    <mergeCell ref="G5:N5"/>
    <mergeCell ref="Q3:U3"/>
    <mergeCell ref="Q4:U4"/>
    <mergeCell ref="A6:F6"/>
    <mergeCell ref="G6:N6"/>
  </mergeCells>
  <phoneticPr fontId="17" type="noConversion"/>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outlinePr summaryBelow="0"/>
  </sheetPr>
  <dimension ref="A1:AF13"/>
  <sheetViews>
    <sheetView zoomScale="85" workbookViewId="0"/>
  </sheetViews>
  <sheetFormatPr defaultColWidth="9.140625" defaultRowHeight="12.75" x14ac:dyDescent="0.2"/>
  <cols>
    <col min="1" max="1" width="42.5703125" style="18" bestFit="1" customWidth="1"/>
    <col min="2" max="2" width="44.85546875" style="18" bestFit="1" customWidth="1"/>
    <col min="3" max="3" width="16" style="18" bestFit="1" customWidth="1"/>
    <col min="4" max="4" width="23.7109375" style="18" bestFit="1" customWidth="1"/>
    <col min="5" max="5" width="18.42578125" style="18" bestFit="1" customWidth="1"/>
    <col min="6" max="6" width="38" style="18" customWidth="1"/>
    <col min="7" max="7" width="25.85546875" style="18" bestFit="1" customWidth="1"/>
    <col min="8" max="9" width="25.85546875" style="18" customWidth="1"/>
    <col min="10" max="10" width="17" style="18" bestFit="1" customWidth="1"/>
    <col min="11" max="11" width="11.5703125" style="18" bestFit="1" customWidth="1"/>
    <col min="12" max="12" width="12.42578125" style="18" bestFit="1" customWidth="1"/>
    <col min="13" max="15" width="11.42578125" style="18" bestFit="1" customWidth="1"/>
    <col min="16" max="16" width="12.7109375" style="18" bestFit="1" customWidth="1"/>
    <col min="17" max="17" width="12.42578125" style="18" bestFit="1" customWidth="1"/>
    <col min="18" max="18" width="11.42578125" style="18" bestFit="1" customWidth="1"/>
    <col min="19" max="20" width="12.42578125" style="18" bestFit="1" customWidth="1"/>
    <col min="21" max="22" width="11.42578125" style="18" bestFit="1" customWidth="1"/>
    <col min="23" max="23" width="11.5703125" style="18" bestFit="1" customWidth="1"/>
    <col min="24" max="24" width="10.28515625" style="18" customWidth="1"/>
    <col min="25" max="25" width="11.5703125" style="18" bestFit="1" customWidth="1"/>
    <col min="26" max="27" width="9.140625" style="18"/>
    <col min="28" max="28" width="9.85546875" style="18" customWidth="1"/>
    <col min="29" max="29" width="10" style="18" customWidth="1"/>
    <col min="30" max="30" width="34.42578125" style="18" bestFit="1" customWidth="1"/>
    <col min="31" max="31" width="16.42578125" style="18" bestFit="1" customWidth="1"/>
    <col min="32" max="32" width="9.85546875" style="18" customWidth="1"/>
    <col min="33" max="33" width="8.7109375" style="18" customWidth="1"/>
    <col min="34" max="34" width="11.140625" style="18" customWidth="1"/>
    <col min="35" max="16384" width="9.140625" style="18"/>
  </cols>
  <sheetData>
    <row r="1" spans="1:32" s="40" customFormat="1" ht="18" x14ac:dyDescent="0.25">
      <c r="A1" s="41" t="s">
        <v>49</v>
      </c>
      <c r="B1" s="42"/>
      <c r="C1" s="42"/>
      <c r="D1" s="42"/>
      <c r="E1" s="42"/>
      <c r="F1" s="42"/>
      <c r="G1" s="42"/>
      <c r="H1" s="42"/>
      <c r="I1" s="42"/>
      <c r="J1" s="42"/>
      <c r="K1" s="42"/>
      <c r="L1" s="42"/>
      <c r="M1" s="42"/>
      <c r="N1" s="41"/>
      <c r="O1" s="42"/>
      <c r="P1" s="42"/>
      <c r="Q1" s="42"/>
      <c r="R1" s="42"/>
      <c r="S1" s="42"/>
      <c r="T1" s="42"/>
      <c r="U1" s="42"/>
      <c r="V1" s="42"/>
      <c r="W1" s="42"/>
      <c r="X1" s="42"/>
      <c r="Y1" s="42"/>
      <c r="Z1" s="42"/>
      <c r="AA1" s="42"/>
      <c r="AB1" s="42"/>
      <c r="AC1" s="42"/>
      <c r="AD1" s="42"/>
      <c r="AE1" s="42"/>
      <c r="AF1" s="42"/>
    </row>
    <row r="2" spans="1:32" ht="30" x14ac:dyDescent="0.2">
      <c r="A2" s="69" t="s">
        <v>43</v>
      </c>
      <c r="B2" s="69" t="s">
        <v>44</v>
      </c>
      <c r="C2" s="69" t="s">
        <v>45</v>
      </c>
      <c r="D2" s="70" t="s">
        <v>46</v>
      </c>
      <c r="E2" s="70" t="s">
        <v>50</v>
      </c>
      <c r="F2" s="70" t="s">
        <v>53</v>
      </c>
      <c r="G2" s="70" t="s">
        <v>77</v>
      </c>
      <c r="H2" s="70" t="s">
        <v>47</v>
      </c>
      <c r="I2" s="70" t="s">
        <v>78</v>
      </c>
      <c r="J2" s="70" t="s">
        <v>48</v>
      </c>
      <c r="K2" s="70" t="s">
        <v>79</v>
      </c>
      <c r="L2" s="70" t="s">
        <v>80</v>
      </c>
      <c r="M2" s="70" t="s">
        <v>81</v>
      </c>
      <c r="N2" s="70" t="s">
        <v>78</v>
      </c>
      <c r="O2" s="70" t="s">
        <v>0</v>
      </c>
      <c r="P2" s="67" t="s">
        <v>40</v>
      </c>
      <c r="Q2" s="67" t="s">
        <v>64</v>
      </c>
      <c r="R2" s="67" t="s">
        <v>58</v>
      </c>
      <c r="S2" s="67" t="s">
        <v>65</v>
      </c>
      <c r="T2" s="67" t="s">
        <v>66</v>
      </c>
      <c r="U2" s="67" t="s">
        <v>41</v>
      </c>
      <c r="V2" s="67" t="s">
        <v>42</v>
      </c>
      <c r="W2" s="68" t="s">
        <v>70</v>
      </c>
      <c r="X2" s="68" t="s">
        <v>71</v>
      </c>
      <c r="Y2" s="68" t="s">
        <v>72</v>
      </c>
      <c r="Z2" s="68" t="s">
        <v>73</v>
      </c>
      <c r="AA2" s="68" t="s">
        <v>74</v>
      </c>
      <c r="AB2" s="68" t="s">
        <v>75</v>
      </c>
      <c r="AC2" s="68" t="s">
        <v>76</v>
      </c>
      <c r="AD2" s="71" t="s">
        <v>18</v>
      </c>
      <c r="AE2" s="66" t="s">
        <v>68</v>
      </c>
      <c r="AF2" s="66" t="s">
        <v>69</v>
      </c>
    </row>
    <row r="3" spans="1:32" x14ac:dyDescent="0.2">
      <c r="A3" s="83" t="s">
        <v>166</v>
      </c>
      <c r="B3" s="83" t="s">
        <v>167</v>
      </c>
      <c r="C3" s="37" t="s">
        <v>167</v>
      </c>
      <c r="D3" s="37"/>
      <c r="E3" s="83" t="s">
        <v>168</v>
      </c>
      <c r="F3" s="83" t="s">
        <v>168</v>
      </c>
      <c r="G3" s="83" t="s">
        <v>168</v>
      </c>
      <c r="H3" s="37" t="s">
        <v>169</v>
      </c>
      <c r="I3" s="37"/>
      <c r="J3" s="37" t="s">
        <v>170</v>
      </c>
      <c r="K3" s="37"/>
      <c r="L3" s="83" t="s">
        <v>171</v>
      </c>
      <c r="M3" s="37"/>
      <c r="N3" s="37"/>
      <c r="O3" s="37"/>
      <c r="P3" s="37"/>
      <c r="Q3" s="37"/>
      <c r="R3" s="37"/>
      <c r="S3" s="37"/>
      <c r="T3" s="83" t="s">
        <v>168</v>
      </c>
      <c r="U3" s="37"/>
      <c r="V3" s="37"/>
      <c r="W3" s="37"/>
      <c r="X3" s="37"/>
      <c r="Y3" s="37"/>
      <c r="Z3" s="37"/>
      <c r="AA3" s="83" t="s">
        <v>168</v>
      </c>
      <c r="AB3" s="37"/>
      <c r="AC3" s="37"/>
      <c r="AD3" s="83" t="s">
        <v>172</v>
      </c>
      <c r="AE3" s="83" t="s">
        <v>173</v>
      </c>
      <c r="AF3" s="83" t="s">
        <v>168</v>
      </c>
    </row>
    <row r="4" spans="1:32" x14ac:dyDescent="0.2">
      <c r="A4" s="83" t="s">
        <v>166</v>
      </c>
      <c r="B4" s="37" t="s">
        <v>167</v>
      </c>
      <c r="C4" s="37" t="s">
        <v>167</v>
      </c>
      <c r="D4" s="37"/>
      <c r="E4" s="83" t="s">
        <v>168</v>
      </c>
      <c r="F4" s="83" t="s">
        <v>168</v>
      </c>
      <c r="G4" s="83" t="s">
        <v>168</v>
      </c>
      <c r="H4" s="37" t="s">
        <v>174</v>
      </c>
      <c r="I4" s="37"/>
      <c r="J4" s="37" t="s">
        <v>170</v>
      </c>
      <c r="K4" s="37"/>
      <c r="L4" s="83" t="s">
        <v>171</v>
      </c>
      <c r="M4" s="37"/>
      <c r="N4" s="37"/>
      <c r="O4" s="37"/>
      <c r="P4" s="37"/>
      <c r="Q4" s="37"/>
      <c r="R4" s="37"/>
      <c r="S4" s="37"/>
      <c r="T4" s="83" t="s">
        <v>168</v>
      </c>
      <c r="U4" s="37"/>
      <c r="V4" s="37"/>
      <c r="W4" s="37"/>
      <c r="X4" s="37"/>
      <c r="Y4" s="37"/>
      <c r="Z4" s="37"/>
      <c r="AA4" s="83" t="s">
        <v>168</v>
      </c>
      <c r="AB4" s="37"/>
      <c r="AC4" s="37"/>
      <c r="AD4" s="83" t="s">
        <v>172</v>
      </c>
      <c r="AE4" s="83" t="s">
        <v>173</v>
      </c>
      <c r="AF4" s="83" t="s">
        <v>168</v>
      </c>
    </row>
    <row r="5" spans="1:32" x14ac:dyDescent="0.2">
      <c r="A5" s="37" t="s">
        <v>166</v>
      </c>
      <c r="B5" s="37" t="s">
        <v>167</v>
      </c>
      <c r="C5" s="37" t="s">
        <v>167</v>
      </c>
      <c r="D5" s="37"/>
      <c r="E5" s="83" t="s">
        <v>168</v>
      </c>
      <c r="F5" s="83" t="s">
        <v>168</v>
      </c>
      <c r="G5" s="83" t="s">
        <v>168</v>
      </c>
      <c r="H5" s="37" t="s">
        <v>169</v>
      </c>
      <c r="I5" s="37"/>
      <c r="J5" s="37" t="s">
        <v>59</v>
      </c>
      <c r="K5" s="37"/>
      <c r="L5" s="83" t="s">
        <v>171</v>
      </c>
      <c r="M5" s="37"/>
      <c r="N5" s="37"/>
      <c r="O5" s="37"/>
      <c r="P5" s="37"/>
      <c r="Q5" s="37"/>
      <c r="R5" s="37" t="s">
        <v>168</v>
      </c>
      <c r="S5" s="37"/>
      <c r="T5" s="83"/>
      <c r="U5" s="37"/>
      <c r="V5" s="37"/>
      <c r="W5" s="37"/>
      <c r="X5" s="37"/>
      <c r="Y5" s="37" t="s">
        <v>168</v>
      </c>
      <c r="Z5" s="37"/>
      <c r="AA5" s="83"/>
      <c r="AB5" s="37"/>
      <c r="AC5" s="37"/>
      <c r="AD5" s="83" t="s">
        <v>172</v>
      </c>
      <c r="AE5" s="83" t="s">
        <v>173</v>
      </c>
      <c r="AF5" s="83" t="s">
        <v>168</v>
      </c>
    </row>
    <row r="6" spans="1:32" x14ac:dyDescent="0.2">
      <c r="A6" s="37" t="s">
        <v>166</v>
      </c>
      <c r="B6" s="37" t="s">
        <v>167</v>
      </c>
      <c r="C6" s="37" t="s">
        <v>176</v>
      </c>
      <c r="D6" s="37"/>
      <c r="E6" s="83" t="s">
        <v>168</v>
      </c>
      <c r="F6" s="83" t="s">
        <v>168</v>
      </c>
      <c r="G6" s="83" t="s">
        <v>168</v>
      </c>
      <c r="H6" s="37" t="s">
        <v>175</v>
      </c>
      <c r="I6" s="37"/>
      <c r="J6" s="37" t="s">
        <v>59</v>
      </c>
      <c r="K6" s="37"/>
      <c r="L6" s="83" t="s">
        <v>171</v>
      </c>
      <c r="M6" s="37"/>
      <c r="N6" s="37"/>
      <c r="O6" s="37"/>
      <c r="P6" s="37"/>
      <c r="Q6" s="37"/>
      <c r="R6" s="37" t="s">
        <v>168</v>
      </c>
      <c r="S6" s="37"/>
      <c r="T6" s="83"/>
      <c r="U6" s="37"/>
      <c r="V6" s="37"/>
      <c r="W6" s="37"/>
      <c r="X6" s="37"/>
      <c r="Y6" s="37" t="s">
        <v>168</v>
      </c>
      <c r="Z6" s="37"/>
      <c r="AA6" s="83"/>
      <c r="AB6" s="37"/>
      <c r="AC6" s="37"/>
      <c r="AD6" s="83" t="s">
        <v>172</v>
      </c>
      <c r="AE6" s="83" t="s">
        <v>173</v>
      </c>
      <c r="AF6" s="83" t="s">
        <v>168</v>
      </c>
    </row>
    <row r="7" spans="1:32" x14ac:dyDescent="0.2">
      <c r="A7" s="37" t="s">
        <v>177</v>
      </c>
      <c r="B7" s="37" t="s">
        <v>178</v>
      </c>
      <c r="C7" s="37" t="s">
        <v>179</v>
      </c>
      <c r="D7" s="37">
        <v>15</v>
      </c>
      <c r="E7" s="83" t="s">
        <v>168</v>
      </c>
      <c r="F7" s="83" t="s">
        <v>168</v>
      </c>
      <c r="G7" s="83" t="s">
        <v>168</v>
      </c>
      <c r="H7" s="37" t="s">
        <v>175</v>
      </c>
      <c r="I7" s="37"/>
      <c r="J7" s="37"/>
      <c r="K7" s="37"/>
      <c r="L7" s="83"/>
      <c r="M7" s="37"/>
      <c r="N7" s="37"/>
      <c r="O7" s="37"/>
      <c r="P7" s="37"/>
      <c r="Q7" s="37"/>
      <c r="R7" s="37" t="s">
        <v>168</v>
      </c>
      <c r="S7" s="37"/>
      <c r="T7" s="83"/>
      <c r="U7" s="37"/>
      <c r="V7" s="37"/>
      <c r="W7" s="37"/>
      <c r="X7" s="37"/>
      <c r="Y7" s="37" t="s">
        <v>168</v>
      </c>
      <c r="Z7" s="37"/>
      <c r="AA7" s="83"/>
      <c r="AB7" s="37"/>
      <c r="AC7" s="37"/>
      <c r="AD7" s="83" t="s">
        <v>180</v>
      </c>
      <c r="AE7" s="83" t="s">
        <v>181</v>
      </c>
      <c r="AF7" s="83" t="s">
        <v>168</v>
      </c>
    </row>
    <row r="8" spans="1:32" x14ac:dyDescent="0.2">
      <c r="A8" s="37" t="s">
        <v>177</v>
      </c>
      <c r="B8" s="37" t="s">
        <v>182</v>
      </c>
      <c r="C8" s="37" t="s">
        <v>183</v>
      </c>
      <c r="D8" s="37">
        <v>17</v>
      </c>
      <c r="E8" s="83" t="s">
        <v>168</v>
      </c>
      <c r="F8" s="83" t="s">
        <v>168</v>
      </c>
      <c r="G8" s="83" t="s">
        <v>168</v>
      </c>
      <c r="H8" s="37" t="s">
        <v>175</v>
      </c>
      <c r="I8" s="37"/>
      <c r="J8" s="37"/>
      <c r="K8" s="37"/>
      <c r="L8" s="83"/>
      <c r="M8" s="37"/>
      <c r="N8" s="37"/>
      <c r="O8" s="37"/>
      <c r="P8" s="37"/>
      <c r="Q8" s="37"/>
      <c r="R8" s="37" t="s">
        <v>168</v>
      </c>
      <c r="S8" s="37"/>
      <c r="T8" s="83"/>
      <c r="U8" s="37"/>
      <c r="V8" s="37"/>
      <c r="W8" s="37"/>
      <c r="X8" s="37"/>
      <c r="Y8" s="37" t="s">
        <v>168</v>
      </c>
      <c r="Z8" s="37"/>
      <c r="AA8" s="83"/>
      <c r="AB8" s="37"/>
      <c r="AC8" s="37"/>
      <c r="AD8" s="83" t="s">
        <v>184</v>
      </c>
      <c r="AE8" s="83" t="s">
        <v>181</v>
      </c>
      <c r="AF8" s="83" t="s">
        <v>168</v>
      </c>
    </row>
    <row r="9" spans="1:32" x14ac:dyDescent="0.2">
      <c r="A9" s="83" t="s">
        <v>177</v>
      </c>
      <c r="B9" s="83" t="s">
        <v>185</v>
      </c>
      <c r="C9" s="83" t="s">
        <v>186</v>
      </c>
      <c r="D9" s="37">
        <v>13</v>
      </c>
      <c r="E9" s="83" t="s">
        <v>168</v>
      </c>
      <c r="F9" s="83" t="s">
        <v>168</v>
      </c>
      <c r="G9" s="83" t="s">
        <v>168</v>
      </c>
      <c r="H9" s="37" t="s">
        <v>175</v>
      </c>
      <c r="I9" s="37"/>
      <c r="J9" s="37"/>
      <c r="K9" s="37"/>
      <c r="L9" s="83"/>
      <c r="M9" s="37"/>
      <c r="N9" s="37"/>
      <c r="O9" s="37"/>
      <c r="P9" s="37"/>
      <c r="Q9" s="37"/>
      <c r="R9" s="37" t="s">
        <v>168</v>
      </c>
      <c r="S9" s="37"/>
      <c r="T9" s="83"/>
      <c r="U9" s="37"/>
      <c r="V9" s="37"/>
      <c r="W9" s="37"/>
      <c r="X9" s="37"/>
      <c r="Y9" s="37" t="s">
        <v>168</v>
      </c>
      <c r="Z9" s="37"/>
      <c r="AA9" s="83"/>
      <c r="AB9" s="37"/>
      <c r="AC9" s="37"/>
      <c r="AD9" s="83" t="s">
        <v>187</v>
      </c>
      <c r="AE9" s="83" t="s">
        <v>181</v>
      </c>
      <c r="AF9" s="83" t="s">
        <v>168</v>
      </c>
    </row>
    <row r="10" spans="1:32" x14ac:dyDescent="0.2">
      <c r="A10" s="37" t="s">
        <v>177</v>
      </c>
      <c r="B10" s="83" t="s">
        <v>188</v>
      </c>
      <c r="C10" s="83" t="s">
        <v>189</v>
      </c>
      <c r="D10" s="37"/>
      <c r="E10" s="83" t="s">
        <v>168</v>
      </c>
      <c r="F10" s="83" t="s">
        <v>168</v>
      </c>
      <c r="G10" s="83" t="s">
        <v>168</v>
      </c>
      <c r="H10" s="37" t="s">
        <v>175</v>
      </c>
      <c r="I10" s="37"/>
      <c r="J10" s="37"/>
      <c r="K10" s="37"/>
      <c r="L10" s="83"/>
      <c r="M10" s="37"/>
      <c r="N10" s="37"/>
      <c r="O10" s="37"/>
      <c r="P10" s="37"/>
      <c r="Q10" s="37"/>
      <c r="R10" s="37" t="s">
        <v>168</v>
      </c>
      <c r="S10" s="37"/>
      <c r="T10" s="83"/>
      <c r="U10" s="37"/>
      <c r="V10" s="37"/>
      <c r="W10" s="37"/>
      <c r="X10" s="37"/>
      <c r="Y10" s="37" t="s">
        <v>168</v>
      </c>
      <c r="Z10" s="37"/>
      <c r="AA10" s="83"/>
      <c r="AB10" s="37"/>
      <c r="AC10" s="37"/>
      <c r="AD10" s="83" t="s">
        <v>190</v>
      </c>
      <c r="AE10" s="83" t="s">
        <v>181</v>
      </c>
      <c r="AF10" s="83" t="s">
        <v>168</v>
      </c>
    </row>
    <row r="11" spans="1:32" x14ac:dyDescent="0.2">
      <c r="A11" s="37" t="s">
        <v>177</v>
      </c>
      <c r="B11" s="83" t="s">
        <v>191</v>
      </c>
      <c r="C11" s="83" t="s">
        <v>191</v>
      </c>
      <c r="D11" s="37"/>
      <c r="E11" s="83" t="s">
        <v>168</v>
      </c>
      <c r="F11" s="83" t="s">
        <v>168</v>
      </c>
      <c r="G11" s="83" t="s">
        <v>168</v>
      </c>
      <c r="H11" s="37" t="s">
        <v>175</v>
      </c>
      <c r="I11" s="37"/>
      <c r="J11" s="37"/>
      <c r="K11" s="37"/>
      <c r="L11" s="83"/>
      <c r="M11" s="37"/>
      <c r="N11" s="37"/>
      <c r="O11" s="37"/>
      <c r="P11" s="37"/>
      <c r="Q11" s="37"/>
      <c r="R11" s="37" t="s">
        <v>168</v>
      </c>
      <c r="S11" s="37"/>
      <c r="T11" s="83"/>
      <c r="U11" s="37"/>
      <c r="V11" s="37"/>
      <c r="W11" s="37"/>
      <c r="X11" s="37"/>
      <c r="Y11" s="37" t="s">
        <v>168</v>
      </c>
      <c r="Z11" s="37"/>
      <c r="AA11" s="83"/>
      <c r="AB11" s="37"/>
      <c r="AC11" s="37"/>
      <c r="AD11" s="83" t="s">
        <v>190</v>
      </c>
      <c r="AE11" s="83" t="s">
        <v>181</v>
      </c>
      <c r="AF11" s="83" t="s">
        <v>168</v>
      </c>
    </row>
    <row r="12" spans="1:32" x14ac:dyDescent="0.2">
      <c r="A12" s="37" t="s">
        <v>177</v>
      </c>
      <c r="B12" s="83" t="s">
        <v>191</v>
      </c>
      <c r="C12" s="83" t="s">
        <v>191</v>
      </c>
      <c r="D12" s="37"/>
      <c r="E12" s="83" t="s">
        <v>168</v>
      </c>
      <c r="F12" s="83" t="s">
        <v>168</v>
      </c>
      <c r="G12" s="83" t="s">
        <v>168</v>
      </c>
      <c r="H12" s="37" t="s">
        <v>169</v>
      </c>
      <c r="I12" s="37"/>
      <c r="J12" s="37"/>
      <c r="K12" s="37"/>
      <c r="L12" s="83"/>
      <c r="M12" s="37"/>
      <c r="N12" s="37"/>
      <c r="O12" s="37"/>
      <c r="P12" s="37"/>
      <c r="Q12" s="37"/>
      <c r="R12" s="37" t="s">
        <v>168</v>
      </c>
      <c r="S12" s="37"/>
      <c r="T12" s="83" t="s">
        <v>168</v>
      </c>
      <c r="U12" s="37"/>
      <c r="V12" s="37"/>
      <c r="W12" s="37"/>
      <c r="X12" s="37"/>
      <c r="Y12" s="37" t="s">
        <v>168</v>
      </c>
      <c r="Z12" s="37"/>
      <c r="AA12" s="83" t="s">
        <v>168</v>
      </c>
      <c r="AB12" s="37"/>
      <c r="AC12" s="37"/>
      <c r="AD12" s="83" t="s">
        <v>172</v>
      </c>
      <c r="AE12" s="83" t="s">
        <v>173</v>
      </c>
      <c r="AF12" s="83" t="s">
        <v>168</v>
      </c>
    </row>
    <row r="13" spans="1:32" x14ac:dyDescent="0.2">
      <c r="A13" s="37" t="s">
        <v>177</v>
      </c>
      <c r="B13" s="83" t="s">
        <v>191</v>
      </c>
      <c r="C13" s="83" t="s">
        <v>191</v>
      </c>
      <c r="D13" s="37"/>
      <c r="E13" s="83" t="s">
        <v>168</v>
      </c>
      <c r="F13" s="83" t="s">
        <v>168</v>
      </c>
      <c r="G13" s="83" t="s">
        <v>168</v>
      </c>
      <c r="H13" s="83" t="s">
        <v>174</v>
      </c>
      <c r="I13" s="37"/>
      <c r="J13" s="37"/>
      <c r="K13" s="37"/>
      <c r="L13" s="83"/>
      <c r="M13" s="37"/>
      <c r="N13" s="37"/>
      <c r="O13" s="37"/>
      <c r="P13" s="37"/>
      <c r="Q13" s="37"/>
      <c r="R13" s="37"/>
      <c r="S13" s="37"/>
      <c r="T13" s="83" t="s">
        <v>168</v>
      </c>
      <c r="U13" s="37"/>
      <c r="V13" s="37"/>
      <c r="W13" s="37"/>
      <c r="X13" s="37"/>
      <c r="Y13" s="37"/>
      <c r="Z13" s="37"/>
      <c r="AA13" s="83" t="s">
        <v>168</v>
      </c>
      <c r="AB13" s="37"/>
      <c r="AC13" s="37"/>
      <c r="AD13" s="83" t="s">
        <v>172</v>
      </c>
      <c r="AE13" s="83" t="s">
        <v>173</v>
      </c>
      <c r="AF13" s="83" t="s">
        <v>168</v>
      </c>
    </row>
  </sheetData>
  <phoneticPr fontId="17"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Title</vt:lpstr>
      <vt:lpstr>Version Control</vt:lpstr>
      <vt:lpstr>Overview</vt:lpstr>
      <vt:lpstr>DTD Review Crosscheck</vt:lpstr>
      <vt:lpstr>1. BC</vt:lpstr>
      <vt:lpstr>2. Script&lt;Applet&gt;</vt:lpstr>
      <vt:lpstr>3. PR Tasks</vt:lpstr>
      <vt:lpstr>'Version Control'!Print_Area</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Detailed FD - Accounts</dc:title>
  <dc:creator>Emmanuel Mauger</dc:creator>
  <cp:keywords/>
  <dc:description>Detailed FD - Accounts</dc:description>
  <cp:lastModifiedBy>Kaudeer, Mohammad N.</cp:lastModifiedBy>
  <cp:lastPrinted>2005-08-03T13:52:44Z</cp:lastPrinted>
  <dcterms:created xsi:type="dcterms:W3CDTF">2005-02-15T13:55:00Z</dcterms:created>
  <dcterms:modified xsi:type="dcterms:W3CDTF">2021-11-05T08:00:28Z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Type">
    <vt:lpwstr>Technical</vt:lpwstr>
  </property>
  <property fmtid="{D5CDD505-2E9C-101B-9397-08002B2CF9AE}" pid="3" name="_AdHocReviewCycleID">
    <vt:i4>-2090330415</vt:i4>
  </property>
  <property fmtid="{D5CDD505-2E9C-101B-9397-08002B2CF9AE}" pid="4" name="_NewReviewCycle">
    <vt:lpwstr/>
  </property>
  <property fmtid="{D5CDD505-2E9C-101B-9397-08002B2CF9AE}" pid="5" name="_EmailSubject">
    <vt:lpwstr>TME Phase 2 - Detailed FD - Pricing Administration v1_0.xls</vt:lpwstr>
  </property>
  <property fmtid="{D5CDD505-2E9C-101B-9397-08002B2CF9AE}" pid="6" name="_AuthorEmail">
    <vt:lpwstr>denny.volkardt@accenture.com</vt:lpwstr>
  </property>
  <property fmtid="{D5CDD505-2E9C-101B-9397-08002B2CF9AE}" pid="7" name="_AuthorEmailDisplayName">
    <vt:lpwstr>Volkardt, Denny</vt:lpwstr>
  </property>
  <property fmtid="{D5CDD505-2E9C-101B-9397-08002B2CF9AE}" pid="8" name="_PreviousAdHocReviewCycleID">
    <vt:i4>1950141634</vt:i4>
  </property>
  <property fmtid="{D5CDD505-2E9C-101B-9397-08002B2CF9AE}" pid="9" name="_ReviewingToolsShownOnce">
    <vt:lpwstr/>
  </property>
</Properties>
</file>