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embeddings/oleObject3.bin" ContentType="application/vnd.openxmlformats-officedocument.oleObject"/>
  <Override PartName="/xl/embeddings/oleObject4.bin" ContentType="application/vnd.openxmlformats-officedocument.oleObject"/>
  <Override PartName="/xl/comments3.xml" ContentType="application/vnd.openxmlformats-officedocument.spreadsheetml.comments+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J:\General\04_RELEASE_MANAGEMENT\2021-06-Release PROD FEB22\02_Development\Cross\C_CHG214067\03_Build\"/>
    </mc:Choice>
  </mc:AlternateContent>
  <xr:revisionPtr revIDLastSave="0" documentId="13_ncr:1_{F3D659A3-B4C1-4920-ABBF-211EEA128C58}" xr6:coauthVersionLast="46" xr6:coauthVersionMax="46" xr10:uidLastSave="{00000000-0000-0000-0000-000000000000}"/>
  <bookViews>
    <workbookView xWindow="-108" yWindow="-108" windowWidth="23256" windowHeight="12576" tabRatio="926" activeTab="6" xr2:uid="{00000000-000D-0000-FFFF-FFFF00000000}"/>
  </bookViews>
  <sheets>
    <sheet name="Cover" sheetId="20" r:id="rId1"/>
    <sheet name="Version Control" sheetId="23" r:id="rId2"/>
    <sheet name="Test Cycle 1" sheetId="24" r:id="rId3"/>
    <sheet name="AppConfig" sheetId="26" state="hidden" r:id="rId4"/>
    <sheet name="Screenshot 1" sheetId="25" r:id="rId5"/>
    <sheet name="Test Cycle 2" sheetId="30" r:id="rId6"/>
    <sheet name="Screenshot JAVA INTERFACE" sheetId="29" r:id="rId7"/>
  </sheets>
  <definedNames>
    <definedName name="AppArea">AppConfig!$B$5</definedName>
    <definedName name="AppCRN">AppConfig!$B$3</definedName>
    <definedName name="AppDReviewed">AppConfig!$B$8</definedName>
    <definedName name="AppDTested">AppConfig!$B$7</definedName>
    <definedName name="AppEntity">AppConfig!$B$6</definedName>
    <definedName name="AppMA">AppConfig!$B$4</definedName>
    <definedName name="AppPPRD">AppConfig!$B$2</definedName>
    <definedName name="AppReviewedBy">AppConfig!$B$10</definedName>
    <definedName name="AppTestedBy">AppConfig!$B$9</definedName>
    <definedName name="Area">Cover!$K$27</definedName>
    <definedName name="CRN">Cover!$K$21</definedName>
    <definedName name="DReviewed" localSheetId="5">'Test Cycle 2'!$F$3</definedName>
    <definedName name="DReviewed">'Test Cycle 1'!$F$3</definedName>
    <definedName name="DTested" localSheetId="5">'Test Cycle 2'!$F$2</definedName>
    <definedName name="DTested">'Test Cycle 1'!$F$2</definedName>
    <definedName name="dTestedBy" localSheetId="5">'Test Cycle 2'!$H$2</definedName>
    <definedName name="dTestedBy">'Test Cycle 1'!$H$2</definedName>
    <definedName name="Entity" localSheetId="5">'Test Cycle 2'!$F$1</definedName>
    <definedName name="Entity">'Test Cycle 1'!$F$1</definedName>
    <definedName name="MA">Cover!$K$25</definedName>
    <definedName name="PPRD">'Version Control'!$B$11</definedName>
    <definedName name="ReviewedBy" localSheetId="5">'Test Cycle 2'!$H$3</definedName>
    <definedName name="ReviewedBy">'Test Cycle 1'!$H$3</definedName>
    <definedName name="TestedBy" localSheetId="5">'Test Cycle 2'!$H$2</definedName>
    <definedName name="TestedBy">'Test Cycle 1'!$H$2</definedName>
    <definedName name="TestWrkSht1">AppConfig!$B$12</definedName>
    <definedName name="TstActResOb">AppConfig!#REF!</definedName>
    <definedName name="TstComments">AppConfig!#REF!</definedName>
    <definedName name="TstDet1">AppConfig!#REF!</definedName>
    <definedName name="TstDet2">AppConfig!#REF!</definedName>
    <definedName name="TstExe">AppConfig!#REF!</definedName>
    <definedName name="TstExeScrp">AppConfig!#REF!</definedName>
    <definedName name="TstExpRes">AppConfig!#REF!</definedName>
    <definedName name="TstExpResScrp">AppConfig!#REF!</definedName>
    <definedName name="TstRevActResOb">AppConfig!#REF!</definedName>
    <definedName name="TstRevStatus">AppConfig!#REF!</definedName>
    <definedName name="TstRevStatusComs">AppConfig!#REF!</definedName>
    <definedName name="TstStatus">AppConfig!#REF!</definedName>
    <definedName name="TstStpNo">AppConfig!#REF!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0" i="26" l="1"/>
  <c r="B9" i="26"/>
  <c r="B8" i="26"/>
  <c r="B7" i="26"/>
  <c r="B6" i="26"/>
  <c r="B5" i="26"/>
  <c r="B4" i="26"/>
  <c r="B3" i="26"/>
  <c r="B2" i="26"/>
  <c r="A14" i="23"/>
  <c r="A32" i="23"/>
  <c r="C37"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A17" authorId="0" shapeId="0" xr:uid="{00000000-0006-0000-0100-000001000000}">
      <text>
        <r>
          <rPr>
            <b/>
            <sz val="8"/>
            <color indexed="81"/>
            <rFont val="Tahoma"/>
            <family val="2"/>
          </rPr>
          <t>arnaud.grimont:</t>
        </r>
        <r>
          <rPr>
            <sz val="8"/>
            <color indexed="81"/>
            <rFont val="Tahoma"/>
            <family val="2"/>
          </rPr>
          <t xml:space="preserve">
Application if any interface is modified</t>
        </r>
      </text>
    </comment>
    <comment ref="A19" authorId="0" shapeId="0" xr:uid="{00000000-0006-0000-0100-000002000000}">
      <text>
        <r>
          <rPr>
            <b/>
            <sz val="8"/>
            <color indexed="81"/>
            <rFont val="Tahoma"/>
            <family val="2"/>
          </rPr>
          <t>arnaud.grimont:</t>
        </r>
        <r>
          <rPr>
            <sz val="8"/>
            <color indexed="81"/>
            <rFont val="Tahoma"/>
            <family val="2"/>
          </rPr>
          <t xml:space="preserve">
Applicable for only ETL changes</t>
        </r>
      </text>
    </comment>
    <comment ref="A24" authorId="0" shapeId="0" xr:uid="{00000000-0006-0000-0100-000003000000}">
      <text>
        <r>
          <rPr>
            <b/>
            <sz val="8"/>
            <color indexed="81"/>
            <rFont val="Tahoma"/>
            <family val="2"/>
          </rPr>
          <t>arnaud.grimont:</t>
        </r>
        <r>
          <rPr>
            <sz val="8"/>
            <color indexed="81"/>
            <rFont val="Tahoma"/>
            <family val="2"/>
          </rPr>
          <t xml:space="preserve">
This Document should be available on J drive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bruneau.melier</author>
    <author>virish.seechurn</author>
  </authors>
  <commentList>
    <comment ref="B1" authorId="0" shapeId="0" xr:uid="{00000000-0006-0000-0200-000001000000}">
      <text>
        <r>
          <rPr>
            <b/>
            <sz val="8"/>
            <color indexed="81"/>
            <rFont val="Tahoma"/>
            <family val="2"/>
          </rPr>
          <t>bruneau.melier:</t>
        </r>
        <r>
          <rPr>
            <sz val="8"/>
            <color indexed="81"/>
            <rFont val="Tahoma"/>
            <family val="2"/>
          </rPr>
          <t xml:space="preserve">
give the name of the mapping being tested </t>
        </r>
      </text>
    </comment>
    <comment ref="F1" authorId="0" shapeId="0" xr:uid="{00000000-0006-0000-0200-000002000000}">
      <text>
        <r>
          <rPr>
            <b/>
            <sz val="8"/>
            <color indexed="81"/>
            <rFont val="Tahoma"/>
            <family val="2"/>
          </rPr>
          <t>bruneau.melier:</t>
        </r>
        <r>
          <rPr>
            <sz val="8"/>
            <color indexed="81"/>
            <rFont val="Tahoma"/>
            <family val="2"/>
          </rPr>
          <t xml:space="preserve">
give the name of the entity being tested</t>
        </r>
      </text>
    </comment>
    <comment ref="B2" authorId="0" shapeId="0" xr:uid="{00000000-0006-0000-0200-000003000000}">
      <text>
        <r>
          <rPr>
            <b/>
            <sz val="8"/>
            <color indexed="81"/>
            <rFont val="Tahoma"/>
            <family val="2"/>
          </rPr>
          <t>bruneau.melier:</t>
        </r>
        <r>
          <rPr>
            <sz val="8"/>
            <color indexed="81"/>
            <rFont val="Tahoma"/>
            <family val="2"/>
          </rPr>
          <t xml:space="preserve">
give the name of the mapping being tested </t>
        </r>
      </text>
    </comment>
    <comment ref="F2" authorId="0" shapeId="0" xr:uid="{00000000-0006-0000-0200-000004000000}">
      <text>
        <r>
          <rPr>
            <b/>
            <sz val="8"/>
            <color indexed="81"/>
            <rFont val="Tahoma"/>
            <family val="2"/>
          </rPr>
          <t>bruneau.melier:</t>
        </r>
        <r>
          <rPr>
            <sz val="8"/>
            <color indexed="81"/>
            <rFont val="Tahoma"/>
            <family val="2"/>
          </rPr>
          <t xml:space="preserve">
store the date when the test script was executed by the developer/tester</t>
        </r>
      </text>
    </comment>
    <comment ref="H2" authorId="0" shapeId="0" xr:uid="{00000000-0006-0000-0200-000005000000}">
      <text>
        <r>
          <rPr>
            <b/>
            <sz val="8"/>
            <color indexed="81"/>
            <rFont val="Tahoma"/>
            <family val="2"/>
          </rPr>
          <t>bruneau.melier:</t>
        </r>
        <r>
          <rPr>
            <sz val="8"/>
            <color indexed="81"/>
            <rFont val="Tahoma"/>
            <family val="2"/>
          </rPr>
          <t xml:space="preserve">
give the name of the developer/tester</t>
        </r>
      </text>
    </comment>
    <comment ref="B3" authorId="0" shapeId="0" xr:uid="{00000000-0006-0000-0200-000006000000}">
      <text>
        <r>
          <rPr>
            <b/>
            <sz val="8"/>
            <color indexed="81"/>
            <rFont val="Tahoma"/>
            <family val="2"/>
          </rPr>
          <t>bruneau.melier:</t>
        </r>
        <r>
          <rPr>
            <sz val="8"/>
            <color indexed="81"/>
            <rFont val="Tahoma"/>
            <family val="2"/>
          </rPr>
          <t xml:space="preserve">
indicate the status of the test script </t>
        </r>
      </text>
    </comment>
    <comment ref="F3" authorId="0" shapeId="0" xr:uid="{00000000-0006-0000-0200-000007000000}">
      <text>
        <r>
          <rPr>
            <b/>
            <sz val="8"/>
            <color indexed="81"/>
            <rFont val="Tahoma"/>
            <family val="2"/>
          </rPr>
          <t>bruneau.melier:</t>
        </r>
        <r>
          <rPr>
            <sz val="8"/>
            <color indexed="81"/>
            <rFont val="Tahoma"/>
            <family val="2"/>
          </rPr>
          <t xml:space="preserve">
store the date when the test script was executed by the developer/tester</t>
        </r>
      </text>
    </comment>
    <comment ref="H3" authorId="0" shapeId="0" xr:uid="{00000000-0006-0000-0200-000008000000}">
      <text>
        <r>
          <rPr>
            <b/>
            <sz val="8"/>
            <color indexed="81"/>
            <rFont val="Tahoma"/>
            <family val="2"/>
          </rPr>
          <t>bruneau.melier:</t>
        </r>
        <r>
          <rPr>
            <sz val="8"/>
            <color indexed="81"/>
            <rFont val="Tahoma"/>
            <family val="2"/>
          </rPr>
          <t xml:space="preserve">
give the name of the reviewer of the test script </t>
        </r>
      </text>
    </comment>
    <comment ref="B4" authorId="0" shapeId="0" xr:uid="{06CA8AE0-8DDB-4E08-AA92-04A607A02481}">
      <text>
        <r>
          <rPr>
            <b/>
            <sz val="8"/>
            <color indexed="81"/>
            <rFont val="Tahoma"/>
            <family val="2"/>
          </rPr>
          <t>bruneau.melier:</t>
        </r>
        <r>
          <rPr>
            <sz val="8"/>
            <color indexed="81"/>
            <rFont val="Tahoma"/>
            <family val="2"/>
          </rPr>
          <t xml:space="preserve">
give a description of the purpose of the test script </t>
        </r>
      </text>
    </comment>
    <comment ref="A5" authorId="1" shapeId="0" xr:uid="{00000000-0006-0000-0200-00000A000000}">
      <text>
        <r>
          <rPr>
            <b/>
            <sz val="9"/>
            <color indexed="81"/>
            <rFont val="Tahoma"/>
            <family val="2"/>
          </rPr>
          <t>virish.seechurn:</t>
        </r>
        <r>
          <rPr>
            <sz val="9"/>
            <color indexed="81"/>
            <rFont val="Tahoma"/>
            <family val="2"/>
          </rPr>
          <t xml:space="preserve">
number identifying the order in which the step should be executed in the test script </t>
        </r>
      </text>
    </comment>
    <comment ref="B5" authorId="0" shapeId="0" xr:uid="{00000000-0006-0000-0200-00000B000000}">
      <text>
        <r>
          <rPr>
            <b/>
            <sz val="8"/>
            <color indexed="81"/>
            <rFont val="Tahoma"/>
            <family val="2"/>
          </rPr>
          <t>bruneau.melier:</t>
        </r>
        <r>
          <rPr>
            <sz val="8"/>
            <color indexed="81"/>
            <rFont val="Tahoma"/>
            <family val="2"/>
          </rPr>
          <t xml:space="preserve">
give a summary of the purpose of the test step </t>
        </r>
      </text>
    </comment>
    <comment ref="C5" authorId="0" shapeId="0" xr:uid="{00000000-0006-0000-0200-00000C000000}">
      <text>
        <r>
          <rPr>
            <b/>
            <sz val="8"/>
            <color indexed="81"/>
            <rFont val="Tahoma"/>
            <family val="2"/>
          </rPr>
          <t>bruneau.melier:</t>
        </r>
        <r>
          <rPr>
            <sz val="8"/>
            <color indexed="81"/>
            <rFont val="Tahoma"/>
            <family val="2"/>
          </rPr>
          <t xml:space="preserve">
give a detailed description of the purpose of the test step </t>
        </r>
      </text>
    </comment>
    <comment ref="D5" authorId="0" shapeId="0" xr:uid="{00000000-0006-0000-0200-00000D000000}">
      <text>
        <r>
          <rPr>
            <b/>
            <sz val="8"/>
            <color indexed="81"/>
            <rFont val="Tahoma"/>
            <family val="2"/>
          </rPr>
          <t>bruneau.melier:</t>
        </r>
        <r>
          <rPr>
            <sz val="8"/>
            <color indexed="81"/>
            <rFont val="Tahoma"/>
            <family val="2"/>
          </rPr>
          <t xml:space="preserve">
Instructions provided to the users using the test script for executing the steps </t>
        </r>
      </text>
    </comment>
    <comment ref="E5" authorId="0" shapeId="0" xr:uid="{00000000-0006-0000-0200-00000E000000}">
      <text>
        <r>
          <rPr>
            <b/>
            <sz val="8"/>
            <color indexed="81"/>
            <rFont val="Tahoma"/>
            <family val="2"/>
          </rPr>
          <t>bruneau.melier:</t>
        </r>
        <r>
          <rPr>
            <sz val="8"/>
            <color indexed="81"/>
            <rFont val="Tahoma"/>
            <family val="2"/>
          </rPr>
          <t xml:space="preserve">
SQL script (if any) to be used for executing the step</t>
        </r>
      </text>
    </comment>
    <comment ref="F5" authorId="0" shapeId="0" xr:uid="{00000000-0006-0000-0200-00000F000000}">
      <text>
        <r>
          <rPr>
            <b/>
            <sz val="8"/>
            <color indexed="81"/>
            <rFont val="Tahoma"/>
            <family val="2"/>
          </rPr>
          <t>bruneau.melier:</t>
        </r>
        <r>
          <rPr>
            <sz val="8"/>
            <color indexed="81"/>
            <rFont val="Tahoma"/>
            <family val="2"/>
          </rPr>
          <t xml:space="preserve">
Instructions to be executed by the user for ensuring the success of the step executed. When describing the expected result for the execution of a workflow, the author should specify the expected result in terms of INTEGRATION_ID and value of the different ATTRIB columns being populated.  </t>
        </r>
      </text>
    </comment>
    <comment ref="G5" authorId="0" shapeId="0" xr:uid="{00000000-0006-0000-0200-000010000000}">
      <text>
        <r>
          <rPr>
            <b/>
            <sz val="8"/>
            <color indexed="81"/>
            <rFont val="Tahoma"/>
            <family val="2"/>
          </rPr>
          <t>bruneau.melier:</t>
        </r>
        <r>
          <rPr>
            <sz val="8"/>
            <color indexed="81"/>
            <rFont val="Tahoma"/>
            <family val="2"/>
          </rPr>
          <t xml:space="preserve">
SQL script (if any) to be used for checking the results of the step executed </t>
        </r>
      </text>
    </comment>
    <comment ref="H5" authorId="0" shapeId="0" xr:uid="{00000000-0006-0000-0200-000011000000}">
      <text>
        <r>
          <rPr>
            <b/>
            <sz val="8"/>
            <color indexed="81"/>
            <rFont val="Tahoma"/>
            <family val="2"/>
          </rPr>
          <t>bruneau.melier:</t>
        </r>
        <r>
          <rPr>
            <sz val="8"/>
            <color indexed="81"/>
            <rFont val="Tahoma"/>
            <family val="2"/>
          </rPr>
          <t xml:space="preserve">
This should be filled in by the author of the test script on the first execution of the test script. The user should place in the actual result observed after following the instructions provided in the Expected Result</t>
        </r>
      </text>
    </comment>
    <comment ref="I5" authorId="0" shapeId="0" xr:uid="{00000000-0006-0000-0200-000013000000}">
      <text>
        <r>
          <rPr>
            <b/>
            <sz val="8"/>
            <color indexed="81"/>
            <rFont val="Tahoma"/>
            <family val="2"/>
          </rPr>
          <t>bruneau.melier:</t>
        </r>
        <r>
          <rPr>
            <sz val="8"/>
            <color indexed="81"/>
            <rFont val="Tahoma"/>
            <family val="2"/>
          </rPr>
          <t xml:space="preserve">
Takes the value of Not Executed, WIP, Passed or Failed</t>
        </r>
      </text>
    </comment>
    <comment ref="J5" authorId="0" shapeId="0" xr:uid="{00000000-0006-0000-0200-000014000000}">
      <text>
        <r>
          <rPr>
            <b/>
            <sz val="8"/>
            <color indexed="81"/>
            <rFont val="Tahoma"/>
            <family val="2"/>
          </rPr>
          <t>bruneau.melier:</t>
        </r>
        <r>
          <rPr>
            <sz val="8"/>
            <color indexed="81"/>
            <rFont val="Tahoma"/>
            <family val="2"/>
          </rPr>
          <t xml:space="preserve">
Comments related to the status of the Review Status (used for justifying a particular test review status)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bruneau.melier</author>
    <author>virish.seechurn</author>
  </authors>
  <commentList>
    <comment ref="B1" authorId="0" shapeId="0" xr:uid="{74E6CC5D-A38C-4B6C-8F07-309644BDA155}">
      <text>
        <r>
          <rPr>
            <b/>
            <sz val="8"/>
            <color indexed="81"/>
            <rFont val="Tahoma"/>
            <family val="2"/>
          </rPr>
          <t>bruneau.melier:</t>
        </r>
        <r>
          <rPr>
            <sz val="8"/>
            <color indexed="81"/>
            <rFont val="Tahoma"/>
            <family val="2"/>
          </rPr>
          <t xml:space="preserve">
give the name of the mapping being tested </t>
        </r>
      </text>
    </comment>
    <comment ref="F1" authorId="0" shapeId="0" xr:uid="{0750F112-6E13-4597-BD87-F0CC3D821EAE}">
      <text>
        <r>
          <rPr>
            <b/>
            <sz val="8"/>
            <color indexed="81"/>
            <rFont val="Tahoma"/>
            <family val="2"/>
          </rPr>
          <t>bruneau.melier:</t>
        </r>
        <r>
          <rPr>
            <sz val="8"/>
            <color indexed="81"/>
            <rFont val="Tahoma"/>
            <family val="2"/>
          </rPr>
          <t xml:space="preserve">
give the name of the entity being tested</t>
        </r>
      </text>
    </comment>
    <comment ref="B2" authorId="0" shapeId="0" xr:uid="{31CC5ABB-A3FB-4ECB-A940-5979DA225F32}">
      <text>
        <r>
          <rPr>
            <b/>
            <sz val="8"/>
            <color indexed="81"/>
            <rFont val="Tahoma"/>
            <family val="2"/>
          </rPr>
          <t>bruneau.melier:</t>
        </r>
        <r>
          <rPr>
            <sz val="8"/>
            <color indexed="81"/>
            <rFont val="Tahoma"/>
            <family val="2"/>
          </rPr>
          <t xml:space="preserve">
give the name of the mapping being tested </t>
        </r>
      </text>
    </comment>
    <comment ref="F2" authorId="0" shapeId="0" xr:uid="{56390334-0D08-4A7F-AFA2-08D9DB4EA7CF}">
      <text>
        <r>
          <rPr>
            <b/>
            <sz val="8"/>
            <color indexed="81"/>
            <rFont val="Tahoma"/>
            <family val="2"/>
          </rPr>
          <t>bruneau.melier:</t>
        </r>
        <r>
          <rPr>
            <sz val="8"/>
            <color indexed="81"/>
            <rFont val="Tahoma"/>
            <family val="2"/>
          </rPr>
          <t xml:space="preserve">
store the date when the test script was executed by the developer/tester</t>
        </r>
      </text>
    </comment>
    <comment ref="H2" authorId="0" shapeId="0" xr:uid="{130843C7-5FB5-4A08-81F2-9FD0BF008ADD}">
      <text>
        <r>
          <rPr>
            <b/>
            <sz val="8"/>
            <color indexed="81"/>
            <rFont val="Tahoma"/>
            <family val="2"/>
          </rPr>
          <t>bruneau.melier:</t>
        </r>
        <r>
          <rPr>
            <sz val="8"/>
            <color indexed="81"/>
            <rFont val="Tahoma"/>
            <family val="2"/>
          </rPr>
          <t xml:space="preserve">
give the name of the developer/tester</t>
        </r>
      </text>
    </comment>
    <comment ref="B3" authorId="0" shapeId="0" xr:uid="{2B9EA800-EC66-42E4-BDB8-787D388A6CDD}">
      <text>
        <r>
          <rPr>
            <b/>
            <sz val="8"/>
            <color indexed="81"/>
            <rFont val="Tahoma"/>
            <family val="2"/>
          </rPr>
          <t>bruneau.melier:</t>
        </r>
        <r>
          <rPr>
            <sz val="8"/>
            <color indexed="81"/>
            <rFont val="Tahoma"/>
            <family val="2"/>
          </rPr>
          <t xml:space="preserve">
indicate the status of the test script </t>
        </r>
      </text>
    </comment>
    <comment ref="F3" authorId="0" shapeId="0" xr:uid="{6548A8F5-8626-4C02-BE25-D6013994437A}">
      <text>
        <r>
          <rPr>
            <b/>
            <sz val="8"/>
            <color indexed="81"/>
            <rFont val="Tahoma"/>
            <family val="2"/>
          </rPr>
          <t>bruneau.melier:</t>
        </r>
        <r>
          <rPr>
            <sz val="8"/>
            <color indexed="81"/>
            <rFont val="Tahoma"/>
            <family val="2"/>
          </rPr>
          <t xml:space="preserve">
store the date when the test script was executed by the developer/tester</t>
        </r>
      </text>
    </comment>
    <comment ref="H3" authorId="0" shapeId="0" xr:uid="{B3BD1248-E4D0-4AEC-9D39-73D80F09AB64}">
      <text>
        <r>
          <rPr>
            <b/>
            <sz val="8"/>
            <color indexed="81"/>
            <rFont val="Tahoma"/>
            <family val="2"/>
          </rPr>
          <t>bruneau.melier:</t>
        </r>
        <r>
          <rPr>
            <sz val="8"/>
            <color indexed="81"/>
            <rFont val="Tahoma"/>
            <family val="2"/>
          </rPr>
          <t xml:space="preserve">
give the name of the reviewer of the test script </t>
        </r>
      </text>
    </comment>
    <comment ref="B4" authorId="0" shapeId="0" xr:uid="{4590133D-F4C6-45EE-891F-DC5FC84C66A8}">
      <text>
        <r>
          <rPr>
            <b/>
            <sz val="8"/>
            <color indexed="81"/>
            <rFont val="Tahoma"/>
            <family val="2"/>
          </rPr>
          <t>bruneau.melier:</t>
        </r>
        <r>
          <rPr>
            <sz val="8"/>
            <color indexed="81"/>
            <rFont val="Tahoma"/>
            <family val="2"/>
          </rPr>
          <t xml:space="preserve">
give a description of the purpose of the test script </t>
        </r>
      </text>
    </comment>
    <comment ref="A5" authorId="1" shapeId="0" xr:uid="{EBCBAB1A-EC77-4890-8A0E-798994DA9BE3}">
      <text>
        <r>
          <rPr>
            <b/>
            <sz val="9"/>
            <color indexed="81"/>
            <rFont val="Tahoma"/>
            <family val="2"/>
          </rPr>
          <t>virish.seechurn:</t>
        </r>
        <r>
          <rPr>
            <sz val="9"/>
            <color indexed="81"/>
            <rFont val="Tahoma"/>
            <family val="2"/>
          </rPr>
          <t xml:space="preserve">
number identifying the order in which the step should be executed in the test script </t>
        </r>
      </text>
    </comment>
    <comment ref="B5" authorId="0" shapeId="0" xr:uid="{084DADBD-348D-4E82-BC7D-CF746F98EB6E}">
      <text>
        <r>
          <rPr>
            <b/>
            <sz val="8"/>
            <color indexed="81"/>
            <rFont val="Tahoma"/>
            <family val="2"/>
          </rPr>
          <t>bruneau.melier:</t>
        </r>
        <r>
          <rPr>
            <sz val="8"/>
            <color indexed="81"/>
            <rFont val="Tahoma"/>
            <family val="2"/>
          </rPr>
          <t xml:space="preserve">
give a summary of the purpose of the test step </t>
        </r>
      </text>
    </comment>
    <comment ref="C5" authorId="0" shapeId="0" xr:uid="{7A5FA845-8F8C-45B9-A7BA-4FB02BF067D1}">
      <text>
        <r>
          <rPr>
            <b/>
            <sz val="8"/>
            <color indexed="81"/>
            <rFont val="Tahoma"/>
            <family val="2"/>
          </rPr>
          <t>bruneau.melier:</t>
        </r>
        <r>
          <rPr>
            <sz val="8"/>
            <color indexed="81"/>
            <rFont val="Tahoma"/>
            <family val="2"/>
          </rPr>
          <t xml:space="preserve">
give a detailed description of the purpose of the test step </t>
        </r>
      </text>
    </comment>
    <comment ref="D5" authorId="0" shapeId="0" xr:uid="{36117872-D35A-4D4E-90BA-D6DE3BB48D99}">
      <text>
        <r>
          <rPr>
            <b/>
            <sz val="8"/>
            <color indexed="81"/>
            <rFont val="Tahoma"/>
            <family val="2"/>
          </rPr>
          <t>bruneau.melier:</t>
        </r>
        <r>
          <rPr>
            <sz val="8"/>
            <color indexed="81"/>
            <rFont val="Tahoma"/>
            <family val="2"/>
          </rPr>
          <t xml:space="preserve">
Instructions provided to the users using the test script for executing the steps </t>
        </r>
      </text>
    </comment>
    <comment ref="E5" authorId="0" shapeId="0" xr:uid="{BAF26A24-8D38-4553-9F73-802F16ED95C1}">
      <text>
        <r>
          <rPr>
            <b/>
            <sz val="8"/>
            <color indexed="81"/>
            <rFont val="Tahoma"/>
            <family val="2"/>
          </rPr>
          <t>bruneau.melier:</t>
        </r>
        <r>
          <rPr>
            <sz val="8"/>
            <color indexed="81"/>
            <rFont val="Tahoma"/>
            <family val="2"/>
          </rPr>
          <t xml:space="preserve">
SQL script (if any) to be used for executing the step</t>
        </r>
      </text>
    </comment>
    <comment ref="F5" authorId="0" shapeId="0" xr:uid="{7F4B0065-41B8-4674-914E-FE4457796B17}">
      <text>
        <r>
          <rPr>
            <b/>
            <sz val="8"/>
            <color indexed="81"/>
            <rFont val="Tahoma"/>
            <family val="2"/>
          </rPr>
          <t>bruneau.melier:</t>
        </r>
        <r>
          <rPr>
            <sz val="8"/>
            <color indexed="81"/>
            <rFont val="Tahoma"/>
            <family val="2"/>
          </rPr>
          <t xml:space="preserve">
Instructions to be executed by the user for ensuring the success of the step executed. When describing the expected result for the execution of a workflow, the author should specify the expected result in terms of INTEGRATION_ID and value of the different ATTRIB columns being populated.  </t>
        </r>
      </text>
    </comment>
    <comment ref="G5" authorId="0" shapeId="0" xr:uid="{F0DEFFCB-7DD0-430C-AB6F-935B92211674}">
      <text>
        <r>
          <rPr>
            <b/>
            <sz val="8"/>
            <color indexed="81"/>
            <rFont val="Tahoma"/>
            <family val="2"/>
          </rPr>
          <t>bruneau.melier:</t>
        </r>
        <r>
          <rPr>
            <sz val="8"/>
            <color indexed="81"/>
            <rFont val="Tahoma"/>
            <family val="2"/>
          </rPr>
          <t xml:space="preserve">
SQL script (if any) to be used for checking the results of the step executed </t>
        </r>
      </text>
    </comment>
    <comment ref="H5" authorId="0" shapeId="0" xr:uid="{8E146C1E-6335-45CF-8808-B659B5DACC7D}">
      <text>
        <r>
          <rPr>
            <b/>
            <sz val="8"/>
            <color indexed="81"/>
            <rFont val="Tahoma"/>
            <family val="2"/>
          </rPr>
          <t>bruneau.melier:</t>
        </r>
        <r>
          <rPr>
            <sz val="8"/>
            <color indexed="81"/>
            <rFont val="Tahoma"/>
            <family val="2"/>
          </rPr>
          <t xml:space="preserve">
This should be filled in by the author of the test script on the first execution of the test script. The user should place in the actual result observed after following the instructions provided in the Expected Result</t>
        </r>
      </text>
    </comment>
    <comment ref="I5" authorId="0" shapeId="0" xr:uid="{4C02F1DF-DC5E-43F5-82A9-A0D55655884F}">
      <text>
        <r>
          <rPr>
            <b/>
            <sz val="8"/>
            <color indexed="81"/>
            <rFont val="Tahoma"/>
            <family val="2"/>
          </rPr>
          <t>bruneau.melier:</t>
        </r>
        <r>
          <rPr>
            <sz val="8"/>
            <color indexed="81"/>
            <rFont val="Tahoma"/>
            <family val="2"/>
          </rPr>
          <t xml:space="preserve">
Takes the value of Not Executed, WIP, Passed or Failed</t>
        </r>
      </text>
    </comment>
    <comment ref="J5" authorId="0" shapeId="0" xr:uid="{AC50F3E5-C4AB-43D5-BF65-16E79D106A29}">
      <text>
        <r>
          <rPr>
            <b/>
            <sz val="8"/>
            <color indexed="81"/>
            <rFont val="Tahoma"/>
            <family val="2"/>
          </rPr>
          <t>bruneau.melier:</t>
        </r>
        <r>
          <rPr>
            <sz val="8"/>
            <color indexed="81"/>
            <rFont val="Tahoma"/>
            <family val="2"/>
          </rPr>
          <t xml:space="preserve">
Comments related to the status of the Review Status (used for justifying a particular test review status)</t>
        </r>
      </text>
    </comment>
  </commentList>
</comments>
</file>

<file path=xl/sharedStrings.xml><?xml version="1.0" encoding="utf-8"?>
<sst xmlns="http://schemas.openxmlformats.org/spreadsheetml/2006/main" count="278" uniqueCount="137">
  <si>
    <t>Values</t>
  </si>
  <si>
    <t>UNIT TEST SCRIPT</t>
  </si>
  <si>
    <t>Trade Marketing Excellence Programme</t>
  </si>
  <si>
    <t>Markets Affected :</t>
  </si>
  <si>
    <t>Print Date:</t>
  </si>
  <si>
    <t>DATA VALIDATION</t>
  </si>
  <si>
    <t>Column E</t>
  </si>
  <si>
    <t>Column D</t>
  </si>
  <si>
    <t>Document Control</t>
  </si>
  <si>
    <t>Project:</t>
  </si>
  <si>
    <t>JTI</t>
  </si>
  <si>
    <t>Planned Prod Release Date:</t>
  </si>
  <si>
    <t>Doc Name</t>
  </si>
  <si>
    <t>AREA :</t>
  </si>
  <si>
    <t>Test Cycle 1</t>
  </si>
  <si>
    <t>Passed</t>
  </si>
  <si>
    <t>Failed</t>
  </si>
  <si>
    <t>DEVELOPMENT</t>
  </si>
  <si>
    <t>CR Title :</t>
  </si>
  <si>
    <t>Data</t>
  </si>
  <si>
    <t>UTS, TS SharePoint</t>
  </si>
  <si>
    <t>TS SharePoint</t>
  </si>
  <si>
    <t>ITS SharePoint</t>
  </si>
  <si>
    <t>Documentation checklist</t>
  </si>
  <si>
    <t>To-do</t>
  </si>
  <si>
    <t>Documentation Up-to-date (Y or N)</t>
  </si>
  <si>
    <t>High Level Functional Design (HLFD)</t>
  </si>
  <si>
    <t>Detail Technical Design (DTD)</t>
  </si>
  <si>
    <t>Detail Design (DD)</t>
  </si>
  <si>
    <t>Data Update Incident Template if any</t>
  </si>
  <si>
    <t>Data Impacted Objects Document Update</t>
  </si>
  <si>
    <t>Technical Solution, Data Update Flag &amp; Target Release on Scopesheet</t>
  </si>
  <si>
    <t>Test Script Passed</t>
  </si>
  <si>
    <t>Screenshots available</t>
  </si>
  <si>
    <t>Cross check Data update Document</t>
  </si>
  <si>
    <t xml:space="preserve">Not Ready </t>
  </si>
  <si>
    <t>Not Executed</t>
  </si>
  <si>
    <t>Ready</t>
  </si>
  <si>
    <t>WIP</t>
  </si>
  <si>
    <t xml:space="preserve">Testing – WIP </t>
  </si>
  <si>
    <t xml:space="preserve">WIP </t>
  </si>
  <si>
    <t xml:space="preserve">Testing – Passed </t>
  </si>
  <si>
    <t xml:space="preserve">Testing – Failed </t>
  </si>
  <si>
    <t>Mapping</t>
  </si>
  <si>
    <t>Entity</t>
  </si>
  <si>
    <t xml:space="preserve">Review – WIP </t>
  </si>
  <si>
    <t>Workflow</t>
  </si>
  <si>
    <t>Date tested</t>
  </si>
  <si>
    <t>Tested By</t>
  </si>
  <si>
    <t xml:space="preserve">Review – Passed </t>
  </si>
  <si>
    <t xml:space="preserve">Test Script Status </t>
  </si>
  <si>
    <t>Date reviewed</t>
  </si>
  <si>
    <t>Reviewed By</t>
  </si>
  <si>
    <t xml:space="preserve">Review – Failed </t>
  </si>
  <si>
    <t>Test Script Description</t>
  </si>
  <si>
    <t>Regression Flat File</t>
  </si>
  <si>
    <t>Planned PROD Release Date</t>
  </si>
  <si>
    <t>Date Tested</t>
  </si>
  <si>
    <t>Date Reviewed</t>
  </si>
  <si>
    <t>Change Request Number</t>
  </si>
  <si>
    <t>Market Affected</t>
  </si>
  <si>
    <t>Area</t>
  </si>
  <si>
    <t>Parameter Name</t>
  </si>
  <si>
    <t>Test Worksheet</t>
  </si>
  <si>
    <t>Review Status</t>
  </si>
  <si>
    <t>Review Status Comments</t>
  </si>
  <si>
    <t>Test Step No.</t>
  </si>
  <si>
    <t xml:space="preserve">Test Details 1 </t>
  </si>
  <si>
    <t>Test Details 2</t>
  </si>
  <si>
    <t>Test Execution</t>
  </si>
  <si>
    <t>Test Execution script</t>
  </si>
  <si>
    <t>Expected Result</t>
  </si>
  <si>
    <t>Expected Result script</t>
  </si>
  <si>
    <t>Actual Result Observed</t>
  </si>
  <si>
    <t>CR\INC:</t>
  </si>
  <si>
    <t>ADO Update</t>
  </si>
  <si>
    <t>Data Issue Log in ADO correctly Updated</t>
  </si>
  <si>
    <t>Stored Procedures on ADO</t>
  </si>
  <si>
    <t xml:space="preserve">PHP/IFB Update on ADO </t>
  </si>
  <si>
    <t>PRE_EIM_TABLES on ADO if any</t>
  </si>
  <si>
    <t>Jun , 2021</t>
  </si>
  <si>
    <t xml:space="preserve">Test Case completed </t>
  </si>
  <si>
    <t>Send Email for columns creation</t>
  </si>
  <si>
    <t>FDE_INT_ASSETS_NEW,
Shortcut_to_FDE_INT_ASSETS_NEW</t>
  </si>
  <si>
    <t>JTI_DWH_ETLComplete_Incremental,RUN_EIM_PROCESS_ADHOC</t>
  </si>
  <si>
    <t xml:space="preserve">Reset Test Data </t>
  </si>
  <si>
    <t>Run Script to reset test data</t>
  </si>
  <si>
    <t>SIEBEL_OLTP_DEV14</t>
  </si>
  <si>
    <t>2 rows affected</t>
  </si>
  <si>
    <t>0 record returned</t>
  </si>
  <si>
    <t>Place FF in IUNP</t>
  </si>
  <si>
    <t>Place FF in path : \\10.186.26.22\Interfaces_IP14\Kazakhstan\IUNP</t>
  </si>
  <si>
    <t>Infa Server</t>
  </si>
  <si>
    <t>N/A</t>
  </si>
  <si>
    <t>FF correctly placed</t>
  </si>
  <si>
    <t>Register FF</t>
  </si>
  <si>
    <t>SELECT * FROM WC_ETL_FILES_G WHERE FILENAME LIKE '%KZAS1101_20210913_10.txt%'</t>
  </si>
  <si>
    <t>1 record returned</t>
  </si>
  <si>
    <t>Load Test Data</t>
  </si>
  <si>
    <t>Open Workflow Manager.
Launch EIM_INTERFACE --&gt; wrk_pre_Etl</t>
  </si>
  <si>
    <t>Informatica &amp; SIEBEL_OLAP_DEV81</t>
  </si>
  <si>
    <t>Informatica &amp; SIEBEL_OLTP_DEV14</t>
  </si>
  <si>
    <t>Launch EC4U --&gt; Load_EIM --&gt; wrk_Assets_Interface</t>
  </si>
  <si>
    <t>N</t>
  </si>
  <si>
    <t>Y</t>
  </si>
  <si>
    <t>Frank</t>
  </si>
  <si>
    <t>KZ</t>
  </si>
  <si>
    <t>CHG214067</t>
  </si>
  <si>
    <t>Uzbekistan TME Extension : New Object Manager</t>
  </si>
  <si>
    <t xml:space="preserve">SELECT * FROM EIM_ASSET WHERE IF_ROW_BATCH_NUM=42000
</t>
  </si>
  <si>
    <t xml:space="preserve">IF_ROW_STAT='IMPORTED'
</t>
  </si>
  <si>
    <t>SELECT * FROM S_ASSET(NOLOCK) WHERE ASSET_NUM IN ('CHG214067_Null','CHG214067_Valid')</t>
  </si>
  <si>
    <t>Check test data in OLTP</t>
  </si>
  <si>
    <t>Run Script to check test data</t>
  </si>
  <si>
    <t>SELECT * FROM S_ASSET WHERE  ASSET_NUM= 'INC3938667'</t>
  </si>
  <si>
    <r>
      <t xml:space="preserve">1 record returned
</t>
    </r>
    <r>
      <rPr>
        <b/>
        <sz val="10"/>
        <color rgb="FF00B050"/>
        <rFont val="Book Antiqua"/>
        <family val="1"/>
      </rPr>
      <t>SCREENSHOT 3</t>
    </r>
  </si>
  <si>
    <t>Open Workflow Manager.
Launch EIM_INTERFACE --&gt; wrk_Pre_Etl_java</t>
  </si>
  <si>
    <t>ZIPCODE</t>
  </si>
  <si>
    <t>Launch EIM_INTERFACE --&gt; RUN_EIM_PROCESS_JAVA --&gt;wrk_Zipcodes_Interface</t>
  </si>
  <si>
    <t>Launch EIM_INTERFACE --&gt; RUN_EIM_PROCESS --&gt; wrk_Assets_Interface</t>
  </si>
  <si>
    <t xml:space="preserve">ASSET </t>
  </si>
  <si>
    <t>Screenshot 1</t>
  </si>
  <si>
    <t>Screenshot 2</t>
  </si>
  <si>
    <r>
      <t xml:space="preserve">1 record returned
</t>
    </r>
    <r>
      <rPr>
        <b/>
        <sz val="10"/>
        <color rgb="FF00B050"/>
        <rFont val="Book Antiqua"/>
        <family val="1"/>
      </rPr>
      <t>SCREENSHOT 2</t>
    </r>
  </si>
  <si>
    <r>
      <t xml:space="preserve">IF_ROW_STAT='IMPORTED'
</t>
    </r>
    <r>
      <rPr>
        <b/>
        <sz val="10"/>
        <color rgb="FF00B050"/>
        <rFont val="Book Antiqua"/>
        <family val="1"/>
      </rPr>
      <t>SCREENSHOT 2</t>
    </r>
    <r>
      <rPr>
        <sz val="10"/>
        <rFont val="Book Antiqua"/>
        <family val="1"/>
      </rPr>
      <t xml:space="preserve">
</t>
    </r>
  </si>
  <si>
    <r>
      <t xml:space="preserve">1 record returned
</t>
    </r>
    <r>
      <rPr>
        <b/>
        <sz val="10"/>
        <color rgb="FF00B050"/>
        <rFont val="Book Antiqua"/>
        <family val="1"/>
      </rPr>
      <t>SCREENSHOT 1</t>
    </r>
  </si>
  <si>
    <t xml:space="preserve">SELECT IF_ROW_STAT, IF_ROW_BATCH_NUM, * FROM EIM_ZIPCODE WHERE GEO_ZIPCODE = '1@902546' and GEO_COUNTRY = 'Mongolia'
</t>
  </si>
  <si>
    <t>Select * from S_ZIPCODE WHERE ZIPCODE = '1@902546' AND COUNTRY = 'Mongolia'</t>
  </si>
  <si>
    <t>Delete from S_ZIPCODE WHERE ZIPCODE = '1@902546' AND COUNTRY = 'Mongolia'</t>
  </si>
  <si>
    <t>SELECT * FROM WC_ETL_FILES_G WHERE FILENAME LIKE '%KZZC0361_20211117_10%'</t>
  </si>
  <si>
    <t>LOAD INTERFACE IN OLTP</t>
  </si>
  <si>
    <t>DELETE FROM S_ASSET WHERE ASSET_NUM = 'CHG214067_Valid'</t>
  </si>
  <si>
    <t>1 row affected</t>
  </si>
  <si>
    <t xml:space="preserve">SELECT  IF_ROW_BATCH_NUM, IF_ROW_STAT, * FROM EIM_ASSET WHERE ASSET_NUM = 'CHG214067_Valid'
</t>
  </si>
  <si>
    <t>SELECT * FROM S_ASSET WHERE ASSET_NUM = 'CHG214067_Valid'</t>
  </si>
  <si>
    <t>SELECT * FROM S_ASSET(NOLOCK) WHERE ASSET_NUM = 'CHG214067_Valid'</t>
  </si>
  <si>
    <t>18/11/2021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</si>
</sst>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B_F_-;\-* #,##0.00\ _B_F_-;_-* &quot;-&quot;??\ _B_F_-;_-@_-"/>
    <numFmt numFmtId="165" formatCode="mm/dd/yy"/>
    <numFmt numFmtId="166" formatCode="mmm\-yyyy"/>
  </numFmts>
  <fonts count="48" x14ac:knownFonts="1">
    <font>
      <sz val="10"/>
      <name val="Arial"/>
    </font>
    <font>
      <sz val="11"/>
      <color theme="1"/>
      <name val="Calibri"/>
      <family val="2"/>
      <scheme val="minor"/>
    </font>
    <font>
      <sz val="8"/>
      <name val="Arial"/>
      <family val="2"/>
    </font>
    <font>
      <sz val="10"/>
      <name val="Arial"/>
      <family val="2"/>
    </font>
    <font>
      <b/>
      <sz val="10"/>
      <name val="Arial"/>
      <family val="2"/>
    </font>
    <font>
      <sz val="11"/>
      <color indexed="8"/>
      <name val="Calibri"/>
      <family val="2"/>
    </font>
    <font>
      <b/>
      <sz val="11"/>
      <color indexed="8"/>
      <name val="Calibri"/>
      <family val="2"/>
    </font>
    <font>
      <b/>
      <i/>
      <sz val="24"/>
      <color indexed="57"/>
      <name val="Arial"/>
      <family val="2"/>
    </font>
    <font>
      <sz val="8"/>
      <color indexed="81"/>
      <name val="Tahoma"/>
      <family val="2"/>
    </font>
    <font>
      <sz val="11"/>
      <color indexed="9"/>
      <name val="Calibri"/>
      <family val="2"/>
    </font>
    <font>
      <b/>
      <sz val="11"/>
      <color indexed="63"/>
      <name val="Calibri"/>
      <family val="2"/>
    </font>
    <font>
      <b/>
      <sz val="11"/>
      <color indexed="52"/>
      <name val="Calibri"/>
      <family val="2"/>
    </font>
    <font>
      <sz val="11"/>
      <color indexed="62"/>
      <name val="Calibri"/>
      <family val="2"/>
    </font>
    <font>
      <i/>
      <sz val="11"/>
      <color indexed="23"/>
      <name val="Calibri"/>
      <family val="2"/>
    </font>
    <font>
      <sz val="11"/>
      <color indexed="17"/>
      <name val="Calibri"/>
      <family val="2"/>
    </font>
    <font>
      <sz val="11"/>
      <color indexed="20"/>
      <name val="Calibri"/>
      <family val="2"/>
    </font>
    <font>
      <sz val="10"/>
      <name val="Helv"/>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4"/>
      <name val="Book Antiqua"/>
      <family val="1"/>
    </font>
    <font>
      <b/>
      <sz val="36"/>
      <name val="Book Antiqua"/>
      <family val="1"/>
    </font>
    <font>
      <b/>
      <sz val="36"/>
      <color indexed="12"/>
      <name val="Book Antiqua"/>
      <family val="1"/>
    </font>
    <font>
      <b/>
      <sz val="24"/>
      <color indexed="12"/>
      <name val="Book Antiqua"/>
      <family val="1"/>
    </font>
    <font>
      <b/>
      <sz val="18"/>
      <color indexed="12"/>
      <name val="Book Antiqua"/>
      <family val="1"/>
    </font>
    <font>
      <b/>
      <sz val="20"/>
      <name val="Book Antiqua"/>
      <family val="1"/>
    </font>
    <font>
      <sz val="10"/>
      <name val="Book Antiqua"/>
      <family val="1"/>
    </font>
    <font>
      <b/>
      <i/>
      <sz val="20"/>
      <name val="Book Antiqua"/>
      <family val="1"/>
    </font>
    <font>
      <sz val="12"/>
      <name val="Book Antiqua"/>
      <family val="1"/>
    </font>
    <font>
      <b/>
      <sz val="10"/>
      <color indexed="12"/>
      <name val="Arial"/>
      <family val="2"/>
    </font>
    <font>
      <sz val="10"/>
      <color indexed="12"/>
      <name val="Arial"/>
      <family val="2"/>
    </font>
    <font>
      <b/>
      <sz val="22"/>
      <name val="Arial"/>
      <family val="2"/>
    </font>
    <font>
      <i/>
      <sz val="14"/>
      <name val="Arial"/>
      <family val="2"/>
    </font>
    <font>
      <b/>
      <sz val="8"/>
      <color indexed="81"/>
      <name val="Tahoma"/>
      <family val="2"/>
    </font>
    <font>
      <sz val="11"/>
      <name val="Book Antiqua"/>
      <family val="1"/>
    </font>
    <font>
      <b/>
      <sz val="11"/>
      <color indexed="9"/>
      <name val="Book Antiqua"/>
      <family val="1"/>
    </font>
    <font>
      <b/>
      <sz val="12"/>
      <name val="Book Antiqua"/>
      <family val="1"/>
    </font>
    <font>
      <b/>
      <sz val="9"/>
      <color indexed="81"/>
      <name val="Tahoma"/>
      <family val="2"/>
    </font>
    <font>
      <sz val="9"/>
      <color indexed="81"/>
      <name val="Tahoma"/>
      <family val="2"/>
    </font>
    <font>
      <u/>
      <sz val="10"/>
      <color theme="10"/>
      <name val="Arial"/>
      <family val="2"/>
    </font>
    <font>
      <sz val="11"/>
      <color theme="1"/>
      <name val="Calibri"/>
      <family val="2"/>
      <scheme val="minor"/>
    </font>
    <font>
      <sz val="10"/>
      <color theme="10"/>
      <name val="Arial"/>
      <family val="2"/>
    </font>
    <font>
      <b/>
      <sz val="10"/>
      <color theme="0"/>
      <name val="Arial"/>
      <family val="2"/>
    </font>
    <font>
      <b/>
      <sz val="10"/>
      <color rgb="FF00B050"/>
      <name val="Book Antiqua"/>
      <family val="1"/>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9"/>
        <bgColor indexed="64"/>
      </patternFill>
    </fill>
    <fill>
      <patternFill patternType="solid">
        <fgColor indexed="22"/>
        <bgColor indexed="64"/>
      </patternFill>
    </fill>
    <fill>
      <patternFill patternType="solid">
        <fgColor indexed="17"/>
        <bgColor indexed="64"/>
      </patternFill>
    </fill>
    <fill>
      <patternFill patternType="solid">
        <fgColor rgb="FF00B0F0"/>
        <bgColor indexed="64"/>
      </patternFill>
    </fill>
    <fill>
      <patternFill patternType="solid">
        <fgColor rgb="FF99FFCC"/>
        <bgColor indexed="64"/>
      </patternFill>
    </fill>
    <fill>
      <patternFill patternType="solid">
        <fgColor theme="6"/>
        <bgColor indexed="64"/>
      </patternFill>
    </fill>
  </fills>
  <borders count="16">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ck">
        <color indexed="17"/>
      </bottom>
      <diagonal/>
    </border>
    <border>
      <left/>
      <right/>
      <top style="thin">
        <color indexed="64"/>
      </top>
      <bottom style="thin">
        <color indexed="64"/>
      </bottom>
      <diagonal/>
    </border>
  </borders>
  <cellStyleXfs count="54">
    <xf numFmtId="0" fontId="0" fillId="0" borderId="0"/>
    <xf numFmtId="0" fontId="5" fillId="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5" borderId="0" applyNumberFormat="0" applyBorder="0" applyAlignment="0" applyProtection="0"/>
    <xf numFmtId="0" fontId="5" fillId="8" borderId="0" applyNumberFormat="0" applyBorder="0" applyAlignment="0" applyProtection="0"/>
    <xf numFmtId="0" fontId="5" fillId="11" borderId="0" applyNumberFormat="0" applyBorder="0" applyAlignment="0" applyProtection="0"/>
    <xf numFmtId="0" fontId="9" fillId="12"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9" borderId="0" applyNumberFormat="0" applyBorder="0" applyAlignment="0" applyProtection="0"/>
    <xf numFmtId="0" fontId="10" fillId="20" borderId="1" applyNumberFormat="0" applyAlignment="0" applyProtection="0"/>
    <xf numFmtId="0" fontId="11" fillId="20" borderId="2" applyNumberFormat="0" applyAlignment="0" applyProtection="0"/>
    <xf numFmtId="0" fontId="3" fillId="0" borderId="0" applyFont="0" applyFill="0" applyBorder="0" applyAlignment="0" applyProtection="0"/>
    <xf numFmtId="0" fontId="12" fillId="7" borderId="2" applyNumberFormat="0" applyAlignment="0" applyProtection="0"/>
    <xf numFmtId="0" fontId="6" fillId="0" borderId="4" applyNumberFormat="0" applyFill="0" applyAlignment="0" applyProtection="0"/>
    <xf numFmtId="0" fontId="13" fillId="0" borderId="0" applyNumberFormat="0" applyFill="0" applyBorder="0" applyAlignment="0" applyProtection="0"/>
    <xf numFmtId="0" fontId="14" fillId="4" borderId="0" applyNumberFormat="0" applyBorder="0" applyAlignment="0" applyProtection="0"/>
    <xf numFmtId="0" fontId="43" fillId="0" borderId="0" applyNumberFormat="0" applyFill="0" applyBorder="0" applyAlignment="0" applyProtection="0">
      <alignment vertical="top"/>
      <protection locked="0"/>
    </xf>
    <xf numFmtId="0" fontId="44" fillId="0" borderId="0"/>
    <xf numFmtId="0" fontId="3" fillId="0" borderId="0"/>
    <xf numFmtId="0" fontId="44" fillId="0" borderId="0"/>
    <xf numFmtId="0" fontId="44" fillId="0" borderId="0"/>
    <xf numFmtId="0" fontId="38" fillId="0" borderId="0"/>
    <xf numFmtId="0" fontId="3" fillId="0" borderId="0"/>
    <xf numFmtId="0" fontId="3" fillId="22" borderId="9" applyNumberFormat="0" applyFont="0" applyAlignment="0" applyProtection="0"/>
    <xf numFmtId="0" fontId="15" fillId="3" borderId="0" applyNumberFormat="0" applyBorder="0" applyAlignment="0" applyProtection="0"/>
    <xf numFmtId="0" fontId="3" fillId="0" borderId="0"/>
    <xf numFmtId="0" fontId="16" fillId="0" borderId="0"/>
    <xf numFmtId="0" fontId="17" fillId="0" borderId="0" applyNumberFormat="0" applyFill="0" applyBorder="0" applyAlignment="0" applyProtection="0"/>
    <xf numFmtId="0" fontId="18" fillId="0" borderId="5" applyNumberFormat="0" applyFill="0" applyAlignment="0" applyProtection="0"/>
    <xf numFmtId="0" fontId="19" fillId="0" borderId="6" applyNumberFormat="0" applyFill="0" applyAlignment="0" applyProtection="0"/>
    <xf numFmtId="0" fontId="20" fillId="0" borderId="7" applyNumberFormat="0" applyFill="0" applyAlignment="0" applyProtection="0"/>
    <xf numFmtId="0" fontId="20" fillId="0" borderId="0" applyNumberFormat="0" applyFill="0" applyBorder="0" applyAlignment="0" applyProtection="0"/>
    <xf numFmtId="0" fontId="21" fillId="0" borderId="8" applyNumberFormat="0" applyFill="0" applyAlignment="0" applyProtection="0"/>
    <xf numFmtId="0" fontId="22" fillId="0" borderId="0" applyNumberFormat="0" applyFill="0" applyBorder="0" applyAlignment="0" applyProtection="0"/>
    <xf numFmtId="0" fontId="23" fillId="21" borderId="3" applyNumberFormat="0" applyAlignment="0" applyProtection="0"/>
    <xf numFmtId="0" fontId="1" fillId="0" borderId="0"/>
    <xf numFmtId="0" fontId="1" fillId="0" borderId="0"/>
    <xf numFmtId="0" fontId="1" fillId="0" borderId="0"/>
  </cellStyleXfs>
  <cellXfs count="107">
    <xf numFmtId="0" fontId="0" fillId="0" borderId="0" xfId="0"/>
    <xf numFmtId="0" fontId="4" fillId="0" borderId="0" xfId="38" applyFont="1" applyAlignment="1">
      <alignment vertical="center"/>
    </xf>
    <xf numFmtId="0" fontId="3" fillId="0" borderId="0" xfId="38" applyAlignment="1">
      <alignment vertical="center"/>
    </xf>
    <xf numFmtId="0" fontId="3" fillId="0" borderId="0" xfId="38" applyFont="1" applyAlignment="1">
      <alignment vertical="center"/>
    </xf>
    <xf numFmtId="0" fontId="3" fillId="23" borderId="0" xfId="38" applyFill="1" applyAlignment="1">
      <alignment vertical="center"/>
    </xf>
    <xf numFmtId="0" fontId="4" fillId="23" borderId="0" xfId="38" applyFont="1" applyFill="1" applyAlignment="1">
      <alignment vertical="center"/>
    </xf>
    <xf numFmtId="0" fontId="26" fillId="0" borderId="0" xfId="27" applyFont="1" applyAlignment="1">
      <alignment vertical="center"/>
    </xf>
    <xf numFmtId="0" fontId="27" fillId="0" borderId="0" xfId="27" applyFont="1" applyAlignment="1">
      <alignment vertical="center"/>
    </xf>
    <xf numFmtId="0" fontId="29" fillId="0" borderId="0" xfId="27" applyFont="1" applyAlignment="1">
      <alignment vertical="center"/>
    </xf>
    <xf numFmtId="164" fontId="30" fillId="23" borderId="0" xfId="27" applyNumberFormat="1" applyFont="1" applyFill="1" applyAlignment="1">
      <alignment vertical="center"/>
    </xf>
    <xf numFmtId="164" fontId="3" fillId="23" borderId="0" xfId="27" applyNumberFormat="1" applyFill="1" applyAlignment="1">
      <alignment vertical="center"/>
    </xf>
    <xf numFmtId="0" fontId="2" fillId="0" borderId="0" xfId="34" applyFont="1" applyAlignment="1">
      <alignment vertical="center"/>
    </xf>
    <xf numFmtId="0" fontId="3" fillId="0" borderId="0" xfId="34" applyAlignment="1">
      <alignment vertical="center"/>
    </xf>
    <xf numFmtId="164" fontId="3" fillId="23" borderId="0" xfId="27" applyNumberFormat="1" applyFill="1" applyBorder="1" applyAlignment="1">
      <alignment vertical="center"/>
    </xf>
    <xf numFmtId="164" fontId="30" fillId="23" borderId="0" xfId="27" applyNumberFormat="1" applyFont="1" applyFill="1" applyBorder="1" applyAlignment="1">
      <alignment vertical="center"/>
    </xf>
    <xf numFmtId="0" fontId="3" fillId="0" borderId="0" xfId="27" applyFont="1" applyAlignment="1">
      <alignment vertical="center"/>
    </xf>
    <xf numFmtId="0" fontId="30" fillId="0" borderId="0" xfId="27" applyFont="1" applyAlignment="1">
      <alignment vertical="center"/>
    </xf>
    <xf numFmtId="0" fontId="31" fillId="0" borderId="0" xfId="27" applyFont="1" applyAlignment="1">
      <alignment vertical="center"/>
    </xf>
    <xf numFmtId="0" fontId="24" fillId="0" borderId="0" xfId="27" applyFont="1" applyAlignment="1">
      <alignment vertical="center"/>
    </xf>
    <xf numFmtId="0" fontId="32" fillId="0" borderId="0" xfId="27" applyFont="1" applyAlignment="1">
      <alignment vertical="center"/>
    </xf>
    <xf numFmtId="165" fontId="32" fillId="0" borderId="0" xfId="27" applyNumberFormat="1" applyFont="1" applyAlignment="1">
      <alignment horizontal="left" vertical="center"/>
    </xf>
    <xf numFmtId="0" fontId="33" fillId="23" borderId="0" xfId="38" applyFont="1" applyFill="1" applyAlignment="1">
      <alignment vertical="center" wrapText="1"/>
    </xf>
    <xf numFmtId="0" fontId="4" fillId="23" borderId="0" xfId="38" applyFont="1" applyFill="1" applyAlignment="1">
      <alignment horizontal="center" vertical="center" wrapText="1"/>
    </xf>
    <xf numFmtId="0" fontId="4" fillId="24" borderId="10" xfId="38" applyFont="1" applyFill="1" applyBorder="1" applyAlignment="1">
      <alignment horizontal="center" vertical="center" wrapText="1"/>
    </xf>
    <xf numFmtId="0" fontId="34" fillId="0" borderId="10" xfId="38" applyFont="1" applyBorder="1" applyAlignment="1">
      <alignment vertical="center" wrapText="1"/>
    </xf>
    <xf numFmtId="0" fontId="4" fillId="23" borderId="0" xfId="38" applyFont="1" applyFill="1" applyAlignment="1">
      <alignment vertical="center" wrapText="1"/>
    </xf>
    <xf numFmtId="0" fontId="4" fillId="24" borderId="10" xfId="38" applyFont="1" applyFill="1" applyBorder="1" applyAlignment="1">
      <alignment vertical="center"/>
    </xf>
    <xf numFmtId="0" fontId="34" fillId="0" borderId="10" xfId="38" applyFont="1" applyBorder="1" applyAlignment="1">
      <alignment horizontal="left" vertical="center" wrapText="1"/>
    </xf>
    <xf numFmtId="0" fontId="4" fillId="24" borderId="10" xfId="38" applyFont="1" applyFill="1" applyBorder="1" applyAlignment="1">
      <alignment vertical="center" wrapText="1"/>
    </xf>
    <xf numFmtId="0" fontId="36" fillId="23" borderId="11" xfId="38" applyFont="1" applyFill="1" applyBorder="1" applyAlignment="1">
      <alignment horizontal="right" vertical="center"/>
    </xf>
    <xf numFmtId="0" fontId="3" fillId="23" borderId="0" xfId="38" applyFont="1" applyFill="1" applyAlignment="1">
      <alignment vertical="center"/>
    </xf>
    <xf numFmtId="0" fontId="4" fillId="24" borderId="12" xfId="38" applyFont="1" applyFill="1" applyBorder="1" applyAlignment="1">
      <alignment vertical="center"/>
    </xf>
    <xf numFmtId="0" fontId="38" fillId="0" borderId="0" xfId="37" applyBorder="1"/>
    <xf numFmtId="0" fontId="38" fillId="0" borderId="0" xfId="37"/>
    <xf numFmtId="0" fontId="3" fillId="0" borderId="0" xfId="37" applyFont="1"/>
    <xf numFmtId="0" fontId="39" fillId="25" borderId="10" xfId="37" applyFont="1" applyFill="1" applyBorder="1" applyAlignment="1">
      <alignment horizontal="right" wrapText="1"/>
    </xf>
    <xf numFmtId="0" fontId="38" fillId="0" borderId="10" xfId="37" applyBorder="1" applyAlignment="1">
      <alignment wrapText="1"/>
    </xf>
    <xf numFmtId="0" fontId="38" fillId="0" borderId="10" xfId="37" applyBorder="1"/>
    <xf numFmtId="14" fontId="38" fillId="0" borderId="10" xfId="37" applyNumberFormat="1" applyBorder="1" applyAlignment="1">
      <alignment horizontal="right" wrapText="1"/>
    </xf>
    <xf numFmtId="14" fontId="38" fillId="0" borderId="10" xfId="37" applyNumberFormat="1" applyBorder="1" applyAlignment="1">
      <alignment wrapText="1"/>
    </xf>
    <xf numFmtId="0" fontId="38" fillId="0" borderId="10" xfId="37" applyFill="1" applyBorder="1" applyAlignment="1">
      <alignment wrapText="1"/>
    </xf>
    <xf numFmtId="0" fontId="38" fillId="0" borderId="10" xfId="37" applyFont="1" applyBorder="1" applyAlignment="1">
      <alignment wrapText="1"/>
    </xf>
    <xf numFmtId="0" fontId="4" fillId="24" borderId="13" xfId="38" applyFont="1" applyFill="1" applyBorder="1" applyAlignment="1">
      <alignment vertical="center"/>
    </xf>
    <xf numFmtId="0" fontId="3" fillId="23" borderId="0" xfId="38" applyFont="1" applyFill="1" applyBorder="1" applyAlignment="1">
      <alignment vertical="center"/>
    </xf>
    <xf numFmtId="0" fontId="3" fillId="23" borderId="0" xfId="38" applyFill="1" applyBorder="1" applyAlignment="1">
      <alignment vertical="center"/>
    </xf>
    <xf numFmtId="0" fontId="3" fillId="0" borderId="0" xfId="38" applyBorder="1" applyAlignment="1">
      <alignment vertical="center"/>
    </xf>
    <xf numFmtId="0" fontId="30" fillId="0" borderId="10" xfId="37" applyFont="1" applyFill="1" applyBorder="1" applyAlignment="1">
      <alignment vertical="top"/>
    </xf>
    <xf numFmtId="0" fontId="30" fillId="0" borderId="10" xfId="37" applyFont="1" applyBorder="1" applyAlignment="1">
      <alignment vertical="top" wrapText="1"/>
    </xf>
    <xf numFmtId="0" fontId="30" fillId="0" borderId="10" xfId="37" applyFont="1" applyBorder="1" applyAlignment="1">
      <alignment horizontal="left" vertical="top" wrapText="1"/>
    </xf>
    <xf numFmtId="0" fontId="30" fillId="0" borderId="10" xfId="37" applyFont="1" applyBorder="1" applyAlignment="1">
      <alignment vertical="top"/>
    </xf>
    <xf numFmtId="0" fontId="3" fillId="0" borderId="0" xfId="38" applyAlignment="1">
      <alignment vertical="center" wrapText="1"/>
    </xf>
    <xf numFmtId="0" fontId="3" fillId="0" borderId="0" xfId="38" applyFont="1" applyAlignment="1">
      <alignment vertical="center" wrapText="1"/>
    </xf>
    <xf numFmtId="0" fontId="3" fillId="23" borderId="0" xfId="38" applyFill="1" applyAlignment="1">
      <alignment vertical="center" wrapText="1"/>
    </xf>
    <xf numFmtId="0" fontId="3" fillId="23" borderId="0" xfId="38" applyNumberFormat="1" applyFill="1" applyAlignment="1">
      <alignment vertical="center" wrapText="1"/>
    </xf>
    <xf numFmtId="15" fontId="34" fillId="0" borderId="10" xfId="38" applyNumberFormat="1" applyFont="1" applyBorder="1" applyAlignment="1">
      <alignment horizontal="left" vertical="center" wrapText="1"/>
    </xf>
    <xf numFmtId="15" fontId="43" fillId="0" borderId="10" xfId="32" applyNumberFormat="1" applyBorder="1" applyAlignment="1" applyProtection="1">
      <alignment horizontal="left" vertical="center" wrapText="1"/>
    </xf>
    <xf numFmtId="0" fontId="3" fillId="23" borderId="0" xfId="38" applyFill="1" applyBorder="1" applyAlignment="1">
      <alignment vertical="center" wrapText="1"/>
    </xf>
    <xf numFmtId="0" fontId="3" fillId="0" borderId="0" xfId="38" applyBorder="1" applyAlignment="1">
      <alignment vertical="center" wrapText="1"/>
    </xf>
    <xf numFmtId="0" fontId="30" fillId="0" borderId="10" xfId="37" applyFont="1" applyFill="1" applyBorder="1" applyAlignment="1">
      <alignment wrapText="1"/>
    </xf>
    <xf numFmtId="15" fontId="45" fillId="0" borderId="10" xfId="32" applyNumberFormat="1" applyFont="1" applyBorder="1" applyAlignment="1" applyProtection="1">
      <alignment horizontal="left" vertical="center" wrapText="1"/>
    </xf>
    <xf numFmtId="0" fontId="38" fillId="0" borderId="0" xfId="37" applyAlignment="1">
      <alignment horizontal="left" vertical="top"/>
    </xf>
    <xf numFmtId="0" fontId="0" fillId="0" borderId="0" xfId="0" applyAlignment="1">
      <alignment horizontal="center"/>
    </xf>
    <xf numFmtId="0" fontId="46" fillId="26" borderId="0" xfId="0" applyFont="1" applyFill="1"/>
    <xf numFmtId="0" fontId="46" fillId="26" borderId="0" xfId="0" applyFont="1" applyFill="1" applyAlignment="1">
      <alignment horizontal="center"/>
    </xf>
    <xf numFmtId="0" fontId="4" fillId="27" borderId="10" xfId="0" applyFont="1" applyFill="1" applyBorder="1"/>
    <xf numFmtId="0" fontId="0" fillId="27" borderId="10" xfId="0" applyFill="1" applyBorder="1" applyAlignment="1">
      <alignment horizontal="center"/>
    </xf>
    <xf numFmtId="14" fontId="0" fillId="27" borderId="10" xfId="0" applyNumberFormat="1" applyFill="1" applyBorder="1" applyAlignment="1">
      <alignment horizontal="center"/>
    </xf>
    <xf numFmtId="14" fontId="3" fillId="27" borderId="10" xfId="0" quotePrefix="1" applyNumberFormat="1" applyFont="1" applyFill="1" applyBorder="1" applyAlignment="1">
      <alignment horizontal="center"/>
    </xf>
    <xf numFmtId="0" fontId="3" fillId="27" borderId="10" xfId="0" applyFont="1" applyFill="1" applyBorder="1" applyAlignment="1">
      <alignment horizontal="center"/>
    </xf>
    <xf numFmtId="166" fontId="0" fillId="27" borderId="10" xfId="0" applyNumberFormat="1" applyFill="1" applyBorder="1" applyAlignment="1">
      <alignment horizontal="center"/>
    </xf>
    <xf numFmtId="49" fontId="4" fillId="24" borderId="10" xfId="37" applyNumberFormat="1" applyFont="1" applyFill="1" applyBorder="1" applyAlignment="1">
      <alignment horizontal="center" vertical="top"/>
    </xf>
    <xf numFmtId="0" fontId="39" fillId="25" borderId="10" xfId="37" applyFont="1" applyFill="1" applyBorder="1" applyAlignment="1">
      <alignment horizontal="right" vertical="top" wrapText="1"/>
    </xf>
    <xf numFmtId="0" fontId="4" fillId="0" borderId="0" xfId="0" applyFont="1" applyFill="1"/>
    <xf numFmtId="0" fontId="0" fillId="0" borderId="0" xfId="0" applyFill="1"/>
    <xf numFmtId="0" fontId="38" fillId="0" borderId="10" xfId="37" applyFont="1" applyFill="1" applyBorder="1" applyAlignment="1">
      <alignment vertical="top" wrapText="1"/>
    </xf>
    <xf numFmtId="0" fontId="38" fillId="0" borderId="10" xfId="37" applyFont="1" applyBorder="1" applyAlignment="1">
      <alignment horizontal="left" vertical="top" wrapText="1"/>
    </xf>
    <xf numFmtId="0" fontId="38" fillId="0" borderId="10" xfId="37" applyBorder="1" applyAlignment="1">
      <alignment horizontal="left" vertical="top" wrapText="1"/>
    </xf>
    <xf numFmtId="0" fontId="30" fillId="0" borderId="10" xfId="37" applyFont="1" applyBorder="1" applyAlignment="1">
      <alignment vertical="top" wrapText="1"/>
    </xf>
    <xf numFmtId="0" fontId="30" fillId="0" borderId="10" xfId="37" applyFont="1" applyBorder="1" applyAlignment="1">
      <alignment horizontal="left" vertical="top" wrapText="1"/>
    </xf>
    <xf numFmtId="0" fontId="4" fillId="0" borderId="0" xfId="0" applyFont="1" applyFill="1"/>
    <xf numFmtId="0" fontId="0" fillId="0" borderId="0" xfId="0" applyFill="1"/>
    <xf numFmtId="0" fontId="38" fillId="0" borderId="10" xfId="37" applyFont="1" applyFill="1" applyBorder="1" applyAlignment="1">
      <alignment vertical="top" wrapText="1"/>
    </xf>
    <xf numFmtId="0" fontId="38" fillId="0" borderId="10" xfId="37" applyFont="1" applyBorder="1" applyAlignment="1">
      <alignment horizontal="left" vertical="top" wrapText="1"/>
    </xf>
    <xf numFmtId="0" fontId="38" fillId="0" borderId="10" xfId="37" applyBorder="1" applyAlignment="1">
      <alignment horizontal="left" vertical="top" wrapText="1"/>
    </xf>
    <xf numFmtId="164" fontId="7" fillId="23" borderId="14" xfId="27" applyNumberFormat="1" applyFont="1" applyFill="1" applyBorder="1" applyAlignment="1">
      <alignment horizontal="center" vertical="center"/>
    </xf>
    <xf numFmtId="0" fontId="24" fillId="0" borderId="0" xfId="27" applyFont="1" applyAlignment="1">
      <alignment horizontal="center" vertical="center"/>
    </xf>
    <xf numFmtId="0" fontId="25" fillId="0" borderId="0" xfId="27" applyFont="1" applyAlignment="1">
      <alignment horizontal="center" vertical="center"/>
    </xf>
    <xf numFmtId="0" fontId="26" fillId="0" borderId="0" xfId="27" applyFont="1" applyAlignment="1">
      <alignment horizontal="right" vertical="center"/>
    </xf>
    <xf numFmtId="0" fontId="26" fillId="0" borderId="0" xfId="27" applyFont="1" applyAlignment="1">
      <alignment horizontal="left" vertical="center"/>
    </xf>
    <xf numFmtId="0" fontId="29" fillId="0" borderId="0" xfId="27" applyFont="1" applyAlignment="1">
      <alignment horizontal="right" vertical="center"/>
    </xf>
    <xf numFmtId="0" fontId="31" fillId="0" borderId="0" xfId="27" applyFont="1" applyAlignment="1">
      <alignment horizontal="left" vertical="center"/>
    </xf>
    <xf numFmtId="0" fontId="27" fillId="0" borderId="0" xfId="27" applyFont="1" applyAlignment="1">
      <alignment horizontal="right" vertical="center"/>
    </xf>
    <xf numFmtId="0" fontId="27" fillId="0" borderId="0" xfId="27" applyFont="1" applyAlignment="1">
      <alignment horizontal="left" vertical="center" wrapText="1"/>
    </xf>
    <xf numFmtId="0" fontId="28" fillId="0" borderId="0" xfId="27" applyFont="1" applyAlignment="1">
      <alignment horizontal="right" vertical="center"/>
    </xf>
    <xf numFmtId="0" fontId="28" fillId="0" borderId="0" xfId="27" applyFont="1" applyAlignment="1">
      <alignment horizontal="left" vertical="center" wrapText="1"/>
    </xf>
    <xf numFmtId="0" fontId="35" fillId="23" borderId="11" xfId="38" applyFont="1" applyFill="1" applyBorder="1" applyAlignment="1">
      <alignment horizontal="left" vertical="center"/>
    </xf>
    <xf numFmtId="0" fontId="33" fillId="23" borderId="0" xfId="38" applyFont="1" applyFill="1" applyAlignment="1">
      <alignment vertical="center"/>
    </xf>
    <xf numFmtId="0" fontId="33" fillId="24" borderId="15" xfId="38" applyFont="1" applyFill="1" applyBorder="1" applyAlignment="1">
      <alignment horizontal="center" vertical="center" wrapText="1"/>
    </xf>
    <xf numFmtId="0" fontId="44" fillId="0" borderId="15" xfId="36" applyBorder="1"/>
    <xf numFmtId="0" fontId="38" fillId="0" borderId="10" xfId="37" applyFont="1" applyBorder="1" applyAlignment="1">
      <alignment horizontal="center" wrapText="1"/>
    </xf>
    <xf numFmtId="0" fontId="38" fillId="0" borderId="10" xfId="37" applyBorder="1" applyAlignment="1">
      <alignment horizontal="center" wrapText="1"/>
    </xf>
    <xf numFmtId="0" fontId="40" fillId="0" borderId="10" xfId="37" applyFont="1" applyBorder="1" applyAlignment="1">
      <alignment horizontal="left" wrapText="1"/>
    </xf>
    <xf numFmtId="0" fontId="38" fillId="0" borderId="10" xfId="37" applyFont="1" applyBorder="1" applyAlignment="1">
      <alignment horizontal="left" wrapText="1"/>
    </xf>
    <xf numFmtId="0" fontId="38" fillId="0" borderId="10" xfId="37" applyBorder="1" applyAlignment="1">
      <alignment horizontal="left" wrapText="1"/>
    </xf>
    <xf numFmtId="0" fontId="38" fillId="0" borderId="10" xfId="37" applyBorder="1" applyAlignment="1">
      <alignment vertical="top" wrapText="1"/>
    </xf>
    <xf numFmtId="0" fontId="30" fillId="0" borderId="10" xfId="37" applyFont="1" applyBorder="1" applyAlignment="1">
      <alignment wrapText="1"/>
    </xf>
    <xf numFmtId="0" fontId="0" fillId="28" borderId="0" xfId="0" applyFill="1"/>
  </cellXfs>
  <cellStyles count="54">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ormal" xfId="0" builtinId="0"/>
    <cellStyle name="Normal 2" xfId="33" xr:uid="{00000000-0005-0000-0000-000021000000}"/>
    <cellStyle name="Normal 2 2" xfId="34" xr:uid="{00000000-0005-0000-0000-000022000000}"/>
    <cellStyle name="Normal 2 3" xfId="51" xr:uid="{342756EC-806B-4EBA-970F-3EBE7CB75AA0}"/>
    <cellStyle name="Normal 3" xfId="35" xr:uid="{00000000-0005-0000-0000-000023000000}"/>
    <cellStyle name="Normal 3 2" xfId="36" xr:uid="{00000000-0005-0000-0000-000024000000}"/>
    <cellStyle name="Normal 3 2 2" xfId="53" xr:uid="{A4864466-F7BE-4F00-BB75-9F0EEAAEB7CE}"/>
    <cellStyle name="Normal 3 3" xfId="52" xr:uid="{D02B48AC-B257-4EB4-B7C1-2E966F47D925}"/>
    <cellStyle name="Normal 4" xfId="37" xr:uid="{00000000-0005-0000-0000-000025000000}"/>
    <cellStyle name="Normal_Analytics_Test Script_CR_XXXX_Template" xfId="38" xr:uid="{00000000-0005-0000-0000-000026000000}"/>
    <cellStyle name="Notiz" xfId="39" xr:uid="{00000000-0005-0000-0000-000027000000}"/>
    <cellStyle name="Schlecht" xfId="40" xr:uid="{00000000-0005-0000-0000-000028000000}"/>
    <cellStyle name="Standard 2" xfId="41" xr:uid="{00000000-0005-0000-0000-000029000000}"/>
    <cellStyle name="Style 1" xfId="42" xr:uid="{00000000-0005-0000-0000-00002A000000}"/>
    <cellStyle name="Überschrift" xfId="43" xr:uid="{00000000-0005-0000-0000-00002B000000}"/>
    <cellStyle name="Überschrift 1" xfId="44" xr:uid="{00000000-0005-0000-0000-00002C000000}"/>
    <cellStyle name="Überschrift 2" xfId="45" xr:uid="{00000000-0005-0000-0000-00002D000000}"/>
    <cellStyle name="Überschrift 3" xfId="46" xr:uid="{00000000-0005-0000-0000-00002E000000}"/>
    <cellStyle name="Überschrift 4" xfId="47" xr:uid="{00000000-0005-0000-0000-00002F000000}"/>
    <cellStyle name="Verknüpfte Zelle" xfId="48" xr:uid="{00000000-0005-0000-0000-000030000000}"/>
    <cellStyle name="Warnender Text" xfId="49" xr:uid="{00000000-0005-0000-0000-000031000000}"/>
    <cellStyle name="Zelle überprüfen" xfId="50" xr:uid="{00000000-0005-0000-0000-00003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5</xdr:col>
      <xdr:colOff>488950</xdr:colOff>
      <xdr:row>6</xdr:row>
      <xdr:rowOff>114300</xdr:rowOff>
    </xdr:from>
    <xdr:to>
      <xdr:col>5</xdr:col>
      <xdr:colOff>660400</xdr:colOff>
      <xdr:row>12</xdr:row>
      <xdr:rowOff>82550</xdr:rowOff>
    </xdr:to>
    <xdr:sp macro="" textlink="">
      <xdr:nvSpPr>
        <xdr:cNvPr id="1025" name="Rectangle 7">
          <a:extLst>
            <a:ext uri="{FF2B5EF4-FFF2-40B4-BE49-F238E27FC236}">
              <a16:creationId xmlns:a16="http://schemas.microsoft.com/office/drawing/2014/main" id="{00000000-0008-0000-0000-000001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6" name="Rectangle 10">
          <a:extLst>
            <a:ext uri="{FF2B5EF4-FFF2-40B4-BE49-F238E27FC236}">
              <a16:creationId xmlns:a16="http://schemas.microsoft.com/office/drawing/2014/main" id="{00000000-0008-0000-0000-000002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7" name="Rectangle 13">
          <a:extLst>
            <a:ext uri="{FF2B5EF4-FFF2-40B4-BE49-F238E27FC236}">
              <a16:creationId xmlns:a16="http://schemas.microsoft.com/office/drawing/2014/main" id="{00000000-0008-0000-0000-000003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8" name="Rectangle 16">
          <a:extLst>
            <a:ext uri="{FF2B5EF4-FFF2-40B4-BE49-F238E27FC236}">
              <a16:creationId xmlns:a16="http://schemas.microsoft.com/office/drawing/2014/main" id="{00000000-0008-0000-0000-000004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9" name="Rectangle 19">
          <a:extLst>
            <a:ext uri="{FF2B5EF4-FFF2-40B4-BE49-F238E27FC236}">
              <a16:creationId xmlns:a16="http://schemas.microsoft.com/office/drawing/2014/main" id="{00000000-0008-0000-0000-000005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0</xdr:col>
      <xdr:colOff>0</xdr:colOff>
      <xdr:row>0</xdr:row>
      <xdr:rowOff>0</xdr:rowOff>
    </xdr:from>
    <xdr:to>
      <xdr:col>18</xdr:col>
      <xdr:colOff>177800</xdr:colOff>
      <xdr:row>10</xdr:row>
      <xdr:rowOff>44450</xdr:rowOff>
    </xdr:to>
    <xdr:pic>
      <xdr:nvPicPr>
        <xdr:cNvPr id="1030" name="Picture 9">
          <a:extLst>
            <a:ext uri="{FF2B5EF4-FFF2-40B4-BE49-F238E27FC236}">
              <a16:creationId xmlns:a16="http://schemas.microsoft.com/office/drawing/2014/main" id="{00000000-0008-0000-0000-000006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06400" cy="1606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696686</xdr:colOff>
          <xdr:row>6</xdr:row>
          <xdr:rowOff>576943</xdr:rowOff>
        </xdr:from>
        <xdr:to>
          <xdr:col>2</xdr:col>
          <xdr:colOff>2418806</xdr:colOff>
          <xdr:row>6</xdr:row>
          <xdr:rowOff>1095103</xdr:rowOff>
        </xdr:to>
        <xdr:sp macro="" textlink="">
          <xdr:nvSpPr>
            <xdr:cNvPr id="10289" name="Object 49" hidden="1">
              <a:extLst>
                <a:ext uri="{63B3BB69-23CF-44E3-9099-C40C66FF867C}">
                  <a14:compatExt spid="_x0000_s10289"/>
                </a:ext>
                <a:ext uri="{FF2B5EF4-FFF2-40B4-BE49-F238E27FC236}">
                  <a16:creationId xmlns:a16="http://schemas.microsoft.com/office/drawing/2014/main" id="{C8CB8D05-50C2-45CA-95DD-F2C530284A3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660763</xdr:colOff>
          <xdr:row>11</xdr:row>
          <xdr:rowOff>709749</xdr:rowOff>
        </xdr:from>
        <xdr:to>
          <xdr:col>2</xdr:col>
          <xdr:colOff>2382883</xdr:colOff>
          <xdr:row>11</xdr:row>
          <xdr:rowOff>1227909</xdr:rowOff>
        </xdr:to>
        <xdr:sp macro="" textlink="">
          <xdr:nvSpPr>
            <xdr:cNvPr id="10290" name="Object 50" hidden="1">
              <a:extLst>
                <a:ext uri="{63B3BB69-23CF-44E3-9099-C40C66FF867C}">
                  <a14:compatExt spid="_x0000_s10290"/>
                </a:ext>
                <a:ext uri="{FF2B5EF4-FFF2-40B4-BE49-F238E27FC236}">
                  <a16:creationId xmlns:a16="http://schemas.microsoft.com/office/drawing/2014/main" id="{112B1FE3-4F2F-4A99-B93A-ADC6B41A310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13</xdr:col>
      <xdr:colOff>84400</xdr:colOff>
      <xdr:row>12</xdr:row>
      <xdr:rowOff>142648</xdr:rowOff>
    </xdr:to>
    <xdr:pic>
      <xdr:nvPicPr>
        <xdr:cNvPr id="6" name="Picture 5">
          <a:extLst>
            <a:ext uri="{FF2B5EF4-FFF2-40B4-BE49-F238E27FC236}">
              <a16:creationId xmlns:a16="http://schemas.microsoft.com/office/drawing/2014/main" id="{0920356F-B8B3-4D9A-A657-7160F9114F76}"/>
            </a:ext>
          </a:extLst>
        </xdr:cNvPr>
        <xdr:cNvPicPr>
          <a:picLocks noChangeAspect="1"/>
        </xdr:cNvPicPr>
      </xdr:nvPicPr>
      <xdr:blipFill>
        <a:blip xmlns:r="http://schemas.openxmlformats.org/officeDocument/2006/relationships" r:embed="rId1"/>
        <a:stretch>
          <a:fillRect/>
        </a:stretch>
      </xdr:blipFill>
      <xdr:spPr>
        <a:xfrm>
          <a:off x="0" y="335280"/>
          <a:ext cx="10600000" cy="181904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707572</xdr:colOff>
          <xdr:row>6</xdr:row>
          <xdr:rowOff>587828</xdr:rowOff>
        </xdr:from>
        <xdr:to>
          <xdr:col>2</xdr:col>
          <xdr:colOff>2429692</xdr:colOff>
          <xdr:row>6</xdr:row>
          <xdr:rowOff>1105988</xdr:rowOff>
        </xdr:to>
        <xdr:sp macro="" textlink="">
          <xdr:nvSpPr>
            <xdr:cNvPr id="17433" name="Object 25" hidden="1">
              <a:extLst>
                <a:ext uri="{63B3BB69-23CF-44E3-9099-C40C66FF867C}">
                  <a14:compatExt spid="_x0000_s17433"/>
                </a:ext>
                <a:ext uri="{FF2B5EF4-FFF2-40B4-BE49-F238E27FC236}">
                  <a16:creationId xmlns:a16="http://schemas.microsoft.com/office/drawing/2014/main" id="{6AA37671-6FF4-4476-8490-BE10BC7DA5F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676003</xdr:colOff>
          <xdr:row>11</xdr:row>
          <xdr:rowOff>641169</xdr:rowOff>
        </xdr:from>
        <xdr:to>
          <xdr:col>2</xdr:col>
          <xdr:colOff>2398123</xdr:colOff>
          <xdr:row>11</xdr:row>
          <xdr:rowOff>1159329</xdr:rowOff>
        </xdr:to>
        <xdr:sp macro="" textlink="">
          <xdr:nvSpPr>
            <xdr:cNvPr id="17434" name="Object 26" hidden="1">
              <a:extLst>
                <a:ext uri="{63B3BB69-23CF-44E3-9099-C40C66FF867C}">
                  <a14:compatExt spid="_x0000_s17434"/>
                </a:ext>
                <a:ext uri="{FF2B5EF4-FFF2-40B4-BE49-F238E27FC236}">
                  <a16:creationId xmlns:a16="http://schemas.microsoft.com/office/drawing/2014/main" id="{81E94F7C-97CE-4B33-BF02-4EAB6129F64C}"/>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22860</xdr:colOff>
      <xdr:row>2</xdr:row>
      <xdr:rowOff>114300</xdr:rowOff>
    </xdr:from>
    <xdr:to>
      <xdr:col>9</xdr:col>
      <xdr:colOff>368525</xdr:colOff>
      <xdr:row>14</xdr:row>
      <xdr:rowOff>7382</xdr:rowOff>
    </xdr:to>
    <xdr:pic>
      <xdr:nvPicPr>
        <xdr:cNvPr id="4" name="Picture 3">
          <a:extLst>
            <a:ext uri="{FF2B5EF4-FFF2-40B4-BE49-F238E27FC236}">
              <a16:creationId xmlns:a16="http://schemas.microsoft.com/office/drawing/2014/main" id="{0D2B881E-2736-43EC-B96A-9829600F6072}"/>
            </a:ext>
          </a:extLst>
        </xdr:cNvPr>
        <xdr:cNvPicPr>
          <a:picLocks noChangeAspect="1"/>
        </xdr:cNvPicPr>
      </xdr:nvPicPr>
      <xdr:blipFill>
        <a:blip xmlns:r="http://schemas.openxmlformats.org/officeDocument/2006/relationships" r:embed="rId1"/>
        <a:stretch>
          <a:fillRect/>
        </a:stretch>
      </xdr:blipFill>
      <xdr:spPr>
        <a:xfrm>
          <a:off x="22860" y="449580"/>
          <a:ext cx="8361905" cy="1904762"/>
        </a:xfrm>
        <a:prstGeom prst="rect">
          <a:avLst/>
        </a:prstGeom>
      </xdr:spPr>
    </xdr:pic>
    <xdr:clientData/>
  </xdr:twoCellAnchor>
  <xdr:twoCellAnchor editAs="oneCell">
    <xdr:from>
      <xdr:col>0</xdr:col>
      <xdr:colOff>0</xdr:colOff>
      <xdr:row>19</xdr:row>
      <xdr:rowOff>0</xdr:rowOff>
    </xdr:from>
    <xdr:to>
      <xdr:col>16</xdr:col>
      <xdr:colOff>590832</xdr:colOff>
      <xdr:row>37</xdr:row>
      <xdr:rowOff>1528</xdr:rowOff>
    </xdr:to>
    <xdr:pic>
      <xdr:nvPicPr>
        <xdr:cNvPr id="6" name="Picture 5">
          <a:extLst>
            <a:ext uri="{FF2B5EF4-FFF2-40B4-BE49-F238E27FC236}">
              <a16:creationId xmlns:a16="http://schemas.microsoft.com/office/drawing/2014/main" id="{D668FF10-5BAB-4FB4-899C-D7C882EAEC12}"/>
            </a:ext>
          </a:extLst>
        </xdr:cNvPr>
        <xdr:cNvPicPr>
          <a:picLocks noChangeAspect="1"/>
        </xdr:cNvPicPr>
      </xdr:nvPicPr>
      <xdr:blipFill>
        <a:blip xmlns:r="http://schemas.openxmlformats.org/officeDocument/2006/relationships" r:embed="rId2"/>
        <a:stretch>
          <a:fillRect/>
        </a:stretch>
      </xdr:blipFill>
      <xdr:spPr>
        <a:xfrm>
          <a:off x="0" y="3185160"/>
          <a:ext cx="12980952" cy="301904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3.x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oleObject" Target="../embeddings/oleObject4.bin"/><Relationship Id="rId5" Type="http://schemas.openxmlformats.org/officeDocument/2006/relationships/image" Target="../media/image4.emf"/><Relationship Id="rId4" Type="http://schemas.openxmlformats.org/officeDocument/2006/relationships/oleObject" Target="../embeddings/oleObject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A1:S37"/>
  <sheetViews>
    <sheetView showGridLines="0" zoomScale="66" workbookViewId="0">
      <selection activeCell="K21" sqref="K21:S21"/>
    </sheetView>
  </sheetViews>
  <sheetFormatPr defaultColWidth="9.109375" defaultRowHeight="13.2" x14ac:dyDescent="0.25"/>
  <cols>
    <col min="1" max="9" width="10.6640625" style="12" customWidth="1"/>
    <col min="10" max="10" width="2.6640625" style="12" customWidth="1"/>
    <col min="11" max="19" width="10.6640625" style="12" customWidth="1"/>
    <col min="20" max="16384" width="9.109375" style="12"/>
  </cols>
  <sheetData>
    <row r="1" spans="1:19" s="11" customFormat="1" ht="13.8" x14ac:dyDescent="0.25">
      <c r="A1" s="9"/>
      <c r="B1" s="10"/>
      <c r="C1" s="10"/>
      <c r="D1" s="10"/>
      <c r="E1" s="10"/>
      <c r="F1" s="10"/>
      <c r="G1" s="10"/>
      <c r="H1" s="10"/>
      <c r="I1" s="10"/>
      <c r="J1" s="10"/>
      <c r="K1" s="10"/>
      <c r="L1" s="10"/>
      <c r="M1" s="10"/>
      <c r="N1" s="10"/>
      <c r="O1" s="10"/>
      <c r="P1" s="10"/>
      <c r="Q1" s="10"/>
      <c r="R1" s="10"/>
      <c r="S1" s="10"/>
    </row>
    <row r="2" spans="1:19" s="11" customFormat="1" x14ac:dyDescent="0.25">
      <c r="A2" s="10"/>
      <c r="B2" s="10"/>
      <c r="C2" s="10"/>
      <c r="D2" s="10"/>
      <c r="E2" s="10"/>
      <c r="F2" s="10"/>
      <c r="G2" s="10"/>
      <c r="H2" s="10"/>
      <c r="I2" s="10"/>
      <c r="J2" s="10"/>
      <c r="K2" s="10"/>
      <c r="L2" s="10"/>
      <c r="M2" s="10"/>
      <c r="N2" s="10"/>
      <c r="O2" s="10"/>
      <c r="P2" s="10"/>
      <c r="Q2" s="10"/>
      <c r="R2" s="10"/>
      <c r="S2" s="10"/>
    </row>
    <row r="3" spans="1:19" s="11" customFormat="1" x14ac:dyDescent="0.25">
      <c r="A3" s="10"/>
      <c r="B3" s="10"/>
      <c r="C3" s="10"/>
      <c r="D3" s="10"/>
      <c r="E3" s="10"/>
      <c r="F3" s="10"/>
      <c r="G3" s="10"/>
      <c r="H3" s="10"/>
      <c r="I3" s="10"/>
      <c r="J3" s="10"/>
      <c r="K3" s="10"/>
      <c r="L3" s="10"/>
      <c r="M3" s="10"/>
      <c r="N3" s="10"/>
      <c r="O3" s="10"/>
      <c r="P3" s="10"/>
      <c r="Q3" s="10"/>
      <c r="R3" s="10"/>
      <c r="S3" s="10"/>
    </row>
    <row r="4" spans="1:19" s="11" customFormat="1" x14ac:dyDescent="0.25">
      <c r="A4" s="10"/>
      <c r="B4" s="10"/>
      <c r="C4" s="10"/>
      <c r="D4" s="10"/>
      <c r="E4" s="10"/>
      <c r="F4" s="10"/>
      <c r="G4" s="10"/>
      <c r="H4" s="10"/>
      <c r="I4" s="10"/>
      <c r="J4" s="10"/>
      <c r="K4" s="10"/>
      <c r="L4" s="10"/>
      <c r="M4" s="10"/>
      <c r="N4" s="10"/>
      <c r="O4" s="10"/>
      <c r="P4" s="10"/>
      <c r="Q4" s="10"/>
      <c r="R4" s="10"/>
      <c r="S4" s="10"/>
    </row>
    <row r="5" spans="1:19" s="11" customFormat="1" x14ac:dyDescent="0.25">
      <c r="A5" s="10"/>
      <c r="B5" s="10"/>
      <c r="C5" s="10"/>
      <c r="D5" s="10"/>
      <c r="E5" s="10"/>
      <c r="F5" s="10"/>
      <c r="G5" s="10"/>
      <c r="H5" s="10"/>
      <c r="I5" s="10"/>
      <c r="J5" s="10"/>
      <c r="K5" s="10"/>
      <c r="L5" s="10"/>
      <c r="M5" s="10"/>
      <c r="N5" s="10"/>
      <c r="O5" s="10"/>
      <c r="P5" s="10"/>
      <c r="Q5" s="10"/>
      <c r="R5" s="10"/>
      <c r="S5" s="10"/>
    </row>
    <row r="6" spans="1:19" x14ac:dyDescent="0.25">
      <c r="A6" s="10"/>
      <c r="B6" s="10"/>
      <c r="C6" s="10"/>
      <c r="D6" s="10"/>
      <c r="E6" s="10"/>
      <c r="F6" s="10"/>
      <c r="G6" s="10"/>
      <c r="H6" s="10"/>
      <c r="I6" s="10"/>
      <c r="J6" s="10"/>
      <c r="K6" s="10"/>
      <c r="L6" s="10"/>
      <c r="M6" s="10"/>
      <c r="N6" s="10"/>
      <c r="O6" s="10"/>
      <c r="P6" s="10"/>
      <c r="Q6" s="10"/>
      <c r="R6" s="10"/>
      <c r="S6" s="10"/>
    </row>
    <row r="7" spans="1:19" ht="12.75" customHeight="1" x14ac:dyDescent="0.25">
      <c r="A7" s="10"/>
      <c r="B7" s="10"/>
      <c r="C7" s="10"/>
      <c r="D7" s="10"/>
      <c r="E7" s="10"/>
      <c r="F7" s="10"/>
      <c r="G7" s="10"/>
      <c r="H7" s="10"/>
      <c r="I7" s="10"/>
      <c r="J7" s="10"/>
      <c r="K7" s="10"/>
      <c r="L7" s="10"/>
      <c r="M7" s="10"/>
      <c r="N7" s="10"/>
      <c r="O7" s="10"/>
      <c r="P7" s="10"/>
      <c r="Q7" s="10"/>
      <c r="R7" s="10"/>
      <c r="S7" s="10"/>
    </row>
    <row r="8" spans="1:19" ht="9.75" customHeight="1" x14ac:dyDescent="0.25">
      <c r="A8" s="10"/>
      <c r="B8" s="10"/>
      <c r="C8" s="10"/>
      <c r="D8" s="10"/>
      <c r="E8" s="10"/>
      <c r="F8" s="10"/>
      <c r="G8" s="10"/>
      <c r="H8" s="10"/>
      <c r="I8" s="10"/>
      <c r="J8" s="10"/>
      <c r="K8" s="10"/>
      <c r="L8" s="10"/>
      <c r="M8" s="10"/>
      <c r="N8" s="10"/>
      <c r="O8" s="10"/>
      <c r="P8" s="10"/>
      <c r="Q8" s="10"/>
      <c r="R8" s="10"/>
      <c r="S8" s="10"/>
    </row>
    <row r="9" spans="1:19" x14ac:dyDescent="0.25">
      <c r="A9" s="10"/>
      <c r="B9" s="10"/>
      <c r="C9" s="10"/>
      <c r="D9" s="10"/>
      <c r="E9" s="10"/>
      <c r="F9" s="10"/>
      <c r="G9" s="10"/>
      <c r="H9" s="10"/>
      <c r="I9" s="10"/>
      <c r="J9" s="10"/>
      <c r="K9" s="10"/>
      <c r="L9" s="10"/>
      <c r="M9" s="10"/>
      <c r="N9" s="10"/>
      <c r="O9" s="10"/>
      <c r="P9" s="10"/>
      <c r="Q9" s="10"/>
      <c r="R9" s="10"/>
      <c r="S9" s="10"/>
    </row>
    <row r="10" spans="1:19" ht="13.8" x14ac:dyDescent="0.25">
      <c r="A10" s="9"/>
      <c r="B10" s="9"/>
      <c r="C10" s="9"/>
      <c r="D10" s="9"/>
      <c r="E10" s="9"/>
      <c r="F10" s="9"/>
      <c r="G10" s="9"/>
      <c r="H10" s="9"/>
      <c r="I10" s="9"/>
      <c r="J10" s="9"/>
      <c r="K10" s="9"/>
      <c r="L10" s="9"/>
      <c r="M10" s="10"/>
      <c r="N10" s="10"/>
      <c r="O10" s="10"/>
      <c r="P10" s="10"/>
      <c r="Q10" s="10"/>
      <c r="R10" s="10"/>
      <c r="S10" s="10"/>
    </row>
    <row r="11" spans="1:19" ht="13.8" x14ac:dyDescent="0.25">
      <c r="A11" s="9"/>
      <c r="B11" s="9"/>
      <c r="C11" s="9"/>
      <c r="D11" s="9"/>
      <c r="E11" s="9"/>
      <c r="F11" s="9"/>
      <c r="G11" s="9"/>
      <c r="H11" s="9"/>
      <c r="I11" s="9"/>
      <c r="J11" s="9"/>
      <c r="K11" s="9"/>
      <c r="L11" s="9"/>
      <c r="M11" s="10"/>
      <c r="N11" s="10"/>
      <c r="O11" s="10"/>
      <c r="P11" s="10"/>
      <c r="Q11" s="10"/>
      <c r="R11" s="10"/>
      <c r="S11" s="10"/>
    </row>
    <row r="12" spans="1:19" ht="13.8" x14ac:dyDescent="0.25">
      <c r="A12" s="9"/>
      <c r="B12" s="9"/>
      <c r="C12" s="9"/>
      <c r="D12" s="9"/>
      <c r="E12" s="9"/>
      <c r="F12" s="9"/>
      <c r="G12" s="9"/>
      <c r="H12" s="9"/>
      <c r="I12" s="9"/>
      <c r="J12" s="9"/>
      <c r="K12" s="9"/>
      <c r="L12" s="9"/>
      <c r="M12" s="10"/>
      <c r="N12" s="10"/>
      <c r="O12" s="10"/>
      <c r="P12" s="10"/>
      <c r="Q12" s="10"/>
      <c r="R12" s="10"/>
      <c r="S12" s="10"/>
    </row>
    <row r="13" spans="1:19" ht="30.6" thickBot="1" x14ac:dyDescent="0.3">
      <c r="A13" s="84" t="s">
        <v>2</v>
      </c>
      <c r="B13" s="84"/>
      <c r="C13" s="84"/>
      <c r="D13" s="84"/>
      <c r="E13" s="84"/>
      <c r="F13" s="84"/>
      <c r="G13" s="84"/>
      <c r="H13" s="84"/>
      <c r="I13" s="84"/>
      <c r="J13" s="84"/>
      <c r="K13" s="84"/>
      <c r="L13" s="84"/>
      <c r="M13" s="84"/>
      <c r="N13" s="84"/>
      <c r="O13" s="84"/>
      <c r="P13" s="84"/>
      <c r="Q13" s="84"/>
      <c r="R13" s="84"/>
      <c r="S13" s="84"/>
    </row>
    <row r="14" spans="1:19" ht="14.4" thickTop="1" x14ac:dyDescent="0.25">
      <c r="A14" s="9"/>
      <c r="B14" s="9"/>
      <c r="C14" s="9"/>
      <c r="D14" s="9"/>
      <c r="E14" s="9"/>
      <c r="F14" s="9"/>
      <c r="G14" s="9"/>
      <c r="H14" s="9"/>
      <c r="I14" s="9"/>
      <c r="J14" s="9"/>
      <c r="K14" s="9"/>
      <c r="L14" s="9"/>
      <c r="M14" s="10"/>
      <c r="N14" s="10"/>
      <c r="O14" s="10"/>
      <c r="P14" s="10"/>
      <c r="Q14" s="10"/>
      <c r="R14" s="10"/>
      <c r="S14" s="10"/>
    </row>
    <row r="15" spans="1:19" ht="13.8" x14ac:dyDescent="0.25">
      <c r="A15" s="9"/>
      <c r="B15" s="9"/>
      <c r="C15" s="9"/>
      <c r="D15" s="9"/>
      <c r="E15" s="9"/>
      <c r="F15" s="9"/>
      <c r="G15" s="9"/>
      <c r="H15" s="9"/>
      <c r="I15" s="9"/>
      <c r="J15" s="9"/>
      <c r="K15" s="9"/>
      <c r="L15" s="9"/>
      <c r="M15" s="10"/>
      <c r="N15" s="10"/>
      <c r="O15" s="10"/>
      <c r="P15" s="10"/>
      <c r="Q15" s="10"/>
      <c r="R15" s="13"/>
      <c r="S15" s="13"/>
    </row>
    <row r="16" spans="1:19" ht="13.8" x14ac:dyDescent="0.25">
      <c r="A16" s="14"/>
      <c r="B16" s="14"/>
      <c r="C16" s="14"/>
      <c r="D16" s="14"/>
      <c r="E16" s="14"/>
      <c r="F16" s="14"/>
      <c r="G16" s="14"/>
      <c r="H16" s="14"/>
      <c r="I16" s="14"/>
      <c r="J16" s="14"/>
      <c r="K16" s="14"/>
      <c r="L16" s="14"/>
      <c r="M16" s="13"/>
      <c r="N16" s="13"/>
      <c r="O16" s="13"/>
      <c r="P16" s="13"/>
      <c r="Q16" s="13"/>
      <c r="R16" s="13"/>
      <c r="S16" s="13"/>
    </row>
    <row r="17" spans="1:19" ht="13.8" x14ac:dyDescent="0.25">
      <c r="A17" s="14"/>
      <c r="B17" s="14"/>
      <c r="C17" s="14"/>
      <c r="D17" s="14"/>
      <c r="E17" s="14"/>
      <c r="F17" s="14"/>
      <c r="G17" s="14"/>
      <c r="H17" s="14"/>
      <c r="I17" s="14"/>
      <c r="J17" s="14"/>
      <c r="K17" s="14"/>
      <c r="L17" s="14"/>
      <c r="M17" s="13"/>
      <c r="N17" s="13"/>
      <c r="O17" s="13"/>
      <c r="P17" s="13"/>
      <c r="Q17" s="13"/>
      <c r="R17" s="13"/>
      <c r="S17" s="13"/>
    </row>
    <row r="18" spans="1:19" s="15" customFormat="1" ht="30.75" customHeight="1" x14ac:dyDescent="0.25">
      <c r="A18" s="85" t="s">
        <v>17</v>
      </c>
      <c r="B18" s="85"/>
      <c r="C18" s="85"/>
      <c r="D18" s="85"/>
      <c r="E18" s="85"/>
      <c r="F18" s="85"/>
      <c r="G18" s="85"/>
      <c r="H18" s="85"/>
      <c r="I18" s="85"/>
      <c r="J18" s="85"/>
      <c r="K18" s="85"/>
      <c r="L18" s="85"/>
      <c r="M18" s="85"/>
      <c r="N18" s="85"/>
      <c r="O18" s="85"/>
      <c r="P18" s="85"/>
      <c r="Q18" s="85"/>
      <c r="R18" s="85"/>
      <c r="S18" s="85"/>
    </row>
    <row r="19" spans="1:19" s="15" customFormat="1" ht="40.65" customHeight="1" x14ac:dyDescent="0.25">
      <c r="A19" s="86" t="s">
        <v>1</v>
      </c>
      <c r="B19" s="86"/>
      <c r="C19" s="86"/>
      <c r="D19" s="86"/>
      <c r="E19" s="86"/>
      <c r="F19" s="86"/>
      <c r="G19" s="86"/>
      <c r="H19" s="86"/>
      <c r="I19" s="86"/>
      <c r="J19" s="86"/>
      <c r="K19" s="86"/>
      <c r="L19" s="86"/>
      <c r="M19" s="86"/>
      <c r="N19" s="86"/>
      <c r="O19" s="86"/>
      <c r="P19" s="86"/>
      <c r="Q19" s="86"/>
      <c r="R19" s="86"/>
      <c r="S19" s="86"/>
    </row>
    <row r="20" spans="1:19" s="15" customFormat="1" ht="13.8" x14ac:dyDescent="0.25">
      <c r="A20" s="16"/>
      <c r="B20" s="16"/>
      <c r="C20" s="16"/>
      <c r="D20" s="16"/>
      <c r="E20" s="16"/>
      <c r="F20" s="16"/>
      <c r="G20" s="16"/>
      <c r="H20" s="16"/>
      <c r="I20" s="16"/>
      <c r="J20" s="16"/>
    </row>
    <row r="21" spans="1:19" s="15" customFormat="1" ht="58.65" customHeight="1" x14ac:dyDescent="0.25">
      <c r="A21" s="87" t="s">
        <v>74</v>
      </c>
      <c r="B21" s="87"/>
      <c r="C21" s="87"/>
      <c r="D21" s="87"/>
      <c r="E21" s="87"/>
      <c r="F21" s="87"/>
      <c r="G21" s="87"/>
      <c r="H21" s="87"/>
      <c r="I21" s="87"/>
      <c r="J21" s="6"/>
      <c r="K21" s="88" t="s">
        <v>107</v>
      </c>
      <c r="L21" s="88"/>
      <c r="M21" s="88"/>
      <c r="N21" s="88"/>
      <c r="O21" s="88"/>
      <c r="P21" s="88"/>
      <c r="Q21" s="88"/>
      <c r="R21" s="88"/>
      <c r="S21" s="88"/>
    </row>
    <row r="22" spans="1:19" s="15" customFormat="1" ht="13.8" x14ac:dyDescent="0.25">
      <c r="A22" s="16"/>
      <c r="B22" s="16"/>
      <c r="C22" s="16"/>
      <c r="D22" s="16"/>
      <c r="E22" s="16"/>
      <c r="F22" s="16"/>
      <c r="G22" s="16"/>
      <c r="H22" s="16"/>
      <c r="I22" s="16"/>
      <c r="J22" s="16"/>
    </row>
    <row r="23" spans="1:19" s="15" customFormat="1" ht="70.2" customHeight="1" x14ac:dyDescent="0.25">
      <c r="A23" s="91" t="s">
        <v>18</v>
      </c>
      <c r="B23" s="91"/>
      <c r="C23" s="91"/>
      <c r="D23" s="91"/>
      <c r="E23" s="91"/>
      <c r="F23" s="91"/>
      <c r="G23" s="91"/>
      <c r="H23" s="91"/>
      <c r="I23" s="91"/>
      <c r="J23" s="7"/>
      <c r="K23" s="92" t="s">
        <v>108</v>
      </c>
      <c r="L23" s="92"/>
      <c r="M23" s="92"/>
      <c r="N23" s="92"/>
      <c r="O23" s="92"/>
      <c r="P23" s="92"/>
      <c r="Q23" s="92"/>
      <c r="R23" s="92"/>
      <c r="S23" s="92"/>
    </row>
    <row r="24" spans="1:19" s="15" customFormat="1" ht="13.8" x14ac:dyDescent="0.25">
      <c r="A24" s="16"/>
      <c r="B24" s="16"/>
      <c r="C24" s="16"/>
      <c r="D24" s="16"/>
      <c r="E24" s="16"/>
      <c r="F24" s="16"/>
      <c r="G24" s="16"/>
      <c r="H24" s="16"/>
      <c r="I24" s="16"/>
      <c r="J24" s="16"/>
    </row>
    <row r="25" spans="1:19" s="15" customFormat="1" ht="70.2" customHeight="1" x14ac:dyDescent="0.25">
      <c r="A25" s="93" t="s">
        <v>3</v>
      </c>
      <c r="B25" s="93"/>
      <c r="C25" s="93"/>
      <c r="D25" s="93"/>
      <c r="E25" s="93"/>
      <c r="F25" s="93"/>
      <c r="G25" s="93"/>
      <c r="H25" s="93"/>
      <c r="I25" s="93"/>
      <c r="J25" s="7"/>
      <c r="K25" s="94" t="s">
        <v>106</v>
      </c>
      <c r="L25" s="94"/>
      <c r="M25" s="94"/>
      <c r="N25" s="94"/>
      <c r="O25" s="94"/>
      <c r="P25" s="94"/>
      <c r="Q25" s="94"/>
      <c r="R25" s="94"/>
      <c r="S25" s="94"/>
    </row>
    <row r="26" spans="1:19" s="15" customFormat="1" ht="13.8" x14ac:dyDescent="0.25">
      <c r="A26" s="16"/>
      <c r="B26" s="16"/>
      <c r="C26" s="16"/>
      <c r="D26" s="16"/>
      <c r="E26" s="16"/>
      <c r="F26" s="16"/>
      <c r="G26" s="16"/>
      <c r="H26" s="16"/>
      <c r="I26" s="16"/>
      <c r="J26" s="16"/>
    </row>
    <row r="27" spans="1:19" ht="27" customHeight="1" x14ac:dyDescent="0.25">
      <c r="A27" s="89" t="s">
        <v>13</v>
      </c>
      <c r="B27" s="89"/>
      <c r="C27" s="89"/>
      <c r="D27" s="89"/>
      <c r="E27" s="89"/>
      <c r="F27" s="89"/>
      <c r="G27" s="89"/>
      <c r="H27" s="89"/>
      <c r="I27" s="89"/>
      <c r="K27" s="90" t="s">
        <v>19</v>
      </c>
      <c r="L27" s="90"/>
      <c r="M27" s="90"/>
      <c r="N27" s="90"/>
      <c r="O27" s="90"/>
      <c r="P27" s="90"/>
      <c r="Q27" s="90"/>
      <c r="R27" s="90"/>
      <c r="S27" s="90"/>
    </row>
    <row r="28" spans="1:19" ht="27" customHeight="1" x14ac:dyDescent="0.25">
      <c r="A28" s="89"/>
      <c r="B28" s="89"/>
      <c r="C28" s="89"/>
      <c r="D28" s="89"/>
      <c r="E28" s="89"/>
      <c r="F28" s="89"/>
      <c r="G28" s="89"/>
      <c r="H28" s="89"/>
      <c r="I28" s="89"/>
      <c r="K28" s="90"/>
      <c r="L28" s="90"/>
      <c r="M28" s="90"/>
      <c r="N28" s="90"/>
      <c r="O28" s="17"/>
      <c r="P28" s="17"/>
      <c r="Q28" s="17"/>
      <c r="R28" s="17"/>
      <c r="S28" s="17"/>
    </row>
    <row r="29" spans="1:19" ht="27" customHeight="1" x14ac:dyDescent="0.25">
      <c r="A29" s="89"/>
      <c r="B29" s="89"/>
      <c r="C29" s="89"/>
      <c r="D29" s="89"/>
      <c r="E29" s="89"/>
      <c r="F29" s="89"/>
      <c r="G29" s="89"/>
      <c r="H29" s="89"/>
      <c r="I29" s="89"/>
      <c r="K29" s="90"/>
      <c r="L29" s="90"/>
      <c r="M29" s="90"/>
      <c r="N29" s="90"/>
      <c r="O29" s="90"/>
      <c r="P29" s="90"/>
      <c r="Q29" s="90"/>
      <c r="R29" s="90"/>
      <c r="S29" s="90"/>
    </row>
    <row r="30" spans="1:19" s="15" customFormat="1" ht="30.6" x14ac:dyDescent="0.25">
      <c r="A30" s="8"/>
      <c r="B30" s="18"/>
      <c r="C30" s="18"/>
      <c r="D30" s="18"/>
      <c r="E30" s="18"/>
      <c r="F30" s="18"/>
      <c r="G30" s="18"/>
      <c r="H30" s="18"/>
      <c r="I30" s="18"/>
      <c r="J30" s="18"/>
      <c r="K30" s="18"/>
      <c r="L30" s="18"/>
      <c r="M30" s="18"/>
      <c r="N30" s="18"/>
      <c r="O30" s="18"/>
      <c r="P30" s="18"/>
      <c r="Q30" s="18"/>
    </row>
    <row r="31" spans="1:19" x14ac:dyDescent="0.25">
      <c r="A31" s="10"/>
      <c r="B31" s="10"/>
      <c r="C31" s="10"/>
      <c r="D31" s="10"/>
      <c r="E31" s="10"/>
      <c r="F31" s="10"/>
      <c r="G31" s="10"/>
      <c r="H31" s="10"/>
      <c r="I31" s="10"/>
      <c r="J31" s="10"/>
      <c r="K31" s="10"/>
      <c r="L31" s="10"/>
      <c r="M31" s="10"/>
      <c r="N31" s="10"/>
      <c r="O31" s="10"/>
      <c r="P31" s="10"/>
      <c r="Q31" s="10"/>
      <c r="R31" s="10"/>
      <c r="S31" s="10"/>
    </row>
    <row r="32" spans="1:19" x14ac:dyDescent="0.25">
      <c r="A32" s="10"/>
      <c r="B32" s="10"/>
      <c r="C32" s="10"/>
      <c r="D32" s="10"/>
      <c r="E32" s="10"/>
      <c r="F32" s="10"/>
      <c r="G32" s="10"/>
      <c r="H32" s="10"/>
      <c r="I32" s="10"/>
      <c r="J32" s="10"/>
      <c r="K32" s="10"/>
      <c r="L32" s="10"/>
      <c r="M32" s="10"/>
      <c r="N32" s="10"/>
      <c r="O32" s="10"/>
      <c r="P32" s="10"/>
      <c r="Q32" s="10"/>
      <c r="R32" s="10"/>
      <c r="S32" s="10"/>
    </row>
    <row r="33" spans="1:19" x14ac:dyDescent="0.25">
      <c r="A33" s="10"/>
      <c r="B33" s="10"/>
      <c r="C33" s="10"/>
      <c r="D33" s="10"/>
      <c r="E33" s="10"/>
      <c r="F33" s="10"/>
      <c r="G33" s="10"/>
      <c r="H33" s="10"/>
      <c r="I33" s="10"/>
      <c r="J33" s="10"/>
      <c r="K33" s="10"/>
      <c r="L33" s="10"/>
      <c r="M33" s="10"/>
      <c r="N33" s="10"/>
      <c r="O33" s="10"/>
      <c r="P33" s="10"/>
      <c r="Q33" s="10"/>
      <c r="R33" s="10"/>
      <c r="S33" s="10"/>
    </row>
    <row r="34" spans="1:19" x14ac:dyDescent="0.25">
      <c r="A34" s="10"/>
      <c r="B34" s="10"/>
      <c r="C34" s="10"/>
      <c r="D34" s="10"/>
      <c r="E34" s="10"/>
      <c r="F34" s="10"/>
      <c r="G34" s="10"/>
      <c r="H34" s="10"/>
      <c r="I34" s="10"/>
      <c r="J34" s="10"/>
      <c r="K34" s="10"/>
      <c r="L34" s="10"/>
      <c r="M34" s="10"/>
      <c r="N34" s="10"/>
      <c r="O34" s="10"/>
      <c r="P34" s="10"/>
      <c r="Q34" s="10"/>
      <c r="R34" s="10"/>
      <c r="S34" s="10"/>
    </row>
    <row r="35" spans="1:19" x14ac:dyDescent="0.25">
      <c r="A35" s="10"/>
      <c r="B35" s="10"/>
      <c r="C35" s="10"/>
      <c r="D35" s="10"/>
      <c r="E35" s="10"/>
      <c r="F35" s="10"/>
      <c r="G35" s="10"/>
      <c r="H35" s="10"/>
      <c r="I35" s="10"/>
      <c r="J35" s="10"/>
      <c r="K35" s="10"/>
      <c r="L35" s="10"/>
      <c r="M35" s="10"/>
      <c r="N35" s="10"/>
      <c r="O35" s="10"/>
      <c r="P35" s="10"/>
      <c r="Q35" s="10"/>
      <c r="R35" s="10"/>
      <c r="S35" s="10"/>
    </row>
    <row r="36" spans="1:19" x14ac:dyDescent="0.25">
      <c r="A36" s="10"/>
      <c r="B36" s="10"/>
      <c r="C36" s="10"/>
      <c r="D36" s="10"/>
      <c r="E36" s="10"/>
      <c r="F36" s="10"/>
      <c r="G36" s="10"/>
      <c r="H36" s="10"/>
      <c r="I36" s="10"/>
      <c r="J36" s="10"/>
      <c r="K36" s="10"/>
      <c r="L36" s="10"/>
      <c r="M36" s="10"/>
      <c r="N36" s="10"/>
      <c r="O36" s="10"/>
      <c r="P36" s="10"/>
      <c r="Q36" s="10"/>
      <c r="R36" s="10"/>
      <c r="S36" s="10"/>
    </row>
    <row r="37" spans="1:19" s="15" customFormat="1" ht="15.6" x14ac:dyDescent="0.25">
      <c r="A37" s="19" t="s">
        <v>4</v>
      </c>
      <c r="C37" s="20">
        <f ca="1">TODAY()</f>
        <v>44518</v>
      </c>
      <c r="D37" s="16"/>
      <c r="E37" s="16"/>
      <c r="F37" s="16"/>
      <c r="G37" s="16"/>
      <c r="H37" s="16"/>
      <c r="I37" s="16"/>
      <c r="J37" s="16"/>
    </row>
  </sheetData>
  <mergeCells count="15">
    <mergeCell ref="A28:I28"/>
    <mergeCell ref="K28:N28"/>
    <mergeCell ref="A29:I29"/>
    <mergeCell ref="K29:S29"/>
    <mergeCell ref="A23:I23"/>
    <mergeCell ref="K23:S23"/>
    <mergeCell ref="A25:I25"/>
    <mergeCell ref="K25:S25"/>
    <mergeCell ref="A27:I27"/>
    <mergeCell ref="K27:S27"/>
    <mergeCell ref="A13:S13"/>
    <mergeCell ref="A18:S18"/>
    <mergeCell ref="A19:S19"/>
    <mergeCell ref="A21:I21"/>
    <mergeCell ref="K21:S21"/>
  </mergeCells>
  <printOptions horizontalCentered="1" verticalCentered="1"/>
  <pageMargins left="0.75" right="0.75" top="1" bottom="1" header="0.5" footer="0.5"/>
  <pageSetup paperSize="9" scale="60"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38"/>
  <sheetViews>
    <sheetView topLeftCell="A21" workbookViewId="0">
      <selection activeCell="E18" sqref="E18"/>
    </sheetView>
  </sheetViews>
  <sheetFormatPr defaultColWidth="8" defaultRowHeight="13.2" x14ac:dyDescent="0.25"/>
  <cols>
    <col min="1" max="1" width="54.109375" style="2" customWidth="1"/>
    <col min="2" max="2" width="86.44140625" style="50" customWidth="1"/>
    <col min="3" max="3" width="25.109375" style="2" bestFit="1" customWidth="1"/>
    <col min="4" max="16384" width="8" style="2"/>
  </cols>
  <sheetData>
    <row r="1" spans="1:3" hidden="1" x14ac:dyDescent="0.25">
      <c r="A1" s="1" t="s">
        <v>5</v>
      </c>
    </row>
    <row r="2" spans="1:3" hidden="1" x14ac:dyDescent="0.25">
      <c r="A2" s="3" t="s">
        <v>20</v>
      </c>
      <c r="B2" s="51" t="s">
        <v>6</v>
      </c>
    </row>
    <row r="3" spans="1:3" hidden="1" x14ac:dyDescent="0.25">
      <c r="A3" s="3" t="s">
        <v>20</v>
      </c>
      <c r="B3" s="51" t="s">
        <v>6</v>
      </c>
    </row>
    <row r="4" spans="1:3" hidden="1" x14ac:dyDescent="0.25">
      <c r="A4" s="3" t="s">
        <v>21</v>
      </c>
      <c r="B4" s="51" t="s">
        <v>7</v>
      </c>
    </row>
    <row r="5" spans="1:3" hidden="1" x14ac:dyDescent="0.25">
      <c r="A5" s="3" t="s">
        <v>22</v>
      </c>
      <c r="B5" s="51" t="s">
        <v>7</v>
      </c>
    </row>
    <row r="6" spans="1:3" x14ac:dyDescent="0.25">
      <c r="A6" s="5"/>
      <c r="B6" s="52"/>
      <c r="C6" s="4"/>
    </row>
    <row r="7" spans="1:3" x14ac:dyDescent="0.25">
      <c r="A7" s="30"/>
      <c r="B7" s="52"/>
      <c r="C7" s="4"/>
    </row>
    <row r="8" spans="1:3" ht="28.2" x14ac:dyDescent="0.25">
      <c r="A8" s="95" t="s">
        <v>1</v>
      </c>
      <c r="B8" s="95"/>
      <c r="C8" s="29" t="s">
        <v>8</v>
      </c>
    </row>
    <row r="9" spans="1:3" x14ac:dyDescent="0.25">
      <c r="A9" s="4"/>
      <c r="B9" s="52"/>
      <c r="C9" s="4"/>
    </row>
    <row r="10" spans="1:3" x14ac:dyDescent="0.25">
      <c r="A10" s="5" t="s">
        <v>9</v>
      </c>
      <c r="B10" s="96" t="s">
        <v>10</v>
      </c>
      <c r="C10" s="96"/>
    </row>
    <row r="11" spans="1:3" x14ac:dyDescent="0.25">
      <c r="A11" s="25" t="s">
        <v>11</v>
      </c>
      <c r="B11" s="21" t="s">
        <v>80</v>
      </c>
      <c r="C11" s="22"/>
    </row>
    <row r="12" spans="1:3" x14ac:dyDescent="0.25">
      <c r="A12" s="30"/>
      <c r="B12" s="52"/>
      <c r="C12" s="4"/>
    </row>
    <row r="13" spans="1:3" x14ac:dyDescent="0.25">
      <c r="A13" s="30"/>
      <c r="B13" s="52"/>
      <c r="C13" s="4"/>
    </row>
    <row r="14" spans="1:3" ht="19.649999999999999" customHeight="1" x14ac:dyDescent="0.25">
      <c r="A14" s="26" t="str">
        <f>CONCATENATE("To be Performed by Tester : ",'Test Cycle 1'!H2)</f>
        <v>To be Performed by Tester : Frank</v>
      </c>
      <c r="B14" s="53"/>
      <c r="C14" s="4"/>
    </row>
    <row r="15" spans="1:3" ht="21.9" customHeight="1" x14ac:dyDescent="0.3">
      <c r="A15" s="31" t="s">
        <v>23</v>
      </c>
      <c r="B15" s="97"/>
      <c r="C15" s="98"/>
    </row>
    <row r="16" spans="1:3" ht="39.75" customHeight="1" x14ac:dyDescent="0.25">
      <c r="A16" s="28" t="s">
        <v>24</v>
      </c>
      <c r="B16" s="28" t="s">
        <v>12</v>
      </c>
      <c r="C16" s="23" t="s">
        <v>25</v>
      </c>
    </row>
    <row r="17" spans="1:3" x14ac:dyDescent="0.25">
      <c r="A17" s="24" t="s">
        <v>26</v>
      </c>
      <c r="B17" s="54"/>
      <c r="C17" s="27" t="s">
        <v>103</v>
      </c>
    </row>
    <row r="18" spans="1:3" x14ac:dyDescent="0.25">
      <c r="A18" s="24" t="s">
        <v>27</v>
      </c>
      <c r="B18" s="54"/>
      <c r="C18" s="27" t="s">
        <v>104</v>
      </c>
    </row>
    <row r="19" spans="1:3" x14ac:dyDescent="0.25">
      <c r="A19" s="24" t="s">
        <v>28</v>
      </c>
      <c r="B19" s="54"/>
      <c r="C19" s="27" t="s">
        <v>103</v>
      </c>
    </row>
    <row r="20" spans="1:3" x14ac:dyDescent="0.25">
      <c r="A20" s="24" t="s">
        <v>76</v>
      </c>
      <c r="B20" s="55"/>
      <c r="C20" s="27" t="s">
        <v>103</v>
      </c>
    </row>
    <row r="21" spans="1:3" x14ac:dyDescent="0.25">
      <c r="A21" s="24" t="s">
        <v>77</v>
      </c>
      <c r="B21" s="54"/>
      <c r="C21" s="27" t="s">
        <v>103</v>
      </c>
    </row>
    <row r="22" spans="1:3" x14ac:dyDescent="0.25">
      <c r="A22" s="24" t="s">
        <v>79</v>
      </c>
      <c r="B22" s="54"/>
      <c r="C22" s="27" t="s">
        <v>103</v>
      </c>
    </row>
    <row r="23" spans="1:3" x14ac:dyDescent="0.25">
      <c r="A23" s="24" t="s">
        <v>78</v>
      </c>
      <c r="B23" s="59"/>
      <c r="C23" s="27" t="s">
        <v>103</v>
      </c>
    </row>
    <row r="24" spans="1:3" x14ac:dyDescent="0.25">
      <c r="A24" s="24" t="s">
        <v>29</v>
      </c>
      <c r="B24" s="54"/>
      <c r="C24" s="27" t="s">
        <v>103</v>
      </c>
    </row>
    <row r="25" spans="1:3" x14ac:dyDescent="0.25">
      <c r="A25" s="24" t="s">
        <v>30</v>
      </c>
      <c r="B25" s="54"/>
      <c r="C25" s="27" t="s">
        <v>104</v>
      </c>
    </row>
    <row r="26" spans="1:3" ht="26.4" x14ac:dyDescent="0.25">
      <c r="A26" s="24" t="s">
        <v>31</v>
      </c>
      <c r="B26" s="27"/>
      <c r="C26" s="27" t="s">
        <v>104</v>
      </c>
    </row>
    <row r="27" spans="1:3" x14ac:dyDescent="0.25">
      <c r="A27" s="24" t="s">
        <v>55</v>
      </c>
      <c r="B27" s="27"/>
      <c r="C27" s="27" t="s">
        <v>104</v>
      </c>
    </row>
    <row r="28" spans="1:3" x14ac:dyDescent="0.25">
      <c r="A28" s="24" t="s">
        <v>81</v>
      </c>
      <c r="B28" s="54"/>
      <c r="C28" s="27" t="s">
        <v>103</v>
      </c>
    </row>
    <row r="29" spans="1:3" x14ac:dyDescent="0.25">
      <c r="A29" s="24" t="s">
        <v>82</v>
      </c>
      <c r="B29" s="54"/>
      <c r="C29" s="27" t="s">
        <v>103</v>
      </c>
    </row>
    <row r="30" spans="1:3" x14ac:dyDescent="0.25">
      <c r="A30" s="43"/>
      <c r="B30" s="56"/>
      <c r="C30" s="44"/>
    </row>
    <row r="31" spans="1:3" x14ac:dyDescent="0.25">
      <c r="A31" s="45"/>
      <c r="B31" s="57"/>
      <c r="C31" s="45"/>
    </row>
    <row r="32" spans="1:3" x14ac:dyDescent="0.25">
      <c r="A32" s="42" t="str">
        <f>CONCATENATE("To be Performed by Reviewer : ",'Test Cycle 1'!H3)</f>
        <v xml:space="preserve">To be Performed by Reviewer : </v>
      </c>
      <c r="B32" s="53"/>
      <c r="C32" s="4"/>
    </row>
    <row r="33" spans="1:3" ht="14.4" x14ac:dyDescent="0.3">
      <c r="A33" s="31" t="s">
        <v>23</v>
      </c>
      <c r="B33" s="97"/>
      <c r="C33" s="98"/>
    </row>
    <row r="34" spans="1:3" ht="26.4" x14ac:dyDescent="0.25">
      <c r="A34" s="28" t="s">
        <v>24</v>
      </c>
      <c r="B34" s="28"/>
      <c r="C34" s="23" t="s">
        <v>25</v>
      </c>
    </row>
    <row r="35" spans="1:3" x14ac:dyDescent="0.25">
      <c r="A35" s="24" t="s">
        <v>32</v>
      </c>
      <c r="B35" s="54"/>
      <c r="C35" s="27"/>
    </row>
    <row r="36" spans="1:3" x14ac:dyDescent="0.25">
      <c r="A36" s="24" t="s">
        <v>33</v>
      </c>
      <c r="B36" s="54"/>
      <c r="C36" s="27"/>
    </row>
    <row r="37" spans="1:3" x14ac:dyDescent="0.25">
      <c r="A37" s="24" t="s">
        <v>75</v>
      </c>
      <c r="B37" s="54"/>
      <c r="C37" s="27"/>
    </row>
    <row r="38" spans="1:3" x14ac:dyDescent="0.25">
      <c r="A38" s="24" t="s">
        <v>34</v>
      </c>
      <c r="B38" s="54"/>
      <c r="C38" s="27"/>
    </row>
  </sheetData>
  <mergeCells count="4">
    <mergeCell ref="A8:B8"/>
    <mergeCell ref="B10:C10"/>
    <mergeCell ref="B15:C15"/>
    <mergeCell ref="B33:C33"/>
  </mergeCells>
  <printOptions horizontalCentered="1"/>
  <pageMargins left="0.75" right="0.75" top="0.55000000000000004" bottom="0.6" header="0.23" footer="0.28000000000000003"/>
  <pageSetup scale="82" orientation="portrait" r:id="rId1"/>
  <headerFooter alignWithMargins="0">
    <oddFooter>&amp;L&amp;8© Accenture 2008 All rights reserved.&amp;C&amp;8&amp;P / &amp;N&amp;R&amp;8&amp;F</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pageSetUpPr fitToPage="1"/>
  </sheetPr>
  <dimension ref="A1:BC23"/>
  <sheetViews>
    <sheetView zoomScale="70" zoomScaleNormal="70" workbookViewId="0">
      <selection activeCell="F2" sqref="F2"/>
    </sheetView>
  </sheetViews>
  <sheetFormatPr defaultColWidth="9.109375" defaultRowHeight="14.4" x14ac:dyDescent="0.3"/>
  <cols>
    <col min="1" max="1" width="22.88671875" style="33" customWidth="1"/>
    <col min="2" max="2" width="37.109375" style="33" customWidth="1"/>
    <col min="3" max="3" width="54.33203125" style="33" customWidth="1"/>
    <col min="4" max="4" width="23.44140625" style="33" bestFit="1" customWidth="1"/>
    <col min="5" max="5" width="41.44140625" style="60" customWidth="1"/>
    <col min="6" max="6" width="36.88671875" style="33" customWidth="1"/>
    <col min="7" max="7" width="39.44140625" style="33" customWidth="1"/>
    <col min="8" max="8" width="36.88671875" style="33" customWidth="1"/>
    <col min="9" max="9" width="25" style="33" customWidth="1"/>
    <col min="10" max="10" width="23.44140625" style="33" customWidth="1"/>
    <col min="11" max="11" width="32" style="33" customWidth="1"/>
    <col min="12" max="12" width="30.88671875" style="33" customWidth="1"/>
    <col min="13" max="22" width="9.109375" style="32"/>
    <col min="23" max="23" width="17.109375" style="32" bestFit="1" customWidth="1"/>
    <col min="24" max="24" width="9.109375" style="32"/>
    <col min="25" max="25" width="14.33203125" style="32" bestFit="1" customWidth="1"/>
    <col min="26" max="48" width="9.109375" style="32"/>
    <col min="49" max="49" width="9" style="32" customWidth="1"/>
    <col min="50" max="52" width="9.109375" style="32" hidden="1" customWidth="1"/>
    <col min="53" max="53" width="27.6640625" style="32" customWidth="1"/>
    <col min="54" max="16384" width="9.109375" style="32"/>
  </cols>
  <sheetData>
    <row r="1" spans="1:55" s="33" customFormat="1" x14ac:dyDescent="0.3">
      <c r="A1" s="35" t="s">
        <v>43</v>
      </c>
      <c r="B1" s="99" t="s">
        <v>83</v>
      </c>
      <c r="C1" s="100"/>
      <c r="D1" s="100"/>
      <c r="E1" s="71" t="s">
        <v>44</v>
      </c>
      <c r="F1" s="36" t="s">
        <v>120</v>
      </c>
      <c r="G1" s="37"/>
      <c r="H1" s="37"/>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4" t="s">
        <v>35</v>
      </c>
      <c r="BB1" s="34" t="s">
        <v>35</v>
      </c>
      <c r="BC1" s="33" t="s">
        <v>36</v>
      </c>
    </row>
    <row r="2" spans="1:55" s="33" customFormat="1" x14ac:dyDescent="0.3">
      <c r="A2" s="35" t="s">
        <v>46</v>
      </c>
      <c r="B2" s="99" t="s">
        <v>84</v>
      </c>
      <c r="C2" s="100"/>
      <c r="D2" s="100"/>
      <c r="E2" s="71" t="s">
        <v>47</v>
      </c>
      <c r="F2" s="38" t="s">
        <v>136</v>
      </c>
      <c r="G2" s="35" t="s">
        <v>48</v>
      </c>
      <c r="H2" s="41" t="s">
        <v>105</v>
      </c>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4" t="s">
        <v>37</v>
      </c>
      <c r="BB2" s="34" t="s">
        <v>37</v>
      </c>
      <c r="BC2" s="33" t="s">
        <v>38</v>
      </c>
    </row>
    <row r="3" spans="1:55" s="33" customFormat="1" ht="26.25" customHeight="1" x14ac:dyDescent="0.3">
      <c r="A3" s="35" t="s">
        <v>50</v>
      </c>
      <c r="B3" s="101" t="s">
        <v>37</v>
      </c>
      <c r="C3" s="101"/>
      <c r="D3" s="101"/>
      <c r="E3" s="71" t="s">
        <v>51</v>
      </c>
      <c r="F3" s="39"/>
      <c r="G3" s="35" t="s">
        <v>52</v>
      </c>
      <c r="H3" s="36"/>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4" t="s">
        <v>39</v>
      </c>
      <c r="BB3" s="34" t="s">
        <v>40</v>
      </c>
      <c r="BC3" s="33" t="s">
        <v>15</v>
      </c>
    </row>
    <row r="4" spans="1:55" s="33" customFormat="1" ht="19.649999999999999" customHeight="1" x14ac:dyDescent="0.3">
      <c r="A4" s="35" t="s">
        <v>54</v>
      </c>
      <c r="B4" s="102" t="s">
        <v>130</v>
      </c>
      <c r="C4" s="103"/>
      <c r="D4" s="103"/>
      <c r="E4" s="103"/>
      <c r="F4" s="103"/>
      <c r="G4" s="103"/>
      <c r="H4" s="103"/>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4" t="s">
        <v>41</v>
      </c>
      <c r="BB4" s="34" t="s">
        <v>15</v>
      </c>
      <c r="BC4" s="33" t="s">
        <v>16</v>
      </c>
    </row>
    <row r="5" spans="1:55" s="33" customFormat="1" x14ac:dyDescent="0.3">
      <c r="A5" s="70" t="s">
        <v>66</v>
      </c>
      <c r="B5" s="70" t="s">
        <v>67</v>
      </c>
      <c r="C5" s="70" t="s">
        <v>68</v>
      </c>
      <c r="D5" s="70" t="s">
        <v>69</v>
      </c>
      <c r="E5" s="70" t="s">
        <v>70</v>
      </c>
      <c r="F5" s="70" t="s">
        <v>71</v>
      </c>
      <c r="G5" s="70" t="s">
        <v>72</v>
      </c>
      <c r="H5" s="70" t="s">
        <v>73</v>
      </c>
      <c r="I5" s="70" t="s">
        <v>64</v>
      </c>
      <c r="J5" s="70" t="s">
        <v>65</v>
      </c>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4" t="s">
        <v>42</v>
      </c>
      <c r="AZ5" s="34" t="s">
        <v>16</v>
      </c>
    </row>
    <row r="6" spans="1:55" s="33" customFormat="1" ht="27.6" x14ac:dyDescent="0.3">
      <c r="A6" s="46">
        <v>1</v>
      </c>
      <c r="B6" s="74" t="s">
        <v>85</v>
      </c>
      <c r="C6" s="47" t="s">
        <v>86</v>
      </c>
      <c r="D6" s="47" t="s">
        <v>87</v>
      </c>
      <c r="E6" s="48" t="s">
        <v>131</v>
      </c>
      <c r="F6" s="48" t="s">
        <v>88</v>
      </c>
      <c r="G6" s="48" t="s">
        <v>134</v>
      </c>
      <c r="H6" s="47" t="s">
        <v>89</v>
      </c>
      <c r="I6" s="37"/>
      <c r="J6" s="40"/>
      <c r="AY6" s="34" t="s">
        <v>45</v>
      </c>
    </row>
    <row r="7" spans="1:55" s="33" customFormat="1" ht="116.25" customHeight="1" x14ac:dyDescent="0.3">
      <c r="A7" s="49">
        <v>2</v>
      </c>
      <c r="B7" s="74" t="s">
        <v>90</v>
      </c>
      <c r="C7" s="75" t="s">
        <v>91</v>
      </c>
      <c r="D7" s="76" t="s">
        <v>92</v>
      </c>
      <c r="E7" s="75" t="s">
        <v>93</v>
      </c>
      <c r="F7" s="75" t="s">
        <v>94</v>
      </c>
      <c r="G7" s="75" t="s">
        <v>93</v>
      </c>
      <c r="H7" s="75" t="s">
        <v>94</v>
      </c>
      <c r="I7" s="37"/>
      <c r="J7" s="40"/>
      <c r="AY7" s="34" t="s">
        <v>49</v>
      </c>
    </row>
    <row r="8" spans="1:55" s="33" customFormat="1" ht="41.4" x14ac:dyDescent="0.3">
      <c r="A8" s="47">
        <v>3</v>
      </c>
      <c r="B8" s="75" t="s">
        <v>95</v>
      </c>
      <c r="C8" s="76" t="s">
        <v>99</v>
      </c>
      <c r="D8" s="47" t="s">
        <v>100</v>
      </c>
      <c r="E8" s="48" t="s">
        <v>96</v>
      </c>
      <c r="F8" s="47" t="s">
        <v>97</v>
      </c>
      <c r="G8" s="48" t="s">
        <v>96</v>
      </c>
      <c r="H8" s="47" t="s">
        <v>125</v>
      </c>
      <c r="I8" s="37"/>
      <c r="J8" s="58"/>
      <c r="AY8" s="34" t="s">
        <v>53</v>
      </c>
    </row>
    <row r="9" spans="1:55" s="33" customFormat="1" ht="82.8" x14ac:dyDescent="0.3">
      <c r="A9" s="46">
        <v>4</v>
      </c>
      <c r="B9" s="74" t="s">
        <v>98</v>
      </c>
      <c r="C9" s="76" t="s">
        <v>119</v>
      </c>
      <c r="D9" s="47" t="s">
        <v>101</v>
      </c>
      <c r="E9" s="48" t="s">
        <v>133</v>
      </c>
      <c r="F9" s="47" t="s">
        <v>110</v>
      </c>
      <c r="G9" s="78" t="s">
        <v>133</v>
      </c>
      <c r="H9" s="47" t="s">
        <v>124</v>
      </c>
      <c r="I9" s="37"/>
      <c r="J9" s="58"/>
      <c r="U9" s="32"/>
    </row>
    <row r="10" spans="1:55" s="33" customFormat="1" ht="45" customHeight="1" x14ac:dyDescent="0.3">
      <c r="A10" s="49">
        <v>5</v>
      </c>
      <c r="B10" s="104" t="s">
        <v>112</v>
      </c>
      <c r="C10" s="83" t="s">
        <v>113</v>
      </c>
      <c r="D10" s="77" t="s">
        <v>87</v>
      </c>
      <c r="E10" s="78" t="s">
        <v>114</v>
      </c>
      <c r="F10" s="77" t="s">
        <v>97</v>
      </c>
      <c r="G10" s="78" t="s">
        <v>114</v>
      </c>
      <c r="H10" s="77" t="s">
        <v>115</v>
      </c>
      <c r="I10" s="37"/>
      <c r="J10" s="105"/>
    </row>
    <row r="11" spans="1:55" s="33" customFormat="1" ht="41.4" x14ac:dyDescent="0.3">
      <c r="A11" s="47">
        <v>6</v>
      </c>
      <c r="B11" s="74" t="s">
        <v>85</v>
      </c>
      <c r="C11" s="47" t="s">
        <v>86</v>
      </c>
      <c r="D11" s="47" t="s">
        <v>87</v>
      </c>
      <c r="E11" s="48" t="s">
        <v>131</v>
      </c>
      <c r="F11" s="48" t="s">
        <v>132</v>
      </c>
      <c r="G11" s="48" t="s">
        <v>135</v>
      </c>
      <c r="H11" s="47" t="s">
        <v>89</v>
      </c>
      <c r="I11" s="37"/>
      <c r="J11" s="58"/>
    </row>
    <row r="12" spans="1:55" s="33" customFormat="1" ht="135.75" customHeight="1" x14ac:dyDescent="0.3">
      <c r="A12" s="46">
        <v>7</v>
      </c>
      <c r="B12" s="74" t="s">
        <v>90</v>
      </c>
      <c r="C12" s="75" t="s">
        <v>91</v>
      </c>
      <c r="D12" s="76" t="s">
        <v>92</v>
      </c>
      <c r="E12" s="75" t="s">
        <v>93</v>
      </c>
      <c r="F12" s="75" t="s">
        <v>94</v>
      </c>
      <c r="G12" s="75" t="s">
        <v>93</v>
      </c>
      <c r="H12" s="75" t="s">
        <v>94</v>
      </c>
      <c r="I12" s="37"/>
      <c r="J12" s="58"/>
    </row>
    <row r="13" spans="1:55" s="33" customFormat="1" ht="55.2" x14ac:dyDescent="0.3">
      <c r="A13" s="49">
        <v>8</v>
      </c>
      <c r="B13" s="74" t="s">
        <v>98</v>
      </c>
      <c r="C13" s="76" t="s">
        <v>102</v>
      </c>
      <c r="D13" s="47" t="s">
        <v>101</v>
      </c>
      <c r="E13" s="48" t="s">
        <v>109</v>
      </c>
      <c r="F13" s="47" t="s">
        <v>110</v>
      </c>
      <c r="G13" s="48" t="s">
        <v>109</v>
      </c>
      <c r="H13" s="47" t="s">
        <v>110</v>
      </c>
      <c r="I13" s="37"/>
      <c r="J13" s="58"/>
      <c r="U13" s="32"/>
    </row>
    <row r="14" spans="1:55" s="33" customFormat="1" x14ac:dyDescent="0.3">
      <c r="A14" s="47">
        <v>9</v>
      </c>
      <c r="B14" s="47"/>
      <c r="C14" s="47"/>
      <c r="D14" s="47"/>
      <c r="E14" s="48"/>
      <c r="F14" s="47"/>
      <c r="G14" s="48"/>
      <c r="H14" s="47"/>
      <c r="I14" s="37"/>
      <c r="J14" s="58"/>
    </row>
    <row r="15" spans="1:55" s="33" customFormat="1" x14ac:dyDescent="0.3">
      <c r="A15" s="46">
        <v>10</v>
      </c>
      <c r="B15" s="47"/>
      <c r="C15" s="47"/>
      <c r="D15" s="47"/>
      <c r="E15" s="48"/>
      <c r="F15" s="47"/>
      <c r="G15" s="48"/>
      <c r="H15" s="47"/>
      <c r="I15" s="37"/>
      <c r="J15" s="58"/>
    </row>
    <row r="16" spans="1:55" s="33" customFormat="1" x14ac:dyDescent="0.3">
      <c r="A16" s="49">
        <v>11</v>
      </c>
      <c r="B16" s="47"/>
      <c r="C16" s="47"/>
      <c r="D16" s="47"/>
      <c r="E16" s="48"/>
      <c r="F16" s="47"/>
      <c r="G16" s="48"/>
      <c r="H16" s="47"/>
      <c r="I16" s="37"/>
      <c r="J16" s="58"/>
    </row>
    <row r="17" spans="1:10" s="33" customFormat="1" ht="23.25" customHeight="1" x14ac:dyDescent="0.3">
      <c r="A17" s="47">
        <v>12</v>
      </c>
      <c r="B17" s="47"/>
      <c r="C17" s="47"/>
      <c r="D17" s="47"/>
      <c r="E17" s="48"/>
      <c r="F17" s="47"/>
      <c r="G17" s="48"/>
      <c r="H17" s="47"/>
      <c r="I17" s="37"/>
      <c r="J17" s="58"/>
    </row>
    <row r="18" spans="1:10" s="33" customFormat="1" ht="30" customHeight="1" x14ac:dyDescent="0.3">
      <c r="A18" s="47">
        <v>12</v>
      </c>
      <c r="B18" s="47"/>
      <c r="C18" s="47"/>
      <c r="D18" s="47"/>
      <c r="E18" s="48"/>
      <c r="F18" s="47"/>
      <c r="G18" s="48"/>
      <c r="H18" s="47"/>
      <c r="I18" s="37"/>
      <c r="J18" s="58"/>
    </row>
    <row r="19" spans="1:10" s="33" customFormat="1" x14ac:dyDescent="0.3">
      <c r="E19" s="60"/>
    </row>
    <row r="21" spans="1:10" s="33" customFormat="1" x14ac:dyDescent="0.3">
      <c r="E21" s="60"/>
    </row>
    <row r="22" spans="1:10" s="33" customFormat="1" ht="111.75" customHeight="1" x14ac:dyDescent="0.3">
      <c r="E22" s="60"/>
    </row>
    <row r="23" spans="1:10" s="33" customFormat="1" ht="111.75" customHeight="1" x14ac:dyDescent="0.3">
      <c r="E23" s="60"/>
    </row>
  </sheetData>
  <mergeCells count="4">
    <mergeCell ref="B1:D1"/>
    <mergeCell ref="B2:D2"/>
    <mergeCell ref="B3:D3"/>
    <mergeCell ref="B4:H4"/>
  </mergeCells>
  <dataValidations count="2">
    <dataValidation type="list" allowBlank="1" showInputMessage="1" showErrorMessage="1" sqref="I6:I18" xr:uid="{00000000-0002-0000-0200-000001000000}">
      <formula1>$BB$1:$BB$5</formula1>
    </dataValidation>
    <dataValidation type="list" allowBlank="1" showInputMessage="1" showErrorMessage="1" sqref="B3:D3" xr:uid="{00000000-0002-0000-0200-000000000000}">
      <formula1>$BA$1:$BA$8</formula1>
    </dataValidation>
  </dataValidations>
  <pageMargins left="0.75" right="0.75" top="1" bottom="1" header="0.5" footer="0.5"/>
  <pageSetup paperSize="9" scale="13" orientation="landscape" r:id="rId1"/>
  <headerFooter alignWithMargins="0"/>
  <drawing r:id="rId2"/>
  <legacyDrawing r:id="rId3"/>
  <oleObjects>
    <mc:AlternateContent xmlns:mc="http://schemas.openxmlformats.org/markup-compatibility/2006">
      <mc:Choice Requires="x14">
        <oleObject progId="Packager Shell Object" shapeId="10289" r:id="rId4">
          <objectPr defaultSize="0" r:id="rId5">
            <anchor moveWithCells="1">
              <from>
                <xdr:col>2</xdr:col>
                <xdr:colOff>693420</xdr:colOff>
                <xdr:row>6</xdr:row>
                <xdr:rowOff>579120</xdr:rowOff>
              </from>
              <to>
                <xdr:col>2</xdr:col>
                <xdr:colOff>2415540</xdr:colOff>
                <xdr:row>6</xdr:row>
                <xdr:rowOff>1097280</xdr:rowOff>
              </to>
            </anchor>
          </objectPr>
        </oleObject>
      </mc:Choice>
      <mc:Fallback>
        <oleObject progId="Packager Shell Object" shapeId="10289" r:id="rId4"/>
      </mc:Fallback>
    </mc:AlternateContent>
    <mc:AlternateContent xmlns:mc="http://schemas.openxmlformats.org/markup-compatibility/2006">
      <mc:Choice Requires="x14">
        <oleObject progId="Packager Shell Object" shapeId="10290" r:id="rId6">
          <objectPr defaultSize="0" r:id="rId5">
            <anchor moveWithCells="1">
              <from>
                <xdr:col>2</xdr:col>
                <xdr:colOff>662940</xdr:colOff>
                <xdr:row>11</xdr:row>
                <xdr:rowOff>708660</xdr:rowOff>
              </from>
              <to>
                <xdr:col>2</xdr:col>
                <xdr:colOff>2385060</xdr:colOff>
                <xdr:row>11</xdr:row>
                <xdr:rowOff>1226820</xdr:rowOff>
              </to>
            </anchor>
          </objectPr>
        </oleObject>
      </mc:Choice>
      <mc:Fallback>
        <oleObject progId="Packager Shell Object" shapeId="10290" r:id="rId6"/>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sheetPr>
  <dimension ref="A1:B12"/>
  <sheetViews>
    <sheetView workbookViewId="0"/>
  </sheetViews>
  <sheetFormatPr defaultRowHeight="13.2" outlineLevelRow="1" x14ac:dyDescent="0.25"/>
  <cols>
    <col min="1" max="1" width="27.109375" customWidth="1"/>
    <col min="2" max="2" width="59.88671875" style="61" customWidth="1"/>
    <col min="3" max="3" width="24.44140625" customWidth="1"/>
  </cols>
  <sheetData>
    <row r="1" spans="1:2" x14ac:dyDescent="0.25">
      <c r="A1" s="62" t="s">
        <v>62</v>
      </c>
      <c r="B1" s="63" t="s">
        <v>0</v>
      </c>
    </row>
    <row r="2" spans="1:2" outlineLevel="1" x14ac:dyDescent="0.25">
      <c r="A2" s="64" t="s">
        <v>56</v>
      </c>
      <c r="B2" s="69" t="str">
        <f>PPRD</f>
        <v>Jun , 2021</v>
      </c>
    </row>
    <row r="3" spans="1:2" x14ac:dyDescent="0.25">
      <c r="A3" s="64" t="s">
        <v>59</v>
      </c>
      <c r="B3" s="65" t="str">
        <f>CRN</f>
        <v>CHG214067</v>
      </c>
    </row>
    <row r="4" spans="1:2" x14ac:dyDescent="0.25">
      <c r="A4" s="64" t="s">
        <v>60</v>
      </c>
      <c r="B4" s="65" t="str">
        <f>MA</f>
        <v>KZ</v>
      </c>
    </row>
    <row r="5" spans="1:2" x14ac:dyDescent="0.25">
      <c r="A5" s="64" t="s">
        <v>61</v>
      </c>
      <c r="B5" s="65" t="str">
        <f>Area</f>
        <v>Data</v>
      </c>
    </row>
    <row r="6" spans="1:2" x14ac:dyDescent="0.25">
      <c r="A6" s="64" t="s">
        <v>44</v>
      </c>
      <c r="B6" s="65" t="str">
        <f>Entity</f>
        <v xml:space="preserve">ASSET </v>
      </c>
    </row>
    <row r="7" spans="1:2" x14ac:dyDescent="0.25">
      <c r="A7" s="64" t="s">
        <v>57</v>
      </c>
      <c r="B7" s="66" t="str">
        <f>DTested</f>
        <v>18/11/2021</v>
      </c>
    </row>
    <row r="8" spans="1:2" x14ac:dyDescent="0.25">
      <c r="A8" s="64" t="s">
        <v>58</v>
      </c>
      <c r="B8" s="67">
        <f>DReviewed</f>
        <v>0</v>
      </c>
    </row>
    <row r="9" spans="1:2" x14ac:dyDescent="0.25">
      <c r="A9" s="64" t="s">
        <v>48</v>
      </c>
      <c r="B9" s="65" t="str">
        <f>TestedBy</f>
        <v>Frank</v>
      </c>
    </row>
    <row r="10" spans="1:2" x14ac:dyDescent="0.25">
      <c r="A10" s="64" t="s">
        <v>52</v>
      </c>
      <c r="B10" s="65">
        <f>ReviewedBy</f>
        <v>0</v>
      </c>
    </row>
    <row r="12" spans="1:2" x14ac:dyDescent="0.25">
      <c r="A12" s="64" t="s">
        <v>63</v>
      </c>
      <c r="B12" s="68" t="s">
        <v>14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220"/>
  <sheetViews>
    <sheetView workbookViewId="0">
      <selection sqref="A1:XFD1"/>
    </sheetView>
  </sheetViews>
  <sheetFormatPr defaultColWidth="9.109375" defaultRowHeight="13.2" x14ac:dyDescent="0.25"/>
  <cols>
    <col min="1" max="1" width="44" style="73" bestFit="1" customWidth="1"/>
    <col min="2" max="16384" width="9.109375" style="73"/>
  </cols>
  <sheetData>
    <row r="1" spans="1:1" s="106" customFormat="1" x14ac:dyDescent="0.25">
      <c r="A1" s="106" t="s">
        <v>121</v>
      </c>
    </row>
    <row r="30" spans="1:1" x14ac:dyDescent="0.25">
      <c r="A30" s="72"/>
    </row>
    <row r="55" spans="1:1" x14ac:dyDescent="0.25">
      <c r="A55" s="72"/>
    </row>
    <row r="70" spans="1:1" x14ac:dyDescent="0.25">
      <c r="A70" s="72"/>
    </row>
    <row r="105" spans="1:1" x14ac:dyDescent="0.25">
      <c r="A105" s="72"/>
    </row>
    <row r="146" spans="1:1" x14ac:dyDescent="0.25">
      <c r="A146" s="72"/>
    </row>
    <row r="185" spans="1:1" x14ac:dyDescent="0.25">
      <c r="A185" s="72"/>
    </row>
    <row r="220" spans="1:1" x14ac:dyDescent="0.25">
      <c r="A220" s="72"/>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A85411-46C0-4DD7-BCE1-350FBCA087E1}">
  <sheetPr codeName="Sheet10">
    <pageSetUpPr fitToPage="1"/>
  </sheetPr>
  <dimension ref="A1:BC23"/>
  <sheetViews>
    <sheetView topLeftCell="A8" zoomScale="70" zoomScaleNormal="70" workbookViewId="0">
      <selection activeCell="F2" sqref="F2"/>
    </sheetView>
  </sheetViews>
  <sheetFormatPr defaultColWidth="9.109375" defaultRowHeight="14.4" x14ac:dyDescent="0.3"/>
  <cols>
    <col min="1" max="1" width="22.88671875" style="33" customWidth="1"/>
    <col min="2" max="2" width="37.109375" style="33" customWidth="1"/>
    <col min="3" max="3" width="54.33203125" style="33" customWidth="1"/>
    <col min="4" max="4" width="23.44140625" style="33" bestFit="1" customWidth="1"/>
    <col min="5" max="5" width="41.44140625" style="60" customWidth="1"/>
    <col min="6" max="6" width="36.88671875" style="33" customWidth="1"/>
    <col min="7" max="7" width="39.44140625" style="33" customWidth="1"/>
    <col min="8" max="8" width="36.88671875" style="33" customWidth="1"/>
    <col min="9" max="9" width="25" style="33" customWidth="1"/>
    <col min="10" max="10" width="23.44140625" style="33" customWidth="1"/>
    <col min="11" max="11" width="32" style="33" customWidth="1"/>
    <col min="12" max="12" width="30.88671875" style="33" customWidth="1"/>
    <col min="13" max="22" width="9.109375" style="32"/>
    <col min="23" max="23" width="17.109375" style="32" bestFit="1" customWidth="1"/>
    <col min="24" max="24" width="9.109375" style="32"/>
    <col min="25" max="25" width="14.33203125" style="32" bestFit="1" customWidth="1"/>
    <col min="26" max="48" width="9.109375" style="32"/>
    <col min="49" max="49" width="9" style="32" customWidth="1"/>
    <col min="50" max="52" width="9.109375" style="32" hidden="1" customWidth="1"/>
    <col min="53" max="53" width="27.6640625" style="32" customWidth="1"/>
    <col min="54" max="16384" width="9.109375" style="32"/>
  </cols>
  <sheetData>
    <row r="1" spans="1:55" s="33" customFormat="1" x14ac:dyDescent="0.3">
      <c r="A1" s="35" t="s">
        <v>43</v>
      </c>
      <c r="B1" s="99" t="s">
        <v>83</v>
      </c>
      <c r="C1" s="100"/>
      <c r="D1" s="100"/>
      <c r="E1" s="71" t="s">
        <v>44</v>
      </c>
      <c r="F1" s="36" t="s">
        <v>117</v>
      </c>
      <c r="G1" s="37"/>
      <c r="H1" s="37"/>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4" t="s">
        <v>35</v>
      </c>
      <c r="BB1" s="34" t="s">
        <v>35</v>
      </c>
      <c r="BC1" s="33" t="s">
        <v>36</v>
      </c>
    </row>
    <row r="2" spans="1:55" s="33" customFormat="1" x14ac:dyDescent="0.3">
      <c r="A2" s="35" t="s">
        <v>46</v>
      </c>
      <c r="B2" s="99" t="s">
        <v>84</v>
      </c>
      <c r="C2" s="100"/>
      <c r="D2" s="100"/>
      <c r="E2" s="71" t="s">
        <v>47</v>
      </c>
      <c r="F2" s="38" t="s">
        <v>136</v>
      </c>
      <c r="G2" s="35" t="s">
        <v>48</v>
      </c>
      <c r="H2" s="41" t="s">
        <v>105</v>
      </c>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4" t="s">
        <v>37</v>
      </c>
      <c r="BB2" s="34" t="s">
        <v>37</v>
      </c>
      <c r="BC2" s="33" t="s">
        <v>38</v>
      </c>
    </row>
    <row r="3" spans="1:55" s="33" customFormat="1" ht="26.25" customHeight="1" x14ac:dyDescent="0.3">
      <c r="A3" s="35" t="s">
        <v>50</v>
      </c>
      <c r="B3" s="101" t="s">
        <v>37</v>
      </c>
      <c r="C3" s="101"/>
      <c r="D3" s="101"/>
      <c r="E3" s="71" t="s">
        <v>51</v>
      </c>
      <c r="F3" s="39"/>
      <c r="G3" s="35" t="s">
        <v>52</v>
      </c>
      <c r="H3" s="36"/>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4" t="s">
        <v>39</v>
      </c>
      <c r="BB3" s="34" t="s">
        <v>40</v>
      </c>
      <c r="BC3" s="33" t="s">
        <v>15</v>
      </c>
    </row>
    <row r="4" spans="1:55" s="33" customFormat="1" ht="19.649999999999999" customHeight="1" x14ac:dyDescent="0.3">
      <c r="A4" s="35" t="s">
        <v>54</v>
      </c>
      <c r="B4" s="102" t="s">
        <v>130</v>
      </c>
      <c r="C4" s="103"/>
      <c r="D4" s="103"/>
      <c r="E4" s="103"/>
      <c r="F4" s="103"/>
      <c r="G4" s="103"/>
      <c r="H4" s="103"/>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4" t="s">
        <v>41</v>
      </c>
      <c r="BB4" s="34" t="s">
        <v>15</v>
      </c>
      <c r="BC4" s="33" t="s">
        <v>16</v>
      </c>
    </row>
    <row r="5" spans="1:55" s="33" customFormat="1" x14ac:dyDescent="0.3">
      <c r="A5" s="70" t="s">
        <v>66</v>
      </c>
      <c r="B5" s="70" t="s">
        <v>67</v>
      </c>
      <c r="C5" s="70" t="s">
        <v>68</v>
      </c>
      <c r="D5" s="70" t="s">
        <v>69</v>
      </c>
      <c r="E5" s="70" t="s">
        <v>70</v>
      </c>
      <c r="F5" s="70" t="s">
        <v>71</v>
      </c>
      <c r="G5" s="70" t="s">
        <v>72</v>
      </c>
      <c r="H5" s="70" t="s">
        <v>73</v>
      </c>
      <c r="I5" s="70" t="s">
        <v>64</v>
      </c>
      <c r="J5" s="70" t="s">
        <v>65</v>
      </c>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4" t="s">
        <v>42</v>
      </c>
      <c r="AZ5" s="34" t="s">
        <v>16</v>
      </c>
    </row>
    <row r="6" spans="1:55" s="33" customFormat="1" ht="41.4" x14ac:dyDescent="0.3">
      <c r="A6" s="46">
        <v>1</v>
      </c>
      <c r="B6" s="81" t="s">
        <v>85</v>
      </c>
      <c r="C6" s="77" t="s">
        <v>86</v>
      </c>
      <c r="D6" s="77" t="s">
        <v>87</v>
      </c>
      <c r="E6" s="78" t="s">
        <v>128</v>
      </c>
      <c r="F6" s="78" t="s">
        <v>88</v>
      </c>
      <c r="G6" s="78" t="s">
        <v>127</v>
      </c>
      <c r="H6" s="77" t="s">
        <v>89</v>
      </c>
      <c r="I6" s="37"/>
      <c r="J6" s="40"/>
      <c r="AY6" s="34" t="s">
        <v>45</v>
      </c>
    </row>
    <row r="7" spans="1:55" s="33" customFormat="1" ht="116.25" customHeight="1" x14ac:dyDescent="0.3">
      <c r="A7" s="49">
        <v>2</v>
      </c>
      <c r="B7" s="81" t="s">
        <v>90</v>
      </c>
      <c r="C7" s="82" t="s">
        <v>91</v>
      </c>
      <c r="D7" s="83" t="s">
        <v>92</v>
      </c>
      <c r="E7" s="82" t="s">
        <v>93</v>
      </c>
      <c r="F7" s="82" t="s">
        <v>94</v>
      </c>
      <c r="G7" s="82" t="s">
        <v>93</v>
      </c>
      <c r="H7" s="82" t="s">
        <v>94</v>
      </c>
      <c r="I7" s="37"/>
      <c r="J7" s="40"/>
      <c r="AY7" s="34" t="s">
        <v>49</v>
      </c>
    </row>
    <row r="8" spans="1:55" s="33" customFormat="1" ht="41.4" x14ac:dyDescent="0.3">
      <c r="A8" s="77">
        <v>3</v>
      </c>
      <c r="B8" s="82" t="s">
        <v>95</v>
      </c>
      <c r="C8" s="83" t="s">
        <v>116</v>
      </c>
      <c r="D8" s="77" t="s">
        <v>100</v>
      </c>
      <c r="E8" s="78" t="s">
        <v>129</v>
      </c>
      <c r="F8" s="77" t="s">
        <v>97</v>
      </c>
      <c r="G8" s="78" t="s">
        <v>129</v>
      </c>
      <c r="H8" s="77" t="s">
        <v>125</v>
      </c>
      <c r="I8" s="37"/>
      <c r="J8" s="58"/>
      <c r="AY8" s="34" t="s">
        <v>53</v>
      </c>
    </row>
    <row r="9" spans="1:55" s="33" customFormat="1" ht="82.8" x14ac:dyDescent="0.3">
      <c r="A9" s="46">
        <v>4</v>
      </c>
      <c r="B9" s="81" t="s">
        <v>98</v>
      </c>
      <c r="C9" s="83" t="s">
        <v>118</v>
      </c>
      <c r="D9" s="77" t="s">
        <v>101</v>
      </c>
      <c r="E9" s="78" t="s">
        <v>126</v>
      </c>
      <c r="F9" s="77" t="s">
        <v>110</v>
      </c>
      <c r="G9" s="78" t="s">
        <v>109</v>
      </c>
      <c r="H9" s="77" t="s">
        <v>124</v>
      </c>
      <c r="I9" s="37"/>
      <c r="J9" s="58"/>
      <c r="U9" s="32"/>
    </row>
    <row r="10" spans="1:55" s="33" customFormat="1" ht="45" customHeight="1" x14ac:dyDescent="0.3">
      <c r="A10" s="49">
        <v>5</v>
      </c>
      <c r="B10" s="104" t="s">
        <v>112</v>
      </c>
      <c r="C10" s="83" t="s">
        <v>113</v>
      </c>
      <c r="D10" s="77" t="s">
        <v>87</v>
      </c>
      <c r="E10" s="78" t="s">
        <v>127</v>
      </c>
      <c r="F10" s="77" t="s">
        <v>97</v>
      </c>
      <c r="G10" s="78" t="s">
        <v>127</v>
      </c>
      <c r="H10" s="77" t="s">
        <v>123</v>
      </c>
      <c r="I10" s="37"/>
      <c r="J10" s="105"/>
    </row>
    <row r="11" spans="1:55" s="33" customFormat="1" ht="41.4" x14ac:dyDescent="0.3">
      <c r="A11" s="77">
        <v>6</v>
      </c>
      <c r="B11" s="81" t="s">
        <v>85</v>
      </c>
      <c r="C11" s="77" t="s">
        <v>86</v>
      </c>
      <c r="D11" s="77" t="s">
        <v>87</v>
      </c>
      <c r="E11" s="78" t="s">
        <v>128</v>
      </c>
      <c r="F11" s="78" t="s">
        <v>88</v>
      </c>
      <c r="G11" s="78" t="s">
        <v>111</v>
      </c>
      <c r="H11" s="77" t="s">
        <v>89</v>
      </c>
      <c r="I11" s="37"/>
      <c r="J11" s="58"/>
    </row>
    <row r="12" spans="1:55" s="33" customFormat="1" ht="135.75" customHeight="1" x14ac:dyDescent="0.3">
      <c r="A12" s="46">
        <v>7</v>
      </c>
      <c r="B12" s="81" t="s">
        <v>90</v>
      </c>
      <c r="C12" s="82" t="s">
        <v>91</v>
      </c>
      <c r="D12" s="83" t="s">
        <v>92</v>
      </c>
      <c r="E12" s="82" t="s">
        <v>93</v>
      </c>
      <c r="F12" s="82" t="s">
        <v>94</v>
      </c>
      <c r="G12" s="82" t="s">
        <v>93</v>
      </c>
      <c r="H12" s="82" t="s">
        <v>94</v>
      </c>
      <c r="I12" s="37"/>
      <c r="J12" s="58"/>
    </row>
    <row r="13" spans="1:55" s="33" customFormat="1" ht="96.6" x14ac:dyDescent="0.3">
      <c r="A13" s="49">
        <v>8</v>
      </c>
      <c r="B13" s="81" t="s">
        <v>98</v>
      </c>
      <c r="C13" s="83" t="s">
        <v>102</v>
      </c>
      <c r="D13" s="77" t="s">
        <v>101</v>
      </c>
      <c r="E13" s="78" t="s">
        <v>126</v>
      </c>
      <c r="F13" s="77" t="s">
        <v>110</v>
      </c>
      <c r="G13" s="78" t="s">
        <v>126</v>
      </c>
      <c r="H13" s="77" t="s">
        <v>110</v>
      </c>
      <c r="I13" s="37"/>
      <c r="J13" s="58"/>
      <c r="U13" s="32"/>
    </row>
    <row r="14" spans="1:55" s="33" customFormat="1" x14ac:dyDescent="0.3">
      <c r="A14" s="77">
        <v>9</v>
      </c>
      <c r="B14" s="77"/>
      <c r="C14" s="77"/>
      <c r="D14" s="77"/>
      <c r="E14" s="78"/>
      <c r="F14" s="77"/>
      <c r="G14" s="78"/>
      <c r="H14" s="77"/>
      <c r="I14" s="37"/>
      <c r="J14" s="58"/>
    </row>
    <row r="15" spans="1:55" s="33" customFormat="1" x14ac:dyDescent="0.3">
      <c r="A15" s="46">
        <v>10</v>
      </c>
      <c r="B15" s="77"/>
      <c r="C15" s="77"/>
      <c r="D15" s="77"/>
      <c r="E15" s="78"/>
      <c r="F15" s="77"/>
      <c r="G15" s="78"/>
      <c r="H15" s="77"/>
      <c r="I15" s="37"/>
      <c r="J15" s="58"/>
    </row>
    <row r="16" spans="1:55" s="33" customFormat="1" x14ac:dyDescent="0.3">
      <c r="A16" s="49">
        <v>11</v>
      </c>
      <c r="B16" s="77"/>
      <c r="C16" s="77"/>
      <c r="D16" s="77"/>
      <c r="E16" s="78"/>
      <c r="F16" s="77"/>
      <c r="G16" s="78"/>
      <c r="H16" s="77"/>
      <c r="I16" s="37"/>
      <c r="J16" s="58"/>
    </row>
    <row r="17" spans="1:10" s="33" customFormat="1" ht="23.25" customHeight="1" x14ac:dyDescent="0.3">
      <c r="A17" s="77">
        <v>12</v>
      </c>
      <c r="B17" s="77"/>
      <c r="C17" s="77"/>
      <c r="D17" s="77"/>
      <c r="E17" s="78"/>
      <c r="F17" s="77"/>
      <c r="G17" s="78"/>
      <c r="H17" s="77"/>
      <c r="I17" s="37"/>
      <c r="J17" s="58"/>
    </row>
    <row r="18" spans="1:10" s="33" customFormat="1" ht="30" customHeight="1" x14ac:dyDescent="0.3">
      <c r="A18" s="77">
        <v>12</v>
      </c>
      <c r="B18" s="77"/>
      <c r="C18" s="77"/>
      <c r="D18" s="77"/>
      <c r="E18" s="78"/>
      <c r="F18" s="77"/>
      <c r="G18" s="78"/>
      <c r="H18" s="77"/>
      <c r="I18" s="37"/>
      <c r="J18" s="58"/>
    </row>
    <row r="19" spans="1:10" s="33" customFormat="1" x14ac:dyDescent="0.3">
      <c r="E19" s="60"/>
    </row>
    <row r="21" spans="1:10" s="33" customFormat="1" x14ac:dyDescent="0.3">
      <c r="E21" s="60"/>
    </row>
    <row r="22" spans="1:10" s="33" customFormat="1" ht="111.75" customHeight="1" x14ac:dyDescent="0.3">
      <c r="E22" s="60"/>
    </row>
    <row r="23" spans="1:10" s="33" customFormat="1" ht="111.75" customHeight="1" x14ac:dyDescent="0.3">
      <c r="E23" s="60"/>
    </row>
  </sheetData>
  <mergeCells count="4">
    <mergeCell ref="B1:D1"/>
    <mergeCell ref="B2:D2"/>
    <mergeCell ref="B3:D3"/>
    <mergeCell ref="B4:H4"/>
  </mergeCells>
  <dataValidations count="2">
    <dataValidation type="list" allowBlank="1" showInputMessage="1" showErrorMessage="1" sqref="B3:D3" xr:uid="{7EA089DB-4668-45F8-A920-957825E11A07}">
      <formula1>$BA$1:$BA$8</formula1>
    </dataValidation>
    <dataValidation type="list" allowBlank="1" showInputMessage="1" showErrorMessage="1" sqref="I6:I18" xr:uid="{2D943FE1-A295-4827-BB62-FFE235B379E4}">
      <formula1>$BB$1:$BB$5</formula1>
    </dataValidation>
  </dataValidations>
  <pageMargins left="0.75" right="0.75" top="1" bottom="1" header="0.5" footer="0.5"/>
  <pageSetup paperSize="9" scale="13" orientation="landscape" r:id="rId1"/>
  <headerFooter alignWithMargins="0"/>
  <drawing r:id="rId2"/>
  <legacyDrawing r:id="rId3"/>
  <oleObjects>
    <mc:AlternateContent xmlns:mc="http://schemas.openxmlformats.org/markup-compatibility/2006">
      <mc:Choice Requires="x14">
        <oleObject progId="Packager Shell Object" shapeId="17433" r:id="rId4">
          <objectPr defaultSize="0" r:id="rId5">
            <anchor moveWithCells="1">
              <from>
                <xdr:col>2</xdr:col>
                <xdr:colOff>708660</xdr:colOff>
                <xdr:row>6</xdr:row>
                <xdr:rowOff>586740</xdr:rowOff>
              </from>
              <to>
                <xdr:col>2</xdr:col>
                <xdr:colOff>2430780</xdr:colOff>
                <xdr:row>6</xdr:row>
                <xdr:rowOff>1104900</xdr:rowOff>
              </to>
            </anchor>
          </objectPr>
        </oleObject>
      </mc:Choice>
      <mc:Fallback>
        <oleObject progId="Packager Shell Object" shapeId="17433" r:id="rId4"/>
      </mc:Fallback>
    </mc:AlternateContent>
    <mc:AlternateContent xmlns:mc="http://schemas.openxmlformats.org/markup-compatibility/2006">
      <mc:Choice Requires="x14">
        <oleObject progId="Packager Shell Object" shapeId="17434" r:id="rId6">
          <objectPr defaultSize="0" r:id="rId5">
            <anchor moveWithCells="1">
              <from>
                <xdr:col>2</xdr:col>
                <xdr:colOff>678180</xdr:colOff>
                <xdr:row>11</xdr:row>
                <xdr:rowOff>640080</xdr:rowOff>
              </from>
              <to>
                <xdr:col>2</xdr:col>
                <xdr:colOff>2400300</xdr:colOff>
                <xdr:row>11</xdr:row>
                <xdr:rowOff>1158240</xdr:rowOff>
              </to>
            </anchor>
          </objectPr>
        </oleObject>
      </mc:Choice>
      <mc:Fallback>
        <oleObject progId="Packager Shell Object" shapeId="17434" r:id="rId6"/>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16067-B451-4901-A7A5-C1C4B4D0C729}">
  <sheetPr codeName="Sheet4"/>
  <dimension ref="A1:A220"/>
  <sheetViews>
    <sheetView tabSelected="1" workbookViewId="0">
      <selection activeCell="A2" sqref="A2:XFD2"/>
    </sheetView>
  </sheetViews>
  <sheetFormatPr defaultColWidth="9.109375" defaultRowHeight="13.2" x14ac:dyDescent="0.25"/>
  <cols>
    <col min="1" max="1" width="44" style="80" bestFit="1" customWidth="1"/>
    <col min="2" max="16384" width="9.109375" style="80"/>
  </cols>
  <sheetData>
    <row r="1" spans="1:1" x14ac:dyDescent="0.25">
      <c r="A1" s="79"/>
    </row>
    <row r="2" spans="1:1" s="106" customFormat="1" x14ac:dyDescent="0.25">
      <c r="A2" s="106" t="s">
        <v>121</v>
      </c>
    </row>
    <row r="18" spans="1:1" s="106" customFormat="1" x14ac:dyDescent="0.25">
      <c r="A18" s="106" t="s">
        <v>122</v>
      </c>
    </row>
    <row r="30" spans="1:1" x14ac:dyDescent="0.25">
      <c r="A30" s="79"/>
    </row>
    <row r="55" spans="1:1" x14ac:dyDescent="0.25">
      <c r="A55" s="79"/>
    </row>
    <row r="70" spans="1:1" x14ac:dyDescent="0.25">
      <c r="A70" s="79"/>
    </row>
    <row r="105" spans="1:1" x14ac:dyDescent="0.25">
      <c r="A105" s="79"/>
    </row>
    <row r="146" spans="1:1" x14ac:dyDescent="0.25">
      <c r="A146" s="79"/>
    </row>
    <row r="185" spans="1:1" x14ac:dyDescent="0.25">
      <c r="A185" s="79"/>
    </row>
    <row r="220" spans="1:1" x14ac:dyDescent="0.25">
      <c r="A220" s="79"/>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26</vt:i4>
      </vt:variant>
    </vt:vector>
  </HeadingPairs>
  <TitlesOfParts>
    <vt:vector size="33" baseType="lpstr">
      <vt:lpstr>Cover</vt:lpstr>
      <vt:lpstr>Version Control</vt:lpstr>
      <vt:lpstr>Test Cycle 1</vt:lpstr>
      <vt:lpstr>AppConfig</vt:lpstr>
      <vt:lpstr>Screenshot 1</vt:lpstr>
      <vt:lpstr>Test Cycle 2</vt:lpstr>
      <vt:lpstr>Screenshot JAVA INTERFACE</vt:lpstr>
      <vt:lpstr>AppArea</vt:lpstr>
      <vt:lpstr>AppCRN</vt:lpstr>
      <vt:lpstr>AppDReviewed</vt:lpstr>
      <vt:lpstr>AppDTested</vt:lpstr>
      <vt:lpstr>AppEntity</vt:lpstr>
      <vt:lpstr>AppMA</vt:lpstr>
      <vt:lpstr>AppPPRD</vt:lpstr>
      <vt:lpstr>AppReviewedBy</vt:lpstr>
      <vt:lpstr>AppTestedBy</vt:lpstr>
      <vt:lpstr>Area</vt:lpstr>
      <vt:lpstr>CRN</vt:lpstr>
      <vt:lpstr>'Test Cycle 2'!DReviewed</vt:lpstr>
      <vt:lpstr>DReviewed</vt:lpstr>
      <vt:lpstr>'Test Cycle 2'!DTested</vt:lpstr>
      <vt:lpstr>DTested</vt:lpstr>
      <vt:lpstr>'Test Cycle 2'!dTestedBy</vt:lpstr>
      <vt:lpstr>dTestedBy</vt:lpstr>
      <vt:lpstr>'Test Cycle 2'!Entity</vt:lpstr>
      <vt:lpstr>Entity</vt:lpstr>
      <vt:lpstr>MA</vt:lpstr>
      <vt:lpstr>PPRD</vt:lpstr>
      <vt:lpstr>'Test Cycle 2'!ReviewedBy</vt:lpstr>
      <vt:lpstr>ReviewedBy</vt:lpstr>
      <vt:lpstr>'Test Cycle 2'!TestedBy</vt:lpstr>
      <vt:lpstr>TestedBy</vt:lpstr>
      <vt:lpstr>TestWrkSht1</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agathe.ravilly</dc:creator>
  <cp:lastModifiedBy>Mingoué Tchagou, Frank</cp:lastModifiedBy>
  <cp:lastPrinted>2013-10-17T06:50:38Z</cp:lastPrinted>
  <dcterms:created xsi:type="dcterms:W3CDTF">2006-03-30T08:28:02Z</dcterms:created>
  <dcterms:modified xsi:type="dcterms:W3CDTF">2021-11-18T16:20:29Z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