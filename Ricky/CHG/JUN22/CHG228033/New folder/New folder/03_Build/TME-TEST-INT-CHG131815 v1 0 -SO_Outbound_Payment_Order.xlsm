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J:\General\04_RELEASE_MANAGEMENT\2018-07_Release PROD JUL18\02_Development\Cross\C_CHG131815\03_Build\"/>
    </mc:Choice>
  </mc:AlternateContent>
  <bookViews>
    <workbookView xWindow="0" yWindow="0" windowWidth="24000" windowHeight="9510" tabRatio="926"/>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71027"/>
</workbook>
</file>

<file path=xl/calcChain.xml><?xml version="1.0" encoding="utf-8"?>
<calcChain xmlns="http://schemas.openxmlformats.org/spreadsheetml/2006/main">
  <c r="B10" i="26" l="1"/>
  <c r="B9" i="26"/>
  <c r="B8" i="26"/>
  <c r="B7" i="26"/>
  <c r="B6" i="26"/>
  <c r="B5" i="26"/>
  <c r="B4" i="26"/>
  <c r="B3" i="26"/>
  <c r="B2" i="26"/>
  <c r="A14" i="23"/>
  <c r="A30" i="23"/>
  <c r="C37" i="20"/>
</calcChain>
</file>

<file path=xl/comments1.xml><?xml version="1.0" encoding="utf-8"?>
<comments xmlns="http://schemas.openxmlformats.org/spreadsheetml/2006/main">
  <authors>
    <author>arnaud.grimont</author>
  </authors>
  <commentList>
    <comment ref="A17" authorId="0" shapeId="0">
      <text>
        <r>
          <rPr>
            <b/>
            <sz val="8"/>
            <color indexed="81"/>
            <rFont val="Tahoma"/>
            <family val="2"/>
          </rPr>
          <t>arnaud.grimont:</t>
        </r>
        <r>
          <rPr>
            <sz val="8"/>
            <color indexed="81"/>
            <rFont val="Tahoma"/>
            <family val="2"/>
          </rPr>
          <t xml:space="preserve">
Application if any interface is modified</t>
        </r>
      </text>
    </comment>
    <comment ref="A19" authorId="0" shapeId="0">
      <text>
        <r>
          <rPr>
            <b/>
            <sz val="8"/>
            <color indexed="81"/>
            <rFont val="Tahoma"/>
            <family val="2"/>
          </rPr>
          <t>arnaud.grimont:</t>
        </r>
        <r>
          <rPr>
            <sz val="8"/>
            <color indexed="81"/>
            <rFont val="Tahoma"/>
            <family val="2"/>
          </rPr>
          <t xml:space="preserve">
Applicable for only ETL changes</t>
        </r>
      </text>
    </comment>
    <comment ref="A24" authorId="0" shapeId="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authors>
    <author>bruneau.melier</author>
    <author>virish.seechurn</author>
  </authors>
  <commentList>
    <comment ref="B6" authorId="0" shapeId="0">
      <text>
        <r>
          <rPr>
            <b/>
            <sz val="8"/>
            <color indexed="81"/>
            <rFont val="Tahoma"/>
            <family val="2"/>
          </rPr>
          <t>bruneau.melier:</t>
        </r>
        <r>
          <rPr>
            <sz val="8"/>
            <color indexed="81"/>
            <rFont val="Tahoma"/>
            <family val="2"/>
          </rPr>
          <t xml:space="preserve">
give the name of the mapping being tested </t>
        </r>
      </text>
    </comment>
    <comment ref="F6" authorId="0" shapeId="0">
      <text>
        <r>
          <rPr>
            <b/>
            <sz val="8"/>
            <color indexed="81"/>
            <rFont val="Tahoma"/>
            <family val="2"/>
          </rPr>
          <t>bruneau.melier:</t>
        </r>
        <r>
          <rPr>
            <sz val="8"/>
            <color indexed="81"/>
            <rFont val="Tahoma"/>
            <family val="2"/>
          </rPr>
          <t xml:space="preserve">
give the name of the entity being tested</t>
        </r>
      </text>
    </comment>
    <comment ref="B7" authorId="0" shapeId="0">
      <text>
        <r>
          <rPr>
            <b/>
            <sz val="8"/>
            <color indexed="81"/>
            <rFont val="Tahoma"/>
            <family val="2"/>
          </rPr>
          <t>bruneau.melier:</t>
        </r>
        <r>
          <rPr>
            <sz val="8"/>
            <color indexed="81"/>
            <rFont val="Tahoma"/>
            <family val="2"/>
          </rPr>
          <t xml:space="preserve">
give the name of the mapping being tested </t>
        </r>
      </text>
    </comment>
    <comment ref="F7"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text>
        <r>
          <rPr>
            <b/>
            <sz val="8"/>
            <color indexed="81"/>
            <rFont val="Tahoma"/>
            <family val="2"/>
          </rPr>
          <t>bruneau.melier:</t>
        </r>
        <r>
          <rPr>
            <sz val="8"/>
            <color indexed="81"/>
            <rFont val="Tahoma"/>
            <family val="2"/>
          </rPr>
          <t xml:space="preserve">
give the name of the developer/tester</t>
        </r>
      </text>
    </comment>
    <comment ref="B8" authorId="0" shapeId="0">
      <text>
        <r>
          <rPr>
            <b/>
            <sz val="8"/>
            <color indexed="81"/>
            <rFont val="Tahoma"/>
            <family val="2"/>
          </rPr>
          <t>bruneau.melier:</t>
        </r>
        <r>
          <rPr>
            <sz val="8"/>
            <color indexed="81"/>
            <rFont val="Tahoma"/>
            <family val="2"/>
          </rPr>
          <t xml:space="preserve">
indicate the status of the test script </t>
        </r>
      </text>
    </comment>
    <comment ref="F8"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text>
        <r>
          <rPr>
            <b/>
            <sz val="8"/>
            <color indexed="81"/>
            <rFont val="Tahoma"/>
            <family val="2"/>
          </rPr>
          <t>bruneau.melier:</t>
        </r>
        <r>
          <rPr>
            <sz val="8"/>
            <color indexed="81"/>
            <rFont val="Tahoma"/>
            <family val="2"/>
          </rPr>
          <t xml:space="preserve">
give the name of the reviewer of the test script </t>
        </r>
      </text>
    </comment>
    <comment ref="B9" authorId="0" shapeId="0">
      <text>
        <r>
          <rPr>
            <b/>
            <sz val="8"/>
            <color indexed="81"/>
            <rFont val="Tahoma"/>
            <family val="2"/>
          </rPr>
          <t>bruneau.melier:</t>
        </r>
        <r>
          <rPr>
            <sz val="8"/>
            <color indexed="81"/>
            <rFont val="Tahoma"/>
            <family val="2"/>
          </rPr>
          <t xml:space="preserve">
give a description of the purpose of the test script </t>
        </r>
      </text>
    </comment>
    <comment ref="A10" authorId="1" shapeId="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text>
        <r>
          <rPr>
            <b/>
            <sz val="8"/>
            <color indexed="81"/>
            <rFont val="Tahoma"/>
            <family val="2"/>
          </rPr>
          <t>bruneau.melier:</t>
        </r>
        <r>
          <rPr>
            <sz val="8"/>
            <color indexed="81"/>
            <rFont val="Tahoma"/>
            <family val="2"/>
          </rPr>
          <t xml:space="preserve">
give a summary of the purpose of the test step </t>
        </r>
      </text>
    </comment>
    <comment ref="C10" authorId="0" shapeId="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text>
        <r>
          <rPr>
            <b/>
            <sz val="8"/>
            <color indexed="81"/>
            <rFont val="Tahoma"/>
            <family val="2"/>
          </rPr>
          <t>bruneau.melier:</t>
        </r>
        <r>
          <rPr>
            <sz val="8"/>
            <color indexed="81"/>
            <rFont val="Tahoma"/>
            <family val="2"/>
          </rPr>
          <t xml:space="preserve">
SQL script (if any) to be used for executing the step</t>
        </r>
      </text>
    </comment>
    <comment ref="F10" authorId="0" shapeId="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text>
        <r>
          <rPr>
            <b/>
            <sz val="8"/>
            <color indexed="81"/>
            <rFont val="Tahoma"/>
            <family val="2"/>
          </rPr>
          <t>bruneau.melier:</t>
        </r>
        <r>
          <rPr>
            <sz val="8"/>
            <color indexed="81"/>
            <rFont val="Tahoma"/>
            <family val="2"/>
          </rPr>
          <t xml:space="preserve">
Takes the value of Not Executed, WIP, Passed or Failed</t>
        </r>
      </text>
    </comment>
    <comment ref="L10" authorId="0" shapeId="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<sst xmlns="http://schemas.openxmlformats.org/spreadsheetml/2006/main" count="200" uniqueCount="147">
  <si>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</si>
  <si>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</si>
  <si>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</si>
  <si>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</si>
  <si>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</si>
  <si>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</si>
  <si>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</si>
  <si>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</si>
  <si>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</si>
  <si>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</si>
  <si>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</si>
  <si>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</si>
  <si>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</si>
  <si>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</si>
  <si>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</si>
  <si>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</si>
  <si>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</si>
  <si>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</si>
  <si>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</si>
  <si>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</si>
  <si>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</si>
  <si>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</si>
  <si>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</si>
  <si>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</si>
  <si>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</si>
  <si>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</si>
  <si>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</si>
  <si>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</si>
  <si>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</si>
  <si>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</si>
  <si>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</si>
  <si>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</si>
  <si>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</si>
  <si>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</si>
  <si>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</si>
  <si>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</si>
  <si>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</si>
  <si>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</si>
  <si>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</si>
  <si>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</si>
  <si>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</si>
  <si>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</si>
  <si>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</si>
  <si>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</si>
  <si>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</si>
  <si>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</si>
  <si>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</si>
  <si>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</si>
  <si>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</si>
  <si>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</si>
  <si>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</si>
  <si>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</si>
  <si>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</si>
  <si>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</si>
  <si>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</si>
  <si>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</si>
  <si>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</si>
  <si>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</si>
  <si>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</si>
  <si>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</si>
  <si>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</si>
  <si>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</si>
  <si>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</si>
  <si>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</si>
  <si>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</si>
  <si>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</si>
  <si>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</si>
  <si>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</si>
  <si>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</si>
  <si>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</si>
  <si>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</si>
  <si>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</si>
  <si>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</si>
  <si>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</si>
  <si>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</si>
  <si>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</si>
  <si>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</si>
  <si>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</si>
  <si>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</si>
  <si>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</si>
  <si>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</si>
  <si>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</si>
  <si>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</si>
  <si>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CR\INC:</t>
  </si>
  <si>
    <t>JUL, 2018</t>
  </si>
  <si>
    <t>CHG131815</t>
  </si>
  <si>
    <t>New Order Types for Web based orders</t>
  </si>
  <si>
    <t>CA</t>
  </si>
  <si>
    <t>15/03/2018</t>
  </si>
  <si>
    <t>N/A</t>
  </si>
  <si>
    <t>SO</t>
  </si>
  <si>
    <t>Jean Remi</t>
  </si>
  <si>
    <t>Add Sales Order on Sales Application</t>
  </si>
  <si>
    <t>Run script in OLTP MSSQL</t>
  </si>
  <si>
    <t>Execute workflow</t>
  </si>
  <si>
    <t>Go to workflow manager --&gt; EIM_INTERFACE Folder --&gt; Run workflow RUN_OUTBOUND_SO_CA</t>
  </si>
  <si>
    <t>Workflow run successfully</t>
  </si>
  <si>
    <t>Check file registration and load status and file generation</t>
  </si>
  <si>
    <t>Run script in OLAP MSSQL</t>
  </si>
  <si>
    <t>1 Record should be returned from each query</t>
  </si>
  <si>
    <t>Check EIM tables</t>
  </si>
  <si>
    <t>SELECT IF_ROW_STAT,* FROM EIM_ORDER WHERE IF_ROW_BATCH_NUM BETWEEN 54000 AND 54999
GO
SELECT IF_ROW_STAT,* FROM EIM_ORDER_ITEM WHERE IF_ROW_BATCH_NUM BETWEEN 54000 AND 54999
GO</t>
  </si>
  <si>
    <t>Check flat file generation in OUNP folder</t>
  </si>
  <si>
    <t>Screenshot 3</t>
  </si>
  <si>
    <r>
      <t xml:space="preserve">Verify if parameter table and impacted record Export Status and Delivery Status are same as per below:
</t>
    </r>
    <r>
      <rPr>
        <b/>
        <sz val="10"/>
        <color theme="9" tint="-0.249977111117893"/>
        <rFont val="Book Antiqua"/>
        <family val="1"/>
      </rPr>
      <t xml:space="preserve">Business Rule: </t>
    </r>
    <r>
      <rPr>
        <sz val="10"/>
        <rFont val="Book Antiqua"/>
        <family val="1"/>
      </rPr>
      <t xml:space="preserve">
After EIM Export set “Export Status” field to “In progress” (and Order Item status field to “Sent to Altadis”) for all exported orders (“Order Status” field equals ‘Submitted’)</t>
    </r>
  </si>
  <si>
    <t xml:space="preserve">Sales Application 
Run script in OLTP MSSQL
</t>
  </si>
  <si>
    <t>Screenshot 4</t>
  </si>
  <si>
    <t>Y</t>
  </si>
  <si>
    <t xml:space="preserve">Screenshot 1 </t>
  </si>
  <si>
    <r>
      <t xml:space="preserve">1. Log on Sales Application as CSTADMCA
2. Go to Orders --&gt; Sales Orders List
3. Add 2 new  order with Export Status = 'In progress' , Type = </t>
    </r>
    <r>
      <rPr>
        <b/>
        <sz val="10"/>
        <rFont val="Book Antiqua"/>
        <family val="1"/>
      </rPr>
      <t xml:space="preserve"> 'Direct Sales GTA'</t>
    </r>
    <r>
      <rPr>
        <sz val="10"/>
        <rFont val="Book Antiqua"/>
        <family val="1"/>
      </rPr>
      <t xml:space="preserve"> and </t>
    </r>
    <r>
      <rPr>
        <b/>
        <sz val="10"/>
        <rFont val="Book Antiqua"/>
        <family val="1"/>
      </rPr>
      <t>'Direct Sales RRP'</t>
    </r>
    <r>
      <rPr>
        <sz val="10"/>
        <rFont val="Book Antiqua"/>
        <family val="1"/>
      </rPr>
      <t xml:space="preserve">
Screenshot 1
4. Drill down on each Order and on the lower applet, go to Line Items --&gt; Line Detail to add product. Save record.
5. Under Line Items tab --&gt; Totals --&gt; Add Quantity or Qty in Sticks/Grams (RYO).  Save Record
6. On the upper applet, update Status to 'Submitted' and save record. Screenshot 2</t>
    </r>
  </si>
  <si>
    <t>Screenshot 2</t>
  </si>
  <si>
    <t>SELECT *
FROM WC_ETL_FILES_G
WHERE FILENAME LIKE 'CASO1402_20180316_%';
GO
SELECT * FROM WC_LOAD_STATUS_G
WHERE BU_NAME ='CA' and ENTITY ='SO' AND FILENAME LIKE 'CASO1402_20180316_%'
ORDER BY 1 DESC;
GO</t>
  </si>
  <si>
    <t>SELECT SO.ORDER_NUM, SO.X_SUB_TYPE,X_EXPORT_STATUS,SO.STATUS_CD,OI.DLVRY_STATUS_CD
FROM S_ORDER SO
INNER JOIN S_ORDER_ITEM OI(NOLOCK) ON SO.ROW_ID = OI.ORDER_ID
WHERE SO.ORDER_NUM IN ('1-384745921' , '1-384746090')
GO
SELECT * 
FROM WC_PARAM_SO_EXPORT 
WHERE MARKET = 'Canada, CA' AND IMPACTED_MAPPING ='FDE_INT_ORDER_EXPORT_v14'</t>
  </si>
  <si>
    <t>Browse to \\MRUINFO961\Interfaces_IP14\Canada\OUNP and check if flat file has been generated</t>
  </si>
  <si>
    <t>1. Log on Sales Application as CSTADMCA
2. Go to Orders --&gt; Sales Orders List --&gt; Query for Order = '1-384745921' or '1-384746090'
Export Status should be 'In progress'</t>
  </si>
  <si>
    <t xml:space="preserve">2 record should returned for each query
X_EXPORT_STATUS should be same as RULE 1 in parameter table 
DLVRY_STATUS_CD should be same as RULE 2 in parameter table </t>
  </si>
  <si>
    <t>2 Record should be returned from each query with IF_ROW_STAT = 'IMPORTED'</t>
  </si>
  <si>
    <t xml:space="preserve">SELECT DISTINCT SO.ORDER_NUM
 ,TP.NAME
 ,SO.X_SUB_TYPE
 ,AC.NAME
 ,AC.ALIAS_NAME
 ,AC.X_ALIAS_NAME_2
 ,SO.REQ_SHIP_DT
 ,SO.STATUS_CD
 ,OI.X_ORD_TO_CODE
 ,OI.LN_NUM
 ,--10
 PR.PART_NUM
 ,PR.ALIAS_NAME
 ,PR.TYPE
 ,PL.NAME
 ,OI.ADJ_UNIT_PRI
 ,OI.QTY_REQ
 ,OI.DLVRY_STATUS_CD
 ,SO.ORDER_DT
 ,SU.LOGIN
 ,SOP.ALIAS_NAME
 ,--20
 SOP.NAME
 ,OI.X_FG_TXN_REASON_CD
 ,SO.ROW_ID
 ,OI.ROW_ID
 ,SO.REV_NUM
 ,OI.LN_NUM2
 ,F2.X_CUST_NUM
 ,--27
 AD.ADDR
 ,AD.ZIPCODE
 ,AD.CITY
 ,OI.X_ACT_RECEIVED_QTY
 ,OI.X_ACT_RETURNED_QTY
 ,SO.X_TRADE_RETURN_NUM
 ,SO.X_BAG_NUM
 ,SO.X_CUST_DOCKET_NUM
 ,OI.X_QTY_STICK_GRAMS
 ,OI.X_RETAILER_PRICE
 ,SO.X_WHLS_AUTH_BY
 ,SO.DOC_NUM
 ,CO.FST_NAME
 ,CO.LAST_NAME
 ,CO.X_QUALIFICATION
 ,CX.ATTRIB_01
 ,SAD.ADDR
 ,SAD.CITY
 ,SAD.COUNTRY
 ,SAD.ZIPCODE
 ,OI.X_QTY_PACKS_NUM
 ,POS.NAME
 ,SOP.X_ATTRIB_8
 ,AC.X_ATTRIB_8
 ,CONTACT.FST_NAME AS CREATED_BY_FST_NAME
 ,CONTACT.LAST_NAME AS CREATED_BY_LAST_NAME
 ,S_ORDER_X.ATTRIB_45 AS DELIVERY_METHOD
 ,DELIVERY_CONTACT.FST_NAME AS DELIVERY_FST_NAME
 ,DELIVERY_CONTACT.LAST_NAME AS DELIVERY_LAST_NAME
 ,SO.BU_ID AS BU_ID
 ,S_ADDR_PER1.ADDR AS ADDR_LINE_1
 ,CASE 
  WHEN BU.NAME = 'United Kingdom, UK'
   THEN S_ADDR_PER1.X_ADDR2_TEXT
  ELSE S_ADDR_PER1.ADDR_LINE_2
  END AS ADDR_LINE_2
 ,CASE 
  WHEN BU.NAME = 'United Kingdom, UK'
   THEN S_ADDR_PER1.ADDR_LINE_2
  ELSE 'Unspecified'
  END AS ADDR_LINE_3
 ,S_ADDR_PER1.CITY AS SHIP_CITY
 ,S_ADDR_PER1.ZIPCODE AS SHIP_ZIP_CODE
 ,S_ADDR_PER1.X_STATE AS SHIP_STATES
 ,S_ADDR_PER1.COUNTRY AS SHIP_COUNTRY
 ,S_ADDR_PER1.ADDR_TYPE_CD AS SHIP_ADDR_TYPE
 ,DEL_CON.FST_NAME AS DEL_CON_FST_NAME
 ,DEL_CON.LAST_NAME AS DEL_CON_LAST_NAME
 ,DEL_CON.PER_TITLE AS DEL_CON_TITLE
 ,DEL_CON.CON_CD AS DEL_CON_TYPE
 ,S_LANG.NAME AS DEL_CON_LANG
 ,S_ORDER_X.ATTRIB_53 AS DEL_EMAIL
 ,S_ORDER_X.ATTRIB_46 AS DEL_FAX
 ,DIGITAL_CON.FST_NAME AS DIGITAL_CON_FST_NAME
 ,DIGITAL_CON.LAST_NAME AS DIGITAL_CON_LAST_NAME
 ,DIGITAL_CON.PER_TITLE AS DIGITAL_CON_TITLE
 ,DIGITAL_CON.CON_CD AS DIGITAL_CON_TYPE
 ,SIGN_LANG.NAME AS DIGITAL_CON_LANG
 ,S_ORDER_X.X_SIGNATURE_DT
      ,REPLACE(REPLACE(SO.DESC_TEXT,char(10),' '),char(13),' ')
 ,CASE 
  WHEN AC.OU_TYPE_CD = 'Wholesaler'
   THEN S_ORG_EXT_UTX.OWNERSHIP_CD
  ELSE UTX2.OWNERSHIP_CD
  END AS OWNERSHIP_CD
 ,SO.DLVRY_STATUS_CD
 ,SO.X_EXPORT_STATUS
 ,OI.X_FIX_TAX_AMOUNT
 ,
 -- Calculated field: Quantity * ((Retailer Price + Fix Tax Amount)(1+ % Tax 1 CA + %Tax 2 CA)(1 + % Tax 3 CA)) AS 'X_SALES_AMOUNT'
 OI.X_TAX_CA_1
 ,OI.X_TAX_CA_2
 ,OI.X_TAX_CA_3
 ,SO.X_TOBACCO_LICN
 ,SO.X_BANK_DEPOSIT
 ,S_ORDER_X.ATTRIB_03
FROM S_ORDER SO(NOLOCK)
RIGHT JOIN S_ORDER_ITEM OI(NOLOCK) ON SO.ROW_ID = OI.ORDER_ID
INNER JOIN S_ORG_EXT AC(NOLOCK) ON SO.ACCNT_ID = AC.ROW_ID
LEFT OUTER JOIN S_PROD_INT PR(NOLOCK) ON OI.PROD_ID = PR.ROW_ID
LEFT OUTER JOIN S_PRI_LST PL(NOLOCK) ON SO.PRI_LST_ID = PL.ROW_ID
INNER JOIN S_USER SU(NOLOCK) ON SO.CREATED_BY = SU.ROW_ID
LEFT OUTER JOIN S_ORG_EXT SOP(NOLOCK) ON SO.PAYTO_OU_ID = SOP.ROW_ID
INNER JOIN S_ORDER_TYPE TP(NOLOCK) ON SO.ORDER_TYPE_ID = TP.ROW_ID
INNER JOIN S_BU BU(NOLOCK) ON SO.BU_ID = BU.ROW_ID
LEFT OUTER JOIN S_PARTY_REL F2(NOLOCK) ON F2.REL_PARTY_ID = SO.ACCNT_ID
 AND F2.PARTY_ID = SO.PAYTO_OU_ID
LEFT OUTER JOIN S_ADDR_PER AD(NOLOCK) ON AC.PR_ADDR_ID = AD.ROW_ID
LEFT OUTER JOIN S_CONTACT CO(NOLOCK) ON SO.BL_CON_ID = CO.ROW_ID
LEFT OUTER JOIN S_CONTACT_X CX(NOLOCK) ON CO.ROW_ID = CX.PAR_ROW_ID
LEFT OUTER JOIN S_ADDR_PER SAD(NOLOCK) ON SO.BL_ADDR_ID = SAD.ROW_ID
LEFT OUTER JOIN S_CONTACT CONTACT(NOLOCK) ON CONTACT.ROW_ID = SU.ROW_ID
LEFT OUTER JOIN S_POSTN POS(NOLOCK) ON POS.ROW_ID = CONTACT.PR_HELD_POSTN_ID
LEFT OUTER JOIN S_ORDER_X(NOLOCK) ON S_ORDER_X.ROW_ID = SO.ROW_ID
LEFT OUTER JOIN S_CONTACT DELIVERY_CONTACT(NOLOCK) ON SO.CONTACT_ID = DELIVERY_CONTACT.ROW_ID
-------------------DEFECT--------------------- 
LEFT OUTER JOIN S_ADDR_PER S_ADDR_PER1(NOLOCK) ON S_ADDR_PER1.ROW_ID = SO.SHIP_PER_ADDR_ID
LEFT OUTER JOIN S_CONTACT DEL_CON(NOLOCK) ON DEL_CON.ROW_ID = SO.SHIP_CON_ID
LEFT OUTER JOIN S_LANG(NOLOCK) ON S_LANG.LANG_CD = DEL_CON.PREF_LANG_ID
LEFT OUTER JOIN S_CONTACT DIGITAL_CON(NOLOCK) ON DIGITAL_CON.ROW_ID = S_ORDER_X.X_SIGNED_BY_ID
LEFT OUTER JOIN S_LANG SIGN_LANG(NOLOCK) ON SIGN_LANG.LANG_CD = DIGITAL_CON.PREF_LANG_ID
LEFT OUTER JOIN S_ORG_EXT_UTX(NOLOCK) ON S_ORG_EXT_UTX.PAR_ROW_ID = SO.ACCNT_ID
LEFT OUTER JOIN S_ORG_EXT_UTX UTX2(NOLOCK) ON UTX2.PAR_ROW_ID = SO.PAYTO_OU_ID
WHERE (X_EXPORT_STATUS IS NULL or X_EXPORT_STATUS ='In progress') AND SO.STATUS_CD='Submitted' AND BU.NAME = 'Canada, CA' AND (OI.QTY_REQ &lt;&gt; 0 OR OI.X_QTY_STICK_GRAMS&lt;&gt;0) AND OI.DLVRY_STATUS_CD &lt;&gt; 'Sent to Altadis' and X_SUB_TYPE in ('Direct Sales ','Retailer Detail Order','Retailer Dry Stock','Wholesaler Dry Stock','GTA Direct Sales','EP Direct Sales','Direct Sales RRP','Direct Sales GTA')
</t>
  </si>
  <si>
    <t>2 record should be returned</t>
  </si>
  <si>
    <t>Check if 2 new order subtype are correctly exported</t>
  </si>
  <si>
    <t>Payment Order Batch</t>
  </si>
  <si>
    <t>Siebel Sales Application &amp; SIEBEL_OLTP_DEV14</t>
  </si>
  <si>
    <t>Execute Payment Order Batch</t>
  </si>
  <si>
    <t>Workflow Manager &amp; SIEBEL_OLTP_DEV14</t>
  </si>
  <si>
    <t xml:space="preserve">1 Check Payment Hearder should be generated for the order created in Step 1
Primary Contact of Account should be correctly to check
Order foreign key X_PR_PAYMENT_ID should be properly updated with the ROW_ID of the newly generated check
2 Payment line should be generated </t>
  </si>
  <si>
    <t xml:space="preserve">1 Check Payment Hearder is generated for the order created in Step 1
Primary Contact of Account should be correctly to check
Order foreign key X_PR_PAYMENT_ID should be properly updated with the ROW_ID of the newly generated check
2 Payment line are generated </t>
  </si>
  <si>
    <t xml:space="preserve">Validate data has been created correctly in base tables and on Sales. </t>
  </si>
  <si>
    <t xml:space="preserve">/*1 PAYMENT HEADER CREATED*/
SELECT 
 S_SRC_PAYMENT.X_MODIF_REASON_CD,
 S_SRC_PAYMENT.ROW_ID,S_SRC_PAYMENT.PAYMENT_REQ_NUM,
    S_SRC_PAYMENT.X_PAYMENT_REQ_NUM_EFT,
    S_SRC_PAYMENT.PAYMENT_NUM,
    S_ORDER.ORDER_NUM,
    S_SRC_PAYMENT.TYPE_CD,
    S_SRC_PAYMENT.PAY_STAT_CD,
    S_ORDER.STATUS_CD,
    S_SRC_PAYMENT.PAY_TYPE_CD,
    S_ORDER.X_SUB_TYPE,
    S_ORG_EXT.ALIAS_NAME,
    S_SRC_PAYMENT.ACCNT_ID,
    S_SRC_PAYMENT.X_BU_ID,
    S_SRC_PAYMENT.ACTL_PAY_DT,
    S_ORDER.REQ_SHIP_DT,
    S_SRC_PAYMENT.ROW_ID,
    S_ORDER.X_PR_PAYMENT_ID,
    S_SRC_PAYMENT.CON_ID,
    S_SRC_PAYMENT.ORDER_ID,
    S_SRC_PAYMENT.PAY_AMT,
    S_ORDER.TOTAL_AMT,
    S_SRC_PAYMENT.X_EXPORT_STATUS_CD,
    S_SRC_PAYMENT.AMT_CURCY_CD ,
    S_CONTACT.FST_NAME,
    S_CONTACT.LAST_NAME  
FROM S_SRC_PAYMENT
INNER JOIN S_ORDER ON S_ORDER.ROW_ID = S_SRC_PAYMENT.ORDER_ID
INNER JOIN S_ORG_EXT ON S_ORG_EXT.ROW_ID = S_SRC_PAYMENT.ACCNT_ID
INNER JOIN S_SRCPAYMT_CON ON S_SRCPAYMT_CON.SRC_PAYMT_ID =S_SRC_PAYMENT.ROW_ID
INNER JOIN S_CONTACT ON S_CONTACT.ROW_ID = S_SRCPAYMT_CON.CON_ID
WHERE ORDER_NUM IN ('1-243112719') </t>
  </si>
  <si>
    <t>Create  Order Test data</t>
  </si>
  <si>
    <t>Screenshot 5</t>
  </si>
  <si>
    <t>SELECT  
O.ROW_ID,
O.ORDER_NUM, 
O.REV_NUM, 
T.NAME,
O.BU_ID,
ORD_BU.NAME AS BU_NAME,
CASE WHEN ORD_BU.NAME &lt;&gt; 'Canada, CA' THEN O.X_SUB_TYPE  ELSE G.PAYMENT_TYPE END AS X_SUB_TYPE,--CHG100481
CASE WHEN ORD_BU.NAME &lt;&gt; 'Canada, CA' THEN O.STATUS_CD ELSE G.PAYMENT_STATUS END AS STATUS_CD,--CHG100481
CASE WHEN ORD_BU.NAME &lt;&gt; 'Canada, CA' THEN O.REQ_SHIP_DT ELSE O.ORDER_DT END AS REQ_SHIP_DT,--CHG100481
ACCNT.NAME AS AC_NAME,
ACCNT.LOC AS AC_LOC,
ACCNT_BU.NAME AS ACCNT_BU,
ACCNT_PR_CON.PERSON_UID,
ACCNT_PR_CON.PRIV_FLG,
ACCNT_PR_CON_BU.NAME,
OI.ROW_ID AS ORDER_ITEM_ID,
PROD.NAME AS PROD_NAME,
PROD_BU.NAME AS PROD_BU,
SOE.NAME AS VENDOR_NAME,
SOE.LOC AS VENDOR_LOC,
SOE_BU.NAME AS VENDOR_BU,
CASE WHEN OI.DLVRY_STATUS_CD = 'Sent to Altadis' THEN 'Submitted'
ELSE OI.DLVRY_STATUS_CD
END AS DLVRY_STATUS_CD,
OI.X_FG_TXN_REASON_CD,
ISNULL((ISNULL (OI.X_FREE_GOODS_VALUE * (100.0 - ISNULL(OI.DISCNT_PERCENT, 0.0)) / 100.0, OI.X_FREE_GOODS_VALUE) * OI.QTY_REQ),0) AS TOTAL_FREE_GOODS,
OI.X_VAT_TAX,
O.CURCY_CD,
VAT_OU.VAT_REGN_NUM,
O.TOTAL_AMT, -- CHG100481 
G.PAYMENT_LINE_FLG,-- CHG100481
ATT.FILE_NAME,
ATT.FILE_EXT
FROM S_ORDER O (NOLOCK) 
INNER JOIN WC_ETL_MARKET_PARAM_G ETL (NOLOCK) ON ETL.MARKET_ID = O.BU_ID AND 
             ETL.ETL_PROCESS_NAME ='Payment Order Batch' AND 
             ETL.EXECUTION_FLG ='Y'
INNER JOIN S_BU ORDER_BU (NOLOCK) ON ORDER_BU.ROW_ID =  O.BU_ID
INNER JOIN S_ORDER_TYPE T (NOLOCK) ON T.ROW_ID = O.ORDER_TYPE_ID
INNER JOIN WC_PAYMENT_ORDER_PARAM_G G (NOLOCK) ON O.BU_ID = G.BU_ID  
     AND  O.STATUS_CD = G.ORDER_STATUS 
     AND  O.ORDER_CAT_CD = G.ORDER_CAT_CD 
     AND  T.NAME = G.ORDER_TYPE
     AND  O.X_SUB_TYPE= G.ORDER_SUBTYPE
INNER JOIN S_BU ORD_BU ON ORD_BU.ROW_ID=O.BU_ID     
INNER JOIN S_ORG_EXT ACCNT (NOLOCK)ON O.ACCNT_ID = ACCNT.ROW_ID
INNER JOIN S_BU ACCNT_BU (NOLOCK)ON ACCNT.BU_ID =ACCNT_BU.ROW_ID
INNER  JOIN S_ORDER_ITEM OI (NOLOCK)ON O.ROW_ID = OI.ORDER_ID
LEFT OUTER JOIN S_CONTACT ACCNT_PR_CON (NOLOCK) ON ACCNT.PR_CON_ID = ACCNT_PR_CON.ROW_ID
LEFT OUTER JOIN S_BU ACCNT_PR_CON_BU (NOLOCK) ON ACCNT_PR_CON.BU_ID = ACCNT_PR_CON_BU.ROW_ID
LEFT OUTER JOIN S_PROD_INT PROD (NOLOCK) ON OI.PROD_ID = PROD.ROW_ID
LEFT OUTER JOIN S_BU PROD_BU (NOLOCK) ON PROD_BU.ROW_ID = PROD.BU_ID 
LEFT OUTER JOIN S_ORG_EXT SOE (NOLOCK) ON SOE.ROW_ID = PROD.VENDR_OU_ID 
LEFT OUTER JOIN S_BU SOE_BU (NOLOCK) ON SOE_BU.ROW_ID = SOE.BU_ID 
LEFT OUTER JOIN S_ORG_EXT VAT_OU (NOLOCK)ON VAT_OU.ROW_ID=O.BL_OU_ID
LEFT OUTER JOIN S_ORDER_ATT ATT (NOLOCK) ON O.ROW_ID = ATT.PAR_ROW_ID
WHERE ISNULL(O.REQ_SHIP_DT,'1980/01/01') &gt;= G.DELIVERY_DATE
--AND ISNULL (O.X_PR_PAYMENT_ID ,'No Match RowId')='No Match RowId'
AND CASE WHEN ORD_BU.NAME &lt;&gt; 'Canada, CA' THEN 'Y' 
   WHEN ORD_BU.NAME = 'Canada, CA' AND O.DLVRY_STATUS_CD = G.DLVRY_STATUS_CD  THEN 'Y'
   ELSE 'N'
   END ='Y'
AND ORDER_NUM IN ('1-384803863' , '1-384803830') -- replace with orde_num created</t>
  </si>
  <si>
    <t>4 Order line should be returned with field correctly populated</t>
  </si>
  <si>
    <t>4 Order line are returned with field correctly populated</t>
  </si>
  <si>
    <t xml:space="preserve">/*1 Check Payment Hearder should be generated for the Order created in Step 1*/
SELECT IF_ROW_BATCH_NUM,IF_ROW_STAT,PAY_PAYMENTREQ_NUM,PAY_TYPE_CD,PAY_ACTL_PAY_DT,PAY_PAY_AMT,PAY_AMT_CURCY_CD,PAY_PAY_STAT_CD,X_EXPORT_STATUS_CD,X_PAYMENT_REQ_NUM_EFT,
PAY_PAYMENT_NUM,PAY_REV_NUM,NAME,PAY_ACCNT_BU,PAY_ACCNT_LOC,PAY_ACCNT_NAME,PAY_PERSON_UID,PAY_CON_BU,PAY_ORDER_BU,PAY_ORDER_NUM,PAY_ORDER_TYPE,PAY_X_BU
FROM EIM_PAYMENT(NOLOCK)
WHERE  IF_ROW_BATCH_NUM BETWEEN 2420000 AND 2420000
/*Contact link*/
SELECT IF_ROW_BATCH_NUM,IF_ROW_STAT, PAY_PAYMENTREQ_NUM, PAY_TYPE_CD,PAYCON_CON_BU,PAYCON_PERSON_UID
FROM EIM_FN_SRCPAY(NOLOCK)
WHERE  IF_ROW_BATCH_NUM BETWEEN 2420000 AND 2420000
/*order_id  link*/
SELECT IF_ROW_BATCH_NUM,IF_ROW_STAT, ORD_ORDER_NUM, ORD_REV_NUM,ORD_BU,ORD_ORDTYP_NAME,ORD_X_PR_PAYREQNUM,ORD_X_PR_PAYTYPECD
FROM EIM_ORDER (NOLOCK)
WHERE IF_ROW_BATCH_NUM BETWEEN 2420000  AND 2420000 </t>
  </si>
  <si>
    <r>
      <t xml:space="preserve">Execute worklet </t>
    </r>
    <r>
      <rPr>
        <b/>
        <sz val="9"/>
        <rFont val="Book Antiqua"/>
        <family val="1"/>
      </rPr>
      <t>wrk_Payment_Order_Batch</t>
    </r>
    <r>
      <rPr>
        <sz val="9"/>
        <rFont val="Book Antiqua"/>
        <family val="1"/>
      </rPr>
      <t xml:space="preserve"> in </t>
    </r>
    <r>
      <rPr>
        <b/>
        <sz val="9"/>
        <rFont val="Book Antiqua"/>
        <family val="1"/>
      </rPr>
      <t>RUN_OUTBOUND_PE_CA</t>
    </r>
    <r>
      <rPr>
        <sz val="9"/>
        <rFont val="Book Antiqua"/>
        <family val="1"/>
      </rPr>
      <t xml:space="preserve"> workflow and verify if records have been correctly imported in EIM tables </t>
    </r>
  </si>
  <si>
    <t>Screenshot 6</t>
  </si>
  <si>
    <t>1) Login Siebel Sales Application as CSTADMCA 
2) Go to Account &gt; query for Account Name "TEST_1808" -- replace with account  name as  in step 1
3) Drill down , click on Payment tab menu  , check status should be equal to  'To be  sent' for new 2 Cheque number created
Refer Check Payment Record Screenshot 6</t>
  </si>
  <si>
    <t xml:space="preserve">2 Check Payment header should be returned 
Verify that  the 2 new subtype order in parameter table is correcty considered
</t>
  </si>
  <si>
    <t>2 Check Payment header are  returned 
The 2  new subtype order in parameter table are correcty considered</t>
  </si>
  <si>
    <t xml:space="preserve">1) Login on sales Application as CSTADMCA
2. Go to Orders --&gt; Sales Orders List
3. Add 2 new  order with Export Status = 'In progress' , Type =  'Direct Sales GTA' and 'Direct Sales RRP' 
4. Drill down on each Order and on the lower applet, go to Line Items --&gt; Line Detail to add product. Save record.
5. Go to Attachement tab menu , add  new file  and rename with format 'O_Ordernum_YYMMDD' (YYMMDD  value of order date)
6)  Go to Orders --&gt; Sales Orders List and set  Status ='Submited', Invoice  Delivery Status ='To be processed'
   Refer to  Check Order Screenshot 5
</t>
  </si>
  <si>
    <t>RUN_OUTBOUND_SO_CA , RUN_OUTBOUND_PE_CA</t>
  </si>
  <si>
    <t>N</t>
  </si>
  <si>
    <t>CHG131815 Detail Functional and Technical Design Data Part v1.xlsm</t>
  </si>
  <si>
    <t>https://10.186.26.5/svn/JTI_Prj/Data/Phase II/TME_Phase_2_AM/10_Data_Issue_Log/OLTP_Data_Issue_Log_JUL18.xlsx</t>
  </si>
  <si>
    <t>J:\General\04_RELEASE_MANAGEMENT\2018-07_Release PROD JUL18\04_Release Docs\003-Data\JUL_2018_Data_Impacted_Objects.xlsx</t>
  </si>
  <si>
    <t>https://10.186.26.5/svn/JTI_Prj/Data/Phase II/EIM/09 - Interface July IP14/Server Scripts/Staging_IP14/IndirectFiles/Parameters/XX/OutboundInterfaces_MarketBusinessRules.txt
https://10.186.26.5/svn/JTI_Prj/Data/Phase II/EIM/09 - Interface July IP14/Server Scripts/Staging_IP14/IndirectFiles/Parameters/XX/SO_MarketBusinessRules.txt</t>
  </si>
  <si>
    <t>Robert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</si>
</sst>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_B_F_-;\-* #,##0.00\ _B_F_-;_-* &quot;-&quot;??\ _B_F_-;_-@_-"/>
    <numFmt numFmtId="165" formatCode="mm/dd/yy"/>
    <numFmt numFmtId="166" formatCode="mmm\-yyyy"/>
  </numFmts>
  <fonts count="51"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b/>
      <sz val="10"/>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b/>
      <sz val="10"/>
      <color theme="0"/>
      <name val="Arial"/>
      <family val="2"/>
    </font>
    <font>
      <b/>
      <sz val="10"/>
      <color theme="9" tint="-0.249977111117893"/>
      <name val="Book Antiqua"/>
      <family val="1"/>
    </font>
    <font>
      <b/>
      <sz val="11"/>
      <name val="Book Antiqua"/>
      <family val="1"/>
    </font>
    <font>
      <sz val="9"/>
      <name val="Book Antiqua"/>
      <family val="1"/>
    </font>
    <font>
      <b/>
      <sz val="9"/>
      <name val="Book Antiqua"/>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
      <patternFill patternType="solid">
        <fgColor rgb="FF00B05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4" fillId="0" borderId="0" applyNumberFormat="0" applyFill="0" applyBorder="0" applyAlignment="0" applyProtection="0">
      <alignment vertical="top"/>
      <protection locked="0"/>
    </xf>
    <xf numFmtId="0" fontId="45" fillId="0" borderId="0"/>
    <xf numFmtId="0" fontId="2" fillId="0" borderId="0"/>
    <xf numFmtId="0" fontId="45" fillId="0" borderId="0"/>
    <xf numFmtId="0" fontId="45"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4">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applyAlignment="1"/>
    <xf numFmtId="0" fontId="37" fillId="0" borderId="0" xfId="37" applyBorder="1"/>
    <xf numFmtId="0" fontId="37" fillId="0" borderId="0" xfId="37"/>
    <xf numFmtId="0" fontId="2" fillId="0" borderId="0" xfId="37" applyFont="1"/>
    <xf numFmtId="0" fontId="38" fillId="0" borderId="0" xfId="37" applyFont="1" applyBorder="1"/>
    <xf numFmtId="0" fontId="39"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ill="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4"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0" fontId="29" fillId="0" borderId="10" xfId="37" applyFont="1" applyBorder="1"/>
    <xf numFmtId="0" fontId="29" fillId="0" borderId="10" xfId="37" applyFont="1" applyFill="1" applyBorder="1" applyAlignment="1">
      <alignment wrapText="1"/>
    </xf>
    <xf numFmtId="0" fontId="37" fillId="0" borderId="0" xfId="37" applyBorder="1" applyAlignment="1">
      <alignment horizontal="left" vertical="top"/>
    </xf>
    <xf numFmtId="0" fontId="37"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22" fontId="37" fillId="0" borderId="0" xfId="37" applyNumberFormat="1" applyBorder="1"/>
    <xf numFmtId="49" fontId="3"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3" fillId="0" borderId="0" xfId="0" applyFont="1" applyFill="1"/>
    <xf numFmtId="0" fontId="0" fillId="0" borderId="0" xfId="0" applyFill="1"/>
    <xf numFmtId="0" fontId="3" fillId="28" borderId="0" xfId="0" applyFont="1" applyFill="1"/>
    <xf numFmtId="0" fontId="29" fillId="0" borderId="10" xfId="37" applyFont="1" applyFill="1" applyBorder="1" applyAlignment="1">
      <alignment vertical="top"/>
    </xf>
    <xf numFmtId="0" fontId="49" fillId="0" borderId="10" xfId="37" applyFont="1" applyFill="1" applyBorder="1" applyAlignment="1">
      <alignment vertical="top"/>
    </xf>
    <xf numFmtId="0" fontId="49" fillId="0" borderId="10" xfId="37" applyFont="1" applyFill="1" applyBorder="1" applyAlignment="1">
      <alignment vertical="top" wrapText="1"/>
    </xf>
    <xf numFmtId="0" fontId="49" fillId="0" borderId="10" xfId="37" applyFont="1" applyFill="1" applyBorder="1"/>
    <xf numFmtId="0" fontId="49" fillId="0" borderId="10" xfId="37" applyFont="1" applyFill="1" applyBorder="1" applyAlignment="1">
      <alignment wrapText="1"/>
    </xf>
    <xf numFmtId="0" fontId="37" fillId="0" borderId="0" xfId="37" applyFont="1" applyFill="1"/>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5"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40"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xf numFmtId="0" fontId="48" fillId="29" borderId="15" xfId="37" applyFont="1" applyFill="1" applyBorder="1" applyAlignment="1">
      <alignment horizontal="center"/>
    </xf>
  </cellXfs>
  <cellStyles count="51">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ormal" xfId="0" builtinId="0"/>
    <cellStyle name="Normal 2" xfId="33"/>
    <cellStyle name="Normal 2 2" xfId="34"/>
    <cellStyle name="Normal 3" xfId="35"/>
    <cellStyle name="Normal 3 2" xfId="36"/>
    <cellStyle name="Normal 4" xfId="37"/>
    <cellStyle name="Normal_Analytics_Test Script_CR_XXXX_Template" xfId="38"/>
    <cellStyle name="Notiz" xfId="39"/>
    <cellStyle name="Schlecht" xfId="40"/>
    <cellStyle name="Standard 2" xfId="41"/>
    <cellStyle name="Style 1" xfId="42"/>
    <cellStyle name="Überschrift" xfId="43"/>
    <cellStyle name="Überschrift 1" xfId="44"/>
    <cellStyle name="Überschrift 2" xfId="45"/>
    <cellStyle name="Überschrift 3" xfId="46"/>
    <cellStyle name="Überschrift 4" xfId="47"/>
    <cellStyle name="Verknüpfte Zelle" xfId="48"/>
    <cellStyle name="Warnender Text" xfId="49"/>
    <cellStyle name="Zelle überprüfen" xfId="5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146050</xdr:rowOff>
    </xdr:to>
    <xdr:pic>
      <xdr:nvPicPr>
        <xdr:cNvPr id="10277" name="Picture 1" descr="JTI_TMELogo_S">
          <a:extLst>
            <a:ext uri="{FF2B5EF4-FFF2-40B4-BE49-F238E27FC236}">
              <a16:creationId xmlns:a16="http://schemas.microsoft.com/office/drawing/2014/main" id="{B0A39429-7D3E-4451-A3AE-BA9DB25775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78155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895350</xdr:colOff>
      <xdr:row>0</xdr:row>
      <xdr:rowOff>0</xdr:rowOff>
    </xdr:from>
    <xdr:to>
      <xdr:col>8</xdr:col>
      <xdr:colOff>0</xdr:colOff>
      <xdr:row>3</xdr:row>
      <xdr:rowOff>146050</xdr:rowOff>
    </xdr:to>
    <xdr:pic>
      <xdr:nvPicPr>
        <xdr:cNvPr id="10278" name="Picture 2" descr="JTI Logo">
          <a:extLst>
            <a:ext uri="{FF2B5EF4-FFF2-40B4-BE49-F238E27FC236}">
              <a16:creationId xmlns:a16="http://schemas.microsoft.com/office/drawing/2014/main" id="{4446CB0E-162E-43F8-AC54-2A8FAD7E117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45200" y="0"/>
          <a:ext cx="1676400" cy="98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16</xdr:row>
      <xdr:rowOff>66675</xdr:rowOff>
    </xdr:from>
    <xdr:to>
      <xdr:col>21</xdr:col>
      <xdr:colOff>112395</xdr:colOff>
      <xdr:row>35</xdr:row>
      <xdr:rowOff>161529</xdr:rowOff>
    </xdr:to>
    <xdr:pic>
      <xdr:nvPicPr>
        <xdr:cNvPr id="2" name="Picture 1">
          <a:extLst>
            <a:ext uri="{FF2B5EF4-FFF2-40B4-BE49-F238E27FC236}">
              <a16:creationId xmlns:a16="http://schemas.microsoft.com/office/drawing/2014/main" id="{9292A2CC-EFE7-4CA6-B03F-AF31AC613BF0}"/>
            </a:ext>
          </a:extLst>
        </xdr:cNvPr>
        <xdr:cNvPicPr>
          <a:picLocks noChangeAspect="1"/>
        </xdr:cNvPicPr>
      </xdr:nvPicPr>
      <xdr:blipFill>
        <a:blip xmlns:r="http://schemas.openxmlformats.org/officeDocument/2006/relationships" r:embed="rId1"/>
        <a:stretch>
          <a:fillRect/>
        </a:stretch>
      </xdr:blipFill>
      <xdr:spPr>
        <a:xfrm>
          <a:off x="0" y="228600"/>
          <a:ext cx="15238095" cy="3171429"/>
        </a:xfrm>
        <a:prstGeom prst="rect">
          <a:avLst/>
        </a:prstGeom>
      </xdr:spPr>
    </xdr:pic>
    <xdr:clientData/>
  </xdr:twoCellAnchor>
  <xdr:twoCellAnchor editAs="oneCell">
    <xdr:from>
      <xdr:col>0</xdr:col>
      <xdr:colOff>0</xdr:colOff>
      <xdr:row>57</xdr:row>
      <xdr:rowOff>95250</xdr:rowOff>
    </xdr:from>
    <xdr:to>
      <xdr:col>20</xdr:col>
      <xdr:colOff>588662</xdr:colOff>
      <xdr:row>66</xdr:row>
      <xdr:rowOff>123639</xdr:rowOff>
    </xdr:to>
    <xdr:pic>
      <xdr:nvPicPr>
        <xdr:cNvPr id="3" name="Picture 2">
          <a:extLst>
            <a:ext uri="{FF2B5EF4-FFF2-40B4-BE49-F238E27FC236}">
              <a16:creationId xmlns:a16="http://schemas.microsoft.com/office/drawing/2014/main" id="{214E71D1-CFA2-4927-BEDF-AB82A422A34D}"/>
            </a:ext>
          </a:extLst>
        </xdr:cNvPr>
        <xdr:cNvPicPr>
          <a:picLocks noChangeAspect="1"/>
        </xdr:cNvPicPr>
      </xdr:nvPicPr>
      <xdr:blipFill>
        <a:blip xmlns:r="http://schemas.openxmlformats.org/officeDocument/2006/relationships" r:embed="rId2"/>
        <a:stretch>
          <a:fillRect/>
        </a:stretch>
      </xdr:blipFill>
      <xdr:spPr>
        <a:xfrm>
          <a:off x="0" y="6896100"/>
          <a:ext cx="15104762" cy="1485714"/>
        </a:xfrm>
        <a:prstGeom prst="rect">
          <a:avLst/>
        </a:prstGeom>
      </xdr:spPr>
    </xdr:pic>
    <xdr:clientData/>
  </xdr:twoCellAnchor>
  <xdr:twoCellAnchor editAs="oneCell">
    <xdr:from>
      <xdr:col>0</xdr:col>
      <xdr:colOff>76200</xdr:colOff>
      <xdr:row>35</xdr:row>
      <xdr:rowOff>142875</xdr:rowOff>
    </xdr:from>
    <xdr:to>
      <xdr:col>21</xdr:col>
      <xdr:colOff>17167</xdr:colOff>
      <xdr:row>55</xdr:row>
      <xdr:rowOff>37708</xdr:rowOff>
    </xdr:to>
    <xdr:pic>
      <xdr:nvPicPr>
        <xdr:cNvPr id="5" name="Picture 4">
          <a:extLst>
            <a:ext uri="{FF2B5EF4-FFF2-40B4-BE49-F238E27FC236}">
              <a16:creationId xmlns:a16="http://schemas.microsoft.com/office/drawing/2014/main" id="{1F15F692-B277-4229-A14F-239DE04E13EF}"/>
            </a:ext>
          </a:extLst>
        </xdr:cNvPr>
        <xdr:cNvPicPr>
          <a:picLocks noChangeAspect="1"/>
        </xdr:cNvPicPr>
      </xdr:nvPicPr>
      <xdr:blipFill>
        <a:blip xmlns:r="http://schemas.openxmlformats.org/officeDocument/2006/relationships" r:embed="rId3"/>
        <a:stretch>
          <a:fillRect/>
        </a:stretch>
      </xdr:blipFill>
      <xdr:spPr>
        <a:xfrm>
          <a:off x="76200" y="3381375"/>
          <a:ext cx="15066667" cy="3133333"/>
        </a:xfrm>
        <a:prstGeom prst="rect">
          <a:avLst/>
        </a:prstGeom>
      </xdr:spPr>
    </xdr:pic>
    <xdr:clientData/>
  </xdr:twoCellAnchor>
  <xdr:twoCellAnchor editAs="oneCell">
    <xdr:from>
      <xdr:col>0</xdr:col>
      <xdr:colOff>28575</xdr:colOff>
      <xdr:row>1</xdr:row>
      <xdr:rowOff>38100</xdr:rowOff>
    </xdr:from>
    <xdr:to>
      <xdr:col>21</xdr:col>
      <xdr:colOff>7637</xdr:colOff>
      <xdr:row>14</xdr:row>
      <xdr:rowOff>9265</xdr:rowOff>
    </xdr:to>
    <xdr:pic>
      <xdr:nvPicPr>
        <xdr:cNvPr id="6" name="Picture 5">
          <a:extLst>
            <a:ext uri="{FF2B5EF4-FFF2-40B4-BE49-F238E27FC236}">
              <a16:creationId xmlns:a16="http://schemas.microsoft.com/office/drawing/2014/main" id="{E29E72DC-912D-4AE5-BFD5-4189B536C9BB}"/>
            </a:ext>
          </a:extLst>
        </xdr:cNvPr>
        <xdr:cNvPicPr>
          <a:picLocks noChangeAspect="1"/>
        </xdr:cNvPicPr>
      </xdr:nvPicPr>
      <xdr:blipFill>
        <a:blip xmlns:r="http://schemas.openxmlformats.org/officeDocument/2006/relationships" r:embed="rId4"/>
        <a:stretch>
          <a:fillRect/>
        </a:stretch>
      </xdr:blipFill>
      <xdr:spPr>
        <a:xfrm>
          <a:off x="28575" y="200025"/>
          <a:ext cx="15104762" cy="2076190"/>
        </a:xfrm>
        <a:prstGeom prst="rect">
          <a:avLst/>
        </a:prstGeom>
      </xdr:spPr>
    </xdr:pic>
    <xdr:clientData/>
  </xdr:twoCellAnchor>
  <xdr:twoCellAnchor editAs="oneCell">
    <xdr:from>
      <xdr:col>0</xdr:col>
      <xdr:colOff>0</xdr:colOff>
      <xdr:row>69</xdr:row>
      <xdr:rowOff>0</xdr:rowOff>
    </xdr:from>
    <xdr:to>
      <xdr:col>18</xdr:col>
      <xdr:colOff>484052</xdr:colOff>
      <xdr:row>91</xdr:row>
      <xdr:rowOff>18602</xdr:rowOff>
    </xdr:to>
    <xdr:pic>
      <xdr:nvPicPr>
        <xdr:cNvPr id="7" name="Picture 6">
          <a:extLst>
            <a:ext uri="{FF2B5EF4-FFF2-40B4-BE49-F238E27FC236}">
              <a16:creationId xmlns:a16="http://schemas.microsoft.com/office/drawing/2014/main" id="{D9D2FDF0-403D-44EE-9F82-92CBAE8CD7D0}"/>
            </a:ext>
          </a:extLst>
        </xdr:cNvPr>
        <xdr:cNvPicPr>
          <a:picLocks noChangeAspect="1"/>
        </xdr:cNvPicPr>
      </xdr:nvPicPr>
      <xdr:blipFill>
        <a:blip xmlns:r="http://schemas.openxmlformats.org/officeDocument/2006/relationships" r:embed="rId5"/>
        <a:stretch>
          <a:fillRect/>
        </a:stretch>
      </xdr:blipFill>
      <xdr:spPr>
        <a:xfrm>
          <a:off x="0" y="11182350"/>
          <a:ext cx="13780952" cy="3580952"/>
        </a:xfrm>
        <a:prstGeom prst="rect">
          <a:avLst/>
        </a:prstGeom>
      </xdr:spPr>
    </xdr:pic>
    <xdr:clientData/>
  </xdr:twoCellAnchor>
  <xdr:twoCellAnchor editAs="oneCell">
    <xdr:from>
      <xdr:col>0</xdr:col>
      <xdr:colOff>0</xdr:colOff>
      <xdr:row>95</xdr:row>
      <xdr:rowOff>0</xdr:rowOff>
    </xdr:from>
    <xdr:to>
      <xdr:col>9</xdr:col>
      <xdr:colOff>256167</xdr:colOff>
      <xdr:row>123</xdr:row>
      <xdr:rowOff>56576</xdr:rowOff>
    </xdr:to>
    <xdr:pic>
      <xdr:nvPicPr>
        <xdr:cNvPr id="8" name="Picture 7">
          <a:extLst>
            <a:ext uri="{FF2B5EF4-FFF2-40B4-BE49-F238E27FC236}">
              <a16:creationId xmlns:a16="http://schemas.microsoft.com/office/drawing/2014/main" id="{3ADAF88B-E947-448C-805A-7943C0E68633}"/>
            </a:ext>
          </a:extLst>
        </xdr:cNvPr>
        <xdr:cNvPicPr>
          <a:picLocks noChangeAspect="1"/>
        </xdr:cNvPicPr>
      </xdr:nvPicPr>
      <xdr:blipFill>
        <a:blip xmlns:r="http://schemas.openxmlformats.org/officeDocument/2006/relationships" r:embed="rId6"/>
        <a:stretch>
          <a:fillRect/>
        </a:stretch>
      </xdr:blipFill>
      <xdr:spPr>
        <a:xfrm>
          <a:off x="0" y="15392400"/>
          <a:ext cx="8066667" cy="4590476"/>
        </a:xfrm>
        <a:prstGeom prst="rect">
          <a:avLst/>
        </a:prstGeom>
      </xdr:spPr>
    </xdr:pic>
    <xdr:clientData/>
  </xdr:twoCellAnchor>
  <xdr:twoCellAnchor editAs="oneCell">
    <xdr:from>
      <xdr:col>0</xdr:col>
      <xdr:colOff>0</xdr:colOff>
      <xdr:row>127</xdr:row>
      <xdr:rowOff>0</xdr:rowOff>
    </xdr:from>
    <xdr:to>
      <xdr:col>21</xdr:col>
      <xdr:colOff>102871</xdr:colOff>
      <xdr:row>161</xdr:row>
      <xdr:rowOff>65979</xdr:rowOff>
    </xdr:to>
    <xdr:pic>
      <xdr:nvPicPr>
        <xdr:cNvPr id="4" name="Picture 3">
          <a:extLst>
            <a:ext uri="{FF2B5EF4-FFF2-40B4-BE49-F238E27FC236}">
              <a16:creationId xmlns:a16="http://schemas.microsoft.com/office/drawing/2014/main" id="{D4E6C7E2-787B-40AB-88B6-DC8C5A0B787C}"/>
            </a:ext>
          </a:extLst>
        </xdr:cNvPr>
        <xdr:cNvPicPr>
          <a:picLocks noChangeAspect="1"/>
        </xdr:cNvPicPr>
      </xdr:nvPicPr>
      <xdr:blipFill>
        <a:blip xmlns:r="http://schemas.openxmlformats.org/officeDocument/2006/relationships" r:embed="rId7"/>
        <a:stretch>
          <a:fillRect/>
        </a:stretch>
      </xdr:blipFill>
      <xdr:spPr>
        <a:xfrm>
          <a:off x="0" y="20574000"/>
          <a:ext cx="15228571" cy="5571429"/>
        </a:xfrm>
        <a:prstGeom prst="rect">
          <a:avLst/>
        </a:prstGeom>
      </xdr:spPr>
    </xdr:pic>
    <xdr:clientData/>
  </xdr:twoCellAnchor>
  <xdr:twoCellAnchor>
    <xdr:from>
      <xdr:col>3</xdr:col>
      <xdr:colOff>228600</xdr:colOff>
      <xdr:row>136</xdr:row>
      <xdr:rowOff>142875</xdr:rowOff>
    </xdr:from>
    <xdr:to>
      <xdr:col>6</xdr:col>
      <xdr:colOff>180975</xdr:colOff>
      <xdr:row>138</xdr:row>
      <xdr:rowOff>95250</xdr:rowOff>
    </xdr:to>
    <xdr:sp macro="" textlink="">
      <xdr:nvSpPr>
        <xdr:cNvPr id="9" name="Rectangle 8">
          <a:extLst>
            <a:ext uri="{FF2B5EF4-FFF2-40B4-BE49-F238E27FC236}">
              <a16:creationId xmlns:a16="http://schemas.microsoft.com/office/drawing/2014/main" id="{027F6C51-A476-4B4A-B0CA-4E77186D5837}"/>
            </a:ext>
          </a:extLst>
        </xdr:cNvPr>
        <xdr:cNvSpPr/>
      </xdr:nvSpPr>
      <xdr:spPr>
        <a:xfrm>
          <a:off x="4381500" y="22174200"/>
          <a:ext cx="1781175" cy="2762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162</xdr:row>
      <xdr:rowOff>0</xdr:rowOff>
    </xdr:from>
    <xdr:to>
      <xdr:col>21</xdr:col>
      <xdr:colOff>112395</xdr:colOff>
      <xdr:row>171</xdr:row>
      <xdr:rowOff>123627</xdr:rowOff>
    </xdr:to>
    <xdr:pic>
      <xdr:nvPicPr>
        <xdr:cNvPr id="11" name="Picture 10">
          <a:extLst>
            <a:ext uri="{FF2B5EF4-FFF2-40B4-BE49-F238E27FC236}">
              <a16:creationId xmlns:a16="http://schemas.microsoft.com/office/drawing/2014/main" id="{B48B7874-62A2-4337-9920-B321B55C0E56}"/>
            </a:ext>
          </a:extLst>
        </xdr:cNvPr>
        <xdr:cNvPicPr>
          <a:picLocks noChangeAspect="1"/>
        </xdr:cNvPicPr>
      </xdr:nvPicPr>
      <xdr:blipFill>
        <a:blip xmlns:r="http://schemas.openxmlformats.org/officeDocument/2006/relationships" r:embed="rId8"/>
        <a:stretch>
          <a:fillRect/>
        </a:stretch>
      </xdr:blipFill>
      <xdr:spPr>
        <a:xfrm>
          <a:off x="0" y="26241375"/>
          <a:ext cx="15238095" cy="1580952"/>
        </a:xfrm>
        <a:prstGeom prst="rect">
          <a:avLst/>
        </a:prstGeom>
      </xdr:spPr>
    </xdr:pic>
    <xdr:clientData/>
  </xdr:twoCellAnchor>
  <xdr:twoCellAnchor editAs="oneCell">
    <xdr:from>
      <xdr:col>0</xdr:col>
      <xdr:colOff>0</xdr:colOff>
      <xdr:row>186</xdr:row>
      <xdr:rowOff>0</xdr:rowOff>
    </xdr:from>
    <xdr:to>
      <xdr:col>20</xdr:col>
      <xdr:colOff>388662</xdr:colOff>
      <xdr:row>224</xdr:row>
      <xdr:rowOff>161136</xdr:rowOff>
    </xdr:to>
    <xdr:pic>
      <xdr:nvPicPr>
        <xdr:cNvPr id="13" name="Picture 12">
          <a:extLst>
            <a:ext uri="{FF2B5EF4-FFF2-40B4-BE49-F238E27FC236}">
              <a16:creationId xmlns:a16="http://schemas.microsoft.com/office/drawing/2014/main" id="{65D6826F-4BB1-4892-B0B7-96DD4CFD7640}"/>
            </a:ext>
          </a:extLst>
        </xdr:cNvPr>
        <xdr:cNvPicPr>
          <a:picLocks noChangeAspect="1"/>
        </xdr:cNvPicPr>
      </xdr:nvPicPr>
      <xdr:blipFill>
        <a:blip xmlns:r="http://schemas.openxmlformats.org/officeDocument/2006/relationships" r:embed="rId9"/>
        <a:stretch>
          <a:fillRect/>
        </a:stretch>
      </xdr:blipFill>
      <xdr:spPr>
        <a:xfrm>
          <a:off x="0" y="28508325"/>
          <a:ext cx="14904762" cy="6314286"/>
        </a:xfrm>
        <a:prstGeom prst="rect">
          <a:avLst/>
        </a:prstGeom>
      </xdr:spPr>
    </xdr:pic>
    <xdr:clientData/>
  </xdr:twoCellAnchor>
  <xdr:twoCellAnchor editAs="oneCell">
    <xdr:from>
      <xdr:col>0</xdr:col>
      <xdr:colOff>0</xdr:colOff>
      <xdr:row>226</xdr:row>
      <xdr:rowOff>123825</xdr:rowOff>
    </xdr:from>
    <xdr:to>
      <xdr:col>17</xdr:col>
      <xdr:colOff>55557</xdr:colOff>
      <xdr:row>252</xdr:row>
      <xdr:rowOff>85204</xdr:rowOff>
    </xdr:to>
    <xdr:pic>
      <xdr:nvPicPr>
        <xdr:cNvPr id="14" name="Picture 13">
          <a:extLst>
            <a:ext uri="{FF2B5EF4-FFF2-40B4-BE49-F238E27FC236}">
              <a16:creationId xmlns:a16="http://schemas.microsoft.com/office/drawing/2014/main" id="{6A493297-3459-4897-AD0B-4C2F32A60052}"/>
            </a:ext>
          </a:extLst>
        </xdr:cNvPr>
        <xdr:cNvPicPr>
          <a:picLocks noChangeAspect="1"/>
        </xdr:cNvPicPr>
      </xdr:nvPicPr>
      <xdr:blipFill>
        <a:blip xmlns:r="http://schemas.openxmlformats.org/officeDocument/2006/relationships" r:embed="rId10"/>
        <a:stretch>
          <a:fillRect/>
        </a:stretch>
      </xdr:blipFill>
      <xdr:spPr>
        <a:xfrm>
          <a:off x="0" y="36728400"/>
          <a:ext cx="12742857" cy="4171429"/>
        </a:xfrm>
        <a:prstGeom prst="rect">
          <a:avLst/>
        </a:prstGeom>
      </xdr:spPr>
    </xdr:pic>
    <xdr:clientData/>
  </xdr:twoCellAnchor>
  <xdr:twoCellAnchor editAs="oneCell">
    <xdr:from>
      <xdr:col>0</xdr:col>
      <xdr:colOff>0</xdr:colOff>
      <xdr:row>172</xdr:row>
      <xdr:rowOff>19049</xdr:rowOff>
    </xdr:from>
    <xdr:to>
      <xdr:col>20</xdr:col>
      <xdr:colOff>436281</xdr:colOff>
      <xdr:row>182</xdr:row>
      <xdr:rowOff>94964</xdr:rowOff>
    </xdr:to>
    <xdr:pic>
      <xdr:nvPicPr>
        <xdr:cNvPr id="15" name="Picture 14">
          <a:extLst>
            <a:ext uri="{FF2B5EF4-FFF2-40B4-BE49-F238E27FC236}">
              <a16:creationId xmlns:a16="http://schemas.microsoft.com/office/drawing/2014/main" id="{0D35D233-3B7D-4959-A905-45E9CA50F4D1}"/>
            </a:ext>
          </a:extLst>
        </xdr:cNvPr>
        <xdr:cNvPicPr>
          <a:picLocks noChangeAspect="1"/>
        </xdr:cNvPicPr>
      </xdr:nvPicPr>
      <xdr:blipFill>
        <a:blip xmlns:r="http://schemas.openxmlformats.org/officeDocument/2006/relationships" r:embed="rId11"/>
        <a:stretch>
          <a:fillRect/>
        </a:stretch>
      </xdr:blipFill>
      <xdr:spPr>
        <a:xfrm>
          <a:off x="0" y="27879674"/>
          <a:ext cx="14952381" cy="169516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https://10.186.26.5/svn/JTI_Prj/Data/Phase%20II/TME_Phase_2_AM/10_Data_Issue_Log/OLTP_Data_Issue_Log_JUL18.xlsx"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S37"/>
  <sheetViews>
    <sheetView showGridLines="0" tabSelected="1" zoomScale="66" workbookViewId="0">
      <selection activeCell="I30" sqref="I30"/>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83" t="s">
        <v>2</v>
      </c>
      <c r="B13" s="83"/>
      <c r="C13" s="83"/>
      <c r="D13" s="83"/>
      <c r="E13" s="83"/>
      <c r="F13" s="83"/>
      <c r="G13" s="83"/>
      <c r="H13" s="83"/>
      <c r="I13" s="83"/>
      <c r="J13" s="83"/>
      <c r="K13" s="83"/>
      <c r="L13" s="83"/>
      <c r="M13" s="83"/>
      <c r="N13" s="83"/>
      <c r="O13" s="83"/>
      <c r="P13" s="83"/>
      <c r="Q13" s="83"/>
      <c r="R13" s="83"/>
      <c r="S13" s="83"/>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84" t="s">
        <v>17</v>
      </c>
      <c r="B18" s="84"/>
      <c r="C18" s="84"/>
      <c r="D18" s="84"/>
      <c r="E18" s="84"/>
      <c r="F18" s="84"/>
      <c r="G18" s="84"/>
      <c r="H18" s="84"/>
      <c r="I18" s="84"/>
      <c r="J18" s="84"/>
      <c r="K18" s="84"/>
      <c r="L18" s="84"/>
      <c r="M18" s="84"/>
      <c r="N18" s="84"/>
      <c r="O18" s="84"/>
      <c r="P18" s="84"/>
      <c r="Q18" s="84"/>
      <c r="R18" s="84"/>
      <c r="S18" s="84"/>
    </row>
    <row r="19" spans="1:19" s="15" customFormat="1" ht="40.700000000000003" customHeight="1" x14ac:dyDescent="0.2">
      <c r="A19" s="85" t="s">
        <v>1</v>
      </c>
      <c r="B19" s="85"/>
      <c r="C19" s="85"/>
      <c r="D19" s="85"/>
      <c r="E19" s="85"/>
      <c r="F19" s="85"/>
      <c r="G19" s="85"/>
      <c r="H19" s="85"/>
      <c r="I19" s="85"/>
      <c r="J19" s="85"/>
      <c r="K19" s="85"/>
      <c r="L19" s="85"/>
      <c r="M19" s="85"/>
      <c r="N19" s="85"/>
      <c r="O19" s="85"/>
      <c r="P19" s="85"/>
      <c r="Q19" s="85"/>
      <c r="R19" s="85"/>
      <c r="S19" s="85"/>
    </row>
    <row r="20" spans="1:19" s="15" customFormat="1" ht="13.5" x14ac:dyDescent="0.2">
      <c r="A20" s="16"/>
      <c r="B20" s="16"/>
      <c r="C20" s="16"/>
      <c r="D20" s="16"/>
      <c r="E20" s="16"/>
      <c r="F20" s="16"/>
      <c r="G20" s="16"/>
      <c r="H20" s="16"/>
      <c r="I20" s="16"/>
      <c r="J20" s="16"/>
    </row>
    <row r="21" spans="1:19" s="15" customFormat="1" ht="58.7" customHeight="1" x14ac:dyDescent="0.2">
      <c r="A21" s="86" t="s">
        <v>83</v>
      </c>
      <c r="B21" s="86"/>
      <c r="C21" s="86"/>
      <c r="D21" s="86"/>
      <c r="E21" s="86"/>
      <c r="F21" s="86"/>
      <c r="G21" s="86"/>
      <c r="H21" s="86"/>
      <c r="I21" s="86"/>
      <c r="J21" s="6"/>
      <c r="K21" s="87" t="s">
        <v>85</v>
      </c>
      <c r="L21" s="87"/>
      <c r="M21" s="87"/>
      <c r="N21" s="87"/>
      <c r="O21" s="87"/>
      <c r="P21" s="87"/>
      <c r="Q21" s="87"/>
      <c r="R21" s="87"/>
      <c r="S21" s="87"/>
    </row>
    <row r="22" spans="1:19" s="15" customFormat="1" ht="13.5" x14ac:dyDescent="0.2">
      <c r="A22" s="16"/>
      <c r="B22" s="16"/>
      <c r="C22" s="16"/>
      <c r="D22" s="16"/>
      <c r="E22" s="16"/>
      <c r="F22" s="16"/>
      <c r="G22" s="16"/>
      <c r="H22" s="16"/>
      <c r="I22" s="16"/>
      <c r="J22" s="16"/>
    </row>
    <row r="23" spans="1:19" s="15" customFormat="1" ht="70.150000000000006" customHeight="1" x14ac:dyDescent="0.2">
      <c r="A23" s="90" t="s">
        <v>18</v>
      </c>
      <c r="B23" s="90"/>
      <c r="C23" s="90"/>
      <c r="D23" s="90"/>
      <c r="E23" s="90"/>
      <c r="F23" s="90"/>
      <c r="G23" s="90"/>
      <c r="H23" s="90"/>
      <c r="I23" s="90"/>
      <c r="J23" s="7"/>
      <c r="K23" s="91" t="s">
        <v>86</v>
      </c>
      <c r="L23" s="91"/>
      <c r="M23" s="91"/>
      <c r="N23" s="91"/>
      <c r="O23" s="91"/>
      <c r="P23" s="91"/>
      <c r="Q23" s="91"/>
      <c r="R23" s="91"/>
      <c r="S23" s="91"/>
    </row>
    <row r="24" spans="1:19" s="15" customFormat="1" ht="13.5" x14ac:dyDescent="0.2">
      <c r="A24" s="16"/>
      <c r="B24" s="16"/>
      <c r="C24" s="16"/>
      <c r="D24" s="16"/>
      <c r="E24" s="16"/>
      <c r="F24" s="16"/>
      <c r="G24" s="16"/>
      <c r="H24" s="16"/>
      <c r="I24" s="16"/>
      <c r="J24" s="16"/>
    </row>
    <row r="25" spans="1:19" s="15" customFormat="1" ht="70.150000000000006" customHeight="1" x14ac:dyDescent="0.2">
      <c r="A25" s="92" t="s">
        <v>3</v>
      </c>
      <c r="B25" s="92"/>
      <c r="C25" s="92"/>
      <c r="D25" s="92"/>
      <c r="E25" s="92"/>
      <c r="F25" s="92"/>
      <c r="G25" s="92"/>
      <c r="H25" s="92"/>
      <c r="I25" s="92"/>
      <c r="J25" s="7"/>
      <c r="K25" s="93" t="s">
        <v>87</v>
      </c>
      <c r="L25" s="93"/>
      <c r="M25" s="93"/>
      <c r="N25" s="93"/>
      <c r="O25" s="93"/>
      <c r="P25" s="93"/>
      <c r="Q25" s="93"/>
      <c r="R25" s="93"/>
      <c r="S25" s="93"/>
    </row>
    <row r="26" spans="1:19" s="15" customFormat="1" ht="13.5" x14ac:dyDescent="0.2">
      <c r="A26" s="16"/>
      <c r="B26" s="16"/>
      <c r="C26" s="16"/>
      <c r="D26" s="16"/>
      <c r="E26" s="16"/>
      <c r="F26" s="16"/>
      <c r="G26" s="16"/>
      <c r="H26" s="16"/>
      <c r="I26" s="16"/>
      <c r="J26" s="16"/>
    </row>
    <row r="27" spans="1:19" ht="27" customHeight="1" x14ac:dyDescent="0.2">
      <c r="A27" s="88" t="s">
        <v>13</v>
      </c>
      <c r="B27" s="88"/>
      <c r="C27" s="88"/>
      <c r="D27" s="88"/>
      <c r="E27" s="88"/>
      <c r="F27" s="88"/>
      <c r="G27" s="88"/>
      <c r="H27" s="88"/>
      <c r="I27" s="88"/>
      <c r="K27" s="89" t="s">
        <v>19</v>
      </c>
      <c r="L27" s="89"/>
      <c r="M27" s="89"/>
      <c r="N27" s="89"/>
      <c r="O27" s="89"/>
      <c r="P27" s="89"/>
      <c r="Q27" s="89"/>
      <c r="R27" s="89"/>
      <c r="S27" s="89"/>
    </row>
    <row r="28" spans="1:19" ht="27" customHeight="1" x14ac:dyDescent="0.2">
      <c r="A28" s="88"/>
      <c r="B28" s="88"/>
      <c r="C28" s="88"/>
      <c r="D28" s="88"/>
      <c r="E28" s="88"/>
      <c r="F28" s="88"/>
      <c r="G28" s="88"/>
      <c r="H28" s="88"/>
      <c r="I28" s="88"/>
      <c r="K28" s="89"/>
      <c r="L28" s="89"/>
      <c r="M28" s="89"/>
      <c r="N28" s="89"/>
      <c r="O28" s="17"/>
      <c r="P28" s="17"/>
      <c r="Q28" s="17"/>
      <c r="R28" s="17"/>
      <c r="S28" s="17"/>
    </row>
    <row r="29" spans="1:19" ht="27" customHeight="1" x14ac:dyDescent="0.2">
      <c r="A29" s="88"/>
      <c r="B29" s="88"/>
      <c r="C29" s="88"/>
      <c r="D29" s="88"/>
      <c r="E29" s="88"/>
      <c r="F29" s="88"/>
      <c r="G29" s="88"/>
      <c r="H29" s="88"/>
      <c r="I29" s="88"/>
      <c r="K29" s="89"/>
      <c r="L29" s="89"/>
      <c r="M29" s="89"/>
      <c r="N29" s="89"/>
      <c r="O29" s="89"/>
      <c r="P29" s="89"/>
      <c r="Q29" s="89"/>
      <c r="R29" s="89"/>
      <c r="S29" s="89"/>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43180</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37"/>
  <sheetViews>
    <sheetView topLeftCell="A6" workbookViewId="0">
      <selection activeCell="J20" sqref="J20"/>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20</v>
      </c>
      <c r="B2" s="51" t="s">
        <v>6</v>
      </c>
    </row>
    <row r="3" spans="1:3" hidden="1" x14ac:dyDescent="0.2">
      <c r="A3" s="3" t="s">
        <v>20</v>
      </c>
      <c r="B3" s="51" t="s">
        <v>6</v>
      </c>
    </row>
    <row r="4" spans="1:3" hidden="1" x14ac:dyDescent="0.2">
      <c r="A4" s="3" t="s">
        <v>21</v>
      </c>
      <c r="B4" s="51" t="s">
        <v>7</v>
      </c>
    </row>
    <row r="5" spans="1:3" hidden="1" x14ac:dyDescent="0.2">
      <c r="A5" s="3" t="s">
        <v>22</v>
      </c>
      <c r="B5" s="51" t="s">
        <v>7</v>
      </c>
    </row>
    <row r="6" spans="1:3" x14ac:dyDescent="0.2">
      <c r="A6" s="5"/>
      <c r="B6" s="52"/>
      <c r="C6" s="4"/>
    </row>
    <row r="7" spans="1:3" x14ac:dyDescent="0.2">
      <c r="A7" s="30"/>
      <c r="B7" s="52"/>
      <c r="C7" s="4"/>
    </row>
    <row r="8" spans="1:3" ht="27.75" x14ac:dyDescent="0.2">
      <c r="A8" s="94" t="s">
        <v>1</v>
      </c>
      <c r="B8" s="94"/>
      <c r="C8" s="29" t="s">
        <v>8</v>
      </c>
    </row>
    <row r="9" spans="1:3" x14ac:dyDescent="0.2">
      <c r="A9" s="4"/>
      <c r="B9" s="52"/>
      <c r="C9" s="4"/>
    </row>
    <row r="10" spans="1:3" x14ac:dyDescent="0.2">
      <c r="A10" s="5" t="s">
        <v>9</v>
      </c>
      <c r="B10" s="95" t="s">
        <v>10</v>
      </c>
      <c r="C10" s="95"/>
    </row>
    <row r="11" spans="1:3" x14ac:dyDescent="0.2">
      <c r="A11" s="25" t="s">
        <v>11</v>
      </c>
      <c r="B11" s="21" t="s">
        <v>84</v>
      </c>
      <c r="C11" s="22"/>
    </row>
    <row r="12" spans="1:3" x14ac:dyDescent="0.2">
      <c r="A12" s="30"/>
      <c r="B12" s="52"/>
      <c r="C12" s="4"/>
    </row>
    <row r="13" spans="1:3" x14ac:dyDescent="0.2">
      <c r="A13" s="30"/>
      <c r="B13" s="52"/>
      <c r="C13" s="4"/>
    </row>
    <row r="14" spans="1:3" ht="19.7" customHeight="1" x14ac:dyDescent="0.2">
      <c r="A14" s="26" t="str">
        <f>CONCATENATE("To be Performed by Tester : ",'Test Cycle 1'!H7)</f>
        <v>To be Performed by Tester : Jean Remi</v>
      </c>
      <c r="B14" s="53"/>
      <c r="C14" s="4"/>
    </row>
    <row r="15" spans="1:3" ht="21.95" customHeight="1" x14ac:dyDescent="0.25">
      <c r="A15" s="31" t="s">
        <v>23</v>
      </c>
      <c r="B15" s="96"/>
      <c r="C15" s="97"/>
    </row>
    <row r="16" spans="1:3" ht="39.75" customHeight="1" x14ac:dyDescent="0.2">
      <c r="A16" s="28" t="s">
        <v>24</v>
      </c>
      <c r="B16" s="28" t="s">
        <v>12</v>
      </c>
      <c r="C16" s="23" t="s">
        <v>25</v>
      </c>
    </row>
    <row r="17" spans="1:3" x14ac:dyDescent="0.2">
      <c r="A17" s="24" t="s">
        <v>26</v>
      </c>
      <c r="B17" s="54"/>
      <c r="C17" s="27" t="s">
        <v>141</v>
      </c>
    </row>
    <row r="18" spans="1:3" x14ac:dyDescent="0.2">
      <c r="A18" s="24" t="s">
        <v>27</v>
      </c>
      <c r="B18" s="54" t="s">
        <v>142</v>
      </c>
      <c r="C18" s="27" t="s">
        <v>107</v>
      </c>
    </row>
    <row r="19" spans="1:3" x14ac:dyDescent="0.2">
      <c r="A19" s="24" t="s">
        <v>28</v>
      </c>
      <c r="B19" s="54"/>
      <c r="C19" s="27" t="s">
        <v>141</v>
      </c>
    </row>
    <row r="20" spans="1:3" ht="25.5" x14ac:dyDescent="0.2">
      <c r="A20" s="24" t="s">
        <v>29</v>
      </c>
      <c r="B20" s="55" t="s">
        <v>143</v>
      </c>
      <c r="C20" s="27" t="s">
        <v>107</v>
      </c>
    </row>
    <row r="21" spans="1:3" x14ac:dyDescent="0.2">
      <c r="A21" s="24" t="s">
        <v>30</v>
      </c>
      <c r="B21" s="54"/>
      <c r="C21" s="27" t="s">
        <v>141</v>
      </c>
    </row>
    <row r="22" spans="1:3" x14ac:dyDescent="0.2">
      <c r="A22" s="24" t="s">
        <v>31</v>
      </c>
      <c r="B22" s="54"/>
      <c r="C22" s="27" t="s">
        <v>141</v>
      </c>
    </row>
    <row r="23" spans="1:3" ht="51" x14ac:dyDescent="0.2">
      <c r="A23" s="24" t="s">
        <v>32</v>
      </c>
      <c r="B23" s="55" t="s">
        <v>145</v>
      </c>
      <c r="C23" s="27" t="s">
        <v>107</v>
      </c>
    </row>
    <row r="24" spans="1:3" x14ac:dyDescent="0.2">
      <c r="A24" s="24" t="s">
        <v>33</v>
      </c>
      <c r="B24" s="54"/>
      <c r="C24" s="27" t="s">
        <v>141</v>
      </c>
    </row>
    <row r="25" spans="1:3" ht="25.5" x14ac:dyDescent="0.2">
      <c r="A25" s="24" t="s">
        <v>34</v>
      </c>
      <c r="B25" s="54" t="s">
        <v>144</v>
      </c>
      <c r="C25" s="27" t="s">
        <v>107</v>
      </c>
    </row>
    <row r="26" spans="1:3" ht="25.5" x14ac:dyDescent="0.2">
      <c r="A26" s="24" t="s">
        <v>35</v>
      </c>
      <c r="B26" s="27"/>
      <c r="C26" s="27" t="s">
        <v>141</v>
      </c>
    </row>
    <row r="27" spans="1:3" x14ac:dyDescent="0.2">
      <c r="A27" s="24" t="s">
        <v>61</v>
      </c>
      <c r="B27" s="27"/>
      <c r="C27" s="27" t="s">
        <v>141</v>
      </c>
    </row>
    <row r="28" spans="1:3" x14ac:dyDescent="0.2">
      <c r="A28" s="45"/>
      <c r="B28" s="56"/>
      <c r="C28" s="46"/>
    </row>
    <row r="29" spans="1:3" x14ac:dyDescent="0.2">
      <c r="A29" s="47"/>
      <c r="B29" s="57"/>
      <c r="C29" s="47"/>
    </row>
    <row r="30" spans="1:3" x14ac:dyDescent="0.2">
      <c r="A30" s="44" t="str">
        <f>CONCATENATE("To be Performed by Reviewer : ",'Test Cycle 1'!H8)</f>
        <v>To be Performed by Reviewer : Robert</v>
      </c>
      <c r="B30" s="53"/>
      <c r="C30" s="4"/>
    </row>
    <row r="31" spans="1:3" ht="15" x14ac:dyDescent="0.25">
      <c r="A31" s="31" t="s">
        <v>23</v>
      </c>
      <c r="B31" s="96"/>
      <c r="C31" s="97"/>
    </row>
    <row r="32" spans="1:3" ht="25.5" x14ac:dyDescent="0.2">
      <c r="A32" s="28" t="s">
        <v>24</v>
      </c>
      <c r="B32" s="28"/>
      <c r="C32" s="23" t="s">
        <v>25</v>
      </c>
    </row>
    <row r="33" spans="1:3" x14ac:dyDescent="0.2">
      <c r="A33" s="24" t="s">
        <v>36</v>
      </c>
      <c r="B33" s="54"/>
      <c r="C33" s="27" t="s">
        <v>107</v>
      </c>
    </row>
    <row r="34" spans="1:3" x14ac:dyDescent="0.2">
      <c r="A34" s="24" t="s">
        <v>37</v>
      </c>
      <c r="B34" s="54"/>
      <c r="C34" s="27" t="s">
        <v>107</v>
      </c>
    </row>
    <row r="35" spans="1:3" x14ac:dyDescent="0.2">
      <c r="A35" s="24" t="s">
        <v>38</v>
      </c>
      <c r="B35" s="54"/>
      <c r="C35" s="27" t="s">
        <v>107</v>
      </c>
    </row>
    <row r="36" spans="1:3" x14ac:dyDescent="0.2">
      <c r="A36" s="24" t="s">
        <v>39</v>
      </c>
      <c r="B36" s="54"/>
      <c r="C36" s="27" t="s">
        <v>107</v>
      </c>
    </row>
    <row r="37" spans="1:3" x14ac:dyDescent="0.2">
      <c r="A37" s="24" t="s">
        <v>40</v>
      </c>
      <c r="B37" s="54"/>
      <c r="C37" s="27" t="s">
        <v>107</v>
      </c>
    </row>
  </sheetData>
  <mergeCells count="4">
    <mergeCell ref="A8:B8"/>
    <mergeCell ref="B10:C10"/>
    <mergeCell ref="B15:C15"/>
    <mergeCell ref="B31:C31"/>
  </mergeCells>
  <hyperlinks>
    <hyperlink ref="B20" r:id="rId1"/>
  </hyperlinks>
  <printOptions horizontalCentered="1"/>
  <pageMargins left="0.75" right="0.75" top="0.55000000000000004" bottom="0.6" header="0.23" footer="0.28000000000000003"/>
  <pageSetup scale="82" orientation="portrait" r:id="rId2"/>
  <headerFooter alignWithMargins="0">
    <oddFooter>&amp;L&amp;8© Accenture 2008 All rights reserved.&amp;C&amp;8&amp;P / &amp;N&amp;R&amp;8&amp;F</oddFooter>
  </headerFooter>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D20"/>
  <sheetViews>
    <sheetView zoomScale="80" zoomScaleNormal="80" workbookViewId="0">
      <selection activeCell="C16" sqref="C16"/>
    </sheetView>
  </sheetViews>
  <sheetFormatPr defaultColWidth="9.140625" defaultRowHeight="16.5" x14ac:dyDescent="0.3"/>
  <cols>
    <col min="1" max="1" width="22.85546875" style="34" customWidth="1"/>
    <col min="2" max="2" width="37.140625" style="34" customWidth="1"/>
    <col min="3" max="3" width="67.85546875" style="34" bestFit="1" customWidth="1"/>
    <col min="4" max="4" width="23.42578125" style="34" bestFit="1" customWidth="1"/>
    <col min="5" max="5" width="41.42578125" style="61" customWidth="1"/>
    <col min="6" max="6" width="36.85546875" style="34" customWidth="1"/>
    <col min="7" max="7" width="39.42578125" style="34" customWidth="1"/>
    <col min="8" max="8" width="36.85546875" style="34" customWidth="1"/>
    <col min="9" max="9" width="25" style="34" customWidth="1"/>
    <col min="10" max="10" width="23.42578125" style="34" customWidth="1"/>
    <col min="11" max="11" width="32" style="34" customWidth="1"/>
    <col min="12" max="12" width="30.85546875" style="34" customWidth="1"/>
    <col min="13" max="13" width="36.7109375" style="34" bestFit="1" customWidth="1"/>
    <col min="14" max="23" width="9.140625" style="33"/>
    <col min="24" max="24" width="17.140625" style="33" bestFit="1" customWidth="1"/>
    <col min="25" max="25" width="9.140625" style="33"/>
    <col min="26" max="26" width="14.28515625" style="33" bestFit="1" customWidth="1"/>
    <col min="27" max="49" width="9.140625" style="33"/>
    <col min="50" max="50" width="9" style="33" customWidth="1"/>
    <col min="51" max="53" width="9.140625" style="33" hidden="1" customWidth="1"/>
    <col min="54" max="54" width="27.7109375" style="33" customWidth="1"/>
    <col min="55" max="16384" width="9.140625" style="33"/>
  </cols>
  <sheetData>
    <row r="1" spans="1:56" s="34" customFormat="1" x14ac:dyDescent="0.3">
      <c r="A1" s="32"/>
      <c r="B1" s="32"/>
      <c r="C1" s="32"/>
      <c r="D1" s="33"/>
      <c r="E1" s="60"/>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41</v>
      </c>
      <c r="BC1" s="35" t="s">
        <v>41</v>
      </c>
      <c r="BD1" s="34" t="s">
        <v>42</v>
      </c>
    </row>
    <row r="2" spans="1:56" s="34" customFormat="1" ht="26.25" x14ac:dyDescent="0.4">
      <c r="A2" s="32"/>
      <c r="B2" s="32"/>
      <c r="C2" s="32"/>
      <c r="D2" s="36"/>
      <c r="E2" s="60"/>
      <c r="F2" s="33"/>
      <c r="G2" s="71"/>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43</v>
      </c>
      <c r="BC2" s="35" t="s">
        <v>43</v>
      </c>
      <c r="BD2" s="34" t="s">
        <v>44</v>
      </c>
    </row>
    <row r="3" spans="1:56" s="34" customFormat="1" ht="26.25" customHeight="1" x14ac:dyDescent="0.3">
      <c r="A3" s="32"/>
      <c r="B3" s="32"/>
      <c r="C3" s="32"/>
      <c r="D3" s="33"/>
      <c r="E3" s="60"/>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45</v>
      </c>
      <c r="BC3" s="35" t="s">
        <v>46</v>
      </c>
      <c r="BD3" s="34" t="s">
        <v>15</v>
      </c>
    </row>
    <row r="4" spans="1:56" s="34" customFormat="1" ht="19.7" customHeight="1" x14ac:dyDescent="0.3">
      <c r="A4" s="32"/>
      <c r="B4" s="32"/>
      <c r="C4" s="32"/>
      <c r="D4" s="33"/>
      <c r="E4" s="60"/>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47</v>
      </c>
      <c r="BC4" s="35" t="s">
        <v>15</v>
      </c>
      <c r="BD4" s="34" t="s">
        <v>16</v>
      </c>
    </row>
    <row r="5" spans="1:56" s="34" customFormat="1" x14ac:dyDescent="0.3">
      <c r="A5" s="33"/>
      <c r="B5" s="33"/>
      <c r="C5" s="33"/>
      <c r="D5" s="33"/>
      <c r="E5" s="60"/>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48</v>
      </c>
      <c r="BC5" s="35" t="s">
        <v>16</v>
      </c>
    </row>
    <row r="6" spans="1:56" s="34" customFormat="1" x14ac:dyDescent="0.3">
      <c r="A6" s="37" t="s">
        <v>49</v>
      </c>
      <c r="B6" s="98" t="s">
        <v>89</v>
      </c>
      <c r="C6" s="99"/>
      <c r="D6" s="99"/>
      <c r="E6" s="73" t="s">
        <v>50</v>
      </c>
      <c r="F6" s="38" t="s">
        <v>90</v>
      </c>
      <c r="G6" s="39"/>
      <c r="H6" s="39"/>
      <c r="BB6" s="35" t="s">
        <v>51</v>
      </c>
    </row>
    <row r="7" spans="1:56" s="34" customFormat="1" x14ac:dyDescent="0.3">
      <c r="A7" s="37" t="s">
        <v>52</v>
      </c>
      <c r="B7" s="98" t="s">
        <v>140</v>
      </c>
      <c r="C7" s="99"/>
      <c r="D7" s="99"/>
      <c r="E7" s="73" t="s">
        <v>53</v>
      </c>
      <c r="F7" s="40" t="s">
        <v>88</v>
      </c>
      <c r="G7" s="37" t="s">
        <v>54</v>
      </c>
      <c r="H7" s="43" t="s">
        <v>91</v>
      </c>
      <c r="BB7" s="35" t="s">
        <v>55</v>
      </c>
    </row>
    <row r="8" spans="1:56" s="34" customFormat="1" x14ac:dyDescent="0.3">
      <c r="A8" s="37" t="s">
        <v>56</v>
      </c>
      <c r="B8" s="100" t="s">
        <v>55</v>
      </c>
      <c r="C8" s="100"/>
      <c r="D8" s="100"/>
      <c r="E8" s="73" t="s">
        <v>57</v>
      </c>
      <c r="F8" s="41">
        <v>43179</v>
      </c>
      <c r="G8" s="37" t="s">
        <v>58</v>
      </c>
      <c r="H8" s="38" t="s">
        <v>146</v>
      </c>
      <c r="BB8" s="35" t="s">
        <v>59</v>
      </c>
    </row>
    <row r="9" spans="1:56" s="34" customFormat="1" ht="30.75" x14ac:dyDescent="0.3">
      <c r="A9" s="37" t="s">
        <v>60</v>
      </c>
      <c r="B9" s="101" t="s">
        <v>119</v>
      </c>
      <c r="C9" s="102"/>
      <c r="D9" s="102"/>
      <c r="E9" s="102"/>
      <c r="F9" s="102"/>
      <c r="G9" s="102"/>
      <c r="H9" s="102"/>
      <c r="X9" s="33"/>
    </row>
    <row r="10" spans="1:56" s="34" customFormat="1" x14ac:dyDescent="0.3">
      <c r="A10" s="72" t="s">
        <v>72</v>
      </c>
      <c r="B10" s="72" t="s">
        <v>73</v>
      </c>
      <c r="C10" s="72" t="s">
        <v>74</v>
      </c>
      <c r="D10" s="72" t="s">
        <v>75</v>
      </c>
      <c r="E10" s="72" t="s">
        <v>76</v>
      </c>
      <c r="F10" s="72" t="s">
        <v>77</v>
      </c>
      <c r="G10" s="72" t="s">
        <v>78</v>
      </c>
      <c r="H10" s="72" t="s">
        <v>79</v>
      </c>
      <c r="I10" s="72" t="s">
        <v>80</v>
      </c>
      <c r="J10" s="72" t="s">
        <v>81</v>
      </c>
      <c r="K10" s="72" t="s">
        <v>70</v>
      </c>
      <c r="L10" s="72" t="s">
        <v>71</v>
      </c>
      <c r="M10" s="72" t="s">
        <v>82</v>
      </c>
    </row>
    <row r="11" spans="1:56" s="34" customFormat="1" ht="192.75" customHeight="1" x14ac:dyDescent="0.3">
      <c r="A11" s="77">
        <v>1</v>
      </c>
      <c r="B11" s="48" t="s">
        <v>92</v>
      </c>
      <c r="C11" s="48" t="s">
        <v>109</v>
      </c>
      <c r="D11" s="48" t="s">
        <v>93</v>
      </c>
      <c r="E11" s="49" t="s">
        <v>117</v>
      </c>
      <c r="F11" s="48" t="s">
        <v>118</v>
      </c>
      <c r="G11" s="49"/>
      <c r="H11" s="48"/>
      <c r="I11" s="39" t="s">
        <v>15</v>
      </c>
      <c r="J11" s="42"/>
      <c r="K11" s="39" t="s">
        <v>15</v>
      </c>
      <c r="L11" s="42"/>
      <c r="M11" s="39"/>
    </row>
    <row r="12" spans="1:56" s="34" customFormat="1" ht="27" x14ac:dyDescent="0.3">
      <c r="A12" s="77">
        <v>2</v>
      </c>
      <c r="B12" s="48" t="s">
        <v>94</v>
      </c>
      <c r="C12" s="48" t="s">
        <v>95</v>
      </c>
      <c r="D12" s="48"/>
      <c r="E12" s="49"/>
      <c r="F12" s="48"/>
      <c r="G12" s="49"/>
      <c r="H12" s="48" t="s">
        <v>96</v>
      </c>
      <c r="I12" s="39" t="s">
        <v>15</v>
      </c>
      <c r="J12" s="59"/>
      <c r="K12" s="39" t="s">
        <v>15</v>
      </c>
      <c r="L12" s="59"/>
      <c r="M12" s="58"/>
    </row>
    <row r="13" spans="1:56" s="34" customFormat="1" ht="148.5" x14ac:dyDescent="0.3">
      <c r="A13" s="77">
        <v>3</v>
      </c>
      <c r="B13" s="48" t="s">
        <v>97</v>
      </c>
      <c r="C13" s="48"/>
      <c r="D13" s="48" t="s">
        <v>98</v>
      </c>
      <c r="E13" s="49" t="s">
        <v>111</v>
      </c>
      <c r="F13" s="48" t="s">
        <v>99</v>
      </c>
      <c r="G13" s="49"/>
      <c r="H13" s="48"/>
      <c r="I13" s="39" t="s">
        <v>15</v>
      </c>
      <c r="J13" s="59"/>
      <c r="K13" s="39" t="s">
        <v>15</v>
      </c>
      <c r="L13" s="59"/>
      <c r="M13" s="58"/>
    </row>
    <row r="14" spans="1:56" s="34" customFormat="1" ht="121.5" x14ac:dyDescent="0.3">
      <c r="A14" s="77">
        <v>4</v>
      </c>
      <c r="B14" s="48" t="s">
        <v>100</v>
      </c>
      <c r="C14" s="48"/>
      <c r="D14" s="48" t="s">
        <v>93</v>
      </c>
      <c r="E14" s="49" t="s">
        <v>101</v>
      </c>
      <c r="F14" s="48" t="s">
        <v>116</v>
      </c>
      <c r="G14" s="49"/>
      <c r="H14" s="48"/>
      <c r="I14" s="39" t="s">
        <v>15</v>
      </c>
      <c r="J14" s="59"/>
      <c r="K14" s="39" t="s">
        <v>15</v>
      </c>
      <c r="L14" s="59"/>
      <c r="M14" s="58"/>
    </row>
    <row r="15" spans="1:56" s="34" customFormat="1" ht="27" x14ac:dyDescent="0.3">
      <c r="A15" s="77">
        <v>5</v>
      </c>
      <c r="B15" s="48" t="s">
        <v>102</v>
      </c>
      <c r="C15" s="48" t="s">
        <v>113</v>
      </c>
      <c r="D15" s="48"/>
      <c r="E15" s="49"/>
      <c r="F15" s="48"/>
      <c r="G15" s="49"/>
      <c r="H15" s="48" t="s">
        <v>103</v>
      </c>
      <c r="I15" s="39" t="s">
        <v>15</v>
      </c>
      <c r="J15" s="59"/>
      <c r="K15" s="39" t="s">
        <v>15</v>
      </c>
      <c r="L15" s="59"/>
      <c r="M15" s="58"/>
    </row>
    <row r="16" spans="1:56" s="34" customFormat="1" ht="189" x14ac:dyDescent="0.3">
      <c r="A16" s="77">
        <v>6</v>
      </c>
      <c r="B16" s="48" t="s">
        <v>104</v>
      </c>
      <c r="C16" s="48" t="s">
        <v>114</v>
      </c>
      <c r="D16" s="48" t="s">
        <v>105</v>
      </c>
      <c r="E16" s="49" t="s">
        <v>112</v>
      </c>
      <c r="F16" s="48" t="s">
        <v>115</v>
      </c>
      <c r="G16" s="49"/>
      <c r="H16" s="48" t="s">
        <v>106</v>
      </c>
      <c r="I16" s="39" t="s">
        <v>15</v>
      </c>
      <c r="J16" s="59"/>
      <c r="K16" s="39" t="s">
        <v>15</v>
      </c>
      <c r="L16" s="59"/>
      <c r="M16" s="58"/>
    </row>
    <row r="17" spans="1:13" x14ac:dyDescent="0.3">
      <c r="A17" s="103" t="s">
        <v>120</v>
      </c>
      <c r="B17" s="103"/>
      <c r="C17" s="103"/>
      <c r="D17" s="103"/>
      <c r="E17" s="103"/>
      <c r="F17" s="103"/>
      <c r="G17" s="103"/>
      <c r="H17" s="103"/>
      <c r="I17" s="103"/>
      <c r="J17" s="103"/>
      <c r="K17" s="103"/>
      <c r="L17" s="103"/>
      <c r="M17" s="103"/>
    </row>
    <row r="18" spans="1:13" s="82" customFormat="1" ht="187.5" customHeight="1" x14ac:dyDescent="0.3">
      <c r="A18" s="78">
        <v>7</v>
      </c>
      <c r="B18" s="79" t="s">
        <v>128</v>
      </c>
      <c r="C18" s="79" t="s">
        <v>139</v>
      </c>
      <c r="D18" s="79" t="s">
        <v>121</v>
      </c>
      <c r="E18" s="79"/>
      <c r="F18" s="79" t="s">
        <v>131</v>
      </c>
      <c r="G18" s="79" t="s">
        <v>130</v>
      </c>
      <c r="H18" s="79" t="s">
        <v>132</v>
      </c>
      <c r="I18" s="80" t="s">
        <v>15</v>
      </c>
      <c r="J18" s="81"/>
      <c r="K18" s="80" t="s">
        <v>15</v>
      </c>
      <c r="L18" s="81"/>
      <c r="M18" s="80"/>
    </row>
    <row r="19" spans="1:13" s="82" customFormat="1" ht="91.5" customHeight="1" x14ac:dyDescent="0.3">
      <c r="A19" s="78">
        <v>8</v>
      </c>
      <c r="B19" s="79" t="s">
        <v>122</v>
      </c>
      <c r="C19" s="79" t="s">
        <v>134</v>
      </c>
      <c r="D19" s="79" t="s">
        <v>123</v>
      </c>
      <c r="E19" s="79" t="s">
        <v>89</v>
      </c>
      <c r="F19" s="79" t="s">
        <v>124</v>
      </c>
      <c r="G19" s="79" t="s">
        <v>133</v>
      </c>
      <c r="H19" s="79" t="s">
        <v>125</v>
      </c>
      <c r="I19" s="80" t="s">
        <v>15</v>
      </c>
      <c r="J19" s="81"/>
      <c r="K19" s="80" t="s">
        <v>15</v>
      </c>
      <c r="L19" s="81"/>
      <c r="M19" s="80"/>
    </row>
    <row r="20" spans="1:13" s="82" customFormat="1" ht="160.5" customHeight="1" x14ac:dyDescent="0.3">
      <c r="A20" s="78">
        <v>9</v>
      </c>
      <c r="B20" s="79" t="s">
        <v>126</v>
      </c>
      <c r="C20" s="79" t="s">
        <v>136</v>
      </c>
      <c r="D20" s="79" t="s">
        <v>121</v>
      </c>
      <c r="E20" s="79" t="s">
        <v>89</v>
      </c>
      <c r="F20" s="79" t="s">
        <v>137</v>
      </c>
      <c r="G20" s="79" t="s">
        <v>127</v>
      </c>
      <c r="H20" s="79" t="s">
        <v>138</v>
      </c>
      <c r="I20" s="80" t="s">
        <v>15</v>
      </c>
      <c r="J20" s="81"/>
      <c r="K20" s="80" t="s">
        <v>15</v>
      </c>
      <c r="L20" s="81"/>
      <c r="M20" s="80"/>
    </row>
  </sheetData>
  <mergeCells count="5">
    <mergeCell ref="B6:D6"/>
    <mergeCell ref="B7:D7"/>
    <mergeCell ref="B8:D8"/>
    <mergeCell ref="B9:H9"/>
    <mergeCell ref="A17:M17"/>
  </mergeCells>
  <dataValidations count="2">
    <dataValidation type="list" allowBlank="1" showInputMessage="1" showErrorMessage="1" sqref="B8:D8">
      <formula1>$BB$1:$BB$8</formula1>
    </dataValidation>
    <dataValidation type="list" allowBlank="1" showInputMessage="1" showErrorMessage="1" sqref="JE15 JG15 TC15 ACY15 AMU15 AWQ15 BGM15 BQI15 CAE15 CKA15 CTW15 DDS15 DNO15 DXK15 EHG15 ERC15 FAY15 FKU15 FUQ15 GEM15 GOI15 GYE15 HIA15 HRW15 IBS15 ILO15 IVK15 JFG15 JPC15 JYY15 KIU15 KSQ15 LCM15 LMI15 LWE15 MGA15 MPW15 MZS15 NJO15 NTK15 ODG15 ONC15 OWY15 PGU15 PQQ15 QAM15 QKI15 QUE15 REA15 RNW15 RXS15 SHO15 SRK15 TBG15 TLC15 TUY15 UEU15 UOQ15 UYM15 VII15 VSE15 WCA15 WLW15 WVS15 WVQ15 WLU15 WBY15 VSC15 VIG15 UYK15 UOO15 UES15 TUW15 TLA15 TBE15 SRI15 SHM15 RXQ15 RNU15 RDY15 QUC15 QKG15 QAK15 PQO15 PGS15 OWW15 ONA15 ODE15 NTI15 NJM15 MZQ15 MPU15 MFY15 LWC15 LMG15 LCK15 KSO15 KIS15 JYW15 JPA15 JFE15 IVI15 ILM15 IBQ15 HRU15 HHY15 GYC15 GOG15 GEK15 FUO15 FKS15 FAW15 ERA15 EHE15 DXI15 DNM15 DDQ15 CTU15 CJY15 CAC15 BQG15 BGK15 AWO15 AMS15 ACW15 TA15 I11:I16 K18:K20 WLW11:WLW12 WCA11:WCA12 VSE11:VSE12 VII11:VII12 UYM11:UYM12 UOQ11:UOQ12 UEU11:UEU12 TUY11:TUY12 TLC11:TLC12 TBG11:TBG12 SRK11:SRK12 SHO11:SHO12 RXS11:RXS12 RNW11:RNW12 REA11:REA12 QUE11:QUE12 QKI11:QKI12 QAM11:QAM12 PQQ11:PQQ12 PGU11:PGU12 OWY11:OWY12 ONC11:ONC12 ODG11:ODG12 NTK11:NTK12 NJO11:NJO12 MZS11:MZS12 MPW11:MPW12 MGA11:MGA12 LWE11:LWE12 LMI11:LMI12 LCM11:LCM12 KSQ11:KSQ12 KIU11:KIU12 JYY11:JYY12 JPC11:JPC12 JFG11:JFG12 IVK11:IVK12 ILO11:ILO12 IBS11:IBS12 HRW11:HRW12 HIA11:HIA12 GYE11:GYE12 GOI11:GOI12 GEM11:GEM12 FUQ11:FUQ12 FKU11:FKU12 FAY11:FAY12 ERC11:ERC12 EHG11:EHG12 DXK11:DXK12 DNO11:DNO12 DDS11:DDS12 CTW11:CTW12 CKA11:CKA12 CAE11:CAE12 BQI11:BQI12 BGM11:BGM12 AWQ11:AWQ12 AMU11:AMU12 ACY11:ACY12 TC11:TC12 JG11:JG12 WVQ11:WVQ12 WLU11:WLU12 WBY11:WBY12 VSC11:VSC12 VIG11:VIG12 UYK11:UYK12 UOO11:UOO12 UES11:UES12 TUW11:TUW12 TLA11:TLA12 TBE11:TBE12 SRI11:SRI12 SHM11:SHM12 RXQ11:RXQ12 RNU11:RNU12 RDY11:RDY12 QUC11:QUC12 QKG11:QKG12 QAK11:QAK12 PQO11:PQO12 PGS11:PGS12 OWW11:OWW12 ONA11:ONA12 ODE11:ODE12 NTI11:NTI12 NJM11:NJM12 MZQ11:MZQ12 MPU11:MPU12 MFY11:MFY12 LWC11:LWC12 LMG11:LMG12 LCK11:LCK12 KSO11:KSO12 KIS11:KIS12 JYW11:JYW12 JPA11:JPA12 JFE11:JFE12 IVI11:IVI12 ILM11:ILM12 IBQ11:IBQ12 HRU11:HRU12 HHY11:HHY12 GYC11:GYC12 GOG11:GOG12 GEK11:GEK12 FUO11:FUO12 FKS11:FKS12 FAW11:FAW12 ERA11:ERA12 EHE11:EHE12 DXI11:DXI12 DNM11:DNM12 DDQ11:DDQ12 CTU11:CTU12 CJY11:CJY12 CAC11:CAC12 BQG11:BQG12 BGK11:BGK12 AWO11:AWO12 AMS11:AMS12 ACW11:ACW12 TA11:TA12 JE11:JE12 WVS11:WVS12 I18:I20 WLW18:WLW20 WCA18:WCA20 VSE18:VSE20 VII18:VII20 UYM18:UYM20 UOQ18:UOQ20 UEU18:UEU20 TUY18:TUY20 TLC18:TLC20 TBG18:TBG20 SRK18:SRK20 SHO18:SHO20 RXS18:RXS20 RNW18:RNW20 REA18:REA20 QUE18:QUE20 QKI18:QKI20 QAM18:QAM20 PQQ18:PQQ20 PGU18:PGU20 OWY18:OWY20 ONC18:ONC20 ODG18:ODG20 NTK18:NTK20 NJO18:NJO20 MZS18:MZS20 MPW18:MPW20 MGA18:MGA20 LWE18:LWE20 LMI18:LMI20 LCM18:LCM20 KSQ18:KSQ20 KIU18:KIU20 JYY18:JYY20 JPC18:JPC20 JFG18:JFG20 IVK18:IVK20 ILO18:ILO20 IBS18:IBS20 HRW18:HRW20 HIA18:HIA20 GYE18:GYE20 GOI18:GOI20 GEM18:GEM20 FUQ18:FUQ20 FKU18:FKU20 FAY18:FAY20 ERC18:ERC20 EHG18:EHG20 DXK18:DXK20 DNO18:DNO20 DDS18:DDS20 CTW18:CTW20 CKA18:CKA20 CAE18:CAE20 BQI18:BQI20 BGM18:BGM20 AWQ18:AWQ20 AMU18:AMU20 ACY18:ACY20 TC18:TC20 JG18:JG20 WVQ18:WVQ20 WLU18:WLU20 WBY18:WBY20 VSC18:VSC20 VIG18:VIG20 UYK18:UYK20 UOO18:UOO20 UES18:UES20 TUW18:TUW20 TLA18:TLA20 TBE18:TBE20 SRI18:SRI20 SHM18:SHM20 RXQ18:RXQ20 RNU18:RNU20 RDY18:RDY20 QUC18:QUC20 QKG18:QKG20 QAK18:QAK20 PQO18:PQO20 PGS18:PGS20 OWW18:OWW20 ONA18:ONA20 ODE18:ODE20 NTI18:NTI20 NJM18:NJM20 MZQ18:MZQ20 MPU18:MPU20 MFY18:MFY20 LWC18:LWC20 LMG18:LMG20 LCK18:LCK20 KSO18:KSO20 KIS18:KIS20 JYW18:JYW20 JPA18:JPA20 JFE18:JFE20 IVI18:IVI20 ILM18:ILM20 IBQ18:IBQ20 HRU18:HRU20 HHY18:HHY20 GYC18:GYC20 GOG18:GOG20 GEK18:GEK20 FUO18:FUO20 FKS18:FKS20 FAW18:FAW20 ERA18:ERA20 EHE18:EHE20 DXI18:DXI20 DNM18:DNM20 DDQ18:DDQ20 CTU18:CTU20 CJY18:CJY20 CAC18:CAC20 BQG18:BQG20 BGK18:BGK20 AWO18:AWO20 AMS18:AMS20 ACW18:ACW20 TA18:TA20 JE18:JE20 WVS18:WVS20 K11:K16">
      <formula1>$BC$1:$BC$5</formula1>
    </dataValidation>
  </dataValidations>
  <pageMargins left="0.75" right="0.75" top="1" bottom="1" header="0.5" footer="0.5"/>
  <pageSetup paperSize="9" scale="13"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12"/>
  <sheetViews>
    <sheetView workbookViewId="0"/>
  </sheetViews>
  <sheetFormatPr defaultRowHeight="12.75" outlineLevelRow="1" x14ac:dyDescent="0.2"/>
  <cols>
    <col min="1" max="1" width="27.140625" customWidth="1"/>
    <col min="2" max="2" width="59.85546875" style="62" customWidth="1"/>
    <col min="3" max="3" width="24.42578125" customWidth="1"/>
  </cols>
  <sheetData>
    <row r="1" spans="1:2" x14ac:dyDescent="0.2">
      <c r="A1" s="63" t="s">
        <v>68</v>
      </c>
      <c r="B1" s="64" t="s">
        <v>0</v>
      </c>
    </row>
    <row r="2" spans="1:2" outlineLevel="1" x14ac:dyDescent="0.2">
      <c r="A2" s="65" t="s">
        <v>62</v>
      </c>
      <c r="B2" s="70" t="str">
        <f>PPRD</f>
        <v>JUL, 2018</v>
      </c>
    </row>
    <row r="3" spans="1:2" x14ac:dyDescent="0.2">
      <c r="A3" s="65" t="s">
        <v>65</v>
      </c>
      <c r="B3" s="66" t="str">
        <f>CRN</f>
        <v>CHG131815</v>
      </c>
    </row>
    <row r="4" spans="1:2" x14ac:dyDescent="0.2">
      <c r="A4" s="65" t="s">
        <v>66</v>
      </c>
      <c r="B4" s="66" t="str">
        <f>MA</f>
        <v>CA</v>
      </c>
    </row>
    <row r="5" spans="1:2" x14ac:dyDescent="0.2">
      <c r="A5" s="65" t="s">
        <v>67</v>
      </c>
      <c r="B5" s="66" t="str">
        <f>Area</f>
        <v>Data</v>
      </c>
    </row>
    <row r="6" spans="1:2" x14ac:dyDescent="0.2">
      <c r="A6" s="65" t="s">
        <v>50</v>
      </c>
      <c r="B6" s="66" t="str">
        <f>Entity</f>
        <v>SO</v>
      </c>
    </row>
    <row r="7" spans="1:2" x14ac:dyDescent="0.2">
      <c r="A7" s="65" t="s">
        <v>63</v>
      </c>
      <c r="B7" s="67" t="str">
        <f>DTested</f>
        <v>15/03/2018</v>
      </c>
    </row>
    <row r="8" spans="1:2" x14ac:dyDescent="0.2">
      <c r="A8" s="65" t="s">
        <v>64</v>
      </c>
      <c r="B8" s="68">
        <f>DReviewed</f>
        <v>43179</v>
      </c>
    </row>
    <row r="9" spans="1:2" x14ac:dyDescent="0.2">
      <c r="A9" s="65" t="s">
        <v>54</v>
      </c>
      <c r="B9" s="66" t="str">
        <f>TestedBy</f>
        <v>Jean Remi</v>
      </c>
    </row>
    <row r="10" spans="1:2" x14ac:dyDescent="0.2">
      <c r="A10" s="65" t="s">
        <v>58</v>
      </c>
      <c r="B10" s="66" t="str">
        <f>ReviewedBy</f>
        <v>Robert</v>
      </c>
    </row>
    <row r="12" spans="1:2" x14ac:dyDescent="0.2">
      <c r="A12" s="65" t="s">
        <v>69</v>
      </c>
      <c r="B12" s="69"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45"/>
  <sheetViews>
    <sheetView workbookViewId="0">
      <selection activeCell="X15" sqref="X15"/>
    </sheetView>
  </sheetViews>
  <sheetFormatPr defaultColWidth="9.140625" defaultRowHeight="12.75" x14ac:dyDescent="0.2"/>
  <cols>
    <col min="1" max="1" width="44" style="75" bestFit="1" customWidth="1"/>
    <col min="2" max="16384" width="9.140625" style="75"/>
  </cols>
  <sheetData>
    <row r="1" spans="1:1" x14ac:dyDescent="0.2">
      <c r="A1" s="76" t="s">
        <v>108</v>
      </c>
    </row>
    <row r="2" spans="1:1" x14ac:dyDescent="0.2">
      <c r="A2" s="74"/>
    </row>
    <row r="3" spans="1:1" x14ac:dyDescent="0.2">
      <c r="A3" s="74"/>
    </row>
    <row r="4" spans="1:1" x14ac:dyDescent="0.2">
      <c r="A4" s="74"/>
    </row>
    <row r="5" spans="1:1" x14ac:dyDescent="0.2">
      <c r="A5" s="74"/>
    </row>
    <row r="6" spans="1:1" x14ac:dyDescent="0.2">
      <c r="A6" s="74"/>
    </row>
    <row r="7" spans="1:1" x14ac:dyDescent="0.2">
      <c r="A7" s="74"/>
    </row>
    <row r="8" spans="1:1" x14ac:dyDescent="0.2">
      <c r="A8" s="74"/>
    </row>
    <row r="9" spans="1:1" x14ac:dyDescent="0.2">
      <c r="A9" s="74"/>
    </row>
    <row r="10" spans="1:1" x14ac:dyDescent="0.2">
      <c r="A10" s="74"/>
    </row>
    <row r="11" spans="1:1" x14ac:dyDescent="0.2">
      <c r="A11" s="74"/>
    </row>
    <row r="12" spans="1:1" x14ac:dyDescent="0.2">
      <c r="A12" s="74"/>
    </row>
    <row r="13" spans="1:1" x14ac:dyDescent="0.2">
      <c r="A13" s="74"/>
    </row>
    <row r="14" spans="1:1" x14ac:dyDescent="0.2">
      <c r="A14" s="74"/>
    </row>
    <row r="15" spans="1:1" ht="13.5" customHeight="1" x14ac:dyDescent="0.2">
      <c r="A15" s="74"/>
    </row>
    <row r="16" spans="1:1" x14ac:dyDescent="0.2">
      <c r="A16" s="76" t="s">
        <v>110</v>
      </c>
    </row>
    <row r="45" spans="1:1" x14ac:dyDescent="0.2">
      <c r="A45" s="74"/>
    </row>
    <row r="68" spans="1:1" x14ac:dyDescent="0.2">
      <c r="A68" s="76" t="s">
        <v>103</v>
      </c>
    </row>
    <row r="70" spans="1:1" x14ac:dyDescent="0.2">
      <c r="A70" s="74"/>
    </row>
    <row r="85" spans="1:1" x14ac:dyDescent="0.2">
      <c r="A85" s="74"/>
    </row>
    <row r="94" spans="1:1" x14ac:dyDescent="0.2">
      <c r="A94" s="76" t="s">
        <v>106</v>
      </c>
    </row>
    <row r="120" spans="1:1" x14ac:dyDescent="0.2">
      <c r="A120" s="74"/>
    </row>
    <row r="126" spans="1:1" x14ac:dyDescent="0.2">
      <c r="A126" s="76" t="s">
        <v>129</v>
      </c>
    </row>
    <row r="161" spans="1:1" x14ac:dyDescent="0.2">
      <c r="A161" s="74"/>
    </row>
    <row r="185" spans="1:1" x14ac:dyDescent="0.2">
      <c r="A185" s="76" t="s">
        <v>135</v>
      </c>
    </row>
    <row r="210" spans="1:1" x14ac:dyDescent="0.2">
      <c r="A210" s="74"/>
    </row>
    <row r="245" spans="1:1" x14ac:dyDescent="0.2">
      <c r="A245" s="7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Grenade, Robert</cp:lastModifiedBy>
  <cp:lastPrinted>2013-10-17T06:50:38Z</cp:lastPrinted>
  <dcterms:created xsi:type="dcterms:W3CDTF">2006-03-30T08:28:02Z</dcterms:created>
  <dcterms:modified xsi:type="dcterms:W3CDTF">2018-03-21T08:25:51Z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