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J:\General\04_RELEASE_MANAGEMENT\2018-07_Release PROD JUL18\02_Development\Cross\C_CHG131815\02-Design\"/>
    </mc:Choice>
  </mc:AlternateContent>
  <bookViews>
    <workbookView xWindow="0" yWindow="0" windowWidth="24000" windowHeight="9510" tabRatio="893"/>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71027"/>
</workbook>
</file>

<file path=xl/calcChain.xml><?xml version="1.0" encoding="utf-8"?>
<calcChain xmlns="http://schemas.openxmlformats.org/spreadsheetml/2006/main">
  <c r="C25" i="12" l="1"/>
  <c r="B15" i="16" l="1"/>
  <c r="B9" i="3"/>
  <c r="B8" i="21" l="1"/>
  <c r="B7" i="21"/>
  <c r="B3" i="21"/>
  <c r="B9" i="21"/>
  <c r="B10" i="21"/>
  <c r="C17" i="21"/>
  <c r="C24" i="12" l="1"/>
  <c r="C27" i="12" s="1"/>
  <c r="D8" i="1" l="1"/>
  <c r="D7" i="1"/>
  <c r="D6" i="1"/>
  <c r="D5" i="1"/>
  <c r="D4" i="1"/>
  <c r="D3" i="1"/>
  <c r="B38" i="11"/>
  <c r="B2" i="21" l="1"/>
  <c r="B4" i="21"/>
</calcChain>
</file>

<file path=xl/comments1.xml><?xml version="1.0" encoding="utf-8"?>
<comments xmlns="http://schemas.openxmlformats.org/spreadsheetml/2006/main">
  <authors>
    <author>Robert Grenade</author>
  </authors>
  <commentList>
    <comment ref="A23" authorId="0" shapeId="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authors>
    <author>arnaud.grimont</author>
  </authors>
  <commentList>
    <comment ref="C4" authorId="0" shapeId="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authors>
    <author>lk</author>
  </authors>
  <commentList>
    <comment ref="D3" authorId="0" shapeId="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authors>
    <author>arnaud.grimont</author>
    <author>gulraaz.usmani</author>
  </authors>
  <commentList>
    <comment ref="C3" authorId="0" shapeId="0">
      <text>
        <r>
          <rPr>
            <b/>
            <sz val="9"/>
            <color indexed="81"/>
            <rFont val="Tahoma"/>
            <family val="2"/>
          </rPr>
          <t>arnaud.grimont:</t>
        </r>
        <r>
          <rPr>
            <sz val="9"/>
            <color indexed="81"/>
            <rFont val="Tahoma"/>
            <family val="2"/>
          </rPr>
          <t xml:space="preserve">
Market for which the data update will be done
(E.g ALL, ES, UA)</t>
        </r>
      </text>
    </comment>
    <comment ref="D3" authorId="0" shapeId="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<sst xmlns="http://schemas.openxmlformats.org/spreadsheetml/2006/main" count="847" uniqueCount="373">
  <si>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</si>
  <si>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</si>
  <si>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</si>
  <si>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</si>
  <si>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</si>
  <si>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</si>
  <si>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</si>
  <si>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</si>
  <si>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</si>
  <si>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</si>
  <si>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</si>
  <si>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</si>
  <si>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</si>
  <si>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</si>
  <si>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</si>
  <si>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</si>
  <si>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</si>
  <si>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</si>
  <si>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</si>
  <si>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</si>
  <si>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</si>
  <si>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</si>
  <si>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</si>
  <si>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</si>
  <si>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</si>
  <si>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</si>
  <si>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</si>
  <si>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</si>
  <si>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</si>
  <si>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</si>
  <si>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</si>
  <si>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</si>
  <si>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</si>
  <si>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</si>
  <si>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</si>
  <si>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</si>
  <si>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</si>
  <si>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</si>
  <si>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</si>
  <si>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</si>
  <si>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</si>
  <si>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</si>
  <si>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</si>
  <si>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</si>
  <si>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</si>
  <si>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</si>
  <si>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</si>
  <si>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</si>
  <si>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</si>
  <si>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</si>
  <si>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</si>
  <si>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</si>
  <si>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</si>
  <si>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</si>
  <si>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</si>
  <si>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</si>
  <si>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</si>
  <si>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</si>
  <si>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</si>
  <si>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</si>
  <si>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</si>
  <si>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</si>
  <si>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</si>
  <si>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</si>
  <si>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</si>
  <si>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</si>
  <si>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</si>
  <si>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</si>
  <si>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</si>
  <si>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</si>
  <si>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</si>
  <si>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</si>
  <si>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</si>
  <si>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</si>
  <si>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</si>
  <si>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</si>
  <si>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</si>
  <si>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</si>
  <si>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</si>
  <si>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</si>
  <si>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</si>
  <si>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</si>
  <si>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</si>
  <si>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</si>
  <si>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</si>
  <si>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</si>
  <si>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</si>
  <si>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</si>
  <si>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</si>
  <si>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</si>
  <si>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</si>
  <si>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</si>
  <si>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</si>
  <si>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</si>
  <si>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</si>
  <si>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</si>
  <si>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</si>
  <si>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</si>
  <si>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</si>
  <si>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</si>
  <si>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</si>
  <si>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</si>
  <si>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</si>
  <si>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</si>
  <si>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</si>
  <si>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</si>
  <si>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</si>
  <si>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</si>
  <si>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</si>
  <si>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</si>
  <si>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</si>
  <si>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</si>
  <si>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</si>
  <si>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</si>
  <si>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</si>
  <si>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</si>
  <si>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</si>
  <si>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</si>
  <si>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</si>
  <si>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</si>
  <si>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</si>
  <si>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</si>
  <si>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</si>
  <si>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</si>
  <si>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</si>
  <si>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</si>
  <si>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</si>
  <si>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</si>
  <si>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</si>
  <si>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</si>
  <si>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</si>
  <si>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</si>
  <si>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</si>
  <si>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</si>
  <si>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</si>
  <si>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</si>
  <si>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</si>
  <si>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</si>
  <si>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</si>
  <si>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</si>
  <si>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</si>
  <si>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</si>
  <si>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</si>
  <si>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</si>
  <si>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</si>
  <si>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</si>
  <si>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</si>
  <si>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</si>
  <si>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</si>
  <si>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</si>
  <si>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</si>
  <si>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</si>
  <si>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</si>
  <si>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</si>
  <si>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</si>
  <si>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</si>
  <si>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</si>
  <si>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</si>
  <si>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</si>
  <si>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</si>
  <si>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</si>
  <si>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</si>
  <si>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</si>
  <si>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</si>
  <si>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</si>
  <si>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</si>
  <si>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</si>
  <si>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</si>
  <si>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</si>
  <si>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</si>
  <si>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</si>
  <si>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</si>
  <si>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</si>
  <si>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</si>
  <si>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</si>
  <si>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</si>
  <si>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</si>
  <si>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</si>
  <si>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</si>
  <si>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</si>
  <si>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</si>
  <si>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</si>
  <si>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</si>
  <si>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</si>
  <si>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</si>
  <si>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</si>
  <si>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</si>
  <si>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</si>
  <si>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</si>
  <si>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</si>
  <si>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</si>
  <si>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</si>
  <si>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</si>
  <si>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</si>
  <si>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</si>
  <si>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</si>
  <si>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</si>
  <si>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</si>
  <si>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</si>
  <si>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</si>
  <si>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</si>
  <si>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</si>
  <si>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</si>
  <si>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</si>
  <si>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</si>
  <si>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</si>
  <si>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</si>
  <si>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</si>
  <si>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</si>
  <si>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</si>
  <si>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</si>
  <si>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</si>
  <si>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</si>
  <si>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</si>
  <si>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</si>
  <si>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</si>
  <si>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</si>
  <si>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</si>
  <si>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</si>
  <si>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</si>
  <si>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</si>
  <si>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</si>
  <si>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</si>
  <si>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t>Reviewer</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</si>
  <si>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</si>
  <si>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</si>
  <si>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</si>
  <si>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</si>
  <si>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</si>
  <si>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</si>
  <si>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</si>
  <si>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</si>
  <si>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</si>
  <si>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</si>
  <si>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</si>
  <si>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</si>
  <si>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</si>
  <si>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</si>
  <si>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</si>
  <si>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</si>
  <si>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</si>
  <si>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</si>
  <si>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</si>
  <si>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</si>
  <si>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</si>
  <si>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</si>
  <si>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CHG131815</t>
  </si>
  <si>
    <t>New Order Types for Web based orders</t>
  </si>
  <si>
    <t>CA</t>
  </si>
  <si>
    <t>Seeburn</t>
  </si>
  <si>
    <t>Vikram</t>
  </si>
  <si>
    <t>Created based on FD version FD_CA_CHG131815_New Order Type for Web based orders_v1.3.docx</t>
  </si>
  <si>
    <t>Jul, 2018</t>
  </si>
  <si>
    <t>SO_MarketBusinessRules.txt</t>
  </si>
  <si>
    <t>OutboundInterfaces_MarketBusinessRules.txt</t>
  </si>
  <si>
    <t>Informatica Definition</t>
  </si>
  <si>
    <t>NSTRING(30)</t>
  </si>
  <si>
    <t>ORDER_NUMBER</t>
  </si>
  <si>
    <t>ORDER_TYPE</t>
  </si>
  <si>
    <t>EIM_INTERFACE</t>
  </si>
  <si>
    <t>FDE_INT_PAYMENT_EFT_EXPORT_V6</t>
  </si>
  <si>
    <t>NVARCHAR(30)</t>
  </si>
  <si>
    <t>S_ORDER</t>
  </si>
  <si>
    <t xml:space="preserve">Modify SQ to add new field: ORDER_NUMBER and ORDER_TYPE
</t>
  </si>
  <si>
    <t>Pre_Insert</t>
  </si>
  <si>
    <t>DummyMap</t>
  </si>
  <si>
    <t>Y</t>
  </si>
  <si>
    <t xml:space="preserve">N </t>
  </si>
  <si>
    <t>$PMSourceFileDir\Parameters\OutboundInterfaces_MarketBusinessRules.txt</t>
  </si>
  <si>
    <t>Restart</t>
  </si>
  <si>
    <t>Post_Update</t>
  </si>
  <si>
    <t>RUN_OUTBOUND_PE_CA</t>
  </si>
  <si>
    <t>Impacted</t>
  </si>
  <si>
    <t>New session parameter for [s_FDE_INT_PAYMENT_COLLECTION_EXPORT_V6_CA]
Set Parameter $$SQL_CA_OVR1 as follows (Single line):
SELECT DISTINCT CHEQUE.X_PAYMENT_REQ_NUM_EFT,
 CHEQUE.PAYMENT_NUM,
 CHEQUE.PAY_AMT,
 CHEQUE.ROW_ID,
 CHEQUE.REASON_CD,
 ORG_CHEQUE.NAME AS NAME,
 CHEQUE.PAY_STAT_CD,
 CHEQUE.X_EXPORT_STATUS_CD,
 CHEQUE.X_APPROVAL_STATUS_CD,
 CHEQUE.X_EXPORT_STATUS_CD,
 BUD.NAME,
 CHEQUE.PAYMENT_REQ_NUM,
 CHEQUE.PAY_TYPE_CD,
 CHEQUE.PAY_STAT_CD,
 CHEQUE_CON.LAST_NAME,
 CHEQUE_CON.FST_NAME,
 CHEQUE.X_PAYMENT_DEL_METHOD_CD,
 CHEQUE.X_PAY_ADDR_TEXT,
 S_ADDR_PER.ADDR,
 S_ADDR_PER.ADDR_LINE_2,
 S_ADDR_PER.ADDR_LINE_4,
 S_ADDR_PER.ZIPCODE,
 S_ADDR_PER.X_STATE,
 S_ADDR_PER.COUNTRY,
 S_ADDR_PER.CITY,
 S_ADDR_PER.ADDR_TYPE_CD,
 CHEQUE.X_PAY_FAX_PH_TEXT,
 APPRV.LOGIN AS APPROVER,
 SEC_APPRV.LOGIN AS SEC_APPROVER,
 CHEQUE.X_APPROVAL_DT,
 APPRV_BY.LOGIN AS APPROVER_BY,
 CHEQUE.X_BANK_PAYMENT_NUMBER_TEXT,
 CHEQUE.X_BANK_PAYMENT_DATE_DT,
 CHEQUE.X_BANK_PAYMENT_STATUS_TEXT,
 S_DOC_AGREE.AGREE_NUM,
 S_DOC_AGREE.NAME,
 CHEQUE_CON.PERSON_UID,
 S_PTY_PAY_PRFL.X_GIFT_CARD_NUM,
 CXBK.X_BANK_NAME_TEXT,
 CXBK.X_BANK_NUMBER_TEXT,
 AC_C.X_TRANSIT_NUM,
 AC_C.X_LAST_NAME_BA_TEXT,
 AC_C.X_FIRST_NAME_BA_TEXT,
 CHEQUE.ACCNT_ID AS ACCNT_ID,
 S_BU.NAME AS COUNTRY_NAME,
 S_ORG_EXT.LOC AS COUNTRY_CODE,
 'Dummy_Payment' AS PAYMENT_REQ_NUM,
 'Dummy_Payment' AS TYPE_CD,
 CHEQUE.TYPE_CD,
 CHEQUE.ROW_ID,
 CHEQUE_CON.FST_NAME,
 CHEQUE_CON.LAST_NAME,
 CHEQUE_CON.PER_TITLE,
 CHEQUE_CON.CON_CD,
 CHEQUE_CON.X_LANGUAGE_CD,
 CHEQUE.X_SIGNATURE_DT,
 CHEQUE_SIGN.FST_NAME,
 CHEQUE_SIGN.LAST_NAME,
 CHEQUE_SIGN.PER_TITLE,
 CHEQUE_SIGN.CON_CD,
 CHEQUE_SIGN.X_LANGUAGE_CD,
 CHEQUE.ACTL_PAY_DT,
 S_USER.LOGIN,
 CHEQUE_CREATED.FST_NAME,
 CHEQUE_CREATED.LAST_NAME,
 CHEQUE.X_VAT_REGN_NUM,
 BL_ADR.ADDR,
 BL_ADR.ADDR_LINE_2,
 BL_ADR.ADDR_LINE_4,
 BL_ADR.ZIPCODE,
 BL_ADR.CITY,
 BL_ADR.X_STATE,
 BL_ADR.COUNTRY,
 AC_ADDR.ADDR,
 AC_ADDR.ADDR_LINE_2,
 AC_ADDR.ZIPCODE,
 AC_ADDR.CITY,
 INV_CONTACT.FST_NAME,
 INV_CONTACT.LAST_NAME,
 INV_CONTACT.X_LANGUAGE_CD,
 INV_CONTACT.PER_TITLE,
 CHEQUE.X_PAY_DEL_STAT_CD,
 ORG_CHEQUE.ALIAS_NAME,
 CHEQUE.X_CONTRACT_PAY_METHOD_CD,
 S_ORDER.ORDER_NUM,
 S_ORDER.X_SUB_TYPE</t>
  </si>
  <si>
    <t xml:space="preserve">Session parameter for [s_FDE_INT_PAYMENT_COLLECTION_EXPORT_V6_CA]
Set Parameter $$SQL_CA_JOIN1 as follows (Single line):
FROM S_SRC_PAYMENT CHEQUE(NOLOCK)
INNER JOIN S_BU(NOLOCK) ON S_BU.ROW_ID = CHEQUE.X_BU_ID
INNER JOIN S_ORG_EXT(NOLOCK) ON S_BU.ROW_ID = S_ORG_EXT.ROW_ID
INNER JOIN PRE_PAYMENT_COLLECTION_BANK_EXPORT XML(NOLOCK) ON XML.CHECK_ID = CHEQUE.ROW_ID
LEFT OUTER JOIN S_ORG_EXT ORG_CHEQUE(NOLOCK) ON ORG_CHEQUE.ROW_ID = CHEQUE.ACCNT_ID
LEFT OUTER JOIN S_MDF BUD(NOLOCK) ON BUD.ROW_ID = CHEQUE.X_AGREE_BUDGET_ID
LEFT OUTER JOIN S_USER APPRV(NOLOCK) ON APPRV.ROW_ID = CHEQUE.X_APPROVER_ID
LEFT OUTER JOIN S_USER SEC_APPRV(NOLOCK) ON SEC_APPRV.ROW_ID = CHEQUE.X_SECONDARY_APPROVER_ID
LEFT OUTER JOIN S_USER APPRV_BY(NOLOCK) ON APPRV_BY.ROW_ID = CHEQUE.X_APPROVED_BY_ID
LEFT OUTER JOIN S_ADDR_PER(NOLOCK) ON ORG_CHEQUE.PR_ADDR_ID = S_ADDR_PER.ROW_ID
LEFT OUTER JOIN S_CONTACT CHEQUE_CON(NOLOCK) ON CHEQUE.CON_ID = CHEQUE_CON.ROW_ID
LEFT OUTER JOIN S_PTY_PAY_PRFL(NOLOCK) ON CHEQUE_CON.PR_PER_PAY_PRFL_ID = S_PTY_PAY_PRFL.ROW_ID
LEFT OUTER JOIN S_DOC_AGREE(NOLOCK) ON CHEQUE.CONTRACT_ID = S_DOC_AGREE.ROW_ID
LEFT OUTER JOIN S_ORG_EXT AGREE_ACNT(NOLOCK) ON S_DOC_AGREE.TARGET_OU_ID = AGREE_ACNT.ROW_ID
LEFT OUTER JOIN S_ORG_EXT_X AC_C(NOLOCK) ON CHEQUE.ACCNT_ID = AC_C.PAR_ROW_ID
LEFT OUTER JOIN S_CONTACT CHEQUE_SIGN(NOLOCK) ON CHEQUE.X_SIGNED_BY_ID = CHEQUE_SIGN.ROW_ID
LEFT OUTER JOIN S_CONTACT CHEQUE_CREATED(NOLOCK) ON CHEQUE.CREATED_BY = CHEQUE_CREATED.ROW_ID
LEFT OUTER JOIN S_USER S_USER(NOLOCK) ON CHEQUE.CREATED_BY = S_USER.ROW_ID
LEFT OUTER JOIN S_ADDR_PER BL_ADR(NOLOCK) ON CHEQUE.ADDR_ORG_ID = BL_ADR.ROW_ID
LEFT OUTER JOIN CX_BANK_ADMIN CXBK(NOLOCK) ON CXBK.ROW_ID = AC_C.X_BANK_ID
LEFT OUTER JOIN S_ADDR_PER AC_ADDR(NOLOCK) ON AC_ADDR.ROW_ID = ORG_CHEQUE.PR_ADDR_ID
LEFT OUTER JOIN S_CONTACT INV_CONTACT(NOLOCK) ON CHEQUE.X_INVOICE_CON_ID = INV_CONTACT.ROW_ID
LEFT OUTER JOIN S_ORDER(NOLOCK) ON CHEQUE.ORDER_ID = S_ORDER.ROW_ID
</t>
  </si>
  <si>
    <t>New session parameter for [[s_FDE_INT_PAYMENT_EFT_EXPORT_V6_CA]]
Set Parameter $$SQL_CA_OVR1 as follows (Single line):
SELECT DISTINCT CHEQUE.X_PAYMENT_REQ_NUM_EFT,
 CHEQUE.PAYMENT_NUM,
 PAY.PAY_AMT,
 PAY.ROW_ID,
 CHEQUE.REASON_CD,
 ORG_CHEQUE.NAME AS NAME,
 CHEQUE.PAY_STAT_CD,
 CHEQUE.X_EXPORT_STATUS_CD,
 CHEQUE.X_APPROVAL_STATUS_CD,
 CHEQUE.X_EXPORT_STATUS_CD,
 BUD.NAME,
 CHEQUE.PAYMENT_REQ_NUM,
 CHEQUE.PAY_TYPE_CD,
 CHEQUE.PAY_STAT_CD,
 CHEQUE_CON.LAST_NAME,
 CHEQUE_CON.FST_NAME,
 CHEQUE.X_PAYMENT_DEL_METHOD_CD,
 CHEQUE.X_PAY_ADDR_TEXT,
 S_ADDR_PER.ADDR,
 S_ADDR_PER.ADDR_LINE_2,
 S_ADDR_PER.ADDR_LINE_4,
 S_ADDR_PER.ZIPCODE,
 S_ADDR_PER.X_STATE,
 S_ADDR_PER.COUNTRY,
 S_ADDR_PER.CITY,
 S_ADDR_PER.ADDR_TYPE_CD,
 CHEQUE.X_PAY_FAX_PH_TEXT,
 APPRV.LOGIN AS APPROVER,
 SEC_APPRV.LOGIN AS SEC_APPROVER,
 CHEQUE.X_APPROVAL_DT,
 APPRV_BY.LOGIN AS APPROVER_BY,
 CHEQUE.X_BANK_PAYMENT_NUMBER_TEXT,
 CHEQUE.X_BANK_PAYMENT_DATE_DT,
 CHEQUE.X_BANK_PAYMENT_STATUS_TEXT,
 S_DOC_AGREE.AGREE_NUM,
 S_DOC_AGREE.NAME,
 CHEQUE_CON.PERSON_UID,
 S_PTY_PAY_PRFL.X_GIFT_CARD_NUM,
 CXBK.X_BANK_NAME_TEXT,
 CXBK.X_BANK_NUMBER_TEXT,
 AC_C.X_TRANSIT_NUM,
 AC_C.X_LAST_NAME_BA_TEXT,
 AC_C.X_FIRST_NAME_BA_TEXT,
 CHEQUE.ACCNT_ID AS ACCNT_ID,
 S_BU.NAME AS COUNTRY_NAME,
 S_ORG_EXT.LOC AS COUNTRY_CODE,
 PAY.PAYMENT_REQ_NUM,
 PAY.TYPE_CD,
 CHEQUE.TYPE_CD,
 CHEQUE.ROW_ID,
 CHEQUE_CON.FST_NAME,
 CHEQUE_CON.LAST_NAME,
 CHEQUE_CON.PER_TITLE,
 CHEQUE_CON.CON_CD,
 CHEQUE_CON.X_LANGUAGE_CD,
 CHEQUE.X_SIGNATURE_DT,
 CHEQUE_SIGN.FST_NAME,
 CHEQUE_SIGN.LAST_NAME,
 CHEQUE_SIGN.PER_TITLE,
 CHEQUE_SIGN.CON_CD,
 CHEQUE_SIGN.X_LANGUAGE_CD,
 CHEQUE.ACTL_PAY_DT,
 S_USER.LOGIN,
 CHEQUE_CREATED.FST_NAME,
 CHEQUE_CREATED.LAST_NAME,
 CHEQUE.X_VAT_REGN_NUM,
 BL_ADR.ADDR,
 BL_ADR.ADDR_LINE_2,
 BL_ADR.ADDR_LINE_4,
 BL_ADR.ZIPCODE,
 BL_ADR.CITY,
 BL_ADR.X_STATE,
 BL_ADR.COUNTRY,
 AC_ADDR.ADDR,
 AC_ADDR.ADDR_LINE_2,
 AC_ADDR.ZIPCODE,
 AC_ADDR.CITY,
 INV_CONTACT.FST_NAME,
 INV_CONTACT.LAST_NAME,
 INV_CONTACT.X_LANGUAGE_CD,
 INV_CONTACT.PER_TITLE,
 CHEQUE.X_PAY_DEL_STAT_CD,
 ORG_CHEQUE.ALIAS_NAME,
 CHEQUE.X_CONTRACT_PAY_METHOD_CD,
 S_ORDER.ORDER_NUM,
 S_ORDER.X_SUB_TYPE</t>
  </si>
  <si>
    <t>Session parameter for [s_FDE_INT_PAYMENT_EFT_EXPORT_V6_CA]
Set Parameter $$SQL_CA_JOIN1 as follows (Single line):
FROM S_SRC_PAYMENT PAY
INNER JOIN S_BU ON S_BU.ROW_ID = PAY.X_BU_ID
INNER JOIN S_ORG_EXT ON S_BU.ROW_ID = S_ORG_EXT.ROW_ID
INNER JOIN S_SRC_PAYMENT CHEQUE ON PAY.PAR_PAYMENT_ID = CHEQUE.ROW_ID
INNER JOIN PRE_PAYMENT_ETF_BANK_EXPORT XML ON XML.CHECK_ID = CHEQUE.ROW_ID
LEFT OUTER JOIN S_ORG_EXT ORG_CHEQUE ON ORG_CHEQUE.ROW_ID = CHEQUE.ACCNT_ID
LEFT OUTER JOIN S_MDF BUD ON BUD.ROW_ID = CHEQUE.X_AGREE_BUDGET_ID
LEFT OUTER JOIN S_USER APPRV ON APPRV.ROW_ID = CHEQUE.X_APPROVER_ID
LEFT OUTER JOIN S_USER SEC_APPRV ON SEC_APPRV.ROW_ID = CHEQUE.X_SECONDARY_APPROVER_ID
LEFT OUTER JOIN S_USER APPRV_BY ON APPRV_BY.ROW_ID = CHEQUE.X_APPROVED_BY_ID
LEFT OUTER JOIN S_ADDR_PER ON CHEQUE.BANK_ADDR_ID = S_ADDR_PER.ROW_ID
LEFT OUTER JOIN S_CONTACT CHEQUE_CON ON CHEQUE.CON_ID = CHEQUE_CON.ROW_ID
LEFT OUTER JOIN S_PTY_PAY_PRFL ON CHEQUE_CON.PR_PER_PAY_PRFL_ID = S_PTY_PAY_PRFL.ROW_ID
LEFT OUTER JOIN S_DOC_AGREE ON CHEQUE.CONTRACT_ID = S_DOC_AGREE.ROW_ID
LEFT OUTER JOIN S_ORG_EXT AGREE_ACNT ON S_DOC_AGREE.TARGET_OU_ID = AGREE_ACNT.ROW_ID
LEFT OUTER JOIN S_ORG_EXT_X AC_C ON CHEQUE.ACCNT_ID = AC_C.PAR_ROW_ID
LEFT OUTER JOIN S_CONTACT CHEQUE_SIGN ON CHEQUE.X_SIGNED_BY_ID = CHEQUE_SIGN.ROW_ID
LEFT OUTER JOIN S_CONTACT CHEQUE_CREATED ON CHEQUE.CREATED_BY = CHEQUE_CREATED.ROW_ID
LEFT OUTER JOIN S_USER S_USER ON CHEQUE.CREATED_BY = S_USER.ROW_ID
LEFT OUTER JOIN CX_BANK_ADMIN CXBK ON CXBK.ROW_ID = AC_C.X_BANK_ID
LEFT OUTER JOIN S_ADDR_PER BL_ADR(NOLOCK) ON CHEQUE.ADDR_ORG_ID = BL_ADR.ROW_ID
LEFT OUTER JOIN S_ADDR_PER AC_ADDR(NOLOCK) ON AC_ADDR.ROW_ID = ORG_CHEQUE.PR_ADDR_ID
LEFT OUTER JOIN S_CONTACT INV_CONTACT(NOLOCK) ON CHEQUE.X_INVOICE_CON_ID = INV_CONTACT.ROW_ID
LEFT OUTER JOIN S_ORDER(NOLOCK) ON CHEQUE.ORDER_ID = S_ORDER.ROW_ID</t>
  </si>
  <si>
    <t>s_FDE_INT_PAYMENT_COLLECTION_EXPORT_V1_CA</t>
  </si>
  <si>
    <t>FDE_INT_PAYMENT_EFT_EXPORT_V1</t>
  </si>
  <si>
    <t>n/a</t>
  </si>
  <si>
    <t>Restart Task</t>
  </si>
  <si>
    <t>s_FDE_INT_PAYMENT_EFT_EXPORT_V1_CA</t>
  </si>
  <si>
    <t>s_FDE_INT_PAYMENT_COLLECTION_EXPORT_V6_CA</t>
  </si>
  <si>
    <t>s_FDE_INT_PAYMENT_EFT_EXPORT_V6_CA</t>
  </si>
  <si>
    <t>$$SQL_CA_OVR1
$$SQL_CA_JOIN1
$$BUSINESSRULE</t>
  </si>
  <si>
    <t>INSERT INTO WC_ETL_FILES_G SELECT ETL_PROC_WID,'CAPE0602.txt',0,0,GETDATE(),GETDATE(),NULL FROM W_PARAM_G;
INSERT INTO WC_ETL_FILES_G SELECT ETL_PROC_WID,'CAPE0603.txt',0,0,GETDATE(),GETDATE(),NULL FROM W_PARAM_G;</t>
  </si>
  <si>
    <t>update sql statement change file version from 01  to 06</t>
  </si>
  <si>
    <t>Rename_flatfile_CA</t>
  </si>
  <si>
    <t>$PMSourceFileDir\Scripts\renamefile.bat "$$STAGINGPATH\\CAPE0602.txt" "$$INTERFACESPATH\\Canada\\OUNP\\Payment\\OUNP" "$$COUNTRY_CODE" "$$ENTITY" "$$VERSION" "$$SYSTEM_ID" "$$GROUP_NUMBER"</t>
  </si>
  <si>
    <t>Rename_flatfile_CA_Collection</t>
  </si>
  <si>
    <t>$PMSourceFileDir\Scripts\renamefile.bat "$$STAGINGPATH\\CAPE0603.txt" "$$INTERFACESPATH\\Canada\\OUNP\\Payment\\OUNP" "$$COUNTRY_CODE" "$$ENTITY" "$$VERSION" "$$SYSTEM_ID" "$$GROUP_NUMBER"</t>
  </si>
  <si>
    <t>DELETE FROM WC_ETL_FILES_G WHERE FILENAME='CAPE0602.txt';
DELETE FROM WC_ETL_FILES_G WHERE FILENAME='CAPE0603.txt';
UPDATE WC_ETL_FILES_G SET LOAD_END_TIME=GETDATE() WHERE LOAD_END_TIME IS NULL AND FILENAME LIKE 'CAPE06%';</t>
  </si>
  <si>
    <t>wrk_Payment_Electronic_FundTransfer_Outbound_CA</t>
  </si>
  <si>
    <t>VAT</t>
  </si>
  <si>
    <t>BL_ADDR</t>
  </si>
  <si>
    <t>BL_ADDR_LINE_2</t>
  </si>
  <si>
    <t>BL_ADDR_LINE_3</t>
  </si>
  <si>
    <t>BL_ZIPCODE</t>
  </si>
  <si>
    <t>BL_CITY</t>
  </si>
  <si>
    <t>BL_STATE</t>
  </si>
  <si>
    <t>BL_COUNTRY</t>
  </si>
  <si>
    <t>PR_ACCOUNT_ADDRESS</t>
  </si>
  <si>
    <t>PR_ACCOUNT_ADDRESS2</t>
  </si>
  <si>
    <t>PR_ACCOUNT_ZIPCODE</t>
  </si>
  <si>
    <t>PR_ACCOUNT_CITY</t>
  </si>
  <si>
    <t>INV_DEL_FST_NAME</t>
  </si>
  <si>
    <t>INV_DEL_LAST_NAME</t>
  </si>
  <si>
    <t>INV_DEL_LANG</t>
  </si>
  <si>
    <t>INV_DEL_TITLE</t>
  </si>
  <si>
    <t>PAY_DELIV_STS</t>
  </si>
  <si>
    <t>ACCOUNT_NAME</t>
  </si>
  <si>
    <t>X_CONTRACT_PAY_METHOD_CD</t>
  </si>
  <si>
    <t>NSTRING (30)</t>
  </si>
  <si>
    <t>NSTRING (200)</t>
  </si>
  <si>
    <t>NSTRING (100)</t>
  </si>
  <si>
    <t>NSTRING (50)</t>
  </si>
  <si>
    <t>NSTRING (15)</t>
  </si>
  <si>
    <t>PAYMENT_ETF_TAB_V1</t>
  </si>
  <si>
    <t>PAYMENT_ETF_TAB_V6</t>
  </si>
  <si>
    <t>PAYMENT_ETF_CA_V1</t>
  </si>
  <si>
    <t>X_VAT_REGN_NUM1</t>
  </si>
  <si>
    <t>BL_ADDR1</t>
  </si>
  <si>
    <t>BL_ADDR_LINE_21</t>
  </si>
  <si>
    <t>BL_ADDR_LINE_41</t>
  </si>
  <si>
    <t>BL_ZIPCODE1</t>
  </si>
  <si>
    <t>BL_CITY1</t>
  </si>
  <si>
    <t>BL_STATE1</t>
  </si>
  <si>
    <t>BL_COUNTRY1</t>
  </si>
  <si>
    <t>PR_ACCOUNT_ADDRESS1</t>
  </si>
  <si>
    <t>PR_ACCOUNT_ADDRESS_21</t>
  </si>
  <si>
    <t>PR_ACCOUNT_ZIPCODE1</t>
  </si>
  <si>
    <t>PR_ACCOUNT_CITY1</t>
  </si>
  <si>
    <t>INV_DEL_FST_NAME1</t>
  </si>
  <si>
    <t>INV_DEL_LAST_NAME1</t>
  </si>
  <si>
    <t>INV_DEL_LANG1</t>
  </si>
  <si>
    <t>INV_DEL_TITLE1</t>
  </si>
  <si>
    <t>X_PAY_DEL_STAT_CD1</t>
  </si>
  <si>
    <t>ALIAS_NAME1</t>
  </si>
  <si>
    <t>X_CONTRACT_PAY_METHOD_CD1</t>
  </si>
  <si>
    <t>RTR_TAB_PIPE_DELIMITER_EXPORT_FILE</t>
  </si>
  <si>
    <t>To Transfer field</t>
  </si>
  <si>
    <t xml:space="preserve">New field </t>
  </si>
  <si>
    <t>Copy PAYMENT_ETF_TAB_V1 and add new field</t>
  </si>
  <si>
    <t>Revise parameter for [s_FDE_INT_ORDER_EXPORT_v14_CA]
Add 'Direct Sales RRP' and 'Direct Sales GTA' in the condition X_SUB_TYPE in (......)
I.e and X_SUB_TYPE in ('Direct Sales ','Retailer Detail Order','Retailer Dry Stock','Wholesaler Dry Stock','GTA Direct Sales','EP Direct Sales', Direct Sales RRP' , 'Direct Sales GTA')</t>
  </si>
  <si>
    <t>TME Phase 2 - HLFD Interface Orders - Export Version 14.9.doc</t>
  </si>
  <si>
    <t>WC_PAYMENT_ORDER_PARAM_G</t>
  </si>
  <si>
    <t xml:space="preserve">  Duplicate parameter for  Canada, CA.
  Add 2 lines with ORDER_SUBTYPE  = 'Direct Sales RRP' and 'Direct Sales GTA'</t>
  </si>
  <si>
    <t>OLTP</t>
  </si>
  <si>
    <t>TME Phase 2 - HLFD Interface Payment Electronic Fund - Outbound Version 6.0.docx</t>
  </si>
  <si>
    <t>wrk_Payment_Order_Batch</t>
  </si>
  <si>
    <t>RUN_OUTBOUND_SO_CA</t>
  </si>
  <si>
    <t>No Impact</t>
  </si>
  <si>
    <t>wrk_Sales_Orders_Outbound_CA</t>
  </si>
  <si>
    <t>PAYMENT_ETF_V6</t>
  </si>
  <si>
    <t>Copy PAYMENT_ETF_V5 and add new field</t>
  </si>
  <si>
    <t>Add missing field from version 2 to version 5.</t>
  </si>
  <si>
    <t>Import Source</t>
  </si>
  <si>
    <t>Copy of FDE_INT_PAYMENT_EFT_EXPORT_V5 and add 2 new field and 19 unmapped fields from version 2 to 5
Update mapping parameter $$VERSION = 06</t>
  </si>
  <si>
    <t>Import target &amp; re-connect all ports from SRT_Distinct to target</t>
  </si>
  <si>
    <t>Import target &amp; re-connect all ports from RTR_TAB_PIPE_DELIMITER_EXPORT_FILE to target</t>
  </si>
  <si>
    <t xml:space="preserve">Create new session and configure similar to decommissioned session s_FDE_INT_PAYMENT_COLLECTION_EXPORT_V1_CA:-
&gt; Set $Source and $Target
&gt; All source and targets should be : $Source
&gt; Output file Directory  and Reject file Directory 
&gt; Pre-session variable assignment
&gt; Post-session on success variable assignment
----------------------------------------------
---PAYMENT_ETF_CA_V1
Output Filename : CAPE0602.txt
Reject Filename : CAPE0602.bad
----------------------------------------------
---PAYMENT_V1
Output Filename : CAPE0601.txt
Reject Filename : CAPE0601.bad
</t>
  </si>
  <si>
    <t xml:space="preserve">Create new session and configure similar to decommissioned session s_FDE_INT_PAYMENT_COLLECTION_EXPORT_V1_CA:-
&gt; Set $Source and $Target
&gt; All source and targets should be : $Source
&gt; Output file Directory  and Reject file Directory 
&gt; Pre-session variable assignment
&gt; Post-session on success variable assignment
----------------------------------------------
---PAYMENT_ETF_CA_V1
Output Filename : CAPE0603.txt
Reject Filename : CAPE0603.bad
----------------------------------------------
---PAYMENT_V1
Output Filename : CAPE0601.txt
Reject Filename : CAPE0601.bad
</t>
  </si>
  <si>
    <t>Change command to update file version from 01 to 06</t>
  </si>
  <si>
    <t>Disabled and decommision</t>
  </si>
  <si>
    <t>NA</t>
  </si>
  <si>
    <t>Passed</t>
  </si>
  <si>
    <t>Test PE Outbound + Including non Update fields from version 2 to 5</t>
  </si>
  <si>
    <t>Test SO outbound CA</t>
  </si>
  <si>
    <t>Test Payment Order Batch</t>
  </si>
  <si>
    <t>L'etourdi</t>
  </si>
  <si>
    <t>Jonathan</t>
  </si>
  <si>
    <t>Reviewed</t>
  </si>
  <si>
    <t>Just for version upgrade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</si>
</sst>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FFFF00"/>
        <bgColor indexed="64"/>
      </patternFill>
    </fill>
  </fills>
  <borders count="35">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7">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cellStyleXfs>
  <cellXfs count="163">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0" fillId="0" borderId="30" xfId="0" applyBorder="1"/>
    <xf numFmtId="0" fontId="35" fillId="26" borderId="31" xfId="0" applyFont="1" applyFill="1" applyBorder="1"/>
    <xf numFmtId="0" fontId="0" fillId="0" borderId="32" xfId="0"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6" fillId="30" borderId="0" xfId="0" applyFont="1" applyFill="1"/>
    <xf numFmtId="0" fontId="47"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10" xfId="46" applyFont="1" applyBorder="1"/>
    <xf numFmtId="0" fontId="1" fillId="0" borderId="0" xfId="46" applyFill="1" applyAlignment="1">
      <alignment vertical="center"/>
    </xf>
    <xf numFmtId="0" fontId="1" fillId="35" borderId="10" xfId="0" applyFont="1" applyFill="1" applyBorder="1"/>
    <xf numFmtId="0" fontId="1" fillId="35" borderId="10" xfId="0" applyFont="1" applyFill="1" applyBorder="1" applyAlignment="1">
      <alignment wrapText="1"/>
    </xf>
    <xf numFmtId="0" fontId="4" fillId="0" borderId="0" xfId="34" applyFont="1" applyAlignment="1">
      <alignment vertical="top" wrapText="1"/>
    </xf>
    <xf numFmtId="0" fontId="1" fillId="0" borderId="33" xfId="46" applyFont="1" applyBorder="1"/>
    <xf numFmtId="0" fontId="0" fillId="0" borderId="33" xfId="0" applyBorder="1"/>
    <xf numFmtId="0" fontId="0" fillId="0" borderId="10" xfId="0" applyFill="1" applyBorder="1"/>
    <xf numFmtId="0" fontId="1" fillId="0" borderId="10" xfId="0" applyFont="1" applyBorder="1" applyAlignment="1">
      <alignment horizontal="left" vertical="top" wrapText="1"/>
    </xf>
    <xf numFmtId="0" fontId="1" fillId="0" borderId="34" xfId="0" applyFont="1" applyFill="1"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0" fontId="4" fillId="0" borderId="10" xfId="34" applyFont="1" applyFill="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1" fillId="0" borderId="10" xfId="0" applyFont="1" applyBorder="1" applyAlignment="1">
      <alignment vertical="top" wrapText="1"/>
    </xf>
  </cellXfs>
  <cellStyles count="47">
    <cellStyle name="20% - Akzent1" xfId="1"/>
    <cellStyle name="20% - Akzent2" xfId="2"/>
    <cellStyle name="20% - Akzent3" xfId="3"/>
    <cellStyle name="20% - Akzent4" xfId="4"/>
    <cellStyle name="20% - Akzent5" xfId="5"/>
    <cellStyle name="20% - Akzent6" xfId="6"/>
    <cellStyle name="40% - Akzent1" xfId="7"/>
    <cellStyle name="40% - Akzent2" xfId="8"/>
    <cellStyle name="40% - Akzent3" xfId="9"/>
    <cellStyle name="40% - Akzent4" xfId="10"/>
    <cellStyle name="40% - Akzent5" xfId="11"/>
    <cellStyle name="40% - Akzent6" xfId="12"/>
    <cellStyle name="60% - Akzent1" xfId="13"/>
    <cellStyle name="60% - Akzent2" xfId="14"/>
    <cellStyle name="60% - Akzent3" xfId="15"/>
    <cellStyle name="60% - Akzent4" xfId="16"/>
    <cellStyle name="60% - Akzent5" xfId="17"/>
    <cellStyle name="60% - Akzent6" xfId="18"/>
    <cellStyle name="Akzent1" xfId="19"/>
    <cellStyle name="Akzent2" xfId="20"/>
    <cellStyle name="Akzent3" xfId="21"/>
    <cellStyle name="Akzent4" xfId="22"/>
    <cellStyle name="Akzent5" xfId="23"/>
    <cellStyle name="Akzent6" xfId="24"/>
    <cellStyle name="Ausgabe" xfId="25"/>
    <cellStyle name="Berechnung" xfId="26"/>
    <cellStyle name="Comma_template landscape1" xfId="27"/>
    <cellStyle name="Eingabe" xfId="28"/>
    <cellStyle name="Ergebnis" xfId="29"/>
    <cellStyle name="Erklärender Text" xfId="30"/>
    <cellStyle name="Gut" xfId="31"/>
    <cellStyle name="Hyperlink" xfId="32" builtinId="8"/>
    <cellStyle name="Neutral" xfId="33" builtinId="28" customBuiltin="1"/>
    <cellStyle name="Normal" xfId="0" builtinId="0"/>
    <cellStyle name="Normal 2" xfId="46"/>
    <cellStyle name="Normal_Sales DetailedTD_CR_XXXX_Template" xfId="34"/>
    <cellStyle name="Notiz" xfId="35"/>
    <cellStyle name="Schlecht" xfId="36"/>
    <cellStyle name="Standard 2" xfId="37"/>
    <cellStyle name="Überschrift" xfId="38"/>
    <cellStyle name="Überschrift 1" xfId="39"/>
    <cellStyle name="Überschrift 2" xfId="40"/>
    <cellStyle name="Überschrift 3" xfId="41"/>
    <cellStyle name="Überschrift 4" xfId="42"/>
    <cellStyle name="Verknüpfte Zelle" xfId="43"/>
    <cellStyle name="Warnender Text" xfId="44"/>
    <cellStyle name="Zelle überprüfen" xfId="4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40"/>
  <sheetViews>
    <sheetView showGridLines="0" tabSelected="1" zoomScale="80" zoomScaleNormal="75" workbookViewId="0">
      <selection activeCell="M25" sqref="M25"/>
    </sheetView>
  </sheetViews>
  <sheetFormatPr defaultRowHeight="12.75" x14ac:dyDescent="0.2"/>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x14ac:dyDescent="0.25">
      <c r="A1" s="1"/>
    </row>
    <row r="10" spans="1:15" ht="13.5" x14ac:dyDescent="0.25">
      <c r="A10" s="1"/>
      <c r="B10" s="1"/>
      <c r="C10" s="1"/>
      <c r="D10" s="1"/>
      <c r="E10" s="1"/>
      <c r="F10" s="1"/>
      <c r="G10" s="1"/>
      <c r="H10" s="1"/>
      <c r="I10" s="1"/>
    </row>
    <row r="11" spans="1:15" ht="13.5" x14ac:dyDescent="0.25">
      <c r="A11" s="1"/>
      <c r="B11" s="1"/>
      <c r="C11" s="1"/>
      <c r="D11" s="1"/>
      <c r="E11" s="1"/>
      <c r="F11" s="1"/>
      <c r="G11" s="1"/>
      <c r="H11" s="1"/>
      <c r="I11" s="1"/>
    </row>
    <row r="12" spans="1:15" ht="13.5" x14ac:dyDescent="0.25">
      <c r="A12" s="1"/>
      <c r="B12" s="1"/>
      <c r="C12" s="1"/>
      <c r="D12" s="1"/>
      <c r="E12" s="1"/>
      <c r="F12" s="1"/>
      <c r="G12" s="1"/>
      <c r="H12" s="1"/>
      <c r="I12" s="1"/>
    </row>
    <row r="13" spans="1:15" ht="32.25" customHeight="1" thickBot="1" x14ac:dyDescent="0.45">
      <c r="A13" s="108" t="s">
        <v>0</v>
      </c>
      <c r="B13" s="108"/>
      <c r="C13" s="108"/>
      <c r="D13" s="108"/>
      <c r="E13" s="108"/>
      <c r="F13" s="108"/>
      <c r="G13" s="108"/>
      <c r="H13" s="108"/>
      <c r="I13" s="108"/>
      <c r="J13" s="108"/>
      <c r="K13" s="108"/>
      <c r="L13" s="108"/>
      <c r="M13" s="108"/>
      <c r="N13" s="108"/>
      <c r="O13" s="108"/>
    </row>
    <row r="14" spans="1:15" ht="14.25" thickTop="1" x14ac:dyDescent="0.25">
      <c r="A14" s="1"/>
      <c r="B14" s="1"/>
      <c r="C14" s="1"/>
      <c r="D14" s="1"/>
      <c r="E14" s="1"/>
      <c r="F14" s="1"/>
      <c r="G14" s="1"/>
      <c r="H14" s="1"/>
      <c r="I14" s="1"/>
    </row>
    <row r="15" spans="1:15" ht="13.5" x14ac:dyDescent="0.25">
      <c r="A15" s="1"/>
      <c r="B15" s="1"/>
      <c r="C15" s="1"/>
      <c r="D15" s="1"/>
      <c r="E15" s="1"/>
      <c r="F15" s="1"/>
      <c r="G15" s="1"/>
      <c r="H15" s="1"/>
      <c r="I15" s="1"/>
    </row>
    <row r="16" spans="1:15" ht="13.5" customHeight="1" x14ac:dyDescent="0.25">
      <c r="A16" s="1"/>
      <c r="B16" s="1"/>
      <c r="C16" s="1"/>
      <c r="D16" s="1"/>
      <c r="E16" s="1"/>
      <c r="F16" s="1"/>
      <c r="G16" s="1"/>
      <c r="H16" s="1"/>
      <c r="I16" s="1"/>
    </row>
    <row r="17" spans="1:15" ht="14.25" customHeight="1" x14ac:dyDescent="0.25">
      <c r="A17" s="1"/>
      <c r="B17" s="1"/>
      <c r="C17" s="1"/>
      <c r="D17" s="1"/>
      <c r="E17" s="1"/>
      <c r="F17" s="1"/>
      <c r="G17" s="1"/>
      <c r="H17" s="1"/>
      <c r="I17" s="1"/>
    </row>
    <row r="18" spans="1:15" ht="13.5" x14ac:dyDescent="0.25">
      <c r="A18" s="1"/>
      <c r="B18" s="1"/>
      <c r="C18" s="1"/>
      <c r="D18" s="1"/>
      <c r="E18" s="1"/>
      <c r="F18" s="1"/>
      <c r="G18" s="1"/>
      <c r="H18" s="1"/>
      <c r="I18" s="1"/>
    </row>
    <row r="19" spans="1:15" ht="13.5" x14ac:dyDescent="0.25">
      <c r="A19" s="1"/>
      <c r="B19" s="1"/>
      <c r="C19" s="1"/>
      <c r="D19" s="1"/>
      <c r="E19" s="1"/>
      <c r="F19" s="1"/>
      <c r="G19" s="1"/>
      <c r="H19" s="1"/>
      <c r="I19" s="1"/>
    </row>
    <row r="20" spans="1:15" ht="30.75" x14ac:dyDescent="0.45">
      <c r="A20" s="109" t="s">
        <v>12</v>
      </c>
      <c r="B20" s="109"/>
      <c r="C20" s="109"/>
      <c r="D20" s="109"/>
      <c r="E20" s="109"/>
      <c r="F20" s="109"/>
      <c r="G20" s="109"/>
      <c r="H20" s="109"/>
      <c r="I20" s="109"/>
      <c r="J20" s="109"/>
      <c r="K20" s="109"/>
      <c r="L20" s="109"/>
      <c r="M20" s="109"/>
      <c r="N20" s="109"/>
      <c r="O20" s="109"/>
    </row>
    <row r="21" spans="1:15" ht="30.75" x14ac:dyDescent="0.45">
      <c r="A21" s="109" t="s">
        <v>13</v>
      </c>
      <c r="B21" s="109"/>
      <c r="C21" s="109"/>
      <c r="D21" s="109"/>
      <c r="E21" s="109"/>
      <c r="F21" s="109"/>
      <c r="G21" s="109"/>
      <c r="H21" s="109"/>
      <c r="I21" s="109"/>
      <c r="J21" s="109"/>
      <c r="K21" s="109"/>
      <c r="L21" s="109"/>
      <c r="M21" s="109"/>
      <c r="N21" s="109"/>
      <c r="O21" s="109"/>
    </row>
    <row r="22" spans="1:15" ht="13.5" x14ac:dyDescent="0.25">
      <c r="A22" s="1"/>
      <c r="B22" s="1"/>
      <c r="C22" s="1"/>
      <c r="D22" s="1"/>
      <c r="E22" s="1"/>
      <c r="F22" s="1"/>
      <c r="G22" s="1"/>
      <c r="H22" s="1"/>
      <c r="I22" s="1"/>
    </row>
    <row r="23" spans="1:15" ht="30.75" x14ac:dyDescent="0.45">
      <c r="A23" s="89"/>
      <c r="B23" s="89"/>
      <c r="C23" s="89"/>
      <c r="D23" s="89"/>
      <c r="E23" s="89"/>
      <c r="F23" s="90"/>
      <c r="G23" s="109" t="s">
        <v>238</v>
      </c>
      <c r="H23" s="112"/>
      <c r="I23" s="92" t="s">
        <v>246</v>
      </c>
      <c r="J23" s="90"/>
      <c r="L23" s="89"/>
      <c r="M23" s="89"/>
      <c r="N23" s="89"/>
      <c r="O23" s="89"/>
    </row>
    <row r="24" spans="1:15" s="6" customFormat="1" ht="27.75" customHeight="1" x14ac:dyDescent="0.45">
      <c r="A24" s="95"/>
      <c r="B24" s="95"/>
      <c r="C24" s="95"/>
      <c r="D24" s="95"/>
      <c r="F24" s="97"/>
      <c r="G24" s="109" t="s">
        <v>244</v>
      </c>
      <c r="H24" s="109"/>
      <c r="I24" s="92" t="s">
        <v>247</v>
      </c>
      <c r="J24" s="95"/>
      <c r="K24" s="95"/>
      <c r="L24" s="95"/>
      <c r="M24" s="95"/>
      <c r="N24" s="95"/>
      <c r="O24" s="95"/>
    </row>
    <row r="25" spans="1:15" ht="27.75" x14ac:dyDescent="0.4">
      <c r="F25" s="115" t="s">
        <v>237</v>
      </c>
      <c r="G25" s="115"/>
      <c r="H25" s="115"/>
      <c r="I25" s="115"/>
      <c r="J25" s="115"/>
      <c r="K25" s="115"/>
      <c r="L25" s="96" t="s">
        <v>252</v>
      </c>
    </row>
    <row r="26" spans="1:15" ht="27.75" x14ac:dyDescent="0.4">
      <c r="F26" s="116" t="s">
        <v>245</v>
      </c>
      <c r="G26" s="116"/>
      <c r="H26" s="116"/>
      <c r="I26" s="116"/>
      <c r="J26" s="113" t="s">
        <v>248</v>
      </c>
      <c r="K26" s="114"/>
    </row>
    <row r="27" spans="1:15" ht="16.5" x14ac:dyDescent="0.3">
      <c r="A27" s="111"/>
      <c r="B27" s="111"/>
      <c r="C27" s="111"/>
      <c r="D27" s="111"/>
      <c r="E27" s="111"/>
      <c r="F27" s="111"/>
      <c r="G27" s="111"/>
      <c r="H27" s="111"/>
      <c r="I27" s="111"/>
    </row>
    <row r="28" spans="1:15" ht="18" customHeight="1" x14ac:dyDescent="0.3">
      <c r="A28" s="110"/>
      <c r="B28" s="110"/>
      <c r="C28" s="110"/>
      <c r="D28" s="110"/>
      <c r="E28" s="110"/>
      <c r="F28" s="110"/>
      <c r="G28" s="110"/>
      <c r="H28" s="110"/>
      <c r="I28" s="110"/>
    </row>
    <row r="37" spans="1:9" ht="18" customHeight="1" x14ac:dyDescent="0.2"/>
    <row r="38" spans="1:9" ht="15.75" x14ac:dyDescent="0.25">
      <c r="A38" s="3" t="s">
        <v>1</v>
      </c>
      <c r="B38" s="4">
        <f ca="1">TODAY()</f>
        <v>43180</v>
      </c>
      <c r="C38" s="1"/>
      <c r="D38" s="1"/>
      <c r="E38" s="1"/>
      <c r="F38" s="1"/>
      <c r="G38" s="1"/>
      <c r="H38" s="1"/>
      <c r="I38" s="1"/>
    </row>
    <row r="39" spans="1:9" ht="15.75" x14ac:dyDescent="0.25">
      <c r="A39" s="3" t="s">
        <v>2</v>
      </c>
      <c r="B39" s="5" t="s">
        <v>3</v>
      </c>
      <c r="C39" s="1"/>
      <c r="D39" s="1"/>
      <c r="E39" s="1"/>
      <c r="F39" s="1"/>
      <c r="G39" s="1"/>
      <c r="H39" s="1"/>
      <c r="I39" s="1"/>
    </row>
    <row r="40" spans="1:9" ht="15.75" x14ac:dyDescent="0.2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37"/>
  <sheetViews>
    <sheetView showGridLines="0" zoomScaleNormal="100" workbookViewId="0">
      <selection activeCell="C23" sqref="C23:D25"/>
    </sheetView>
  </sheetViews>
  <sheetFormatPr defaultRowHeight="13.5" x14ac:dyDescent="0.2"/>
  <cols>
    <col min="1" max="1" width="7.85546875" style="9" customWidth="1"/>
    <col min="2" max="2" width="22.140625" style="9" customWidth="1"/>
    <col min="3" max="3" width="6.42578125" style="9" customWidth="1"/>
    <col min="4" max="4" width="21.5703125" style="9" customWidth="1"/>
    <col min="5" max="5" width="0.140625" style="9" customWidth="1"/>
    <col min="6" max="6" width="9.140625" style="9" hidden="1" customWidth="1"/>
    <col min="7" max="7" width="19.7109375" style="9" customWidth="1"/>
    <col min="8" max="8" width="9.140625" style="9" hidden="1" customWidth="1"/>
    <col min="9" max="9" width="9.28515625" style="9" hidden="1" customWidth="1"/>
    <col min="10" max="10" width="30.28515625" style="9" customWidth="1"/>
    <col min="11" max="11" width="12.42578125" style="9" customWidth="1"/>
    <col min="12" max="12" width="9.140625" style="9" hidden="1" customWidth="1"/>
    <col min="13" max="13" width="28" style="9" customWidth="1"/>
    <col min="14" max="15" width="9.140625" style="9"/>
    <col min="16" max="16" width="37.140625" style="9" customWidth="1"/>
    <col min="17" max="16384" width="9.140625" style="9"/>
  </cols>
  <sheetData>
    <row r="1" spans="1:20" ht="16.5" x14ac:dyDescent="0.2">
      <c r="A1" s="7" t="s">
        <v>4</v>
      </c>
      <c r="B1" s="8"/>
      <c r="C1" s="8"/>
      <c r="D1" s="8"/>
      <c r="E1" s="8"/>
      <c r="F1" s="8"/>
      <c r="G1" s="8"/>
      <c r="H1" s="8"/>
      <c r="I1" s="8"/>
    </row>
    <row r="2" spans="1:20" x14ac:dyDescent="0.2">
      <c r="A2" s="10"/>
      <c r="B2" s="8"/>
      <c r="C2" s="8"/>
      <c r="D2" s="8"/>
      <c r="E2" s="8"/>
      <c r="F2" s="10"/>
      <c r="G2" s="8"/>
      <c r="H2" s="8"/>
      <c r="I2" s="8"/>
    </row>
    <row r="3" spans="1:20" ht="15" x14ac:dyDescent="0.2">
      <c r="A3" s="130" t="s">
        <v>5</v>
      </c>
      <c r="B3" s="130"/>
      <c r="C3" s="130"/>
      <c r="D3" s="130" t="s">
        <v>6</v>
      </c>
      <c r="E3" s="130"/>
      <c r="F3" s="130"/>
      <c r="G3" s="130" t="s">
        <v>7</v>
      </c>
      <c r="H3" s="130"/>
      <c r="I3" s="130"/>
      <c r="J3" s="139" t="s">
        <v>8</v>
      </c>
      <c r="K3" s="140"/>
      <c r="L3" s="141"/>
      <c r="M3" s="130" t="s">
        <v>9</v>
      </c>
      <c r="N3" s="130"/>
      <c r="O3" s="130"/>
      <c r="P3" s="11" t="s">
        <v>10</v>
      </c>
    </row>
    <row r="4" spans="1:20" ht="40.5" x14ac:dyDescent="0.2">
      <c r="A4" s="133" t="s">
        <v>249</v>
      </c>
      <c r="B4" s="134"/>
      <c r="C4" s="135"/>
      <c r="D4" s="133" t="s">
        <v>250</v>
      </c>
      <c r="E4" s="135"/>
      <c r="F4" s="12"/>
      <c r="G4" s="145" t="s">
        <v>226</v>
      </c>
      <c r="H4" s="145"/>
      <c r="I4" s="145"/>
      <c r="J4" s="146">
        <v>1</v>
      </c>
      <c r="K4" s="147"/>
      <c r="L4" s="13"/>
      <c r="M4" s="142">
        <v>43168</v>
      </c>
      <c r="N4" s="143"/>
      <c r="O4" s="144"/>
      <c r="P4" s="14" t="s">
        <v>251</v>
      </c>
      <c r="T4" s="15"/>
    </row>
    <row r="5" spans="1:20" x14ac:dyDescent="0.2">
      <c r="A5" s="133" t="s">
        <v>369</v>
      </c>
      <c r="B5" s="134"/>
      <c r="C5" s="135"/>
      <c r="D5" s="133" t="s">
        <v>370</v>
      </c>
      <c r="E5" s="135"/>
      <c r="F5" s="12"/>
      <c r="G5" s="145" t="s">
        <v>223</v>
      </c>
      <c r="H5" s="145"/>
      <c r="I5" s="145"/>
      <c r="J5" s="146">
        <v>1</v>
      </c>
      <c r="K5" s="147"/>
      <c r="L5" s="13"/>
      <c r="M5" s="142">
        <v>43172</v>
      </c>
      <c r="N5" s="143"/>
      <c r="O5" s="144"/>
      <c r="P5" s="14" t="s">
        <v>371</v>
      </c>
      <c r="T5" s="15"/>
    </row>
    <row r="6" spans="1:20" x14ac:dyDescent="0.2">
      <c r="A6" s="8"/>
      <c r="B6" s="8"/>
      <c r="C6" s="8"/>
      <c r="D6" s="8"/>
      <c r="E6" s="8"/>
      <c r="F6" s="8"/>
      <c r="G6" s="8"/>
      <c r="H6" s="8"/>
      <c r="I6" s="8"/>
    </row>
    <row r="7" spans="1:20" ht="16.5" x14ac:dyDescent="0.2">
      <c r="A7" s="7" t="s">
        <v>67</v>
      </c>
      <c r="B7" s="7"/>
      <c r="C7" s="7"/>
      <c r="D7" s="7"/>
      <c r="E7" s="8"/>
      <c r="F7" s="10"/>
      <c r="G7" s="8"/>
      <c r="H7" s="8"/>
      <c r="I7" s="8"/>
    </row>
    <row r="8" spans="1:20" x14ac:dyDescent="0.2">
      <c r="A8" s="8"/>
      <c r="B8" s="8"/>
      <c r="C8" s="8"/>
      <c r="D8" s="8"/>
      <c r="E8" s="8"/>
      <c r="F8" s="8"/>
      <c r="G8" s="8"/>
      <c r="H8" s="8"/>
      <c r="I8" s="8"/>
    </row>
    <row r="9" spans="1:20" ht="29.25" customHeight="1" x14ac:dyDescent="0.2">
      <c r="A9" s="136" t="s">
        <v>5</v>
      </c>
      <c r="B9" s="137"/>
      <c r="C9" s="136" t="s">
        <v>6</v>
      </c>
      <c r="D9" s="137"/>
      <c r="E9" s="136" t="s">
        <v>7</v>
      </c>
      <c r="F9" s="138"/>
      <c r="G9" s="137"/>
      <c r="H9" s="139" t="s">
        <v>8</v>
      </c>
      <c r="I9" s="138"/>
      <c r="J9" s="137"/>
      <c r="K9" s="136" t="s">
        <v>9</v>
      </c>
      <c r="L9" s="137"/>
      <c r="M9" s="136" t="s">
        <v>11</v>
      </c>
      <c r="N9" s="138"/>
      <c r="O9" s="137"/>
    </row>
    <row r="10" spans="1:20" x14ac:dyDescent="0.2">
      <c r="A10" s="123"/>
      <c r="B10" s="123"/>
      <c r="C10" s="123"/>
      <c r="D10" s="123"/>
      <c r="E10" s="123"/>
      <c r="F10" s="123"/>
      <c r="G10" s="123"/>
      <c r="H10" s="123"/>
      <c r="I10" s="123"/>
      <c r="J10" s="123"/>
      <c r="K10" s="123"/>
      <c r="L10" s="123"/>
      <c r="M10" s="123"/>
      <c r="N10" s="123"/>
      <c r="O10" s="123"/>
    </row>
    <row r="11" spans="1:20" x14ac:dyDescent="0.2">
      <c r="A11" s="123"/>
      <c r="B11" s="123"/>
      <c r="C11" s="123"/>
      <c r="D11" s="123"/>
      <c r="E11" s="123"/>
      <c r="F11" s="123"/>
      <c r="G11" s="123"/>
      <c r="H11" s="123"/>
      <c r="I11" s="123"/>
      <c r="J11" s="123"/>
      <c r="K11" s="123"/>
      <c r="L11" s="123"/>
      <c r="M11" s="123"/>
      <c r="N11" s="123"/>
      <c r="O11" s="123"/>
    </row>
    <row r="12" spans="1:20" x14ac:dyDescent="0.2">
      <c r="A12" s="123"/>
      <c r="B12" s="123"/>
      <c r="C12" s="123"/>
      <c r="D12" s="123"/>
      <c r="E12" s="123"/>
      <c r="F12" s="123"/>
      <c r="G12" s="123"/>
      <c r="H12" s="123"/>
      <c r="I12" s="123"/>
      <c r="J12" s="123"/>
      <c r="K12" s="123"/>
      <c r="L12" s="123"/>
      <c r="M12" s="123"/>
      <c r="N12" s="123"/>
      <c r="O12" s="123"/>
    </row>
    <row r="13" spans="1:20" x14ac:dyDescent="0.2">
      <c r="A13" s="123"/>
      <c r="B13" s="123"/>
      <c r="C13" s="123"/>
      <c r="D13" s="123"/>
      <c r="E13" s="123"/>
      <c r="F13" s="123"/>
      <c r="G13" s="123"/>
      <c r="H13" s="123"/>
      <c r="I13" s="123"/>
      <c r="J13" s="123"/>
      <c r="K13" s="123"/>
      <c r="L13" s="123"/>
      <c r="M13" s="123"/>
      <c r="N13" s="123"/>
      <c r="O13" s="123"/>
    </row>
    <row r="14" spans="1:20" x14ac:dyDescent="0.2">
      <c r="A14" s="123"/>
      <c r="B14" s="123"/>
      <c r="C14" s="123"/>
      <c r="D14" s="123"/>
      <c r="E14" s="123"/>
      <c r="F14" s="123"/>
      <c r="G14" s="123"/>
      <c r="H14" s="123"/>
      <c r="I14" s="123"/>
      <c r="J14" s="123"/>
      <c r="K14" s="123"/>
      <c r="L14" s="123"/>
      <c r="M14" s="123"/>
      <c r="N14" s="123"/>
      <c r="O14" s="123"/>
    </row>
    <row r="15" spans="1:20" x14ac:dyDescent="0.2">
      <c r="A15" s="123"/>
      <c r="B15" s="123"/>
      <c r="C15" s="123"/>
      <c r="D15" s="123"/>
      <c r="E15" s="123"/>
      <c r="F15" s="123"/>
      <c r="G15" s="123"/>
      <c r="H15" s="123"/>
      <c r="I15" s="123"/>
      <c r="J15" s="123"/>
      <c r="K15" s="123"/>
      <c r="L15" s="123"/>
      <c r="M15" s="123"/>
      <c r="N15" s="123"/>
      <c r="O15" s="123"/>
    </row>
    <row r="16" spans="1:20" x14ac:dyDescent="0.2">
      <c r="A16" s="123"/>
      <c r="B16" s="123"/>
      <c r="C16" s="123"/>
      <c r="D16" s="123"/>
      <c r="E16" s="123"/>
      <c r="F16" s="123"/>
      <c r="G16" s="123"/>
      <c r="H16" s="123"/>
      <c r="I16" s="123"/>
      <c r="J16" s="123"/>
      <c r="K16" s="123"/>
      <c r="L16" s="123"/>
      <c r="M16" s="123"/>
      <c r="N16" s="123"/>
      <c r="O16" s="123"/>
    </row>
    <row r="17" spans="1:15" x14ac:dyDescent="0.2">
      <c r="A17" s="123"/>
      <c r="B17" s="123"/>
      <c r="C17" s="123"/>
      <c r="D17" s="123"/>
      <c r="E17" s="123"/>
      <c r="F17" s="123"/>
      <c r="G17" s="123"/>
      <c r="H17" s="123"/>
      <c r="I17" s="123"/>
      <c r="J17" s="123"/>
      <c r="K17" s="123"/>
      <c r="L17" s="123"/>
      <c r="M17" s="123"/>
      <c r="N17" s="123"/>
      <c r="O17" s="123"/>
    </row>
    <row r="20" spans="1:15" ht="15" x14ac:dyDescent="0.2">
      <c r="A20" s="132" t="s">
        <v>14</v>
      </c>
      <c r="B20" s="132"/>
      <c r="C20" s="132" t="s">
        <v>15</v>
      </c>
      <c r="D20" s="132"/>
    </row>
    <row r="21" spans="1:15" ht="29.25" customHeight="1" x14ac:dyDescent="0.2">
      <c r="A21" s="120" t="s">
        <v>70</v>
      </c>
      <c r="B21" s="120"/>
      <c r="C21" s="123">
        <v>0</v>
      </c>
      <c r="D21" s="123"/>
      <c r="J21" s="102" t="s">
        <v>366</v>
      </c>
      <c r="M21" s="9">
        <v>0.3</v>
      </c>
    </row>
    <row r="22" spans="1:15" x14ac:dyDescent="0.2">
      <c r="A22" s="120" t="s">
        <v>71</v>
      </c>
      <c r="B22" s="120"/>
      <c r="C22" s="123">
        <v>0</v>
      </c>
      <c r="D22" s="123"/>
      <c r="J22" s="9" t="s">
        <v>367</v>
      </c>
      <c r="M22" s="9">
        <v>0.125</v>
      </c>
    </row>
    <row r="23" spans="1:15" x14ac:dyDescent="0.2">
      <c r="A23" s="120" t="s">
        <v>178</v>
      </c>
      <c r="B23" s="120"/>
      <c r="C23" s="123">
        <v>0.1</v>
      </c>
      <c r="D23" s="123"/>
      <c r="J23" s="9" t="s">
        <v>368</v>
      </c>
      <c r="M23" s="9">
        <v>0.15</v>
      </c>
    </row>
    <row r="24" spans="1:15" x14ac:dyDescent="0.2">
      <c r="A24" s="120" t="s">
        <v>16</v>
      </c>
      <c r="B24" s="120"/>
      <c r="C24" s="123">
        <f>'1.0 DB Schema'!B52+'2.0 Ifb &amp; PHP'!B40+'3.0 Mapping'!B9+'4.0 Worklet &amp; workflow'!B17+'5.0 Stored Procedure'!B10+'4.1 Session Details'!B15</f>
        <v>0.26250000000000001</v>
      </c>
      <c r="D24" s="123"/>
    </row>
    <row r="25" spans="1:15" x14ac:dyDescent="0.2">
      <c r="A25" s="120" t="s">
        <v>19</v>
      </c>
      <c r="B25" s="120"/>
      <c r="C25" s="123">
        <f>SUM(M21:M25)</f>
        <v>0.57499999999999996</v>
      </c>
      <c r="D25" s="123"/>
    </row>
    <row r="26" spans="1:15" x14ac:dyDescent="0.2">
      <c r="A26" s="120" t="s">
        <v>17</v>
      </c>
      <c r="B26" s="120"/>
      <c r="C26" s="121">
        <v>0.25</v>
      </c>
      <c r="D26" s="122"/>
    </row>
    <row r="27" spans="1:15" ht="15" x14ac:dyDescent="0.2">
      <c r="A27" s="131" t="s">
        <v>18</v>
      </c>
      <c r="B27" s="131"/>
      <c r="C27" s="132">
        <f>ROUND(SUM(C21:E26),2)</f>
        <v>1.19</v>
      </c>
      <c r="D27" s="132"/>
    </row>
    <row r="30" spans="1:15" x14ac:dyDescent="0.2">
      <c r="B30" s="117" t="s">
        <v>81</v>
      </c>
      <c r="C30" s="118"/>
      <c r="D30" s="118"/>
      <c r="E30" s="118"/>
      <c r="F30" s="118"/>
      <c r="G30" s="118"/>
      <c r="H30" s="118"/>
      <c r="I30" s="118"/>
      <c r="J30" s="118"/>
      <c r="K30" s="118"/>
      <c r="L30" s="118"/>
      <c r="M30" s="119"/>
    </row>
    <row r="31" spans="1:15" ht="33.75" customHeight="1" x14ac:dyDescent="0.2">
      <c r="B31" s="128" t="s">
        <v>70</v>
      </c>
      <c r="C31" s="129"/>
      <c r="D31" s="124" t="s">
        <v>177</v>
      </c>
      <c r="E31" s="124"/>
      <c r="F31" s="124"/>
      <c r="G31" s="124"/>
      <c r="H31" s="124"/>
      <c r="I31" s="124"/>
      <c r="J31" s="124"/>
      <c r="K31" s="124"/>
      <c r="L31" s="124"/>
      <c r="M31" s="124"/>
    </row>
    <row r="32" spans="1:15" ht="39.75" customHeight="1" x14ac:dyDescent="0.2">
      <c r="B32" s="128" t="s">
        <v>71</v>
      </c>
      <c r="C32" s="129"/>
      <c r="D32" s="124" t="s">
        <v>82</v>
      </c>
      <c r="E32" s="124"/>
      <c r="F32" s="124"/>
      <c r="G32" s="124"/>
      <c r="H32" s="124"/>
      <c r="I32" s="124"/>
      <c r="J32" s="124"/>
      <c r="K32" s="124"/>
      <c r="L32" s="124"/>
      <c r="M32" s="124"/>
    </row>
    <row r="33" spans="2:13" ht="236.25" customHeight="1" x14ac:dyDescent="0.2">
      <c r="B33" s="128" t="s">
        <v>178</v>
      </c>
      <c r="C33" s="129"/>
      <c r="D33" s="124" t="s">
        <v>224</v>
      </c>
      <c r="E33" s="124"/>
      <c r="F33" s="124"/>
      <c r="G33" s="124"/>
      <c r="H33" s="124"/>
      <c r="I33" s="124"/>
      <c r="J33" s="124"/>
      <c r="K33" s="124"/>
      <c r="L33" s="124"/>
      <c r="M33" s="124"/>
    </row>
    <row r="34" spans="2:13" ht="15" x14ac:dyDescent="0.2">
      <c r="B34" s="128" t="s">
        <v>16</v>
      </c>
      <c r="C34" s="129"/>
      <c r="D34" s="124" t="s">
        <v>112</v>
      </c>
      <c r="E34" s="124"/>
      <c r="F34" s="124"/>
      <c r="G34" s="124"/>
      <c r="H34" s="124"/>
      <c r="I34" s="124"/>
      <c r="J34" s="124"/>
      <c r="K34" s="124"/>
      <c r="L34" s="124"/>
      <c r="M34" s="124"/>
    </row>
    <row r="35" spans="2:13" ht="52.5" customHeight="1" x14ac:dyDescent="0.2">
      <c r="B35" s="128" t="s">
        <v>19</v>
      </c>
      <c r="C35" s="129"/>
      <c r="D35" s="125" t="s">
        <v>113</v>
      </c>
      <c r="E35" s="126"/>
      <c r="F35" s="126"/>
      <c r="G35" s="126"/>
      <c r="H35" s="126"/>
      <c r="I35" s="126"/>
      <c r="J35" s="126"/>
      <c r="K35" s="126"/>
      <c r="L35" s="126"/>
      <c r="M35" s="127"/>
    </row>
    <row r="36" spans="2:13" ht="34.5" customHeight="1" x14ac:dyDescent="0.2">
      <c r="B36" s="128" t="s">
        <v>17</v>
      </c>
      <c r="C36" s="129"/>
      <c r="D36" s="124" t="s">
        <v>114</v>
      </c>
      <c r="E36" s="124"/>
      <c r="F36" s="124"/>
      <c r="G36" s="124"/>
      <c r="H36" s="124"/>
      <c r="I36" s="124"/>
      <c r="J36" s="124"/>
      <c r="K36" s="124"/>
      <c r="L36" s="124"/>
      <c r="M36" s="124"/>
    </row>
    <row r="37" spans="2:13" ht="29.25" customHeight="1" x14ac:dyDescent="0.2"/>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1">
    <dataValidation type="list" allowBlank="1" showInputMessage="1" showErrorMessage="1" sqref="C23:D23">
      <formula1>"0, 0.04, 0.07 , 0.1"</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0"/>
  <sheetViews>
    <sheetView workbookViewId="0">
      <selection activeCell="B19" sqref="B19:B20"/>
    </sheetView>
  </sheetViews>
  <sheetFormatPr defaultColWidth="11.42578125" defaultRowHeight="12.75" x14ac:dyDescent="0.2"/>
  <cols>
    <col min="1" max="1" width="4.28515625" style="43" customWidth="1"/>
    <col min="2" max="2" width="87.42578125" style="26" customWidth="1"/>
    <col min="3" max="3" width="10.7109375" style="26" customWidth="1"/>
    <col min="4" max="16384" width="11.42578125" style="26"/>
  </cols>
  <sheetData>
    <row r="1" spans="1:2" ht="13.5" thickBot="1" x14ac:dyDescent="0.25">
      <c r="A1" s="148" t="s">
        <v>69</v>
      </c>
      <c r="B1" s="148"/>
    </row>
    <row r="2" spans="1:2" x14ac:dyDescent="0.2">
      <c r="A2" s="41"/>
      <c r="B2" s="30" t="s">
        <v>60</v>
      </c>
    </row>
    <row r="3" spans="1:2" x14ac:dyDescent="0.2">
      <c r="A3" s="42"/>
      <c r="B3" s="25"/>
    </row>
    <row r="4" spans="1:2" x14ac:dyDescent="0.2">
      <c r="B4" s="28"/>
    </row>
    <row r="5" spans="1:2" x14ac:dyDescent="0.2">
      <c r="A5" s="41" t="s">
        <v>59</v>
      </c>
      <c r="B5" s="29" t="s">
        <v>61</v>
      </c>
    </row>
    <row r="6" spans="1:2" x14ac:dyDescent="0.2">
      <c r="A6" s="42">
        <v>1</v>
      </c>
      <c r="B6" s="25"/>
    </row>
    <row r="7" spans="1:2" x14ac:dyDescent="0.2">
      <c r="A7" s="42">
        <v>2</v>
      </c>
      <c r="B7" s="25"/>
    </row>
    <row r="8" spans="1:2" x14ac:dyDescent="0.2">
      <c r="A8" s="42">
        <v>3</v>
      </c>
      <c r="B8" s="25"/>
    </row>
    <row r="9" spans="1:2" x14ac:dyDescent="0.2">
      <c r="A9" s="42" t="s">
        <v>62</v>
      </c>
      <c r="B9" s="25"/>
    </row>
    <row r="10" spans="1:2" x14ac:dyDescent="0.2">
      <c r="A10" s="42" t="s">
        <v>63</v>
      </c>
      <c r="B10" s="25"/>
    </row>
    <row r="12" spans="1:2" x14ac:dyDescent="0.2">
      <c r="A12" s="41" t="s">
        <v>59</v>
      </c>
      <c r="B12" s="29" t="s">
        <v>64</v>
      </c>
    </row>
    <row r="13" spans="1:2" x14ac:dyDescent="0.2">
      <c r="A13" s="42">
        <v>4</v>
      </c>
      <c r="B13" s="25"/>
    </row>
    <row r="15" spans="1:2" x14ac:dyDescent="0.2">
      <c r="A15" s="41" t="s">
        <v>59</v>
      </c>
      <c r="B15" s="29" t="s">
        <v>65</v>
      </c>
    </row>
    <row r="16" spans="1:2" x14ac:dyDescent="0.2">
      <c r="A16" s="42">
        <v>5</v>
      </c>
      <c r="B16" s="25"/>
    </row>
    <row r="17" spans="1:2" ht="13.5" thickBot="1" x14ac:dyDescent="0.25"/>
    <row r="18" spans="1:2" x14ac:dyDescent="0.2">
      <c r="A18" s="44" t="s">
        <v>59</v>
      </c>
      <c r="B18" s="27" t="s">
        <v>66</v>
      </c>
    </row>
    <row r="19" spans="1:2" x14ac:dyDescent="0.2">
      <c r="A19" s="42">
        <v>6</v>
      </c>
      <c r="B19" s="25" t="s">
        <v>348</v>
      </c>
    </row>
    <row r="20" spans="1:2" x14ac:dyDescent="0.2">
      <c r="B20" s="26" t="s">
        <v>344</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9"/>
  <sheetViews>
    <sheetView workbookViewId="0">
      <selection activeCell="C18" sqref="C18"/>
    </sheetView>
  </sheetViews>
  <sheetFormatPr defaultRowHeight="12.75" x14ac:dyDescent="0.2"/>
  <cols>
    <col min="1" max="1" width="43.85546875" bestFit="1" customWidth="1"/>
    <col min="2" max="2" width="99.85546875" bestFit="1" customWidth="1"/>
    <col min="3" max="3" width="20.42578125" customWidth="1"/>
    <col min="4" max="4" width="25" customWidth="1"/>
    <col min="18" max="18" width="11" customWidth="1"/>
  </cols>
  <sheetData>
    <row r="1" spans="1:18" ht="13.5" thickBot="1" x14ac:dyDescent="0.25">
      <c r="A1" s="149" t="s">
        <v>143</v>
      </c>
      <c r="B1" s="150"/>
      <c r="C1" s="150"/>
      <c r="D1" s="151"/>
      <c r="M1" s="57" t="s">
        <v>144</v>
      </c>
      <c r="N1" s="58"/>
      <c r="O1" s="58"/>
      <c r="P1" s="58"/>
      <c r="Q1" s="58"/>
      <c r="R1" s="59"/>
    </row>
    <row r="2" spans="1:18" ht="13.5" thickBot="1" x14ac:dyDescent="0.25">
      <c r="C2" s="26"/>
      <c r="M2" s="60" t="s">
        <v>145</v>
      </c>
      <c r="N2" s="61"/>
      <c r="O2" s="61"/>
      <c r="P2" s="61"/>
      <c r="Q2" s="61"/>
      <c r="R2" s="62"/>
    </row>
    <row r="3" spans="1:18" x14ac:dyDescent="0.2">
      <c r="A3" s="67" t="s">
        <v>148</v>
      </c>
      <c r="B3" s="37"/>
      <c r="C3" s="37"/>
      <c r="M3" s="60" t="s">
        <v>146</v>
      </c>
      <c r="N3" s="61"/>
      <c r="O3" s="61"/>
      <c r="P3" s="61"/>
      <c r="Q3" s="61"/>
      <c r="R3" s="62"/>
    </row>
    <row r="4" spans="1:18" ht="25.5" customHeight="1" x14ac:dyDescent="0.2">
      <c r="A4" s="17" t="s">
        <v>150</v>
      </c>
      <c r="B4" s="17" t="s">
        <v>152</v>
      </c>
      <c r="C4" s="36" t="s">
        <v>149</v>
      </c>
      <c r="D4" s="36" t="s">
        <v>31</v>
      </c>
      <c r="M4" s="63" t="s">
        <v>147</v>
      </c>
      <c r="N4" s="61"/>
      <c r="O4" s="61"/>
      <c r="P4" s="61"/>
      <c r="Q4" s="61"/>
      <c r="R4" s="62"/>
    </row>
    <row r="5" spans="1:18" ht="128.25" thickBot="1" x14ac:dyDescent="0.25">
      <c r="A5" s="50" t="s">
        <v>151</v>
      </c>
      <c r="B5" s="31" t="s">
        <v>156</v>
      </c>
      <c r="C5" s="16" t="s">
        <v>364</v>
      </c>
      <c r="D5" s="16"/>
      <c r="M5" s="64"/>
      <c r="N5" s="65"/>
      <c r="O5" s="65"/>
      <c r="P5" s="65"/>
      <c r="Q5" s="65"/>
      <c r="R5" s="66"/>
    </row>
    <row r="6" spans="1:18" x14ac:dyDescent="0.2">
      <c r="A6" s="50" t="s">
        <v>153</v>
      </c>
      <c r="B6" s="50" t="s">
        <v>154</v>
      </c>
      <c r="C6" s="16" t="s">
        <v>364</v>
      </c>
      <c r="D6" s="16"/>
    </row>
    <row r="7" spans="1:18" x14ac:dyDescent="0.2">
      <c r="A7" s="50" t="s">
        <v>173</v>
      </c>
      <c r="B7" s="50" t="s">
        <v>174</v>
      </c>
      <c r="C7" s="16" t="s">
        <v>364</v>
      </c>
      <c r="D7" s="16"/>
    </row>
    <row r="8" spans="1:18" ht="89.25" x14ac:dyDescent="0.2">
      <c r="A8" s="50" t="s">
        <v>155</v>
      </c>
      <c r="B8" s="31" t="s">
        <v>157</v>
      </c>
      <c r="C8" s="16" t="s">
        <v>365</v>
      </c>
      <c r="D8" s="16"/>
    </row>
    <row r="9" spans="1:18" x14ac:dyDescent="0.2">
      <c r="A9" s="50" t="s">
        <v>158</v>
      </c>
      <c r="B9" s="50" t="s">
        <v>159</v>
      </c>
      <c r="C9" s="16" t="s">
        <v>364</v>
      </c>
      <c r="D9" s="16"/>
    </row>
    <row r="10" spans="1:18" x14ac:dyDescent="0.2">
      <c r="A10" s="50" t="s">
        <v>160</v>
      </c>
      <c r="B10" s="16"/>
      <c r="C10" s="16" t="s">
        <v>365</v>
      </c>
      <c r="D10" s="16"/>
    </row>
    <row r="11" spans="1:18" x14ac:dyDescent="0.2">
      <c r="A11" s="50" t="s">
        <v>161</v>
      </c>
      <c r="B11" s="50" t="s">
        <v>162</v>
      </c>
      <c r="C11" s="16" t="s">
        <v>365</v>
      </c>
      <c r="D11" s="16"/>
    </row>
    <row r="12" spans="1:18" x14ac:dyDescent="0.2">
      <c r="A12" s="50" t="s">
        <v>163</v>
      </c>
      <c r="B12" s="50" t="s">
        <v>164</v>
      </c>
      <c r="C12" s="16" t="s">
        <v>364</v>
      </c>
      <c r="D12" s="16"/>
    </row>
    <row r="13" spans="1:18" x14ac:dyDescent="0.2">
      <c r="A13" s="50" t="s">
        <v>165</v>
      </c>
      <c r="B13" s="50" t="s">
        <v>166</v>
      </c>
      <c r="C13" s="16" t="s">
        <v>364</v>
      </c>
      <c r="D13" s="16"/>
    </row>
    <row r="14" spans="1:18" x14ac:dyDescent="0.2">
      <c r="A14" s="50" t="s">
        <v>167</v>
      </c>
      <c r="B14" s="50" t="s">
        <v>168</v>
      </c>
      <c r="C14" s="16" t="s">
        <v>364</v>
      </c>
      <c r="D14" s="16"/>
    </row>
    <row r="15" spans="1:18" x14ac:dyDescent="0.2">
      <c r="A15" s="50" t="s">
        <v>169</v>
      </c>
      <c r="B15" s="50" t="s">
        <v>170</v>
      </c>
      <c r="C15" s="16" t="s">
        <v>364</v>
      </c>
      <c r="D15" s="16"/>
    </row>
    <row r="16" spans="1:18" x14ac:dyDescent="0.2">
      <c r="A16" s="50" t="s">
        <v>171</v>
      </c>
      <c r="B16" s="50" t="s">
        <v>172</v>
      </c>
      <c r="C16" s="16" t="s">
        <v>364</v>
      </c>
      <c r="D16" s="16"/>
    </row>
    <row r="17" spans="1:4" x14ac:dyDescent="0.2">
      <c r="A17" s="50" t="s">
        <v>175</v>
      </c>
      <c r="B17" s="50" t="s">
        <v>176</v>
      </c>
      <c r="C17" s="16" t="s">
        <v>364</v>
      </c>
      <c r="D17" s="16"/>
    </row>
    <row r="18" spans="1:4" x14ac:dyDescent="0.2">
      <c r="A18" s="70" t="s">
        <v>221</v>
      </c>
      <c r="B18" s="70" t="s">
        <v>222</v>
      </c>
      <c r="C18" s="16" t="s">
        <v>364</v>
      </c>
      <c r="D18" s="16"/>
    </row>
    <row r="19" spans="1:4" x14ac:dyDescent="0.2">
      <c r="A19" s="70" t="s">
        <v>241</v>
      </c>
      <c r="B19" s="50" t="s">
        <v>242</v>
      </c>
      <c r="C19" s="16" t="s">
        <v>364</v>
      </c>
      <c r="D19" s="16"/>
    </row>
  </sheetData>
  <mergeCells count="1">
    <mergeCell ref="A1:D1"/>
  </mergeCells>
  <dataValidations count="1">
    <dataValidation type="list" allowBlank="1" showInputMessage="1" showErrorMessage="1" sqref="C5:C19">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C17"/>
  <sheetViews>
    <sheetView workbookViewId="0">
      <selection activeCell="C16" sqref="C16"/>
    </sheetView>
  </sheetViews>
  <sheetFormatPr defaultRowHeight="12.75" x14ac:dyDescent="0.2"/>
  <cols>
    <col min="1" max="1" width="55.28515625" customWidth="1"/>
    <col min="2" max="2" width="70.7109375" customWidth="1"/>
    <col min="3" max="3" width="26.5703125" customWidth="1"/>
  </cols>
  <sheetData>
    <row r="1" spans="1:3" x14ac:dyDescent="0.2">
      <c r="A1" s="82" t="s">
        <v>227</v>
      </c>
      <c r="B1" s="83" t="s">
        <v>228</v>
      </c>
    </row>
    <row r="2" spans="1:3" x14ac:dyDescent="0.2">
      <c r="A2" s="84" t="s">
        <v>229</v>
      </c>
      <c r="B2" s="85" t="str">
        <f>PPRD</f>
        <v>Jul, 2018</v>
      </c>
      <c r="C2" s="69"/>
    </row>
    <row r="3" spans="1:3" x14ac:dyDescent="0.2">
      <c r="A3" s="84" t="s">
        <v>233</v>
      </c>
      <c r="B3" s="86" t="str">
        <f>CRNIRN</f>
        <v>CHG131815</v>
      </c>
      <c r="C3" s="69"/>
    </row>
    <row r="4" spans="1:3" x14ac:dyDescent="0.2">
      <c r="A4" s="84" t="s">
        <v>94</v>
      </c>
      <c r="B4" s="86" t="str">
        <f>MA</f>
        <v>CA</v>
      </c>
      <c r="C4" s="69"/>
    </row>
    <row r="5" spans="1:3" x14ac:dyDescent="0.2">
      <c r="A5" s="84" t="s">
        <v>230</v>
      </c>
      <c r="B5" s="86" t="s">
        <v>231</v>
      </c>
    </row>
    <row r="6" spans="1:3" x14ac:dyDescent="0.2">
      <c r="A6" s="84" t="s">
        <v>232</v>
      </c>
      <c r="B6" s="88" t="s">
        <v>234</v>
      </c>
    </row>
    <row r="7" spans="1:3" x14ac:dyDescent="0.2">
      <c r="A7" s="84" t="s">
        <v>236</v>
      </c>
      <c r="B7" s="91">
        <f>DevDReviewed</f>
        <v>43168</v>
      </c>
      <c r="C7" s="69"/>
    </row>
    <row r="8" spans="1:3" x14ac:dyDescent="0.2">
      <c r="A8" s="84" t="s">
        <v>240</v>
      </c>
      <c r="B8" s="88" t="str">
        <f>DevNameReviewed</f>
        <v>VikramSeeburn</v>
      </c>
      <c r="C8" s="69"/>
    </row>
    <row r="9" spans="1:3" x14ac:dyDescent="0.2">
      <c r="A9" s="84" t="s">
        <v>235</v>
      </c>
      <c r="B9" s="87">
        <f>DateReviewed</f>
        <v>43172</v>
      </c>
      <c r="C9" s="69"/>
    </row>
    <row r="10" spans="1:3" x14ac:dyDescent="0.2">
      <c r="A10" s="84" t="s">
        <v>239</v>
      </c>
      <c r="B10" s="88" t="str">
        <f>ReviewedBy</f>
        <v>JonathanL'etourdi</v>
      </c>
      <c r="C10" s="69"/>
    </row>
    <row r="17" spans="3:3" x14ac:dyDescent="0.2">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24"/>
  <sheetViews>
    <sheetView workbookViewId="0">
      <selection activeCell="D5" sqref="D5"/>
    </sheetView>
  </sheetViews>
  <sheetFormatPr defaultRowHeight="12.75" x14ac:dyDescent="0.2"/>
  <cols>
    <col min="1" max="1" width="19.42578125" style="71" customWidth="1"/>
    <col min="2" max="2" width="42.5703125" style="71" customWidth="1"/>
    <col min="3" max="3" width="50.85546875" style="71" customWidth="1"/>
    <col min="4" max="4" width="27.42578125" style="71" customWidth="1"/>
    <col min="5" max="5" width="32.28515625" style="71" customWidth="1"/>
    <col min="6" max="16384" width="9.140625" style="71"/>
  </cols>
  <sheetData>
    <row r="1" spans="1:5" ht="13.5" thickBot="1" x14ac:dyDescent="0.25">
      <c r="A1" s="149" t="s">
        <v>46</v>
      </c>
      <c r="B1" s="150"/>
      <c r="C1" s="150"/>
      <c r="D1" s="152"/>
    </row>
    <row r="2" spans="1:5" x14ac:dyDescent="0.2">
      <c r="B2" s="17" t="s">
        <v>47</v>
      </c>
      <c r="C2" s="17" t="s">
        <v>141</v>
      </c>
      <c r="D2" s="17" t="s">
        <v>142</v>
      </c>
      <c r="E2" s="72"/>
    </row>
    <row r="3" spans="1:5" ht="38.25" x14ac:dyDescent="0.2">
      <c r="B3" s="73" t="s">
        <v>45</v>
      </c>
      <c r="C3" s="74" t="s">
        <v>53</v>
      </c>
      <c r="D3" s="75" t="str">
        <f>IF(ISBLANK('1.0 DB Schema'!B52)=FALSE,"Impacted","Not Impacted")</f>
        <v>Impacted</v>
      </c>
      <c r="E3" s="76"/>
    </row>
    <row r="4" spans="1:5" ht="25.5" x14ac:dyDescent="0.2">
      <c r="B4" s="73" t="s">
        <v>48</v>
      </c>
      <c r="C4" s="74" t="s">
        <v>54</v>
      </c>
      <c r="D4" s="75" t="str">
        <f>IF(ISBLANK('2.0 Ifb &amp; PHP'!B40)=FALSE,"Impacted","Not Impacted")</f>
        <v>Impacted</v>
      </c>
      <c r="E4" s="76"/>
    </row>
    <row r="5" spans="1:5" ht="38.25" x14ac:dyDescent="0.2">
      <c r="B5" s="73" t="s">
        <v>49</v>
      </c>
      <c r="C5" s="74" t="s">
        <v>55</v>
      </c>
      <c r="D5" s="75" t="str">
        <f>IF(ISBLANK('3.0 Mapping'!B9)=FALSE,"Impacted","Not Impacted")</f>
        <v>Impacted</v>
      </c>
      <c r="E5" s="76"/>
    </row>
    <row r="6" spans="1:5" ht="25.5" x14ac:dyDescent="0.2">
      <c r="B6" s="73" t="s">
        <v>50</v>
      </c>
      <c r="C6" s="74" t="s">
        <v>56</v>
      </c>
      <c r="D6" s="75" t="str">
        <f>IF(ISBLANK('4.0 Worklet &amp; workflow'!B17)=FALSE,"Impacted","Not Impacted")</f>
        <v>Not Impacted</v>
      </c>
      <c r="E6" s="76"/>
    </row>
    <row r="7" spans="1:5" ht="25.5" x14ac:dyDescent="0.2">
      <c r="B7" s="73" t="s">
        <v>34</v>
      </c>
      <c r="C7" s="74" t="s">
        <v>57</v>
      </c>
      <c r="D7" s="75" t="str">
        <f>IF(ISBLANK('5.0 Stored Procedure'!B10)=FALSE,"Impacted","Not Impacted")</f>
        <v>Not Impacted</v>
      </c>
      <c r="E7" s="76"/>
    </row>
    <row r="8" spans="1:5" ht="25.5" x14ac:dyDescent="0.2">
      <c r="B8" s="73" t="s">
        <v>43</v>
      </c>
      <c r="C8" s="74" t="s">
        <v>58</v>
      </c>
      <c r="D8" s="75" t="str">
        <f>IF(ISBLANK('6.0 Data Update'!E5)=FALSE,"Impacted","Not Impacted")</f>
        <v>Not Impacted</v>
      </c>
      <c r="E8" s="76"/>
    </row>
    <row r="10" spans="1:5" ht="13.5" thickBot="1" x14ac:dyDescent="0.25"/>
    <row r="11" spans="1:5" ht="13.5" thickBot="1" x14ac:dyDescent="0.25">
      <c r="B11" s="20" t="s">
        <v>218</v>
      </c>
    </row>
    <row r="12" spans="1:5" x14ac:dyDescent="0.2">
      <c r="B12" s="17" t="s">
        <v>182</v>
      </c>
      <c r="C12" s="17" t="s">
        <v>194</v>
      </c>
      <c r="D12" s="17" t="s">
        <v>217</v>
      </c>
    </row>
    <row r="13" spans="1:5" x14ac:dyDescent="0.2">
      <c r="B13" s="75" t="s">
        <v>183</v>
      </c>
      <c r="C13" s="75" t="s">
        <v>210</v>
      </c>
      <c r="D13" s="77" t="s">
        <v>205</v>
      </c>
    </row>
    <row r="14" spans="1:5" x14ac:dyDescent="0.2">
      <c r="B14" s="75" t="s">
        <v>184</v>
      </c>
      <c r="C14" s="77" t="s">
        <v>214</v>
      </c>
      <c r="D14" s="75" t="s">
        <v>195</v>
      </c>
    </row>
    <row r="15" spans="1:5" x14ac:dyDescent="0.2">
      <c r="B15" s="75" t="s">
        <v>185</v>
      </c>
      <c r="C15" s="75" t="s">
        <v>208</v>
      </c>
      <c r="D15" s="75" t="s">
        <v>196</v>
      </c>
    </row>
    <row r="16" spans="1:5" x14ac:dyDescent="0.2">
      <c r="B16" s="75" t="s">
        <v>186</v>
      </c>
      <c r="C16" s="75" t="s">
        <v>209</v>
      </c>
      <c r="D16" s="75" t="s">
        <v>197</v>
      </c>
    </row>
    <row r="17" spans="2:4" x14ac:dyDescent="0.2">
      <c r="B17" s="75" t="s">
        <v>187</v>
      </c>
      <c r="C17" s="77" t="s">
        <v>207</v>
      </c>
      <c r="D17" s="75" t="s">
        <v>198</v>
      </c>
    </row>
    <row r="18" spans="2:4" x14ac:dyDescent="0.2">
      <c r="B18" s="75" t="s">
        <v>188</v>
      </c>
      <c r="C18" s="75" t="s">
        <v>211</v>
      </c>
      <c r="D18" s="75" t="s">
        <v>199</v>
      </c>
    </row>
    <row r="19" spans="2:4" x14ac:dyDescent="0.2">
      <c r="B19" s="75" t="s">
        <v>189</v>
      </c>
      <c r="C19" s="75" t="s">
        <v>212</v>
      </c>
      <c r="D19" s="75" t="s">
        <v>200</v>
      </c>
    </row>
    <row r="20" spans="2:4" x14ac:dyDescent="0.2">
      <c r="B20" s="75" t="s">
        <v>190</v>
      </c>
      <c r="C20" s="77" t="s">
        <v>215</v>
      </c>
      <c r="D20" s="75" t="s">
        <v>201</v>
      </c>
    </row>
    <row r="21" spans="2:4" x14ac:dyDescent="0.2">
      <c r="B21" s="75" t="s">
        <v>191</v>
      </c>
      <c r="C21" s="77" t="s">
        <v>213</v>
      </c>
      <c r="D21" s="75" t="s">
        <v>204</v>
      </c>
    </row>
    <row r="22" spans="2:4" x14ac:dyDescent="0.2">
      <c r="B22" s="75" t="s">
        <v>192</v>
      </c>
      <c r="C22" s="77" t="s">
        <v>216</v>
      </c>
      <c r="D22" s="75" t="s">
        <v>202</v>
      </c>
    </row>
    <row r="23" spans="2:4" x14ac:dyDescent="0.2">
      <c r="B23" s="75" t="s">
        <v>193</v>
      </c>
      <c r="C23" s="75" t="s">
        <v>206</v>
      </c>
      <c r="D23" s="75" t="s">
        <v>203</v>
      </c>
    </row>
    <row r="24" spans="2:4" x14ac:dyDescent="0.2">
      <c r="B24" s="75" t="s">
        <v>179</v>
      </c>
      <c r="C24" s="75"/>
      <c r="D24" s="75"/>
    </row>
  </sheetData>
  <mergeCells count="1">
    <mergeCell ref="A1:D1"/>
  </mergeCells>
  <phoneticPr fontId="2" type="noConversion"/>
  <hyperlinks>
    <hyperlink ref="B3" location="'1.0 DB Schema'!A1" display="DB Schema"/>
    <hyperlink ref="B4" location="'2.0 Ifb &amp; PHP'!A1" display="Ifb &amp; PHP"/>
    <hyperlink ref="B5" location="'3.0 Mapping'!A1" display="Mapping"/>
    <hyperlink ref="B6" location="'4.0 Worklet &amp; workflow'!A1" display="Worklet &amp; worflow"/>
    <hyperlink ref="B7" location="'5.0 Stored Procedure'!A1" display="Stored Procedure"/>
    <hyperlink ref="B8" location="'6.0 Data Update'!A1" display="Data Update"/>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52"/>
  <sheetViews>
    <sheetView workbookViewId="0">
      <selection activeCell="A7" sqref="A7"/>
    </sheetView>
  </sheetViews>
  <sheetFormatPr defaultRowHeight="12.75" x14ac:dyDescent="0.2"/>
  <cols>
    <col min="1" max="1" width="31.85546875" bestFit="1" customWidth="1"/>
    <col min="2" max="2" width="30.85546875" bestFit="1" customWidth="1"/>
    <col min="3" max="3" width="43.140625" bestFit="1" customWidth="1"/>
    <col min="4" max="4" width="25" bestFit="1" customWidth="1"/>
    <col min="5" max="5" width="20.5703125" bestFit="1" customWidth="1"/>
    <col min="6" max="6" width="38.7109375" bestFit="1" customWidth="1"/>
    <col min="10" max="10" width="18.85546875" bestFit="1" customWidth="1"/>
    <col min="11" max="11" width="26.5703125" bestFit="1" customWidth="1"/>
    <col min="25" max="25" width="20" customWidth="1"/>
  </cols>
  <sheetData>
    <row r="1" spans="1:24" ht="13.5" thickBot="1" x14ac:dyDescent="0.25">
      <c r="A1" s="149" t="s">
        <v>20</v>
      </c>
      <c r="B1" s="150"/>
      <c r="C1" s="151"/>
    </row>
    <row r="2" spans="1:24" ht="15.75" thickBot="1" x14ac:dyDescent="0.3">
      <c r="E2" s="94" t="s">
        <v>91</v>
      </c>
      <c r="F2" s="45"/>
      <c r="G2" s="45"/>
      <c r="H2" s="45"/>
      <c r="I2" s="45"/>
      <c r="J2" s="45"/>
      <c r="K2" s="45"/>
      <c r="W2" s="69"/>
    </row>
    <row r="3" spans="1:24" ht="13.5" thickBot="1" x14ac:dyDescent="0.25">
      <c r="A3" s="20" t="s">
        <v>51</v>
      </c>
      <c r="B3" s="18"/>
      <c r="C3" s="18"/>
      <c r="E3" s="46" t="s">
        <v>92</v>
      </c>
      <c r="F3" s="45"/>
      <c r="G3" s="45"/>
      <c r="H3" s="45"/>
      <c r="I3" s="45"/>
      <c r="J3" s="45"/>
      <c r="K3" s="45"/>
      <c r="X3" s="69"/>
    </row>
    <row r="4" spans="1:24" x14ac:dyDescent="0.2">
      <c r="A4" s="19" t="s">
        <v>21</v>
      </c>
      <c r="B4" s="17" t="s">
        <v>36</v>
      </c>
      <c r="C4" s="17" t="s">
        <v>31</v>
      </c>
      <c r="E4" s="46" t="s">
        <v>133</v>
      </c>
      <c r="F4" s="46"/>
      <c r="G4" s="46"/>
      <c r="H4" s="46"/>
      <c r="I4" s="46"/>
      <c r="J4" s="45"/>
      <c r="K4" s="45"/>
    </row>
    <row r="5" spans="1:24" x14ac:dyDescent="0.2">
      <c r="A5" s="98" t="s">
        <v>318</v>
      </c>
      <c r="B5" s="98" t="s">
        <v>255</v>
      </c>
      <c r="C5" s="98" t="s">
        <v>342</v>
      </c>
      <c r="E5" s="46" t="s">
        <v>93</v>
      </c>
      <c r="F5" s="46"/>
      <c r="G5" s="46"/>
      <c r="H5" s="46"/>
      <c r="I5" s="46"/>
      <c r="J5" s="45"/>
      <c r="K5" s="45"/>
    </row>
    <row r="6" spans="1:24" x14ac:dyDescent="0.2">
      <c r="A6" s="16" t="s">
        <v>353</v>
      </c>
      <c r="B6" s="16"/>
      <c r="C6" s="25" t="s">
        <v>354</v>
      </c>
      <c r="E6" s="93" t="s">
        <v>243</v>
      </c>
      <c r="F6" s="45"/>
      <c r="G6" s="45"/>
      <c r="H6" s="45"/>
      <c r="I6" s="45"/>
      <c r="J6" s="45"/>
      <c r="K6" s="45"/>
      <c r="X6" s="69"/>
    </row>
    <row r="7" spans="1:24" ht="38.25" x14ac:dyDescent="0.2">
      <c r="A7" s="16" t="s">
        <v>345</v>
      </c>
      <c r="B7" s="16" t="s">
        <v>347</v>
      </c>
      <c r="C7" s="25" t="s">
        <v>346</v>
      </c>
    </row>
    <row r="8" spans="1:24" ht="13.5" thickBot="1" x14ac:dyDescent="0.25">
      <c r="X8" s="69"/>
    </row>
    <row r="9" spans="1:24" ht="13.5" thickBot="1" x14ac:dyDescent="0.25">
      <c r="A9" s="20" t="s">
        <v>52</v>
      </c>
      <c r="X9" s="69"/>
    </row>
    <row r="10" spans="1:24" x14ac:dyDescent="0.2">
      <c r="A10" s="19" t="s">
        <v>21</v>
      </c>
      <c r="B10" s="17" t="s">
        <v>22</v>
      </c>
      <c r="C10" s="17" t="s">
        <v>23</v>
      </c>
      <c r="D10" s="17" t="s">
        <v>36</v>
      </c>
      <c r="E10" s="17" t="s">
        <v>90</v>
      </c>
      <c r="F10" s="17" t="s">
        <v>31</v>
      </c>
      <c r="X10" s="69"/>
    </row>
    <row r="11" spans="1:24" x14ac:dyDescent="0.2">
      <c r="A11" s="98" t="s">
        <v>318</v>
      </c>
      <c r="B11" s="98" t="s">
        <v>293</v>
      </c>
      <c r="C11" s="98" t="s">
        <v>312</v>
      </c>
      <c r="D11" s="98" t="s">
        <v>255</v>
      </c>
      <c r="E11" s="40"/>
      <c r="F11" s="50" t="s">
        <v>355</v>
      </c>
    </row>
    <row r="12" spans="1:24" x14ac:dyDescent="0.2">
      <c r="A12" s="98" t="s">
        <v>318</v>
      </c>
      <c r="B12" s="98" t="s">
        <v>294</v>
      </c>
      <c r="C12" s="98" t="s">
        <v>313</v>
      </c>
      <c r="D12" s="98" t="s">
        <v>255</v>
      </c>
      <c r="E12" s="40"/>
      <c r="F12" s="50" t="s">
        <v>355</v>
      </c>
    </row>
    <row r="13" spans="1:24" x14ac:dyDescent="0.2">
      <c r="A13" s="98" t="s">
        <v>318</v>
      </c>
      <c r="B13" s="98" t="s">
        <v>295</v>
      </c>
      <c r="C13" s="98" t="s">
        <v>314</v>
      </c>
      <c r="D13" s="98" t="s">
        <v>255</v>
      </c>
      <c r="E13" s="40"/>
      <c r="F13" s="50" t="s">
        <v>355</v>
      </c>
    </row>
    <row r="14" spans="1:24" x14ac:dyDescent="0.2">
      <c r="A14" s="98" t="s">
        <v>318</v>
      </c>
      <c r="B14" s="98" t="s">
        <v>296</v>
      </c>
      <c r="C14" s="98" t="s">
        <v>314</v>
      </c>
      <c r="D14" s="98" t="s">
        <v>255</v>
      </c>
      <c r="E14" s="40"/>
      <c r="F14" s="50" t="s">
        <v>355</v>
      </c>
    </row>
    <row r="15" spans="1:24" x14ac:dyDescent="0.2">
      <c r="A15" s="98" t="s">
        <v>318</v>
      </c>
      <c r="B15" s="98" t="s">
        <v>297</v>
      </c>
      <c r="C15" s="98" t="s">
        <v>312</v>
      </c>
      <c r="D15" s="98" t="s">
        <v>255</v>
      </c>
      <c r="E15" s="40"/>
      <c r="F15" s="50" t="s">
        <v>355</v>
      </c>
    </row>
    <row r="16" spans="1:24" x14ac:dyDescent="0.2">
      <c r="A16" s="98" t="s">
        <v>318</v>
      </c>
      <c r="B16" s="98" t="s">
        <v>298</v>
      </c>
      <c r="C16" s="98" t="s">
        <v>315</v>
      </c>
      <c r="D16" s="98" t="s">
        <v>255</v>
      </c>
      <c r="E16" s="40"/>
      <c r="F16" s="50" t="s">
        <v>355</v>
      </c>
    </row>
    <row r="17" spans="1:6" x14ac:dyDescent="0.2">
      <c r="A17" s="98" t="s">
        <v>318</v>
      </c>
      <c r="B17" s="98" t="s">
        <v>299</v>
      </c>
      <c r="C17" s="98" t="s">
        <v>315</v>
      </c>
      <c r="D17" s="98" t="s">
        <v>255</v>
      </c>
      <c r="E17" s="40"/>
      <c r="F17" s="50" t="s">
        <v>355</v>
      </c>
    </row>
    <row r="18" spans="1:6" x14ac:dyDescent="0.2">
      <c r="A18" s="98" t="s">
        <v>318</v>
      </c>
      <c r="B18" s="98" t="s">
        <v>300</v>
      </c>
      <c r="C18" s="98" t="s">
        <v>312</v>
      </c>
      <c r="D18" s="98" t="s">
        <v>255</v>
      </c>
      <c r="E18" s="40"/>
      <c r="F18" s="50" t="s">
        <v>355</v>
      </c>
    </row>
    <row r="19" spans="1:6" x14ac:dyDescent="0.2">
      <c r="A19" s="98" t="s">
        <v>318</v>
      </c>
      <c r="B19" s="98" t="s">
        <v>301</v>
      </c>
      <c r="C19" s="98" t="s">
        <v>313</v>
      </c>
      <c r="D19" s="98" t="s">
        <v>255</v>
      </c>
      <c r="E19" s="40"/>
      <c r="F19" s="50" t="s">
        <v>355</v>
      </c>
    </row>
    <row r="20" spans="1:6" x14ac:dyDescent="0.2">
      <c r="A20" s="98" t="s">
        <v>318</v>
      </c>
      <c r="B20" s="98" t="s">
        <v>302</v>
      </c>
      <c r="C20" s="98" t="s">
        <v>313</v>
      </c>
      <c r="D20" s="98" t="s">
        <v>255</v>
      </c>
      <c r="E20" s="40"/>
      <c r="F20" s="50" t="s">
        <v>355</v>
      </c>
    </row>
    <row r="21" spans="1:6" x14ac:dyDescent="0.2">
      <c r="A21" s="98" t="s">
        <v>318</v>
      </c>
      <c r="B21" s="98" t="s">
        <v>303</v>
      </c>
      <c r="C21" s="98" t="s">
        <v>312</v>
      </c>
      <c r="D21" s="98" t="s">
        <v>255</v>
      </c>
      <c r="E21" s="40"/>
      <c r="F21" s="50" t="s">
        <v>355</v>
      </c>
    </row>
    <row r="22" spans="1:6" x14ac:dyDescent="0.2">
      <c r="A22" s="98" t="s">
        <v>318</v>
      </c>
      <c r="B22" s="98" t="s">
        <v>304</v>
      </c>
      <c r="C22" s="98" t="s">
        <v>312</v>
      </c>
      <c r="D22" s="98" t="s">
        <v>255</v>
      </c>
      <c r="E22" s="40"/>
      <c r="F22" s="50" t="s">
        <v>355</v>
      </c>
    </row>
    <row r="23" spans="1:6" x14ac:dyDescent="0.2">
      <c r="A23" s="98" t="s">
        <v>318</v>
      </c>
      <c r="B23" s="98" t="s">
        <v>305</v>
      </c>
      <c r="C23" s="98" t="s">
        <v>315</v>
      </c>
      <c r="D23" s="98" t="s">
        <v>255</v>
      </c>
      <c r="E23" s="40"/>
      <c r="F23" s="50" t="s">
        <v>355</v>
      </c>
    </row>
    <row r="24" spans="1:6" x14ac:dyDescent="0.2">
      <c r="A24" s="98" t="s">
        <v>318</v>
      </c>
      <c r="B24" s="98" t="s">
        <v>306</v>
      </c>
      <c r="C24" s="98" t="s">
        <v>315</v>
      </c>
      <c r="D24" s="98" t="s">
        <v>255</v>
      </c>
      <c r="E24" s="40"/>
      <c r="F24" s="50" t="s">
        <v>355</v>
      </c>
    </row>
    <row r="25" spans="1:6" x14ac:dyDescent="0.2">
      <c r="A25" s="98" t="s">
        <v>318</v>
      </c>
      <c r="B25" s="98" t="s">
        <v>307</v>
      </c>
      <c r="C25" s="98" t="s">
        <v>315</v>
      </c>
      <c r="D25" s="98" t="s">
        <v>255</v>
      </c>
      <c r="E25" s="40"/>
      <c r="F25" s="50" t="s">
        <v>355</v>
      </c>
    </row>
    <row r="26" spans="1:6" x14ac:dyDescent="0.2">
      <c r="A26" s="98" t="s">
        <v>318</v>
      </c>
      <c r="B26" s="98" t="s">
        <v>308</v>
      </c>
      <c r="C26" s="98" t="s">
        <v>316</v>
      </c>
      <c r="D26" s="98" t="s">
        <v>255</v>
      </c>
      <c r="E26" s="40"/>
      <c r="F26" s="50" t="s">
        <v>355</v>
      </c>
    </row>
    <row r="27" spans="1:6" x14ac:dyDescent="0.2">
      <c r="A27" s="98" t="s">
        <v>318</v>
      </c>
      <c r="B27" s="98" t="s">
        <v>309</v>
      </c>
      <c r="C27" s="98" t="s">
        <v>312</v>
      </c>
      <c r="D27" s="98" t="s">
        <v>255</v>
      </c>
      <c r="E27" s="40"/>
      <c r="F27" s="50" t="s">
        <v>355</v>
      </c>
    </row>
    <row r="28" spans="1:6" x14ac:dyDescent="0.2">
      <c r="A28" s="98" t="s">
        <v>318</v>
      </c>
      <c r="B28" s="98" t="s">
        <v>310</v>
      </c>
      <c r="C28" s="98" t="s">
        <v>314</v>
      </c>
      <c r="D28" s="98" t="s">
        <v>255</v>
      </c>
      <c r="E28" s="40"/>
      <c r="F28" s="50" t="s">
        <v>355</v>
      </c>
    </row>
    <row r="29" spans="1:6" x14ac:dyDescent="0.2">
      <c r="A29" s="98" t="s">
        <v>318</v>
      </c>
      <c r="B29" s="98" t="s">
        <v>311</v>
      </c>
      <c r="C29" s="98" t="s">
        <v>312</v>
      </c>
      <c r="D29" s="98" t="s">
        <v>255</v>
      </c>
      <c r="E29" s="40"/>
      <c r="F29" s="50" t="s">
        <v>355</v>
      </c>
    </row>
    <row r="30" spans="1:6" x14ac:dyDescent="0.2">
      <c r="A30" s="98" t="s">
        <v>318</v>
      </c>
      <c r="B30" s="98" t="s">
        <v>257</v>
      </c>
      <c r="C30" s="98" t="s">
        <v>256</v>
      </c>
      <c r="D30" s="98" t="s">
        <v>255</v>
      </c>
      <c r="E30" s="40"/>
      <c r="F30" s="50" t="s">
        <v>341</v>
      </c>
    </row>
    <row r="31" spans="1:6" x14ac:dyDescent="0.2">
      <c r="A31" s="98" t="s">
        <v>318</v>
      </c>
      <c r="B31" s="98" t="s">
        <v>258</v>
      </c>
      <c r="C31" s="98" t="s">
        <v>256</v>
      </c>
      <c r="D31" s="98" t="s">
        <v>255</v>
      </c>
      <c r="E31" s="40"/>
      <c r="F31" s="50" t="s">
        <v>341</v>
      </c>
    </row>
    <row r="32" spans="1:6" x14ac:dyDescent="0.2">
      <c r="A32" s="98"/>
      <c r="B32" s="98"/>
      <c r="C32" s="98"/>
      <c r="D32" s="98"/>
      <c r="E32" s="40"/>
      <c r="F32" s="40"/>
    </row>
    <row r="33" spans="1:27" x14ac:dyDescent="0.2">
      <c r="A33" s="98" t="s">
        <v>353</v>
      </c>
      <c r="B33" s="98" t="s">
        <v>257</v>
      </c>
      <c r="C33" s="98" t="s">
        <v>256</v>
      </c>
      <c r="D33" s="98" t="s">
        <v>255</v>
      </c>
      <c r="E33" s="40"/>
      <c r="F33" s="50" t="s">
        <v>341</v>
      </c>
      <c r="G33" s="107" t="s">
        <v>372</v>
      </c>
    </row>
    <row r="34" spans="1:27" x14ac:dyDescent="0.2">
      <c r="A34" s="98" t="s">
        <v>353</v>
      </c>
      <c r="B34" s="98" t="s">
        <v>258</v>
      </c>
      <c r="C34" s="98" t="s">
        <v>256</v>
      </c>
      <c r="D34" s="98" t="s">
        <v>255</v>
      </c>
      <c r="E34" s="40"/>
      <c r="F34" s="50" t="s">
        <v>341</v>
      </c>
      <c r="G34" s="107" t="s">
        <v>372</v>
      </c>
    </row>
    <row r="35" spans="1:27" x14ac:dyDescent="0.2">
      <c r="A35" s="98"/>
      <c r="B35" s="98"/>
      <c r="C35" s="98"/>
      <c r="D35" s="98"/>
      <c r="E35" s="40"/>
      <c r="F35" s="40"/>
    </row>
    <row r="36" spans="1:27" x14ac:dyDescent="0.2">
      <c r="A36" s="98"/>
      <c r="B36" s="98"/>
      <c r="C36" s="98"/>
      <c r="D36" s="98"/>
      <c r="E36" s="40"/>
      <c r="F36" s="40"/>
    </row>
    <row r="37" spans="1:27" x14ac:dyDescent="0.2">
      <c r="A37" s="40"/>
      <c r="B37" s="40"/>
      <c r="C37" s="40"/>
      <c r="D37" s="40"/>
      <c r="E37" s="40"/>
      <c r="F37" s="40"/>
    </row>
    <row r="38" spans="1:27" x14ac:dyDescent="0.2">
      <c r="A38" s="40"/>
      <c r="B38" s="40"/>
      <c r="C38" s="40"/>
      <c r="D38" s="40"/>
      <c r="E38" s="40"/>
      <c r="F38" s="40"/>
    </row>
    <row r="39" spans="1:27" x14ac:dyDescent="0.2">
      <c r="A39" s="16"/>
      <c r="B39" s="16"/>
      <c r="C39" s="16"/>
      <c r="D39" s="16"/>
      <c r="E39" s="16"/>
      <c r="F39" s="16"/>
    </row>
    <row r="40" spans="1:27" ht="13.5" thickBot="1" x14ac:dyDescent="0.25">
      <c r="A40" s="32"/>
      <c r="B40" s="32"/>
      <c r="C40" s="32"/>
      <c r="D40" s="32"/>
      <c r="E40" s="32"/>
      <c r="F40" s="32"/>
    </row>
    <row r="41" spans="1:27" ht="13.5" thickBot="1" x14ac:dyDescent="0.25">
      <c r="A41" s="20" t="s">
        <v>85</v>
      </c>
      <c r="D41" s="32"/>
      <c r="E41" s="32"/>
      <c r="F41" s="32"/>
    </row>
    <row r="42" spans="1:27" x14ac:dyDescent="0.2">
      <c r="A42" s="19" t="s">
        <v>86</v>
      </c>
      <c r="B42" s="17" t="s">
        <v>87</v>
      </c>
      <c r="C42" s="17" t="s">
        <v>88</v>
      </c>
      <c r="D42" s="17" t="s">
        <v>89</v>
      </c>
      <c r="E42" s="32"/>
      <c r="F42" s="32"/>
    </row>
    <row r="43" spans="1:27" x14ac:dyDescent="0.2">
      <c r="A43" s="40"/>
      <c r="B43" s="40"/>
      <c r="C43" s="40"/>
      <c r="D43" s="16"/>
      <c r="E43" s="32"/>
      <c r="F43" s="32"/>
      <c r="AA43" s="69"/>
    </row>
    <row r="44" spans="1:27" x14ac:dyDescent="0.2">
      <c r="A44" s="40"/>
      <c r="B44" s="40"/>
      <c r="C44" s="40"/>
      <c r="D44" s="16"/>
      <c r="E44" s="32"/>
      <c r="F44" s="32"/>
      <c r="AA44" s="69"/>
    </row>
    <row r="45" spans="1:27" x14ac:dyDescent="0.2">
      <c r="A45" s="40"/>
      <c r="B45" s="40"/>
      <c r="C45" s="40"/>
      <c r="D45" s="16"/>
      <c r="E45" s="32"/>
      <c r="F45" s="32"/>
    </row>
    <row r="46" spans="1:27" ht="13.5" thickBot="1" x14ac:dyDescent="0.25">
      <c r="A46" s="68"/>
      <c r="B46" s="68"/>
      <c r="C46" s="68"/>
      <c r="D46" s="32"/>
      <c r="E46" s="32"/>
      <c r="F46" s="32"/>
    </row>
    <row r="47" spans="1:27" ht="13.5" thickBot="1" x14ac:dyDescent="0.25">
      <c r="A47" s="20" t="s">
        <v>219</v>
      </c>
      <c r="B47" s="68"/>
      <c r="C47" s="68"/>
      <c r="D47" s="32"/>
      <c r="E47" s="32"/>
      <c r="F47" s="32"/>
    </row>
    <row r="48" spans="1:27" x14ac:dyDescent="0.2">
      <c r="A48" s="19" t="s">
        <v>182</v>
      </c>
      <c r="B48" s="17" t="s">
        <v>220</v>
      </c>
      <c r="E48" s="32"/>
      <c r="F48" s="32"/>
    </row>
    <row r="49" spans="1:29" x14ac:dyDescent="0.2">
      <c r="A49" s="40" t="s">
        <v>179</v>
      </c>
      <c r="B49" s="40"/>
      <c r="C49" s="32"/>
      <c r="D49" s="32"/>
      <c r="E49" s="32"/>
      <c r="F49" s="32"/>
      <c r="AC49" s="69"/>
    </row>
    <row r="50" spans="1:29" x14ac:dyDescent="0.2">
      <c r="A50" s="40"/>
      <c r="B50" s="40"/>
      <c r="C50" s="32"/>
      <c r="D50" s="32"/>
      <c r="E50" s="32"/>
      <c r="F50" s="32"/>
    </row>
    <row r="51" spans="1:29" x14ac:dyDescent="0.2">
      <c r="A51" s="24" t="s">
        <v>14</v>
      </c>
      <c r="B51" s="24" t="s">
        <v>44</v>
      </c>
    </row>
    <row r="52" spans="1:29" x14ac:dyDescent="0.2">
      <c r="A52" s="23"/>
      <c r="B52" s="23">
        <v>0.03</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Overview!$B$13:$B$24</xm:f>
          </x14:formula1>
          <xm:sqref>A49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0"/>
  <sheetViews>
    <sheetView workbookViewId="0">
      <selection activeCell="B19" sqref="B19"/>
    </sheetView>
  </sheetViews>
  <sheetFormatPr defaultRowHeight="12.75" x14ac:dyDescent="0.2"/>
  <cols>
    <col min="1" max="1" width="39.85546875" bestFit="1" customWidth="1"/>
    <col min="2" max="2" width="114.5703125" style="26" customWidth="1"/>
    <col min="3" max="3" width="32.85546875" customWidth="1"/>
  </cols>
  <sheetData>
    <row r="1" spans="1:3" ht="13.5" thickBot="1" x14ac:dyDescent="0.25">
      <c r="A1" s="149" t="s">
        <v>24</v>
      </c>
      <c r="B1" s="150"/>
      <c r="C1" s="151"/>
    </row>
    <row r="2" spans="1:3" ht="13.5" thickBot="1" x14ac:dyDescent="0.25"/>
    <row r="3" spans="1:3" ht="13.5" thickBot="1" x14ac:dyDescent="0.25">
      <c r="A3" s="21" t="s">
        <v>84</v>
      </c>
      <c r="B3" s="37"/>
    </row>
    <row r="4" spans="1:3" x14ac:dyDescent="0.2">
      <c r="A4" s="19" t="s">
        <v>25</v>
      </c>
      <c r="B4" s="36" t="s">
        <v>31</v>
      </c>
    </row>
    <row r="5" spans="1:3" x14ac:dyDescent="0.2">
      <c r="A5" s="16"/>
      <c r="B5" s="25"/>
    </row>
    <row r="6" spans="1:3" x14ac:dyDescent="0.2">
      <c r="A6" s="16"/>
      <c r="B6" s="25"/>
    </row>
    <row r="7" spans="1:3" x14ac:dyDescent="0.2">
      <c r="A7" s="16"/>
      <c r="B7" s="25"/>
    </row>
    <row r="8" spans="1:3" x14ac:dyDescent="0.2">
      <c r="A8" s="16"/>
      <c r="B8" s="25"/>
    </row>
    <row r="9" spans="1:3" ht="13.5" thickBot="1" x14ac:dyDescent="0.25"/>
    <row r="10" spans="1:3" ht="13.5" thickBot="1" x14ac:dyDescent="0.25">
      <c r="A10" s="21" t="s">
        <v>26</v>
      </c>
      <c r="B10" s="37"/>
      <c r="C10" s="18"/>
    </row>
    <row r="11" spans="1:3" x14ac:dyDescent="0.2">
      <c r="A11" s="19" t="s">
        <v>27</v>
      </c>
      <c r="B11" s="36" t="s">
        <v>31</v>
      </c>
    </row>
    <row r="12" spans="1:3" x14ac:dyDescent="0.2">
      <c r="A12" s="16"/>
      <c r="B12" s="25"/>
    </row>
    <row r="13" spans="1:3" x14ac:dyDescent="0.2">
      <c r="A13" s="16"/>
      <c r="B13" s="25"/>
    </row>
    <row r="14" spans="1:3" x14ac:dyDescent="0.2">
      <c r="A14" s="16"/>
      <c r="B14" s="25"/>
    </row>
    <row r="15" spans="1:3" ht="13.5" thickBot="1" x14ac:dyDescent="0.25"/>
    <row r="16" spans="1:3" ht="13.5" thickBot="1" x14ac:dyDescent="0.25">
      <c r="A16" s="21" t="s">
        <v>33</v>
      </c>
    </row>
    <row r="17" spans="1:2" x14ac:dyDescent="0.2">
      <c r="A17" s="19" t="s">
        <v>25</v>
      </c>
      <c r="B17" s="36" t="s">
        <v>31</v>
      </c>
    </row>
    <row r="18" spans="1:2" ht="51" x14ac:dyDescent="0.2">
      <c r="A18" s="16" t="s">
        <v>253</v>
      </c>
      <c r="B18" s="25" t="s">
        <v>343</v>
      </c>
    </row>
    <row r="19" spans="1:2" ht="174.75" customHeight="1" x14ac:dyDescent="0.2">
      <c r="A19" s="50" t="s">
        <v>254</v>
      </c>
      <c r="B19" s="162" t="s">
        <v>275</v>
      </c>
    </row>
    <row r="20" spans="1:2" ht="197.25" customHeight="1" x14ac:dyDescent="0.2">
      <c r="A20" s="50" t="s">
        <v>254</v>
      </c>
      <c r="B20" s="162" t="s">
        <v>276</v>
      </c>
    </row>
    <row r="21" spans="1:2" ht="197.25" customHeight="1" x14ac:dyDescent="0.2">
      <c r="A21" s="50" t="s">
        <v>254</v>
      </c>
      <c r="B21" s="162" t="s">
        <v>273</v>
      </c>
    </row>
    <row r="22" spans="1:2" ht="223.5" customHeight="1" x14ac:dyDescent="0.2">
      <c r="A22" s="50" t="s">
        <v>254</v>
      </c>
      <c r="B22" s="162" t="s">
        <v>274</v>
      </c>
    </row>
    <row r="23" spans="1:2" x14ac:dyDescent="0.2">
      <c r="A23" s="16"/>
      <c r="B23" s="25"/>
    </row>
    <row r="24" spans="1:2" ht="13.5" thickBot="1" x14ac:dyDescent="0.25">
      <c r="A24" s="32"/>
      <c r="B24" s="28"/>
    </row>
    <row r="25" spans="1:2" ht="13.5" thickBot="1" x14ac:dyDescent="0.25">
      <c r="A25" s="21" t="s">
        <v>128</v>
      </c>
    </row>
    <row r="26" spans="1:2" x14ac:dyDescent="0.2">
      <c r="A26" s="19" t="s">
        <v>25</v>
      </c>
      <c r="B26" s="36" t="s">
        <v>31</v>
      </c>
    </row>
    <row r="27" spans="1:2" x14ac:dyDescent="0.2">
      <c r="A27" s="16"/>
      <c r="B27" s="25"/>
    </row>
    <row r="28" spans="1:2" x14ac:dyDescent="0.2">
      <c r="A28" s="16"/>
      <c r="B28" s="25"/>
    </row>
    <row r="29" spans="1:2" x14ac:dyDescent="0.2">
      <c r="A29" s="16"/>
      <c r="B29" s="25"/>
    </row>
    <row r="30" spans="1:2" x14ac:dyDescent="0.2">
      <c r="A30" s="16"/>
      <c r="B30" s="25"/>
    </row>
    <row r="31" spans="1:2" ht="13.5" thickBot="1" x14ac:dyDescent="0.25">
      <c r="A31" s="32"/>
      <c r="B31" s="28"/>
    </row>
    <row r="32" spans="1:2" ht="13.5" thickBot="1" x14ac:dyDescent="0.25">
      <c r="A32" s="21" t="s">
        <v>127</v>
      </c>
    </row>
    <row r="33" spans="1:2" x14ac:dyDescent="0.2">
      <c r="A33" s="19" t="s">
        <v>25</v>
      </c>
      <c r="B33" s="36" t="s">
        <v>31</v>
      </c>
    </row>
    <row r="34" spans="1:2" x14ac:dyDescent="0.2">
      <c r="A34" s="16"/>
      <c r="B34" s="25"/>
    </row>
    <row r="35" spans="1:2" x14ac:dyDescent="0.2">
      <c r="A35" s="16"/>
      <c r="B35" s="25"/>
    </row>
    <row r="36" spans="1:2" x14ac:dyDescent="0.2">
      <c r="A36" s="16"/>
      <c r="B36" s="25"/>
    </row>
    <row r="37" spans="1:2" x14ac:dyDescent="0.2">
      <c r="A37" s="16"/>
      <c r="B37" s="25"/>
    </row>
    <row r="39" spans="1:2" x14ac:dyDescent="0.2">
      <c r="A39" s="24" t="s">
        <v>14</v>
      </c>
      <c r="B39" s="38" t="s">
        <v>44</v>
      </c>
    </row>
    <row r="40" spans="1:2" x14ac:dyDescent="0.2">
      <c r="A40" s="23"/>
      <c r="B40" s="39">
        <v>0.04</v>
      </c>
    </row>
  </sheetData>
  <mergeCells count="1">
    <mergeCell ref="A1:C1"/>
  </mergeCells>
  <phoneticPr fontId="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9"/>
  <sheetViews>
    <sheetView workbookViewId="0">
      <selection activeCell="C4" sqref="C4"/>
    </sheetView>
  </sheetViews>
  <sheetFormatPr defaultRowHeight="12.75" x14ac:dyDescent="0.2"/>
  <cols>
    <col min="1" max="1" width="19.140625" customWidth="1"/>
    <col min="2" max="2" width="35.28515625" bestFit="1" customWidth="1"/>
    <col min="3" max="3" width="42.42578125" customWidth="1"/>
  </cols>
  <sheetData>
    <row r="1" spans="1:4" ht="13.5" thickBot="1" x14ac:dyDescent="0.25">
      <c r="A1" s="149" t="s">
        <v>28</v>
      </c>
      <c r="B1" s="150"/>
      <c r="C1" s="151"/>
    </row>
    <row r="3" spans="1:4" x14ac:dyDescent="0.2">
      <c r="A3" s="17" t="s">
        <v>29</v>
      </c>
      <c r="B3" s="17" t="s">
        <v>30</v>
      </c>
      <c r="C3" s="17" t="s">
        <v>31</v>
      </c>
    </row>
    <row r="4" spans="1:4" ht="51" x14ac:dyDescent="0.2">
      <c r="A4" s="98" t="s">
        <v>259</v>
      </c>
      <c r="B4" s="50" t="s">
        <v>260</v>
      </c>
      <c r="C4" s="31" t="s">
        <v>357</v>
      </c>
      <c r="D4" s="99">
        <v>0.15</v>
      </c>
    </row>
    <row r="8" spans="1:4" x14ac:dyDescent="0.2">
      <c r="A8" s="24" t="s">
        <v>14</v>
      </c>
      <c r="B8" s="24" t="s">
        <v>44</v>
      </c>
    </row>
    <row r="9" spans="1:4" x14ac:dyDescent="0.2">
      <c r="A9" s="23"/>
      <c r="B9" s="23">
        <f>SUM(D:D)</f>
        <v>0.15</v>
      </c>
    </row>
  </sheetData>
  <mergeCells count="1">
    <mergeCell ref="A1:C1"/>
  </mergeCells>
  <phoneticPr fontId="2"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34"/>
  <sheetViews>
    <sheetView zoomScale="90" zoomScaleNormal="90" workbookViewId="0">
      <selection activeCell="I24" sqref="I24"/>
    </sheetView>
  </sheetViews>
  <sheetFormatPr defaultRowHeight="12.75" x14ac:dyDescent="0.2"/>
  <cols>
    <col min="1" max="2" width="17.42578125" bestFit="1" customWidth="1"/>
    <col min="3" max="3" width="30.85546875" bestFit="1" customWidth="1"/>
    <col min="4" max="4" width="14.5703125" bestFit="1" customWidth="1"/>
    <col min="5" max="5" width="22.7109375" bestFit="1" customWidth="1"/>
    <col min="6" max="6" width="22.85546875" bestFit="1" customWidth="1"/>
    <col min="7" max="7" width="30.85546875" bestFit="1" customWidth="1"/>
    <col min="8" max="8" width="14.85546875" bestFit="1" customWidth="1"/>
    <col min="9" max="9" width="59.85546875" bestFit="1" customWidth="1"/>
    <col min="10" max="10" width="41" bestFit="1" customWidth="1"/>
  </cols>
  <sheetData>
    <row r="1" spans="1:10" ht="13.5" thickBot="1" x14ac:dyDescent="0.25">
      <c r="A1" s="149" t="s">
        <v>83</v>
      </c>
      <c r="B1" s="150"/>
      <c r="C1" s="150"/>
      <c r="D1" s="151"/>
    </row>
    <row r="3" spans="1:10" x14ac:dyDescent="0.2">
      <c r="A3" s="17" t="s">
        <v>30</v>
      </c>
      <c r="B3" s="153" t="s">
        <v>260</v>
      </c>
      <c r="C3" s="154"/>
    </row>
    <row r="5" spans="1:10" x14ac:dyDescent="0.2">
      <c r="A5" s="17" t="s">
        <v>72</v>
      </c>
      <c r="B5" s="17" t="s">
        <v>74</v>
      </c>
      <c r="C5" s="17" t="s">
        <v>73</v>
      </c>
      <c r="D5" s="17" t="s">
        <v>75</v>
      </c>
      <c r="E5" s="17" t="s">
        <v>76</v>
      </c>
      <c r="F5" s="17" t="s">
        <v>74</v>
      </c>
      <c r="G5" s="17" t="s">
        <v>77</v>
      </c>
      <c r="H5" s="17" t="s">
        <v>75</v>
      </c>
      <c r="I5" s="17" t="s">
        <v>78</v>
      </c>
      <c r="J5" s="17" t="s">
        <v>79</v>
      </c>
    </row>
    <row r="6" spans="1:10" x14ac:dyDescent="0.2">
      <c r="A6" s="16"/>
      <c r="B6" s="16"/>
      <c r="C6" s="16"/>
      <c r="D6" s="16"/>
      <c r="E6" s="16"/>
      <c r="F6" s="16"/>
      <c r="G6" s="16"/>
      <c r="H6" s="16"/>
      <c r="I6" s="31" t="s">
        <v>356</v>
      </c>
      <c r="J6" s="16" t="s">
        <v>262</v>
      </c>
    </row>
    <row r="7" spans="1:10" x14ac:dyDescent="0.2">
      <c r="A7" s="16"/>
      <c r="B7" s="16"/>
      <c r="C7" s="16"/>
      <c r="D7" s="16"/>
      <c r="E7" s="16"/>
      <c r="F7" s="16"/>
      <c r="G7" s="16"/>
      <c r="H7" s="16"/>
      <c r="I7" s="31" t="s">
        <v>358</v>
      </c>
      <c r="J7" s="16" t="s">
        <v>318</v>
      </c>
    </row>
    <row r="8" spans="1:10" ht="25.5" x14ac:dyDescent="0.2">
      <c r="A8" s="16"/>
      <c r="B8" s="16"/>
      <c r="C8" s="16"/>
      <c r="D8" s="16"/>
      <c r="E8" s="16"/>
      <c r="F8" s="16"/>
      <c r="G8" s="16"/>
      <c r="H8" s="16"/>
      <c r="I8" s="31" t="s">
        <v>359</v>
      </c>
      <c r="J8" s="16" t="s">
        <v>353</v>
      </c>
    </row>
    <row r="9" spans="1:10" ht="25.5" x14ac:dyDescent="0.2">
      <c r="A9" s="16"/>
      <c r="B9" s="16"/>
      <c r="C9" s="16"/>
      <c r="D9" s="16"/>
      <c r="E9" s="16"/>
      <c r="F9" s="16"/>
      <c r="G9" s="16"/>
      <c r="H9" s="16"/>
      <c r="I9" s="31" t="s">
        <v>263</v>
      </c>
      <c r="J9" s="16"/>
    </row>
    <row r="10" spans="1:10" x14ac:dyDescent="0.2">
      <c r="A10" s="16"/>
      <c r="B10" s="16"/>
      <c r="C10" s="16"/>
      <c r="D10" s="16"/>
      <c r="E10" s="98" t="s">
        <v>317</v>
      </c>
      <c r="F10" s="16" t="s">
        <v>319</v>
      </c>
      <c r="G10" s="98" t="s">
        <v>293</v>
      </c>
      <c r="H10" s="98" t="s">
        <v>312</v>
      </c>
      <c r="I10" s="16" t="s">
        <v>320</v>
      </c>
      <c r="J10" s="16" t="s">
        <v>339</v>
      </c>
    </row>
    <row r="11" spans="1:10" x14ac:dyDescent="0.2">
      <c r="A11" s="16"/>
      <c r="B11" s="16"/>
      <c r="C11" s="16"/>
      <c r="D11" s="16"/>
      <c r="E11" s="98" t="s">
        <v>317</v>
      </c>
      <c r="F11" s="16" t="s">
        <v>319</v>
      </c>
      <c r="G11" s="98" t="s">
        <v>294</v>
      </c>
      <c r="H11" s="98" t="s">
        <v>313</v>
      </c>
      <c r="I11" s="16" t="s">
        <v>321</v>
      </c>
      <c r="J11" s="16" t="s">
        <v>339</v>
      </c>
    </row>
    <row r="12" spans="1:10" x14ac:dyDescent="0.2">
      <c r="A12" s="16"/>
      <c r="B12" s="16"/>
      <c r="C12" s="16"/>
      <c r="D12" s="16"/>
      <c r="E12" s="98" t="s">
        <v>317</v>
      </c>
      <c r="F12" s="16" t="s">
        <v>319</v>
      </c>
      <c r="G12" s="98" t="s">
        <v>295</v>
      </c>
      <c r="H12" s="98" t="s">
        <v>314</v>
      </c>
      <c r="I12" s="16" t="s">
        <v>322</v>
      </c>
      <c r="J12" s="16" t="s">
        <v>339</v>
      </c>
    </row>
    <row r="13" spans="1:10" x14ac:dyDescent="0.2">
      <c r="A13" s="16"/>
      <c r="B13" s="16"/>
      <c r="C13" s="16"/>
      <c r="D13" s="16"/>
      <c r="E13" s="98" t="s">
        <v>317</v>
      </c>
      <c r="F13" s="16" t="s">
        <v>319</v>
      </c>
      <c r="G13" s="98" t="s">
        <v>296</v>
      </c>
      <c r="H13" s="98" t="s">
        <v>314</v>
      </c>
      <c r="I13" s="16" t="s">
        <v>323</v>
      </c>
      <c r="J13" s="16" t="s">
        <v>339</v>
      </c>
    </row>
    <row r="14" spans="1:10" x14ac:dyDescent="0.2">
      <c r="A14" s="16"/>
      <c r="B14" s="16"/>
      <c r="C14" s="16"/>
      <c r="D14" s="16"/>
      <c r="E14" s="98" t="s">
        <v>317</v>
      </c>
      <c r="F14" s="16" t="s">
        <v>319</v>
      </c>
      <c r="G14" s="98" t="s">
        <v>297</v>
      </c>
      <c r="H14" s="98" t="s">
        <v>312</v>
      </c>
      <c r="I14" s="16" t="s">
        <v>324</v>
      </c>
      <c r="J14" s="16" t="s">
        <v>339</v>
      </c>
    </row>
    <row r="15" spans="1:10" x14ac:dyDescent="0.2">
      <c r="A15" s="16"/>
      <c r="B15" s="16"/>
      <c r="C15" s="16"/>
      <c r="D15" s="16"/>
      <c r="E15" s="98" t="s">
        <v>317</v>
      </c>
      <c r="F15" s="16" t="s">
        <v>319</v>
      </c>
      <c r="G15" s="98" t="s">
        <v>298</v>
      </c>
      <c r="H15" s="98" t="s">
        <v>315</v>
      </c>
      <c r="I15" s="16" t="s">
        <v>325</v>
      </c>
      <c r="J15" s="16" t="s">
        <v>339</v>
      </c>
    </row>
    <row r="16" spans="1:10" x14ac:dyDescent="0.2">
      <c r="A16" s="16"/>
      <c r="B16" s="16"/>
      <c r="C16" s="16"/>
      <c r="D16" s="16"/>
      <c r="E16" s="98" t="s">
        <v>317</v>
      </c>
      <c r="F16" s="16" t="s">
        <v>319</v>
      </c>
      <c r="G16" s="98" t="s">
        <v>299</v>
      </c>
      <c r="H16" s="98" t="s">
        <v>315</v>
      </c>
      <c r="I16" s="16" t="s">
        <v>326</v>
      </c>
      <c r="J16" s="16" t="s">
        <v>339</v>
      </c>
    </row>
    <row r="17" spans="1:10" x14ac:dyDescent="0.2">
      <c r="A17" s="16"/>
      <c r="B17" s="16"/>
      <c r="C17" s="16"/>
      <c r="D17" s="16"/>
      <c r="E17" s="98" t="s">
        <v>317</v>
      </c>
      <c r="F17" s="16" t="s">
        <v>319</v>
      </c>
      <c r="G17" s="98" t="s">
        <v>300</v>
      </c>
      <c r="H17" s="98" t="s">
        <v>312</v>
      </c>
      <c r="I17" s="16" t="s">
        <v>327</v>
      </c>
      <c r="J17" s="16" t="s">
        <v>339</v>
      </c>
    </row>
    <row r="18" spans="1:10" x14ac:dyDescent="0.2">
      <c r="A18" s="16"/>
      <c r="B18" s="16"/>
      <c r="C18" s="16"/>
      <c r="D18" s="16"/>
      <c r="E18" s="98" t="s">
        <v>317</v>
      </c>
      <c r="F18" s="16" t="s">
        <v>319</v>
      </c>
      <c r="G18" s="98" t="s">
        <v>301</v>
      </c>
      <c r="H18" s="98" t="s">
        <v>313</v>
      </c>
      <c r="I18" s="16" t="s">
        <v>328</v>
      </c>
      <c r="J18" s="16" t="s">
        <v>339</v>
      </c>
    </row>
    <row r="19" spans="1:10" x14ac:dyDescent="0.2">
      <c r="A19" s="16"/>
      <c r="B19" s="16"/>
      <c r="C19" s="16"/>
      <c r="D19" s="16"/>
      <c r="E19" s="98" t="s">
        <v>317</v>
      </c>
      <c r="F19" s="16" t="s">
        <v>319</v>
      </c>
      <c r="G19" s="98" t="s">
        <v>302</v>
      </c>
      <c r="H19" s="98" t="s">
        <v>313</v>
      </c>
      <c r="I19" s="16" t="s">
        <v>329</v>
      </c>
      <c r="J19" s="16" t="s">
        <v>339</v>
      </c>
    </row>
    <row r="20" spans="1:10" x14ac:dyDescent="0.2">
      <c r="A20" s="16"/>
      <c r="B20" s="16"/>
      <c r="C20" s="16"/>
      <c r="D20" s="16"/>
      <c r="E20" s="98" t="s">
        <v>317</v>
      </c>
      <c r="F20" s="16" t="s">
        <v>319</v>
      </c>
      <c r="G20" s="98" t="s">
        <v>303</v>
      </c>
      <c r="H20" s="98" t="s">
        <v>312</v>
      </c>
      <c r="I20" s="16" t="s">
        <v>330</v>
      </c>
      <c r="J20" s="16" t="s">
        <v>339</v>
      </c>
    </row>
    <row r="21" spans="1:10" x14ac:dyDescent="0.2">
      <c r="A21" s="16"/>
      <c r="B21" s="16"/>
      <c r="C21" s="16"/>
      <c r="D21" s="16"/>
      <c r="E21" s="98" t="s">
        <v>317</v>
      </c>
      <c r="F21" s="16" t="s">
        <v>319</v>
      </c>
      <c r="G21" s="98" t="s">
        <v>304</v>
      </c>
      <c r="H21" s="98" t="s">
        <v>312</v>
      </c>
      <c r="I21" s="16" t="s">
        <v>331</v>
      </c>
      <c r="J21" s="16" t="s">
        <v>339</v>
      </c>
    </row>
    <row r="22" spans="1:10" x14ac:dyDescent="0.2">
      <c r="A22" s="16"/>
      <c r="B22" s="16"/>
      <c r="C22" s="16"/>
      <c r="D22" s="16"/>
      <c r="E22" s="103" t="s">
        <v>317</v>
      </c>
      <c r="F22" s="16" t="s">
        <v>319</v>
      </c>
      <c r="G22" s="103" t="s">
        <v>305</v>
      </c>
      <c r="H22" s="103" t="s">
        <v>315</v>
      </c>
      <c r="I22" s="104" t="s">
        <v>332</v>
      </c>
      <c r="J22" s="104" t="s">
        <v>339</v>
      </c>
    </row>
    <row r="23" spans="1:10" x14ac:dyDescent="0.2">
      <c r="A23" s="16"/>
      <c r="B23" s="16"/>
      <c r="C23" s="16"/>
      <c r="D23" s="16"/>
      <c r="E23" s="103" t="s">
        <v>317</v>
      </c>
      <c r="F23" s="104" t="s">
        <v>319</v>
      </c>
      <c r="G23" s="103" t="s">
        <v>306</v>
      </c>
      <c r="H23" s="103" t="s">
        <v>315</v>
      </c>
      <c r="I23" s="104" t="s">
        <v>333</v>
      </c>
      <c r="J23" s="104" t="s">
        <v>339</v>
      </c>
    </row>
    <row r="24" spans="1:10" x14ac:dyDescent="0.2">
      <c r="A24" s="16"/>
      <c r="B24" s="16"/>
      <c r="C24" s="16"/>
      <c r="D24" s="16"/>
      <c r="E24" s="98" t="s">
        <v>317</v>
      </c>
      <c r="F24" s="16" t="s">
        <v>319</v>
      </c>
      <c r="G24" s="98" t="s">
        <v>307</v>
      </c>
      <c r="H24" s="98" t="s">
        <v>315</v>
      </c>
      <c r="I24" s="16" t="s">
        <v>334</v>
      </c>
      <c r="J24" s="16" t="s">
        <v>339</v>
      </c>
    </row>
    <row r="25" spans="1:10" x14ac:dyDescent="0.2">
      <c r="A25" s="16"/>
      <c r="B25" s="16"/>
      <c r="C25" s="16"/>
      <c r="D25" s="16"/>
      <c r="E25" s="98" t="s">
        <v>317</v>
      </c>
      <c r="F25" s="16" t="s">
        <v>319</v>
      </c>
      <c r="G25" s="98" t="s">
        <v>308</v>
      </c>
      <c r="H25" s="98" t="s">
        <v>316</v>
      </c>
      <c r="I25" s="16" t="s">
        <v>335</v>
      </c>
      <c r="J25" s="16" t="s">
        <v>339</v>
      </c>
    </row>
    <row r="26" spans="1:10" x14ac:dyDescent="0.2">
      <c r="A26" s="16"/>
      <c r="B26" s="16"/>
      <c r="C26" s="16"/>
      <c r="D26" s="16"/>
      <c r="E26" s="98" t="s">
        <v>317</v>
      </c>
      <c r="F26" s="16" t="s">
        <v>319</v>
      </c>
      <c r="G26" s="98" t="s">
        <v>309</v>
      </c>
      <c r="H26" s="98" t="s">
        <v>312</v>
      </c>
      <c r="I26" s="16" t="s">
        <v>336</v>
      </c>
      <c r="J26" s="16" t="s">
        <v>339</v>
      </c>
    </row>
    <row r="27" spans="1:10" x14ac:dyDescent="0.2">
      <c r="A27" s="16"/>
      <c r="B27" s="16"/>
      <c r="C27" s="16"/>
      <c r="D27" s="16"/>
      <c r="E27" s="98" t="s">
        <v>317</v>
      </c>
      <c r="F27" s="16" t="s">
        <v>319</v>
      </c>
      <c r="G27" s="98" t="s">
        <v>310</v>
      </c>
      <c r="H27" s="98" t="s">
        <v>314</v>
      </c>
      <c r="I27" s="16" t="s">
        <v>337</v>
      </c>
      <c r="J27" s="16" t="s">
        <v>339</v>
      </c>
    </row>
    <row r="28" spans="1:10" x14ac:dyDescent="0.2">
      <c r="A28" s="16"/>
      <c r="B28" s="16"/>
      <c r="C28" s="16"/>
      <c r="D28" s="16"/>
      <c r="E28" s="98" t="s">
        <v>317</v>
      </c>
      <c r="F28" s="16" t="s">
        <v>319</v>
      </c>
      <c r="G28" s="98" t="s">
        <v>311</v>
      </c>
      <c r="H28" s="98" t="s">
        <v>312</v>
      </c>
      <c r="I28" s="16" t="s">
        <v>338</v>
      </c>
      <c r="J28" s="16" t="s">
        <v>339</v>
      </c>
    </row>
    <row r="29" spans="1:10" x14ac:dyDescent="0.2">
      <c r="A29" s="16"/>
      <c r="B29" s="16"/>
      <c r="C29" s="16"/>
      <c r="D29" s="16"/>
      <c r="E29" s="98"/>
      <c r="F29" s="16"/>
      <c r="G29" s="98"/>
      <c r="H29" s="98"/>
      <c r="I29" s="16"/>
      <c r="J29" s="16"/>
    </row>
    <row r="30" spans="1:10" x14ac:dyDescent="0.2">
      <c r="A30" s="50" t="s">
        <v>262</v>
      </c>
      <c r="B30" s="50" t="s">
        <v>262</v>
      </c>
      <c r="C30" s="98" t="s">
        <v>257</v>
      </c>
      <c r="D30" s="98" t="s">
        <v>261</v>
      </c>
      <c r="E30" s="98" t="s">
        <v>317</v>
      </c>
      <c r="F30" s="16" t="s">
        <v>319</v>
      </c>
      <c r="G30" s="98" t="s">
        <v>257</v>
      </c>
      <c r="H30" s="98" t="s">
        <v>256</v>
      </c>
      <c r="I30" s="105" t="s">
        <v>340</v>
      </c>
      <c r="J30" s="16"/>
    </row>
    <row r="31" spans="1:10" x14ac:dyDescent="0.2">
      <c r="A31" s="50" t="s">
        <v>262</v>
      </c>
      <c r="B31" s="50" t="s">
        <v>262</v>
      </c>
      <c r="C31" s="98" t="s">
        <v>258</v>
      </c>
      <c r="D31" s="98" t="s">
        <v>261</v>
      </c>
      <c r="E31" s="98" t="s">
        <v>317</v>
      </c>
      <c r="F31" s="16" t="s">
        <v>319</v>
      </c>
      <c r="G31" s="98" t="s">
        <v>258</v>
      </c>
      <c r="H31" s="98" t="s">
        <v>256</v>
      </c>
      <c r="I31" s="105" t="s">
        <v>340</v>
      </c>
      <c r="J31" s="16"/>
    </row>
    <row r="32" spans="1:10" x14ac:dyDescent="0.2">
      <c r="A32" s="16"/>
      <c r="B32" s="16"/>
      <c r="C32" s="16"/>
      <c r="D32" s="16"/>
      <c r="E32" s="16"/>
      <c r="F32" s="16"/>
      <c r="G32" s="16"/>
      <c r="H32" s="16"/>
      <c r="I32" s="16"/>
      <c r="J32" s="16"/>
    </row>
    <row r="33" spans="1:10" x14ac:dyDescent="0.2">
      <c r="A33" s="50" t="s">
        <v>262</v>
      </c>
      <c r="B33" s="50" t="s">
        <v>262</v>
      </c>
      <c r="C33" s="98" t="s">
        <v>257</v>
      </c>
      <c r="D33" s="98" t="s">
        <v>261</v>
      </c>
      <c r="E33" s="98" t="s">
        <v>353</v>
      </c>
      <c r="F33" s="98" t="s">
        <v>353</v>
      </c>
      <c r="G33" s="98" t="s">
        <v>257</v>
      </c>
      <c r="H33" s="98" t="s">
        <v>256</v>
      </c>
      <c r="I33" s="105" t="s">
        <v>340</v>
      </c>
      <c r="J33" s="16"/>
    </row>
    <row r="34" spans="1:10" x14ac:dyDescent="0.2">
      <c r="A34" s="50" t="s">
        <v>262</v>
      </c>
      <c r="B34" s="50" t="s">
        <v>262</v>
      </c>
      <c r="C34" s="98" t="s">
        <v>258</v>
      </c>
      <c r="D34" s="98" t="s">
        <v>261</v>
      </c>
      <c r="E34" s="98" t="s">
        <v>353</v>
      </c>
      <c r="F34" s="98" t="s">
        <v>353</v>
      </c>
      <c r="G34" s="98" t="s">
        <v>258</v>
      </c>
      <c r="H34" s="98" t="s">
        <v>256</v>
      </c>
      <c r="I34" s="105" t="s">
        <v>340</v>
      </c>
      <c r="J34" s="16"/>
    </row>
  </sheetData>
  <mergeCells count="2">
    <mergeCell ref="A1:D1"/>
    <mergeCell ref="B3:C3"/>
  </mergeCell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17"/>
  <sheetViews>
    <sheetView workbookViewId="0">
      <selection activeCell="C11" sqref="C11"/>
    </sheetView>
  </sheetViews>
  <sheetFormatPr defaultRowHeight="12.75" x14ac:dyDescent="0.2"/>
  <cols>
    <col min="1" max="1" width="18.5703125" customWidth="1"/>
    <col min="2" max="2" width="30.5703125" bestFit="1" customWidth="1"/>
    <col min="3" max="3" width="47.7109375" bestFit="1" customWidth="1"/>
    <col min="4" max="4" width="31.5703125" customWidth="1"/>
    <col min="5" max="5" width="25.5703125" bestFit="1" customWidth="1"/>
    <col min="6" max="6" width="48.42578125" style="26" bestFit="1" customWidth="1"/>
  </cols>
  <sheetData>
    <row r="1" spans="1:5" ht="13.5" thickBot="1" x14ac:dyDescent="0.25">
      <c r="A1" s="149" t="s">
        <v>41</v>
      </c>
      <c r="B1" s="150"/>
      <c r="C1" s="151"/>
    </row>
    <row r="2" spans="1:5" ht="13.5" thickBot="1" x14ac:dyDescent="0.25"/>
    <row r="3" spans="1:5" ht="13.5" thickBot="1" x14ac:dyDescent="0.25">
      <c r="A3" s="149" t="s">
        <v>38</v>
      </c>
      <c r="B3" s="150"/>
      <c r="C3" s="151"/>
    </row>
    <row r="4" spans="1:5" x14ac:dyDescent="0.2">
      <c r="A4" s="19" t="s">
        <v>29</v>
      </c>
      <c r="B4" s="19" t="s">
        <v>32</v>
      </c>
      <c r="C4" s="19" t="s">
        <v>31</v>
      </c>
    </row>
    <row r="5" spans="1:5" x14ac:dyDescent="0.2">
      <c r="A5" s="16" t="s">
        <v>259</v>
      </c>
      <c r="B5" s="16" t="s">
        <v>271</v>
      </c>
      <c r="C5" s="16" t="s">
        <v>272</v>
      </c>
    </row>
    <row r="6" spans="1:5" x14ac:dyDescent="0.2">
      <c r="A6" s="16" t="s">
        <v>259</v>
      </c>
      <c r="B6" s="16" t="s">
        <v>350</v>
      </c>
      <c r="C6" s="16" t="s">
        <v>351</v>
      </c>
    </row>
    <row r="7" spans="1:5" x14ac:dyDescent="0.2">
      <c r="E7" s="33"/>
    </row>
    <row r="8" spans="1:5" ht="13.5" thickBot="1" x14ac:dyDescent="0.25">
      <c r="E8" s="33"/>
    </row>
    <row r="9" spans="1:5" ht="13.5" thickBot="1" x14ac:dyDescent="0.25">
      <c r="A9" s="149" t="s">
        <v>37</v>
      </c>
      <c r="B9" s="150"/>
      <c r="C9" s="151"/>
      <c r="E9" s="33"/>
    </row>
    <row r="10" spans="1:5" x14ac:dyDescent="0.2">
      <c r="A10" s="19" t="s">
        <v>29</v>
      </c>
      <c r="B10" s="19" t="s">
        <v>32</v>
      </c>
      <c r="C10" s="19" t="s">
        <v>39</v>
      </c>
      <c r="D10" s="17" t="s">
        <v>10</v>
      </c>
      <c r="E10" s="34"/>
    </row>
    <row r="11" spans="1:5" x14ac:dyDescent="0.2">
      <c r="A11" s="16" t="s">
        <v>259</v>
      </c>
      <c r="B11" s="16" t="s">
        <v>271</v>
      </c>
      <c r="C11" s="16" t="s">
        <v>292</v>
      </c>
      <c r="D11" s="16" t="s">
        <v>272</v>
      </c>
      <c r="E11" s="35"/>
    </row>
    <row r="12" spans="1:5" x14ac:dyDescent="0.2">
      <c r="A12" s="16" t="s">
        <v>259</v>
      </c>
      <c r="B12" s="16" t="s">
        <v>271</v>
      </c>
      <c r="C12" s="16" t="s">
        <v>349</v>
      </c>
      <c r="D12" s="16" t="s">
        <v>351</v>
      </c>
      <c r="E12" s="32"/>
    </row>
    <row r="13" spans="1:5" x14ac:dyDescent="0.2">
      <c r="A13" s="16" t="s">
        <v>259</v>
      </c>
      <c r="B13" s="16" t="s">
        <v>350</v>
      </c>
      <c r="C13" s="16" t="s">
        <v>352</v>
      </c>
      <c r="D13" s="16" t="s">
        <v>351</v>
      </c>
      <c r="E13" s="32"/>
    </row>
    <row r="16" spans="1:5" x14ac:dyDescent="0.2">
      <c r="A16" s="24" t="s">
        <v>14</v>
      </c>
      <c r="B16" s="24" t="s">
        <v>44</v>
      </c>
    </row>
    <row r="17" spans="1:2" x14ac:dyDescent="0.2">
      <c r="A17" s="23"/>
      <c r="B17" s="23"/>
    </row>
  </sheetData>
  <mergeCells count="3">
    <mergeCell ref="A1:C1"/>
    <mergeCell ref="A9:C9"/>
    <mergeCell ref="A3:C3"/>
  </mergeCells>
  <phoneticPr fontId="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15"/>
  <sheetViews>
    <sheetView zoomScale="80" zoomScaleNormal="80" workbookViewId="0">
      <selection activeCell="Y4" sqref="Y4"/>
    </sheetView>
  </sheetViews>
  <sheetFormatPr defaultRowHeight="12.75" x14ac:dyDescent="0.2"/>
  <cols>
    <col min="1" max="1" width="15.7109375" bestFit="1" customWidth="1"/>
    <col min="2" max="2" width="23.7109375" bestFit="1" customWidth="1"/>
    <col min="3" max="3" width="50" bestFit="1" customWidth="1"/>
    <col min="4" max="4" width="49.5703125" bestFit="1" customWidth="1"/>
    <col min="5" max="5" width="39" bestFit="1" customWidth="1"/>
    <col min="6" max="6" width="14.140625" bestFit="1" customWidth="1"/>
    <col min="7" max="7" width="15.28515625" bestFit="1" customWidth="1"/>
    <col min="8" max="8" width="13.5703125" bestFit="1" customWidth="1"/>
    <col min="9" max="9" width="68.85546875" bestFit="1" customWidth="1"/>
    <col min="10" max="10" width="20.140625" bestFit="1" customWidth="1"/>
    <col min="11" max="11" width="18.42578125" bestFit="1" customWidth="1"/>
    <col min="12" max="12" width="9.85546875" bestFit="1" customWidth="1"/>
    <col min="13" max="13" width="119" bestFit="1" customWidth="1"/>
    <col min="14" max="14" width="11.42578125" bestFit="1" customWidth="1"/>
    <col min="15" max="16" width="10.5703125" bestFit="1" customWidth="1"/>
    <col min="17" max="17" width="10.7109375" bestFit="1" customWidth="1"/>
    <col min="18" max="19" width="11.42578125" customWidth="1"/>
    <col min="20" max="20" width="17.42578125" bestFit="1" customWidth="1"/>
    <col min="21" max="21" width="16.140625" customWidth="1"/>
    <col min="22" max="22" width="12" customWidth="1"/>
    <col min="23" max="23" width="13.140625" bestFit="1" customWidth="1"/>
    <col min="24" max="24" width="63.42578125" style="26" bestFit="1" customWidth="1"/>
  </cols>
  <sheetData>
    <row r="1" spans="1:25" ht="13.5" thickBot="1" x14ac:dyDescent="0.25">
      <c r="A1" s="149" t="s">
        <v>80</v>
      </c>
      <c r="B1" s="150"/>
      <c r="C1" s="151"/>
    </row>
    <row r="2" spans="1:25" x14ac:dyDescent="0.2">
      <c r="F2" s="158" t="s">
        <v>132</v>
      </c>
      <c r="G2" s="158"/>
      <c r="H2" s="158"/>
      <c r="I2" s="155" t="s">
        <v>115</v>
      </c>
      <c r="J2" s="156"/>
      <c r="K2" s="156"/>
      <c r="L2" s="155" t="s">
        <v>119</v>
      </c>
      <c r="M2" s="156"/>
      <c r="N2" s="156"/>
      <c r="O2" s="156"/>
      <c r="P2" s="156"/>
      <c r="Q2" s="157"/>
      <c r="R2" s="155" t="s">
        <v>122</v>
      </c>
      <c r="S2" s="156"/>
      <c r="T2" s="156"/>
      <c r="U2" s="157"/>
      <c r="V2" s="155" t="s">
        <v>124</v>
      </c>
      <c r="W2" s="157"/>
    </row>
    <row r="3" spans="1:25" s="55" customFormat="1" ht="34.5" x14ac:dyDescent="0.2">
      <c r="A3" s="51" t="s">
        <v>29</v>
      </c>
      <c r="B3" s="51" t="s">
        <v>32</v>
      </c>
      <c r="C3" s="51" t="s">
        <v>39</v>
      </c>
      <c r="D3" s="51" t="s">
        <v>40</v>
      </c>
      <c r="E3" s="51" t="s">
        <v>49</v>
      </c>
      <c r="F3" s="52" t="s">
        <v>129</v>
      </c>
      <c r="G3" s="52" t="s">
        <v>130</v>
      </c>
      <c r="H3" s="51" t="s">
        <v>131</v>
      </c>
      <c r="I3" s="52" t="s">
        <v>116</v>
      </c>
      <c r="J3" s="52" t="s">
        <v>117</v>
      </c>
      <c r="K3" s="52" t="s">
        <v>118</v>
      </c>
      <c r="L3" s="56" t="s">
        <v>120</v>
      </c>
      <c r="M3" s="56" t="s">
        <v>121</v>
      </c>
      <c r="N3" s="52" t="s">
        <v>225</v>
      </c>
      <c r="O3" s="52" t="s">
        <v>138</v>
      </c>
      <c r="P3" s="52" t="s">
        <v>139</v>
      </c>
      <c r="Q3" s="52" t="s">
        <v>140</v>
      </c>
      <c r="R3" s="53" t="s">
        <v>120</v>
      </c>
      <c r="S3" s="53" t="s">
        <v>121</v>
      </c>
      <c r="T3" s="53" t="s">
        <v>181</v>
      </c>
      <c r="U3" s="54" t="s">
        <v>123</v>
      </c>
      <c r="V3" s="54" t="s">
        <v>125</v>
      </c>
      <c r="W3" s="54" t="s">
        <v>126</v>
      </c>
      <c r="X3" s="52" t="s">
        <v>10</v>
      </c>
    </row>
    <row r="4" spans="1:25" ht="38.25" x14ac:dyDescent="0.2">
      <c r="A4" s="50" t="s">
        <v>259</v>
      </c>
      <c r="B4" s="50" t="s">
        <v>271</v>
      </c>
      <c r="C4" s="50" t="s">
        <v>292</v>
      </c>
      <c r="D4" s="50" t="s">
        <v>264</v>
      </c>
      <c r="E4" s="50" t="s">
        <v>265</v>
      </c>
      <c r="F4" s="16" t="s">
        <v>179</v>
      </c>
      <c r="G4" s="16" t="s">
        <v>179</v>
      </c>
      <c r="H4" s="16" t="s">
        <v>179</v>
      </c>
      <c r="I4" s="16" t="s">
        <v>179</v>
      </c>
      <c r="J4" s="16" t="s">
        <v>179</v>
      </c>
      <c r="K4" s="16" t="s">
        <v>179</v>
      </c>
      <c r="L4" s="16" t="s">
        <v>179</v>
      </c>
      <c r="M4" s="101" t="s">
        <v>285</v>
      </c>
      <c r="N4" s="16" t="s">
        <v>179</v>
      </c>
      <c r="O4" s="16" t="s">
        <v>179</v>
      </c>
      <c r="P4" s="16" t="s">
        <v>179</v>
      </c>
      <c r="Q4" s="16" t="s">
        <v>179</v>
      </c>
      <c r="R4" s="16" t="s">
        <v>179</v>
      </c>
      <c r="S4" s="16" t="s">
        <v>179</v>
      </c>
      <c r="T4" s="16" t="s">
        <v>179</v>
      </c>
      <c r="U4" s="16" t="s">
        <v>179</v>
      </c>
      <c r="V4" s="16" t="s">
        <v>179</v>
      </c>
      <c r="W4" s="16" t="s">
        <v>179</v>
      </c>
      <c r="X4" s="31" t="s">
        <v>286</v>
      </c>
      <c r="Y4">
        <v>5.0000000000000001E-3</v>
      </c>
    </row>
    <row r="5" spans="1:25" x14ac:dyDescent="0.2">
      <c r="A5" s="50" t="s">
        <v>259</v>
      </c>
      <c r="B5" s="50" t="s">
        <v>271</v>
      </c>
      <c r="C5" s="50" t="s">
        <v>292</v>
      </c>
      <c r="D5" s="50" t="s">
        <v>277</v>
      </c>
      <c r="E5" s="50" t="s">
        <v>278</v>
      </c>
      <c r="F5" s="16" t="s">
        <v>279</v>
      </c>
      <c r="G5" s="16" t="s">
        <v>279</v>
      </c>
      <c r="H5" s="16" t="s">
        <v>279</v>
      </c>
      <c r="I5" s="16" t="s">
        <v>279</v>
      </c>
      <c r="J5" s="16" t="s">
        <v>280</v>
      </c>
      <c r="K5" s="16" t="s">
        <v>266</v>
      </c>
      <c r="L5" s="16" t="s">
        <v>279</v>
      </c>
      <c r="M5" s="100" t="s">
        <v>279</v>
      </c>
      <c r="N5" s="16" t="s">
        <v>279</v>
      </c>
      <c r="O5" s="16" t="s">
        <v>279</v>
      </c>
      <c r="P5" s="16" t="s">
        <v>279</v>
      </c>
      <c r="Q5" s="16" t="s">
        <v>279</v>
      </c>
      <c r="R5" s="16" t="s">
        <v>279</v>
      </c>
      <c r="S5" s="16" t="s">
        <v>279</v>
      </c>
      <c r="T5" s="16" t="s">
        <v>279</v>
      </c>
      <c r="U5" s="16" t="s">
        <v>279</v>
      </c>
      <c r="V5" s="16" t="s">
        <v>279</v>
      </c>
      <c r="W5" s="16" t="s">
        <v>279</v>
      </c>
      <c r="X5" s="31" t="s">
        <v>363</v>
      </c>
      <c r="Y5">
        <v>5.0000000000000001E-3</v>
      </c>
    </row>
    <row r="6" spans="1:25" x14ac:dyDescent="0.2">
      <c r="A6" s="50" t="s">
        <v>259</v>
      </c>
      <c r="B6" s="50" t="s">
        <v>271</v>
      </c>
      <c r="C6" s="50" t="s">
        <v>292</v>
      </c>
      <c r="D6" s="50" t="s">
        <v>281</v>
      </c>
      <c r="E6" s="50" t="s">
        <v>278</v>
      </c>
      <c r="F6" s="16" t="s">
        <v>279</v>
      </c>
      <c r="G6" s="16" t="s">
        <v>279</v>
      </c>
      <c r="H6" s="16" t="s">
        <v>279</v>
      </c>
      <c r="I6" s="16" t="s">
        <v>279</v>
      </c>
      <c r="J6" s="16" t="s">
        <v>280</v>
      </c>
      <c r="K6" s="16" t="s">
        <v>266</v>
      </c>
      <c r="L6" s="16" t="s">
        <v>279</v>
      </c>
      <c r="M6" s="100" t="s">
        <v>279</v>
      </c>
      <c r="N6" s="16" t="s">
        <v>279</v>
      </c>
      <c r="O6" s="16" t="s">
        <v>279</v>
      </c>
      <c r="P6" s="16" t="s">
        <v>279</v>
      </c>
      <c r="Q6" s="16" t="s">
        <v>279</v>
      </c>
      <c r="R6" s="16" t="s">
        <v>279</v>
      </c>
      <c r="S6" s="16" t="s">
        <v>279</v>
      </c>
      <c r="T6" s="16" t="s">
        <v>279</v>
      </c>
      <c r="U6" s="16" t="s">
        <v>279</v>
      </c>
      <c r="V6" s="16" t="s">
        <v>279</v>
      </c>
      <c r="W6" s="16" t="s">
        <v>279</v>
      </c>
      <c r="X6" s="31" t="s">
        <v>363</v>
      </c>
      <c r="Y6">
        <v>5.0000000000000001E-3</v>
      </c>
    </row>
    <row r="7" spans="1:25" ht="20.25" customHeight="1" x14ac:dyDescent="0.2">
      <c r="A7" s="50" t="s">
        <v>259</v>
      </c>
      <c r="B7" s="50" t="s">
        <v>271</v>
      </c>
      <c r="C7" s="50" t="s">
        <v>292</v>
      </c>
      <c r="D7" s="50" t="s">
        <v>282</v>
      </c>
      <c r="E7" s="50" t="s">
        <v>260</v>
      </c>
      <c r="F7" s="50" t="s">
        <v>266</v>
      </c>
      <c r="G7" s="50" t="s">
        <v>266</v>
      </c>
      <c r="H7" s="50" t="s">
        <v>267</v>
      </c>
      <c r="I7" s="50" t="s">
        <v>268</v>
      </c>
      <c r="J7" s="50" t="s">
        <v>269</v>
      </c>
      <c r="K7" s="50" t="s">
        <v>266</v>
      </c>
      <c r="L7" s="16" t="s">
        <v>179</v>
      </c>
      <c r="M7" s="16" t="s">
        <v>179</v>
      </c>
      <c r="N7" s="101" t="s">
        <v>284</v>
      </c>
      <c r="O7" s="16" t="s">
        <v>179</v>
      </c>
      <c r="P7" s="16" t="s">
        <v>179</v>
      </c>
      <c r="Q7" s="16" t="s">
        <v>179</v>
      </c>
      <c r="R7" s="16" t="s">
        <v>179</v>
      </c>
      <c r="S7" s="16" t="s">
        <v>179</v>
      </c>
      <c r="T7" s="16" t="s">
        <v>179</v>
      </c>
      <c r="U7" s="16" t="s">
        <v>179</v>
      </c>
      <c r="V7" s="16" t="s">
        <v>179</v>
      </c>
      <c r="W7" s="16" t="s">
        <v>179</v>
      </c>
      <c r="X7" s="106" t="s">
        <v>360</v>
      </c>
      <c r="Y7">
        <v>0.01</v>
      </c>
    </row>
    <row r="8" spans="1:25" ht="24" customHeight="1" x14ac:dyDescent="0.2">
      <c r="A8" s="50" t="s">
        <v>259</v>
      </c>
      <c r="B8" s="50" t="s">
        <v>271</v>
      </c>
      <c r="C8" s="50" t="s">
        <v>292</v>
      </c>
      <c r="D8" s="50" t="s">
        <v>283</v>
      </c>
      <c r="E8" s="50" t="s">
        <v>260</v>
      </c>
      <c r="F8" s="50" t="s">
        <v>266</v>
      </c>
      <c r="G8" s="50" t="s">
        <v>266</v>
      </c>
      <c r="H8" s="50" t="s">
        <v>267</v>
      </c>
      <c r="I8" s="50" t="s">
        <v>268</v>
      </c>
      <c r="J8" s="50" t="s">
        <v>269</v>
      </c>
      <c r="K8" s="50" t="s">
        <v>266</v>
      </c>
      <c r="L8" s="16" t="s">
        <v>179</v>
      </c>
      <c r="M8" s="16" t="s">
        <v>179</v>
      </c>
      <c r="N8" s="101" t="s">
        <v>284</v>
      </c>
      <c r="O8" s="16" t="s">
        <v>179</v>
      </c>
      <c r="P8" s="16" t="s">
        <v>179</v>
      </c>
      <c r="Q8" s="16" t="s">
        <v>179</v>
      </c>
      <c r="R8" s="16" t="s">
        <v>179</v>
      </c>
      <c r="S8" s="16" t="s">
        <v>179</v>
      </c>
      <c r="T8" s="16" t="s">
        <v>179</v>
      </c>
      <c r="U8" s="16" t="s">
        <v>179</v>
      </c>
      <c r="V8" s="16" t="s">
        <v>179</v>
      </c>
      <c r="W8" s="16" t="s">
        <v>179</v>
      </c>
      <c r="X8" s="106" t="s">
        <v>361</v>
      </c>
      <c r="Y8">
        <v>0.01</v>
      </c>
    </row>
    <row r="9" spans="1:25" ht="24" customHeight="1" x14ac:dyDescent="0.2">
      <c r="A9" s="50" t="s">
        <v>259</v>
      </c>
      <c r="B9" s="50" t="s">
        <v>271</v>
      </c>
      <c r="C9" s="50" t="s">
        <v>292</v>
      </c>
      <c r="D9" s="50" t="s">
        <v>287</v>
      </c>
      <c r="E9" s="50" t="s">
        <v>265</v>
      </c>
      <c r="F9" s="16" t="s">
        <v>179</v>
      </c>
      <c r="G9" s="16" t="s">
        <v>179</v>
      </c>
      <c r="H9" s="16" t="s">
        <v>179</v>
      </c>
      <c r="I9" s="16" t="s">
        <v>179</v>
      </c>
      <c r="J9" s="16" t="s">
        <v>179</v>
      </c>
      <c r="K9" s="16" t="s">
        <v>179</v>
      </c>
      <c r="L9" s="16" t="s">
        <v>179</v>
      </c>
      <c r="M9" s="16" t="s">
        <v>179</v>
      </c>
      <c r="N9" s="16" t="s">
        <v>179</v>
      </c>
      <c r="O9" s="16" t="s">
        <v>179</v>
      </c>
      <c r="P9" s="16" t="s">
        <v>179</v>
      </c>
      <c r="Q9" s="16" t="s">
        <v>179</v>
      </c>
      <c r="R9" s="16" t="s">
        <v>179</v>
      </c>
      <c r="S9" s="16" t="s">
        <v>179</v>
      </c>
      <c r="T9" s="16" t="s">
        <v>179</v>
      </c>
      <c r="U9" s="16" t="s">
        <v>179</v>
      </c>
      <c r="V9" s="100" t="s">
        <v>288</v>
      </c>
      <c r="W9" s="16" t="s">
        <v>179</v>
      </c>
      <c r="X9" s="31" t="s">
        <v>362</v>
      </c>
      <c r="Y9">
        <v>2.5000000000000001E-3</v>
      </c>
    </row>
    <row r="10" spans="1:25" ht="24" customHeight="1" x14ac:dyDescent="0.2">
      <c r="A10" s="50" t="s">
        <v>259</v>
      </c>
      <c r="B10" s="50" t="s">
        <v>271</v>
      </c>
      <c r="C10" s="50" t="s">
        <v>292</v>
      </c>
      <c r="D10" s="50" t="s">
        <v>289</v>
      </c>
      <c r="E10" s="50" t="s">
        <v>265</v>
      </c>
      <c r="F10" s="16" t="s">
        <v>179</v>
      </c>
      <c r="G10" s="16" t="s">
        <v>179</v>
      </c>
      <c r="H10" s="16" t="s">
        <v>179</v>
      </c>
      <c r="I10" s="16" t="s">
        <v>179</v>
      </c>
      <c r="J10" s="16" t="s">
        <v>179</v>
      </c>
      <c r="K10" s="16" t="s">
        <v>179</v>
      </c>
      <c r="L10" s="16" t="s">
        <v>179</v>
      </c>
      <c r="M10" s="16" t="s">
        <v>179</v>
      </c>
      <c r="N10" s="16" t="s">
        <v>179</v>
      </c>
      <c r="O10" s="16" t="s">
        <v>179</v>
      </c>
      <c r="P10" s="16" t="s">
        <v>179</v>
      </c>
      <c r="Q10" s="16" t="s">
        <v>179</v>
      </c>
      <c r="R10" s="16" t="s">
        <v>179</v>
      </c>
      <c r="S10" s="16" t="s">
        <v>179</v>
      </c>
      <c r="T10" s="16" t="s">
        <v>179</v>
      </c>
      <c r="U10" s="16" t="s">
        <v>179</v>
      </c>
      <c r="V10" s="100" t="s">
        <v>290</v>
      </c>
      <c r="W10" s="16" t="s">
        <v>179</v>
      </c>
      <c r="X10" s="31" t="s">
        <v>362</v>
      </c>
      <c r="Y10">
        <v>2.5000000000000001E-3</v>
      </c>
    </row>
    <row r="11" spans="1:25" ht="24" customHeight="1" x14ac:dyDescent="0.2">
      <c r="A11" s="50" t="s">
        <v>259</v>
      </c>
      <c r="B11" s="50" t="s">
        <v>271</v>
      </c>
      <c r="C11" s="50" t="s">
        <v>292</v>
      </c>
      <c r="D11" s="50" t="s">
        <v>270</v>
      </c>
      <c r="E11" s="50" t="s">
        <v>265</v>
      </c>
      <c r="F11" s="16" t="s">
        <v>179</v>
      </c>
      <c r="G11" s="16" t="s">
        <v>179</v>
      </c>
      <c r="H11" s="16" t="s">
        <v>179</v>
      </c>
      <c r="I11" s="16" t="s">
        <v>179</v>
      </c>
      <c r="J11" s="16" t="s">
        <v>179</v>
      </c>
      <c r="K11" s="16" t="s">
        <v>179</v>
      </c>
      <c r="L11" s="16" t="s">
        <v>179</v>
      </c>
      <c r="M11" s="101" t="s">
        <v>291</v>
      </c>
      <c r="N11" s="16" t="s">
        <v>179</v>
      </c>
      <c r="O11" s="16" t="s">
        <v>179</v>
      </c>
      <c r="P11" s="16" t="s">
        <v>179</v>
      </c>
      <c r="Q11" s="16" t="s">
        <v>179</v>
      </c>
      <c r="R11" s="16" t="s">
        <v>179</v>
      </c>
      <c r="S11" s="16" t="s">
        <v>179</v>
      </c>
      <c r="T11" s="16" t="s">
        <v>179</v>
      </c>
      <c r="U11" s="16" t="s">
        <v>179</v>
      </c>
      <c r="V11" s="16" t="s">
        <v>179</v>
      </c>
      <c r="W11" s="16" t="s">
        <v>179</v>
      </c>
      <c r="X11" s="31" t="s">
        <v>286</v>
      </c>
      <c r="Y11">
        <v>2.5000000000000001E-3</v>
      </c>
    </row>
    <row r="14" spans="1:25" x14ac:dyDescent="0.2">
      <c r="A14" s="24" t="s">
        <v>14</v>
      </c>
      <c r="B14" s="24" t="s">
        <v>44</v>
      </c>
    </row>
    <row r="15" spans="1:25" x14ac:dyDescent="0.2">
      <c r="A15" s="23"/>
      <c r="B15" s="23">
        <f>SUM(Y:Y)</f>
        <v>4.250000000000001E-2</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0"/>
  <sheetViews>
    <sheetView workbookViewId="0">
      <selection activeCell="A11" sqref="A11:XFD14"/>
    </sheetView>
  </sheetViews>
  <sheetFormatPr defaultRowHeight="12.75" x14ac:dyDescent="0.2"/>
  <cols>
    <col min="1" max="1" width="16.28515625" bestFit="1" customWidth="1"/>
    <col min="2" max="2" width="15.28515625" customWidth="1"/>
    <col min="3" max="3" width="39.140625" customWidth="1"/>
  </cols>
  <sheetData>
    <row r="1" spans="1:3" ht="13.5" thickBot="1" x14ac:dyDescent="0.25">
      <c r="A1" s="149" t="s">
        <v>34</v>
      </c>
      <c r="B1" s="150"/>
      <c r="C1" s="151"/>
    </row>
    <row r="3" spans="1:3" ht="25.5" x14ac:dyDescent="0.2">
      <c r="A3" s="36" t="s">
        <v>35</v>
      </c>
      <c r="B3" s="36" t="s">
        <v>36</v>
      </c>
      <c r="C3" s="36" t="s">
        <v>31</v>
      </c>
    </row>
    <row r="4" spans="1:3" x14ac:dyDescent="0.2">
      <c r="A4" s="16"/>
      <c r="B4" s="16"/>
      <c r="C4" s="16"/>
    </row>
    <row r="5" spans="1:3" x14ac:dyDescent="0.2">
      <c r="A5" s="16"/>
      <c r="B5" s="16"/>
      <c r="C5" s="25"/>
    </row>
    <row r="6" spans="1:3" x14ac:dyDescent="0.2">
      <c r="A6" s="16"/>
      <c r="B6" s="16"/>
      <c r="C6" s="16"/>
    </row>
    <row r="9" spans="1:3" x14ac:dyDescent="0.2">
      <c r="A9" s="24" t="s">
        <v>14</v>
      </c>
      <c r="B9" s="24" t="s">
        <v>44</v>
      </c>
    </row>
    <row r="10" spans="1:3" x14ac:dyDescent="0.2">
      <c r="A10" s="23"/>
      <c r="B10" s="23"/>
    </row>
  </sheetData>
  <mergeCells count="1">
    <mergeCell ref="A1:C1"/>
  </mergeCells>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8"/>
  <sheetViews>
    <sheetView workbookViewId="0">
      <selection activeCell="E4" sqref="E4:E5"/>
    </sheetView>
  </sheetViews>
  <sheetFormatPr defaultRowHeight="12.75" x14ac:dyDescent="0.2"/>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16" ht="13.5" thickBot="1" x14ac:dyDescent="0.25">
      <c r="A1" s="149" t="s">
        <v>43</v>
      </c>
      <c r="B1" s="150"/>
      <c r="C1" s="150"/>
      <c r="D1" s="151"/>
    </row>
    <row r="3" spans="1:16" x14ac:dyDescent="0.2">
      <c r="A3" s="17" t="s">
        <v>42</v>
      </c>
      <c r="B3" s="17" t="s">
        <v>107</v>
      </c>
      <c r="C3" s="17" t="s">
        <v>94</v>
      </c>
      <c r="D3" s="17" t="s">
        <v>95</v>
      </c>
      <c r="E3" s="17" t="s">
        <v>109</v>
      </c>
      <c r="F3" s="17" t="s">
        <v>180</v>
      </c>
    </row>
    <row r="4" spans="1:16" x14ac:dyDescent="0.2">
      <c r="A4" s="22" t="s">
        <v>68</v>
      </c>
      <c r="B4" s="49"/>
      <c r="C4" s="50"/>
      <c r="D4" s="16"/>
      <c r="E4" s="16"/>
      <c r="F4" s="16" t="s">
        <v>179</v>
      </c>
    </row>
    <row r="5" spans="1:16" x14ac:dyDescent="0.2">
      <c r="A5" s="22" t="s">
        <v>68</v>
      </c>
      <c r="B5" s="16"/>
      <c r="C5" s="16"/>
      <c r="D5" s="16"/>
      <c r="E5" s="16"/>
      <c r="F5" s="16" t="s">
        <v>179</v>
      </c>
    </row>
    <row r="8" spans="1:16" x14ac:dyDescent="0.2">
      <c r="A8" s="17" t="s">
        <v>106</v>
      </c>
      <c r="B8" s="47" t="s">
        <v>99</v>
      </c>
      <c r="C8" s="47" t="s">
        <v>100</v>
      </c>
      <c r="D8" s="47" t="s">
        <v>101</v>
      </c>
      <c r="E8" s="47" t="s">
        <v>102</v>
      </c>
      <c r="F8" s="47" t="s">
        <v>103</v>
      </c>
      <c r="G8" s="47" t="s">
        <v>104</v>
      </c>
      <c r="H8" s="47" t="s">
        <v>105</v>
      </c>
      <c r="I8" s="33"/>
      <c r="J8" s="33"/>
      <c r="K8" s="33"/>
      <c r="L8" s="33"/>
      <c r="M8" s="33"/>
      <c r="N8" s="33"/>
      <c r="O8" s="33"/>
      <c r="P8" s="33"/>
    </row>
    <row r="9" spans="1:16" x14ac:dyDescent="0.2">
      <c r="A9" s="17" t="s">
        <v>108</v>
      </c>
      <c r="B9" s="48"/>
      <c r="C9" s="48"/>
      <c r="D9" s="48"/>
      <c r="E9" s="48"/>
      <c r="F9" s="48"/>
      <c r="G9" s="48"/>
      <c r="H9" s="48"/>
      <c r="I9" s="33"/>
      <c r="J9" s="33"/>
      <c r="K9" s="33"/>
      <c r="L9" s="33"/>
      <c r="M9" s="33"/>
      <c r="N9" s="33"/>
      <c r="O9" s="33"/>
      <c r="P9" s="33"/>
    </row>
    <row r="10" spans="1:16" x14ac:dyDescent="0.2">
      <c r="A10" s="17" t="s">
        <v>108</v>
      </c>
      <c r="B10" s="48"/>
      <c r="C10" s="48"/>
      <c r="D10" s="48"/>
      <c r="E10" s="48"/>
      <c r="F10" s="48"/>
      <c r="G10" s="48"/>
      <c r="H10" s="48"/>
    </row>
    <row r="11" spans="1:16" x14ac:dyDescent="0.2">
      <c r="A11" s="17" t="s">
        <v>108</v>
      </c>
      <c r="B11" s="48"/>
      <c r="C11" s="48"/>
      <c r="D11" s="48"/>
      <c r="E11" s="48"/>
      <c r="F11" s="48"/>
      <c r="G11" s="48"/>
      <c r="H11" s="48"/>
    </row>
    <row r="15" spans="1:16" x14ac:dyDescent="0.2">
      <c r="B15" s="46" t="s">
        <v>110</v>
      </c>
      <c r="C15" s="159" t="s">
        <v>111</v>
      </c>
      <c r="D15" s="159"/>
      <c r="E15" s="159"/>
      <c r="F15" s="159"/>
      <c r="G15" s="159"/>
    </row>
    <row r="16" spans="1:16" x14ac:dyDescent="0.2">
      <c r="B16" s="46" t="s">
        <v>96</v>
      </c>
      <c r="C16" s="159"/>
      <c r="D16" s="159"/>
      <c r="E16" s="159"/>
      <c r="F16" s="159"/>
      <c r="G16" s="159"/>
    </row>
    <row r="17" spans="2:7" x14ac:dyDescent="0.2">
      <c r="B17" s="46" t="s">
        <v>97</v>
      </c>
      <c r="C17" s="159"/>
      <c r="D17" s="159"/>
      <c r="E17" s="159"/>
      <c r="F17" s="159"/>
      <c r="G17" s="159"/>
    </row>
    <row r="18" spans="2:7" x14ac:dyDescent="0.2">
      <c r="B18" s="46" t="s">
        <v>98</v>
      </c>
      <c r="C18" s="159"/>
      <c r="D18" s="159"/>
      <c r="E18" s="159"/>
      <c r="F18" s="159"/>
      <c r="G18" s="159"/>
    </row>
  </sheetData>
  <mergeCells count="2">
    <mergeCell ref="A1:D1"/>
    <mergeCell ref="C15:G18"/>
  </mergeCells>
  <phoneticPr fontId="2" type="noConversion"/>
  <dataValidations count="2">
    <dataValidation type="list" allowBlank="1" showInputMessage="1" showErrorMessage="1" sqref="F4:F5">
      <formula1>"High (Y), Normal (N), N/A"</formula1>
    </dataValidation>
    <dataValidation type="list" allowBlank="1" showInputMessage="1" showErrorMessage="1" sqref="E4:E5">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4"/>
  <sheetViews>
    <sheetView workbookViewId="0">
      <selection activeCell="C16" sqref="C16"/>
    </sheetView>
  </sheetViews>
  <sheetFormatPr defaultRowHeight="12.75" x14ac:dyDescent="0.2"/>
  <cols>
    <col min="1" max="1" width="15.140625" bestFit="1" customWidth="1"/>
    <col min="2" max="2" width="48" customWidth="1"/>
  </cols>
  <sheetData>
    <row r="1" spans="1:2" x14ac:dyDescent="0.2">
      <c r="A1" s="160" t="s">
        <v>134</v>
      </c>
      <c r="B1" s="161"/>
    </row>
    <row r="2" spans="1:2" x14ac:dyDescent="0.2">
      <c r="A2" s="78" t="s">
        <v>136</v>
      </c>
      <c r="B2" s="79"/>
    </row>
    <row r="3" spans="1:2" x14ac:dyDescent="0.2">
      <c r="A3" s="78" t="s">
        <v>135</v>
      </c>
      <c r="B3" s="79"/>
    </row>
    <row r="4" spans="1:2" ht="13.5" thickBot="1" x14ac:dyDescent="0.25">
      <c r="A4" s="80" t="s">
        <v>137</v>
      </c>
      <c r="B4" s="81"/>
    </row>
  </sheetData>
  <mergeCells count="1">
    <mergeCell ref="A1:B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Grenade, Robert</cp:lastModifiedBy>
  <dcterms:created xsi:type="dcterms:W3CDTF">2009-06-01T12:18:44Z</dcterms:created>
  <dcterms:modified xsi:type="dcterms:W3CDTF">2018-03-21T08:26:44Z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