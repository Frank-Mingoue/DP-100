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8431" codeName="{B1203076-2D4D-A25B-A398-973B695A806A}"/>
  <workbookPr codeName="ThisWorkbook" defaultThemeVersion="124226"/>
  <mc:AlternateContent xmlns:mc="http://schemas.openxmlformats.org/markup-compatibility/2006">
    <mc:Choice Requires="x15">
      <x15ac:absPath xmlns:x15ac="http://schemas.microsoft.com/office/spreadsheetml/2010/11/ac" url="J:\General\04_RELEASE_MANAGEMENT\2018-07_Release PROD JUL18\02_Development\Cross\C_CHG131815\02-Design\"/>
    </mc:Choice>
  </mc:AlternateContent>
  <bookViews>
    <workbookView xWindow="0" yWindow="0" windowWidth="24000" windowHeight="9510" tabRatio="893"/>
  </bookViews>
  <sheets>
    <sheet name="Title" sheetId="11" r:id="rId1"/>
    <sheet name="Version Control" sheetId="12" r:id="rId2"/>
    <sheet name="Functional Specification" sheetId="14" r:id="rId3"/>
    <sheet name="DTD Review Checklist" sheetId="20" r:id="rId4"/>
    <sheet name="AppConfig" sheetId="21" state="hidden" r:id="rId5"/>
    <sheet name="Overview" sheetId="1" r:id="rId6"/>
    <sheet name="1.0 DB Schema" sheetId="8" r:id="rId7"/>
    <sheet name="2.0 Ifb &amp; PHP" sheetId="7" r:id="rId8"/>
    <sheet name="3.0 Mapping" sheetId="3" r:id="rId9"/>
    <sheet name="3.1 Mapping Details" sheetId="15" r:id="rId10"/>
    <sheet name="4.0 Worklet &amp; workflow" sheetId="5" r:id="rId11"/>
    <sheet name="4.1 Session Details" sheetId="16" r:id="rId12"/>
    <sheet name="5.0 Stored Procedure" sheetId="6" r:id="rId13"/>
    <sheet name="6.0 Data Update" sheetId="13" r:id="rId14"/>
    <sheet name="6.1 Data update Details" sheetId="18" r:id="rId15"/>
  </sheets>
  <definedNames>
    <definedName name="AppCRN">AppConfig!$B$3</definedName>
    <definedName name="AppDateReviewed">AppConfig!$B$9</definedName>
    <definedName name="AppDevDReviewed">AppConfig!$B$7</definedName>
    <definedName name="AppDevNameReviewed">AppConfig!$B$8</definedName>
    <definedName name="AppMA">AppConfig!$B$4</definedName>
    <definedName name="AppPPRD">AppConfig!$B$2</definedName>
    <definedName name="AppReviewedBy">AppConfig!$B$10</definedName>
    <definedName name="Area">AppConfig!$B$5</definedName>
    <definedName name="CRNIRN">Title!$I$23</definedName>
    <definedName name="DateReviewed">'Version Control'!$M$5</definedName>
    <definedName name="DevDReviewed">'Version Control'!$M$4</definedName>
    <definedName name="DevNameReviewed">'Version Control'!$D$4 &amp; 'Version Control'!$A$4</definedName>
    <definedName name="Entity">AppConfig!$B$6</definedName>
    <definedName name="MA">Title!$J$26</definedName>
    <definedName name="PPRD">Title!$L$25</definedName>
    <definedName name="ReviewedBy">'Version Control'!$D$5 &amp; 'Version Control'!$A$5</definedName>
  </definedNames>
  <calcPr calcId="171027"/>
</workbook>
</file>

<file path=xl/calcChain.xml><?xml version="1.0" encoding="utf-8"?>
<calcChain xmlns="http://schemas.openxmlformats.org/spreadsheetml/2006/main">
  <c r="B8" i="21" l="1"/>
  <c r="B7" i="21"/>
  <c r="B3" i="21"/>
  <c r="B9" i="21"/>
  <c r="B10" i="21"/>
  <c r="C17" i="21"/>
  <c r="C24" i="12" l="1"/>
  <c r="C27" i="12" s="1"/>
  <c r="D8" i="1" l="1"/>
  <c r="D7" i="1"/>
  <c r="D6" i="1"/>
  <c r="D5" i="1"/>
  <c r="D4" i="1"/>
  <c r="D3" i="1"/>
  <c r="B38" i="11"/>
  <c r="B2" i="21" l="1"/>
  <c r="B4" i="21"/>
</calcChain>
</file>

<file path=xl/comments1.xml><?xml version="1.0" encoding="utf-8"?>
<comments xmlns="http://schemas.openxmlformats.org/spreadsheetml/2006/main">
  <authors>
    <author>Robert Grenade</author>
  </authors>
  <commentList>
    <comment ref="A23" authorId="0" shapeId="0">
      <text>
        <r>
          <rPr>
            <b/>
            <sz val="8"/>
            <color indexed="81"/>
            <rFont val="Tahoma"/>
            <family val="2"/>
          </rPr>
          <t>Robert Grenade:</t>
        </r>
        <r>
          <rPr>
            <sz val="8"/>
            <color indexed="81"/>
            <rFont val="Tahoma"/>
            <family val="2"/>
          </rPr>
          <t xml:space="preserve">
Based on CHG Complexity Fixed Value. Those value were calculated based on past experience</t>
        </r>
      </text>
    </comment>
  </commentList>
</comments>
</file>

<file path=xl/comments2.xml><?xml version="1.0" encoding="utf-8"?>
<comments xmlns="http://schemas.openxmlformats.org/spreadsheetml/2006/main">
  <authors>
    <author>arnaud.grimont</author>
  </authors>
  <commentList>
    <comment ref="C4" authorId="0" shapeId="0">
      <text>
        <r>
          <rPr>
            <b/>
            <sz val="9"/>
            <color indexed="81"/>
            <rFont val="Tahoma"/>
            <family val="2"/>
          </rPr>
          <t>arnaud.grimont:</t>
        </r>
        <r>
          <rPr>
            <sz val="9"/>
            <color indexed="81"/>
            <rFont val="Tahoma"/>
            <family val="2"/>
          </rPr>
          <t xml:space="preserve">
Should be set to either OK or KO</t>
        </r>
      </text>
    </comment>
  </commentList>
</comments>
</file>

<file path=xl/comments3.xml><?xml version="1.0" encoding="utf-8"?>
<comments xmlns="http://schemas.openxmlformats.org/spreadsheetml/2006/main">
  <authors>
    <author>lk</author>
  </authors>
  <commentList>
    <comment ref="D3" authorId="0" shapeId="0">
      <text>
        <r>
          <rPr>
            <b/>
            <sz val="9"/>
            <color indexed="81"/>
            <rFont val="Tahoma"/>
            <family val="2"/>
          </rPr>
          <t>lk:</t>
        </r>
        <r>
          <rPr>
            <sz val="9"/>
            <color indexed="81"/>
            <rFont val="Tahoma"/>
            <family val="2"/>
          </rPr>
          <t xml:space="preserve">
</t>
        </r>
        <r>
          <rPr>
            <b/>
            <sz val="9"/>
            <color indexed="81"/>
            <rFont val="Tahoma"/>
            <family val="2"/>
          </rPr>
          <t>Impacted</t>
        </r>
        <r>
          <rPr>
            <sz val="9"/>
            <color indexed="81"/>
            <rFont val="Tahoma"/>
            <family val="2"/>
          </rPr>
          <t xml:space="preserve">: Modification Required
</t>
        </r>
        <r>
          <rPr>
            <b/>
            <sz val="9"/>
            <color indexed="81"/>
            <rFont val="Tahoma"/>
            <family val="2"/>
          </rPr>
          <t>No Impact</t>
        </r>
        <r>
          <rPr>
            <sz val="9"/>
            <color indexed="81"/>
            <rFont val="Tahoma"/>
            <family val="2"/>
          </rPr>
          <t xml:space="preserve">: Nothing need to be done for this section </t>
        </r>
      </text>
    </comment>
  </commentList>
</comments>
</file>

<file path=xl/comments4.xml><?xml version="1.0" encoding="utf-8"?>
<comments xmlns="http://schemas.openxmlformats.org/spreadsheetml/2006/main">
  <authors>
    <author>arnaud.grimont</author>
    <author>gulraaz.usmani</author>
  </authors>
  <commentList>
    <comment ref="C3" authorId="0" shapeId="0">
      <text>
        <r>
          <rPr>
            <b/>
            <sz val="9"/>
            <color indexed="81"/>
            <rFont val="Tahoma"/>
            <family val="2"/>
          </rPr>
          <t>arnaud.grimont:</t>
        </r>
        <r>
          <rPr>
            <sz val="9"/>
            <color indexed="81"/>
            <rFont val="Tahoma"/>
            <family val="2"/>
          </rPr>
          <t xml:space="preserve">
Market for which the data update will be done
(E.g ALL, ES, UA)</t>
        </r>
      </text>
    </comment>
    <comment ref="D3" authorId="0" shapeId="0">
      <text>
        <r>
          <rPr>
            <b/>
            <sz val="9"/>
            <color indexed="81"/>
            <rFont val="Tahoma"/>
            <family val="2"/>
          </rPr>
          <t>arnaud.grimont:</t>
        </r>
        <r>
          <rPr>
            <sz val="9"/>
            <color indexed="81"/>
            <rFont val="Tahoma"/>
            <family val="2"/>
          </rPr>
          <t xml:space="preserve">
Period for which data update will be done.
(For example : All , 2012 only)</t>
        </r>
      </text>
    </comment>
    <comment ref="E3" authorId="0" shapeId="0">
      <text>
        <r>
          <rPr>
            <b/>
            <sz val="9"/>
            <color indexed="81"/>
            <rFont val="Tahoma"/>
            <family val="2"/>
          </rPr>
          <t>arnaud.grimont:</t>
        </r>
        <r>
          <rPr>
            <sz val="9"/>
            <color indexed="81"/>
            <rFont val="Tahoma"/>
            <family val="2"/>
          </rPr>
          <t xml:space="preserve">
Can be either SR Data update(Perform by Opps) or Post Release data update (Perfofmed by Data)</t>
        </r>
      </text>
    </comment>
    <comment ref="F3" authorId="1" shapeId="0">
      <text>
        <r>
          <rPr>
            <b/>
            <sz val="9"/>
            <color indexed="81"/>
            <rFont val="Tahoma"/>
            <family val="2"/>
          </rPr>
          <t>gulraaz.usmani:</t>
        </r>
        <r>
          <rPr>
            <sz val="9"/>
            <color indexed="81"/>
            <rFont val="Tahoma"/>
            <family val="2"/>
          </rPr>
          <t xml:space="preserve">
</t>
        </r>
        <r>
          <rPr>
            <b/>
            <sz val="9"/>
            <color indexed="81"/>
            <rFont val="Tahoma"/>
            <family val="2"/>
          </rPr>
          <t>Immediate</t>
        </r>
        <r>
          <rPr>
            <sz val="9"/>
            <color indexed="81"/>
            <rFont val="Tahoma"/>
            <family val="2"/>
          </rPr>
          <t xml:space="preserve">:It is a priority update(Y).If Data update is a post release task. Or if data update that have an impact on data visibility on OBIEE or sales application.E.g FK wids.
</t>
        </r>
        <r>
          <rPr>
            <b/>
            <sz val="9"/>
            <color indexed="81"/>
            <rFont val="Tahoma"/>
            <family val="2"/>
          </rPr>
          <t xml:space="preserve">Normal </t>
        </r>
        <r>
          <rPr>
            <sz val="9"/>
            <color indexed="81"/>
            <rFont val="Tahoma"/>
            <family val="2"/>
          </rPr>
          <t>:Not a priority data update(N). E.g for new attributes update.</t>
        </r>
      </text>
    </comment>
  </commentList>
</comments>
</file>

<file path=xl/sharedStrings.xml><?xml version="1.0" encoding="utf-8"?>
<sst xmlns="http://schemas.openxmlformats.org/spreadsheetml/2006/main" count="421" uniqueCount="276">
  <si>
    <t>Trade Marketing Excellence Programme</t>
  </si>
  <si>
    <t>Date:</t>
  </si>
  <si>
    <t>Status:</t>
  </si>
  <si>
    <t xml:space="preserve">Draft </t>
  </si>
  <si>
    <t>Reviewer Control Section</t>
  </si>
  <si>
    <t>Name</t>
  </si>
  <si>
    <t>First Name</t>
  </si>
  <si>
    <t>Function</t>
  </si>
  <si>
    <t>Document Version</t>
  </si>
  <si>
    <t>Date</t>
  </si>
  <si>
    <t>Comments</t>
  </si>
  <si>
    <t>Signature</t>
  </si>
  <si>
    <t>DATA</t>
  </si>
  <si>
    <t>Technical Design Mapping, Workflow &amp; Stored Procedure</t>
  </si>
  <si>
    <t>Estimation</t>
  </si>
  <si>
    <t>Manday</t>
  </si>
  <si>
    <t>Dev/Configuration</t>
  </si>
  <si>
    <t>Peer Review</t>
  </si>
  <si>
    <t>TOTAL Estimation</t>
  </si>
  <si>
    <t>Testing</t>
  </si>
  <si>
    <t>DB Schema changes</t>
  </si>
  <si>
    <t>Table Name</t>
  </si>
  <si>
    <t>Column Name</t>
  </si>
  <si>
    <t>Data Type</t>
  </si>
  <si>
    <t>IFB &amp; PHP</t>
  </si>
  <si>
    <t>File Name</t>
  </si>
  <si>
    <t>IFBs</t>
  </si>
  <si>
    <t>Ifb Name</t>
  </si>
  <si>
    <t xml:space="preserve">Mapping </t>
  </si>
  <si>
    <t>Folder Name</t>
  </si>
  <si>
    <t>Mapping Name</t>
  </si>
  <si>
    <t>Comment</t>
  </si>
  <si>
    <t>Worflow Name</t>
  </si>
  <si>
    <t>Parameter Files</t>
  </si>
  <si>
    <t>Stored Procedure</t>
  </si>
  <si>
    <t>Procedure Name</t>
  </si>
  <si>
    <t>Database (OLTP or OLAP)</t>
  </si>
  <si>
    <t>Worklet</t>
  </si>
  <si>
    <t>Workflow</t>
  </si>
  <si>
    <t>Worklet Name</t>
  </si>
  <si>
    <t>Session Name</t>
  </si>
  <si>
    <t>Session , worklet &amp; workflow</t>
  </si>
  <si>
    <t>Data Update Required</t>
  </si>
  <si>
    <t>Data Update</t>
  </si>
  <si>
    <t>Mandays</t>
  </si>
  <si>
    <t>DB Schema</t>
  </si>
  <si>
    <t>Content</t>
  </si>
  <si>
    <t>Worksheet</t>
  </si>
  <si>
    <t>Ifb &amp; PHP</t>
  </si>
  <si>
    <t>Mapping</t>
  </si>
  <si>
    <t>Worklet &amp; worflow</t>
  </si>
  <si>
    <t>Table</t>
  </si>
  <si>
    <t>Columns</t>
  </si>
  <si>
    <t>Thi section describe all the table (staging or target) that need to be created or modified. It shows also the field that will be created</t>
  </si>
  <si>
    <t>This section shows all the ifbs, php &amp; parameter files that are impacted</t>
  </si>
  <si>
    <t>This section identify which mapping will be affected. It show also the number of transformation that are need to modify data</t>
  </si>
  <si>
    <t>This Part show all the worflow, worklet and session that need to be modified or created</t>
  </si>
  <si>
    <t>All the stored procedure that will be impacted or created will be reflected</t>
  </si>
  <si>
    <t>This Part show whether data update will be needed after the release or not</t>
  </si>
  <si>
    <t>#</t>
  </si>
  <si>
    <t>Functional Background</t>
  </si>
  <si>
    <t>Functional Requirements</t>
  </si>
  <si>
    <t>3.1</t>
  </si>
  <si>
    <t>3.2</t>
  </si>
  <si>
    <t>Automation Requirements</t>
  </si>
  <si>
    <t>Error Control Requirements</t>
  </si>
  <si>
    <t>Documentation Requirements</t>
  </si>
  <si>
    <t>Sign-off Control Section (a CoE and GDC sign-off names are required)</t>
  </si>
  <si>
    <t>N</t>
  </si>
  <si>
    <t>To be filled by GDC/CoE only</t>
  </si>
  <si>
    <t>Design(HLFD, DTD)</t>
  </si>
  <si>
    <t>ETL Detail Design</t>
  </si>
  <si>
    <t>Source Table</t>
  </si>
  <si>
    <t>Source Column</t>
  </si>
  <si>
    <t>Instance Name</t>
  </si>
  <si>
    <t>Datatype</t>
  </si>
  <si>
    <t>Target Table</t>
  </si>
  <si>
    <t>Target Column</t>
  </si>
  <si>
    <t>Functional
Summary</t>
  </si>
  <si>
    <t>Transformations</t>
  </si>
  <si>
    <t>Session Details</t>
  </si>
  <si>
    <t>Additional Information</t>
  </si>
  <si>
    <t>ETL Detail Design should be update as part of the Analysis as far as possible
In case this can't be done in the analysis phase the effort should be provided depending on the number of fields in the ETL</t>
  </si>
  <si>
    <t>Mapping Details</t>
  </si>
  <si>
    <t>PHP/Java</t>
  </si>
  <si>
    <t>Index</t>
  </si>
  <si>
    <t>Index Name</t>
  </si>
  <si>
    <t>Type of Index</t>
  </si>
  <si>
    <t>Columns on which index need to be applied</t>
  </si>
  <si>
    <t>Included</t>
  </si>
  <si>
    <t>Default column value</t>
  </si>
  <si>
    <t>Important Note:</t>
  </si>
  <si>
    <t>All new table should have a clustered index</t>
  </si>
  <si>
    <t>Vardecimal compression should be applied for OLAP</t>
  </si>
  <si>
    <t>Market Affected</t>
  </si>
  <si>
    <t>Period (If any)</t>
  </si>
  <si>
    <t>1. Retail Audit</t>
  </si>
  <si>
    <t>2. Sales Data</t>
  </si>
  <si>
    <t>3. Activities</t>
  </si>
  <si>
    <t>EU1</t>
  </si>
  <si>
    <t>EU2</t>
  </si>
  <si>
    <t>EU3</t>
  </si>
  <si>
    <t>CIS</t>
  </si>
  <si>
    <t>CEU</t>
  </si>
  <si>
    <t>ASI</t>
  </si>
  <si>
    <t>RUS</t>
  </si>
  <si>
    <t>Approx. No. of records</t>
  </si>
  <si>
    <t>Environment (OLTP or OLAP)</t>
  </si>
  <si>
    <t xml:space="preserve">Table : </t>
  </si>
  <si>
    <t>Data Update type</t>
  </si>
  <si>
    <r>
      <rPr>
        <b/>
        <sz val="10"/>
        <rFont val="Arial"/>
        <family val="2"/>
      </rPr>
      <t>Special Note</t>
    </r>
    <r>
      <rPr>
        <sz val="10"/>
        <rFont val="Arial"/>
        <family val="2"/>
      </rPr>
      <t>:</t>
    </r>
  </si>
  <si>
    <t>It will be necessary to reassess the number of  records prior to PROD Release data update as to get actual values on the following entities since it may take lot of time</t>
  </si>
  <si>
    <t>This will be calculated automatically (Formula from different sheets)</t>
  </si>
  <si>
    <t>The estimate for testing include the following:
1. Create data on Sales (OLTP) for ETL, Generate a new file for Interfaces, Set up data for Batch Process
2. Unit Testing script of each ETL, Interfaces or Batch Processes
3. All Test scripts should include screenshots</t>
  </si>
  <si>
    <t>1. Review development &amp; Testing as per FD &amp; DTD
2. Build the Integration Test Script(End User)</t>
  </si>
  <si>
    <t>Properties</t>
  </si>
  <si>
    <t>Parameter Filename</t>
  </si>
  <si>
    <t>Recovery Strategy</t>
  </si>
  <si>
    <t>Session Retry on deadlock</t>
  </si>
  <si>
    <t>Mapping/Source</t>
  </si>
  <si>
    <t>Pre SQL</t>
  </si>
  <si>
    <t>Post SQL</t>
  </si>
  <si>
    <t>Mapping/Target</t>
  </si>
  <si>
    <t>Truncate Target Option</t>
  </si>
  <si>
    <t>Component</t>
  </si>
  <si>
    <t>Pre-Session Command</t>
  </si>
  <si>
    <t>Post-Session Command</t>
  </si>
  <si>
    <t>Bat Files</t>
  </si>
  <si>
    <t>Configuration File (*.ini)</t>
  </si>
  <si>
    <t>Fail Parent if this task fail</t>
  </si>
  <si>
    <t>Fail Parent if this task does not run</t>
  </si>
  <si>
    <t>Disable task</t>
  </si>
  <si>
    <t>General</t>
  </si>
  <si>
    <t>For New Dimension table an Insert should be done with ROW_WID=0</t>
  </si>
  <si>
    <t>Data Update Details</t>
  </si>
  <si>
    <t>View Impacted:</t>
  </si>
  <si>
    <t>Table Impacted:</t>
  </si>
  <si>
    <t>View Scripts</t>
  </si>
  <si>
    <t>Source File Type</t>
  </si>
  <si>
    <t>Source File Directory</t>
  </si>
  <si>
    <t>Source FileName</t>
  </si>
  <si>
    <t>Description</t>
  </si>
  <si>
    <t>Action</t>
  </si>
  <si>
    <t>DTD Review CheckList</t>
  </si>
  <si>
    <t xml:space="preserve">This is a checklist that is manage by Accenture to ensure that </t>
  </si>
  <si>
    <t>all coding and guideline provided by GDC has been followed as per</t>
  </si>
  <si>
    <t>the document</t>
  </si>
  <si>
    <t>TME Phase 2 - Data Development Guidelines v1.6.pdf</t>
  </si>
  <si>
    <t>Checklist</t>
  </si>
  <si>
    <t>Status</t>
  </si>
  <si>
    <t>Validation</t>
  </si>
  <si>
    <t>Table Naming Convention</t>
  </si>
  <si>
    <t>Details</t>
  </si>
  <si>
    <t>Stored Procedure Naming Convention</t>
  </si>
  <si>
    <t>sp_DESCRIPTIVE_NAME</t>
  </si>
  <si>
    <t>Mapping Naming Convention</t>
  </si>
  <si>
    <r>
      <t xml:space="preserve">Parameter tables Name as </t>
    </r>
    <r>
      <rPr>
        <b/>
        <sz val="10"/>
        <rFont val="Arial"/>
        <family val="2"/>
      </rPr>
      <t>WC_PARAM_FUNCTIONALNAME</t>
    </r>
    <r>
      <rPr>
        <sz val="10"/>
        <rFont val="Arial"/>
        <family val="2"/>
      </rPr>
      <t xml:space="preserve">
Delta tables Name as </t>
    </r>
    <r>
      <rPr>
        <b/>
        <sz val="10"/>
        <rFont val="Arial"/>
        <family val="2"/>
      </rPr>
      <t>WC_DELTA_ETL_FUNCTIONALNAME</t>
    </r>
    <r>
      <rPr>
        <sz val="10"/>
        <rFont val="Arial"/>
        <family val="2"/>
      </rPr>
      <t xml:space="preserve">
Pre step tables Name as </t>
    </r>
    <r>
      <rPr>
        <b/>
        <sz val="10"/>
        <rFont val="Arial"/>
        <family val="2"/>
      </rPr>
      <t xml:space="preserve">WC_PRE_ETL_FUNCTIONALNAME
</t>
    </r>
    <r>
      <rPr>
        <sz val="10"/>
        <rFont val="Arial"/>
        <family val="2"/>
      </rPr>
      <t xml:space="preserve">New OLAP Dimension tables Name as </t>
    </r>
    <r>
      <rPr>
        <b/>
        <sz val="10"/>
        <rFont val="Arial"/>
        <family val="2"/>
      </rPr>
      <t xml:space="preserve">WC_FUNCTIONALNAME_D 
</t>
    </r>
    <r>
      <rPr>
        <sz val="10"/>
        <rFont val="Arial"/>
        <family val="2"/>
      </rPr>
      <t>New OLAP Dimension tables Name as</t>
    </r>
    <r>
      <rPr>
        <b/>
        <sz val="10"/>
        <rFont val="Arial"/>
        <family val="2"/>
      </rPr>
      <t xml:space="preserve"> WC_FUNCTIONALNAME_F
</t>
    </r>
    <r>
      <rPr>
        <sz val="10"/>
        <rFont val="Arial"/>
        <family val="2"/>
      </rPr>
      <t xml:space="preserve">New OLAP Helper tables Name as </t>
    </r>
    <r>
      <rPr>
        <b/>
        <sz val="10"/>
        <rFont val="Arial"/>
        <family val="2"/>
      </rPr>
      <t xml:space="preserve">WC_FUNCTIONALNAME_DHL
</t>
    </r>
    <r>
      <rPr>
        <sz val="10"/>
        <rFont val="Arial"/>
        <family val="2"/>
      </rPr>
      <t>New OLAP Hierarchy tables Name as</t>
    </r>
    <r>
      <rPr>
        <b/>
        <sz val="10"/>
        <rFont val="Arial"/>
        <family val="2"/>
      </rPr>
      <t xml:space="preserve"> WC_FUNCTIONALNAME_DH
</t>
    </r>
    <r>
      <rPr>
        <sz val="10"/>
        <rFont val="Arial"/>
        <family val="2"/>
      </rPr>
      <t>New OLAP SCD table Name as</t>
    </r>
    <r>
      <rPr>
        <b/>
        <sz val="10"/>
        <rFont val="Arial"/>
        <family val="2"/>
      </rPr>
      <t xml:space="preserve"> WC_FUNCTIONALNAME_SCD
</t>
    </r>
    <r>
      <rPr>
        <sz val="10"/>
        <rFont val="Arial"/>
        <family val="2"/>
      </rPr>
      <t xml:space="preserve">New Staging table Name as </t>
    </r>
    <r>
      <rPr>
        <b/>
        <sz val="10"/>
        <rFont val="Arial"/>
        <family val="2"/>
      </rPr>
      <t xml:space="preserve">WC_FUNTIONALNAME_DS/FS/DHLS
</t>
    </r>
    <r>
      <rPr>
        <sz val="10"/>
        <rFont val="Arial"/>
        <family val="2"/>
      </rPr>
      <t xml:space="preserve">New OLTP Interface PRE tables Name as </t>
    </r>
    <r>
      <rPr>
        <b/>
        <sz val="10"/>
        <rFont val="Arial"/>
        <family val="2"/>
      </rPr>
      <t>PRE_EIMTABLENAME</t>
    </r>
  </si>
  <si>
    <r>
      <t xml:space="preserve">All ETL Dimension Mapping Extracting from OLTP to Staging table should have </t>
    </r>
    <r>
      <rPr>
        <b/>
        <sz val="10"/>
        <rFont val="Arial"/>
        <family val="2"/>
      </rPr>
      <t xml:space="preserve">SDE_FunctionalName_Dimension
</t>
    </r>
    <r>
      <rPr>
        <sz val="10"/>
        <rFont val="Arial"/>
        <family val="2"/>
      </rPr>
      <t>All ETL Dimension Extracting from OLAP Staging to Target table should have</t>
    </r>
    <r>
      <rPr>
        <b/>
        <sz val="10"/>
        <rFont val="Arial"/>
        <family val="2"/>
      </rPr>
      <t xml:space="preserve"> SIL_FunctionalName_Dimension
</t>
    </r>
    <r>
      <rPr>
        <sz val="10"/>
        <rFont val="Arial"/>
        <family val="2"/>
      </rPr>
      <t>All ETL Fact Mapping Extracting from OLTP to Staging table should have</t>
    </r>
    <r>
      <rPr>
        <b/>
        <sz val="10"/>
        <rFont val="Arial"/>
        <family val="2"/>
      </rPr>
      <t xml:space="preserve"> SDE_FunctionalName_Fact
</t>
    </r>
    <r>
      <rPr>
        <sz val="10"/>
        <rFont val="Arial"/>
        <family val="2"/>
      </rPr>
      <t>All ETL Fact Extracting from OLAP Staging to Target table should have</t>
    </r>
    <r>
      <rPr>
        <b/>
        <sz val="10"/>
        <rFont val="Arial"/>
        <family val="2"/>
      </rPr>
      <t xml:space="preserve"> SIL_FunctionalName_Fact
</t>
    </r>
    <r>
      <rPr>
        <sz val="10"/>
        <rFont val="Arial"/>
        <family val="2"/>
      </rPr>
      <t xml:space="preserve">All SCD Mapping Name should be name </t>
    </r>
    <r>
      <rPr>
        <b/>
        <sz val="10"/>
        <rFont val="Arial"/>
        <family val="2"/>
      </rPr>
      <t>SIL_FunctionalNanme_SCD</t>
    </r>
    <r>
      <rPr>
        <sz val="10"/>
        <rFont val="Arial"/>
        <family val="2"/>
      </rPr>
      <t xml:space="preserve">
All Helper Mapping Name should be name </t>
    </r>
    <r>
      <rPr>
        <b/>
        <sz val="10"/>
        <rFont val="Arial"/>
        <family val="2"/>
      </rPr>
      <t>SIL_FunctionalNanme_Helper</t>
    </r>
    <r>
      <rPr>
        <sz val="10"/>
        <rFont val="Arial"/>
        <family val="2"/>
      </rPr>
      <t xml:space="preserve">
All Hierarchy Mapping Name should be name </t>
    </r>
    <r>
      <rPr>
        <b/>
        <sz val="10"/>
        <rFont val="Arial"/>
        <family val="2"/>
      </rPr>
      <t>SIL_FunctionalNanme_Hierarchy</t>
    </r>
  </si>
  <si>
    <t>Lookup Performance check</t>
  </si>
  <si>
    <t>Ensure that the lookup created always have filter or linked to Pre or Staging table to reduce the amount of records</t>
  </si>
  <si>
    <t>Avoid Stored Procedure Transformation in Mapping</t>
  </si>
  <si>
    <t>Hardcoding check</t>
  </si>
  <si>
    <t>Try to prevent hardcoding in mapping and use parameter table or parameter files</t>
  </si>
  <si>
    <t>Boolean Check</t>
  </si>
  <si>
    <t>All boolean transferred in OLAP should be set to N whenever is NULL</t>
  </si>
  <si>
    <t>Numeric Check</t>
  </si>
  <si>
    <t>All numeric field should be set to 0 whenever the value is NULL</t>
  </si>
  <si>
    <t>Foreign Key check</t>
  </si>
  <si>
    <t>Whenever the Foreign Key lookup return null the value should be defaulted to 0</t>
  </si>
  <si>
    <t>UTC Datetime</t>
  </si>
  <si>
    <t>All UTC Datatime field should be transformed though the Timezone conversion mapplet</t>
  </si>
  <si>
    <t>IFB Naming convention</t>
  </si>
  <si>
    <r>
      <t>All IFB should be name as</t>
    </r>
    <r>
      <rPr>
        <b/>
        <sz val="10"/>
        <rFont val="Arial"/>
        <family val="2"/>
      </rPr>
      <t xml:space="preserve"> IFA_[LANG_ID]_Entity</t>
    </r>
  </si>
  <si>
    <t>Dummy session invoking sp</t>
  </si>
  <si>
    <t>All session that execute stored procedure should be name s_sp_DESCRIPTIVE_NAME</t>
  </si>
  <si>
    <t>NOLOCK</t>
  </si>
  <si>
    <t>All SELECT statement should include the (NOLOCK) option</t>
  </si>
  <si>
    <t>These document should be produced during analysis phase of the change request
In case those can't be done we should perform HL estimate this effort should be provided</t>
  </si>
  <si>
    <t>Dev Admin Task</t>
  </si>
  <si>
    <t>N/A</t>
  </si>
  <si>
    <t>Data Update Priority</t>
  </si>
  <si>
    <t>Target Table Name</t>
  </si>
  <si>
    <t>CCSI Entity</t>
  </si>
  <si>
    <t>CCSI_RetailAudit</t>
  </si>
  <si>
    <t>CCSI_AccountSCD</t>
  </si>
  <si>
    <t>CCSI_OrderItem</t>
  </si>
  <si>
    <t>CCSI_Promotion</t>
  </si>
  <si>
    <t>CCSI_Assess</t>
  </si>
  <si>
    <t>CCSI_Objective</t>
  </si>
  <si>
    <t>CCSI_Promo_Dim</t>
  </si>
  <si>
    <t>CCSI_Assess_Dim</t>
  </si>
  <si>
    <t>CCSI_Activity</t>
  </si>
  <si>
    <t>CCSI_AccntSeg</t>
  </si>
  <si>
    <t>CCSI_SalesDataFact</t>
  </si>
  <si>
    <t>Tables Impacted</t>
  </si>
  <si>
    <t>WC_ORG_SCD</t>
  </si>
  <si>
    <t>WC_ORDERITEM_F</t>
  </si>
  <si>
    <t>WC_PROMOTION_F</t>
  </si>
  <si>
    <t>WC_ASSESS_F</t>
  </si>
  <si>
    <t>W_OBJECTIVE_F</t>
  </si>
  <si>
    <t>W_PLAN_PROMO_D</t>
  </si>
  <si>
    <t>WC_ASSESS_D</t>
  </si>
  <si>
    <t>WC_ACCNT_SEGMENT_DHL</t>
  </si>
  <si>
    <t xml:space="preserve">WC_SALES_F_XX </t>
  </si>
  <si>
    <t>WC_ACTIVITY_F</t>
  </si>
  <si>
    <t>WC_RTLAUDIT_F</t>
  </si>
  <si>
    <t>MERGE_WCV_SALES_F</t>
  </si>
  <si>
    <t>MERGE_WC_ASSESS_F</t>
  </si>
  <si>
    <t>MERGE_WC_ORDERITEM_F</t>
  </si>
  <si>
    <t>MERGE_WC_PROMOTION_F</t>
  </si>
  <si>
    <t>MERGE_WC_RTLAUDIT_F</t>
  </si>
  <si>
    <t>MERGE_W_OBJECTIVE_F</t>
  </si>
  <si>
    <t>MERGE_W_PLAN_PROMO_D</t>
  </si>
  <si>
    <t>MERGE_WC_ACTIVITY_F,MERGE_WC_ACTIVITY_UPD</t>
  </si>
  <si>
    <t>MERGE_WC_ORG_SCD,MERGE_WC_ORG_SCD_UPDATE_END_DT</t>
  </si>
  <si>
    <t>MERGE_WC_ASSESS_D,MERGE_WC_ACT_ASSESS_UPD</t>
  </si>
  <si>
    <t>MERGE_WC_ACCNT_SEGMENT_DHL,MERGE_WC_ACCNT_SEGMENT_DHL_UPD</t>
  </si>
  <si>
    <t>Merge table Impacted</t>
  </si>
  <si>
    <t>Only MSSQL</t>
  </si>
  <si>
    <t>CCSI Impact(MSSQL Only)</t>
  </si>
  <si>
    <t>Impacted Merge table</t>
  </si>
  <si>
    <t>CCSI Impacted</t>
  </si>
  <si>
    <t>Validate that CCSI tables, mapping have been added in the analysis.</t>
  </si>
  <si>
    <r>
      <t xml:space="preserve">1. Documents to be updated on an ongoing basis during development phase
 • Data Issues Log - contain all DB objects script &amp; Parameter &amp; Batch files modified by CR or RD INC to be released for UAT/PRD.
 • Impacted Object Log - Keep tracks of all mappings/workflows/Session, Document deliverable i.e. (HLFD/HLTD), Parameter/Batch files &amp; DB table schema
2. Overview of FD functional requirement prior to development by developper.
3. Update of SVN Object related to development e.g.(Batch file, Parameter File, PRE-EIM table Script, Stored Procedure)
4. INC data update template for refresh in UAT
All depending on CHG Complexity Category described below
 • Low - 0.04125 md rounded </t>
    </r>
    <r>
      <rPr>
        <b/>
        <sz val="10"/>
        <rFont val="Arial"/>
        <family val="2"/>
      </rPr>
      <t>to 0.04 md</t>
    </r>
    <r>
      <rPr>
        <sz val="10"/>
        <rFont val="Arial"/>
        <family val="2"/>
      </rPr>
      <t xml:space="preserve">
   &gt; Simple field transfer for ETL and Interface
 • Medium - 0.0625 md rounded </t>
    </r>
    <r>
      <rPr>
        <b/>
        <sz val="10"/>
        <rFont val="Arial"/>
        <family val="2"/>
      </rPr>
      <t>to 0.07 md</t>
    </r>
    <r>
      <rPr>
        <sz val="10"/>
        <rFont val="Arial"/>
        <family val="2"/>
      </rPr>
      <t xml:space="preserve">
   &gt; Calculated fields or more than 5 fields transfer for ETL and Interfaces or OLTP/OLAP Batch process.
 • High - 0.1 md 
   &gt; New star schema, new interface, new batch process, merge Dimension/fact ETL, complex rule validation for Interface and ETL fields</t>
    </r>
  </si>
  <si>
    <t>SQL Query</t>
  </si>
  <si>
    <t>Developer</t>
  </si>
  <si>
    <t>Parameter Name</t>
  </si>
  <si>
    <t>Values</t>
  </si>
  <si>
    <t>Planned PROD Release Date</t>
  </si>
  <si>
    <t>Area</t>
  </si>
  <si>
    <t>Data</t>
  </si>
  <si>
    <t>Entity</t>
  </si>
  <si>
    <t>Change Request Number/Incident Request Number</t>
  </si>
  <si>
    <t>DTD Review Checklist</t>
  </si>
  <si>
    <t>Reviewer Date Reviewed</t>
  </si>
  <si>
    <t>Developer Date Reviewed</t>
  </si>
  <si>
    <t>Planned Prod Release Date:</t>
  </si>
  <si>
    <t>CHG/INC:</t>
  </si>
  <si>
    <t>Reviewer Name</t>
  </si>
  <si>
    <t>Developer Name</t>
  </si>
  <si>
    <t>FK Dependency</t>
  </si>
  <si>
    <t>Ensure that new FK column is populated before the FK table in the ETL</t>
  </si>
  <si>
    <t>When populating WC_FF_ENTITY_DETAILS, populate COUNTRY with value from WC_FF_COUNTRY_LANG_ID</t>
  </si>
  <si>
    <t xml:space="preserve">        Title:</t>
  </si>
  <si>
    <t xml:space="preserve">  Market Affected:</t>
  </si>
  <si>
    <t>CA</t>
  </si>
  <si>
    <t>Jul, 2018</t>
  </si>
  <si>
    <t>EIM_INTERFACE</t>
  </si>
  <si>
    <t>FDE_INT_PAYMENT_EFT_EXPORT_V6</t>
  </si>
  <si>
    <t>RUN_OUTBOUND_PE_CA</t>
  </si>
  <si>
    <t>Impacted</t>
  </si>
  <si>
    <t>n/a</t>
  </si>
  <si>
    <t>s_FDE_INT_PAYMENT_COLLECTION_EXPORT_V6_CA</t>
  </si>
  <si>
    <t>s_FDE_INT_PAYMENT_EFT_EXPORT_V6_CA</t>
  </si>
  <si>
    <t>wrk_Payment_Electronic_FundTransfer_Outbound_CA</t>
  </si>
  <si>
    <t>NA</t>
  </si>
  <si>
    <t xml:space="preserve">Canada EU2_UAT PE NOT_ALLOWED status on EU2 UAT </t>
  </si>
  <si>
    <t>Rakotoasimbahoaka</t>
  </si>
  <si>
    <t>Misa</t>
  </si>
  <si>
    <t>Created based on  NOT_ALLOWED status obtained during the Canada PE load.</t>
  </si>
  <si>
    <t>Hello Riteswaree,
Please note that NOT_ALLOWED status was obtained for CAPE on EU2 UAT. Could you please check?
Note that EIM table was backed up: StagingDB.dbo.EIM_PAYMENT_20180523_JK and also find attached status mail.
Regards,
Javed</t>
  </si>
  <si>
    <t>Add the missing transformation on the mapping v6 based on the mapping v1.</t>
  </si>
  <si>
    <r>
      <t xml:space="preserve">&gt; Lookup table: PRE_PAYMENT_COLLECTION_BANK_EXPORT
&gt; Ports:
</t>
    </r>
    <r>
      <rPr>
        <u/>
        <sz val="10"/>
        <rFont val="Arial"/>
        <family val="2"/>
      </rPr>
      <t>Lookup ports</t>
    </r>
    <r>
      <rPr>
        <sz val="10"/>
        <rFont val="Arial"/>
        <family val="2"/>
      </rPr>
      <t xml:space="preserve">: ACCOUNT_ID and BANK_ACCOUNT_NUM
</t>
    </r>
    <r>
      <rPr>
        <u/>
        <sz val="10"/>
        <rFont val="Arial"/>
        <family val="2"/>
      </rPr>
      <t>Output port</t>
    </r>
    <r>
      <rPr>
        <sz val="10"/>
        <rFont val="Arial"/>
        <family val="2"/>
      </rPr>
      <t xml:space="preserve">: BANK_ACCOUNT_NUM
</t>
    </r>
    <r>
      <rPr>
        <u/>
        <sz val="10"/>
        <rFont val="Arial"/>
        <family val="2"/>
      </rPr>
      <t>Input port</t>
    </r>
    <r>
      <rPr>
        <sz val="10"/>
        <rFont val="Arial"/>
        <family val="2"/>
      </rPr>
      <t>: IN_ACCOUNT_ID
&gt; Condition: ACCOUNT_ID = IN_ACCOUNT_ID</t>
    </r>
  </si>
  <si>
    <r>
      <t xml:space="preserve">&gt; Add a new input field PAY_TYPE_CD that mapped from 
SQ_S_SRC_PAYMENT.PAY_TYPE_CD on the 
'EXP_PAYMENT_BATCH_N_STATUS'.
&gt; Modify the calculation of EXP_PAYMENT_BATCH_N_STATUS.X_ACCOUNT_NUM to:
</t>
    </r>
    <r>
      <rPr>
        <b/>
        <sz val="10"/>
        <rFont val="Arial"/>
        <family val="2"/>
      </rPr>
      <t xml:space="preserve">IIF (BU_NAME='Canada, CA', IIF(PAY_TYPE_CD='Collection',:LKP.LKP_PRE_PAYMENT_COLLECTION_BANK_EXPORT(ACCNT_ID),:LKP.LKP_PRE_PAYMENT_ETF_BANK_EXPORT(ACCNT_ID)),NULL)  </t>
    </r>
  </si>
  <si>
    <r>
      <t xml:space="preserve">Add and modify field on the </t>
    </r>
    <r>
      <rPr>
        <b/>
        <sz val="10"/>
        <rFont val="Arial"/>
        <family val="2"/>
      </rPr>
      <t>'EXP_PAYMENT_BATCH_N_STATUS'</t>
    </r>
  </si>
  <si>
    <r>
      <t xml:space="preserve">Add a new disconnected lookup </t>
    </r>
    <r>
      <rPr>
        <b/>
        <sz val="10"/>
        <rFont val="Arial"/>
        <family val="2"/>
      </rPr>
      <t>'LKP_PRE_PAYMENT_COLLECTION_BANK_EXPORT'</t>
    </r>
  </si>
  <si>
    <r>
      <rPr>
        <sz val="10"/>
        <rFont val="Arial"/>
        <family val="2"/>
      </rPr>
      <t xml:space="preserve">Add a new filter </t>
    </r>
    <r>
      <rPr>
        <b/>
        <sz val="10"/>
        <rFont val="Arial"/>
        <family val="2"/>
      </rPr>
      <t xml:space="preserve">'FILS_PAYMENT_COLLECTION' </t>
    </r>
    <r>
      <rPr>
        <sz val="10"/>
        <rFont val="Arial"/>
        <family val="2"/>
      </rPr>
      <t>between RTR_TAB_PIPE_DELIMITER_EXPORT_FILE and EIM_PAYMENT_CA.</t>
    </r>
  </si>
  <si>
    <r>
      <t xml:space="preserve">&gt; Filter condition: </t>
    </r>
    <r>
      <rPr>
        <b/>
        <sz val="10"/>
        <rFont val="Arial"/>
        <family val="2"/>
      </rPr>
      <t xml:space="preserve">PAY_TYPE_CD  !=  'Dummy_Payment'
</t>
    </r>
    <r>
      <rPr>
        <sz val="10"/>
        <rFont val="Arial"/>
        <family val="2"/>
      </rPr>
      <t>&gt; Move all inputs from EIM_PAYMENT_CA to the new filter.
&gt; Remap field  ROW_ID, IF_ROW_BATCH_NUM, IF_ROW_STAT,PAY_PAYMENTREQ_NUM, PAY_TYPE_CD, PAY_PAY_STAT_CD, X_EXPORT_FILE_DT_EFT, X_EXPORT_FILE_NAME_EFT, X_EXPORT_STATUS_CD on the EIM_PAYMENT_CA from the filter.</t>
    </r>
  </si>
  <si>
    <t>To be validate</t>
  </si>
  <si>
    <t>Testing Payment Order Batch</t>
  </si>
  <si>
    <t>PE01 &amp; PE06 Testing EFT &amp; Collection</t>
  </si>
  <si>
    <t>L'etourdi</t>
  </si>
  <si>
    <t>Jonathan</t>
  </si>
  <si>
    <t>Reviewer</t>
  </si>
  <si>
    <t>Reviewed</t>
  </si>
  <si>
    <t>CHG131815 Defect 334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</si>
</sst>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_-* #,##0.00\ _B_F_-;\-* #,##0.00\ _B_F_-;_-* &quot;-&quot;??\ _B_F_-;_-@_-"/>
    <numFmt numFmtId="165" formatCode="mm/dd/yy"/>
    <numFmt numFmtId="166" formatCode="0.0"/>
    <numFmt numFmtId="167" formatCode="dd/mm/yy"/>
    <numFmt numFmtId="168" formatCode="mmm\-yyyy"/>
  </numFmts>
  <fonts count="49" x14ac:knownFonts="1">
    <font>
      <sz val="10"/>
      <name val="Arial"/>
    </font>
    <font>
      <sz val="10"/>
      <name val="Arial"/>
      <family val="2"/>
    </font>
    <font>
      <sz val="8"/>
      <name val="Arial"/>
      <family val="2"/>
    </font>
    <font>
      <u/>
      <sz val="10"/>
      <color indexed="12"/>
      <name val="Arial"/>
      <family val="2"/>
    </font>
    <font>
      <sz val="10"/>
      <name val="Book Antiqua"/>
      <family val="1"/>
    </font>
    <font>
      <b/>
      <i/>
      <sz val="24"/>
      <color indexed="57"/>
      <name val="Arial"/>
      <family val="2"/>
    </font>
    <font>
      <b/>
      <sz val="24"/>
      <name val="Book Antiqua"/>
      <family val="1"/>
    </font>
    <font>
      <b/>
      <sz val="12"/>
      <name val="Book Antiqua"/>
      <family val="1"/>
    </font>
    <font>
      <sz val="14"/>
      <name val="Book Antiqua"/>
      <family val="1"/>
    </font>
    <font>
      <sz val="12"/>
      <name val="Book Antiqua"/>
      <family val="1"/>
    </font>
    <font>
      <b/>
      <i/>
      <sz val="10"/>
      <name val="Book Antiqua"/>
      <family val="1"/>
    </font>
    <font>
      <b/>
      <sz val="10"/>
      <color indexed="9"/>
      <name val="Book Antiqua"/>
      <family val="1"/>
    </font>
    <font>
      <sz val="10"/>
      <name val="Arial"/>
      <family val="2"/>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sz val="11"/>
      <color indexed="60"/>
      <name val="Calibri"/>
      <family val="2"/>
    </font>
    <font>
      <sz val="11"/>
      <color indexed="2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2"/>
      <name val="Book Antiqua"/>
      <family val="1"/>
    </font>
    <font>
      <sz val="22"/>
      <name val="Arial"/>
      <family val="2"/>
    </font>
    <font>
      <b/>
      <sz val="10"/>
      <name val="Book Antiqua"/>
      <family val="1"/>
    </font>
    <font>
      <b/>
      <sz val="10"/>
      <name val="Tahoma"/>
      <family val="2"/>
    </font>
    <font>
      <sz val="9"/>
      <name val="Arial"/>
      <family val="2"/>
    </font>
    <font>
      <b/>
      <sz val="9"/>
      <name val="Tahoma"/>
      <family val="2"/>
    </font>
    <font>
      <b/>
      <sz val="10"/>
      <color indexed="9"/>
      <name val="Arial"/>
      <family val="2"/>
    </font>
    <font>
      <sz val="10"/>
      <name val="Arial"/>
      <family val="2"/>
    </font>
    <font>
      <sz val="10"/>
      <color indexed="12"/>
      <name val="Arial"/>
      <family val="2"/>
    </font>
    <font>
      <b/>
      <sz val="10"/>
      <name val="Arial"/>
      <family val="2"/>
    </font>
    <font>
      <sz val="9"/>
      <color indexed="81"/>
      <name val="Tahoma"/>
      <family val="2"/>
    </font>
    <font>
      <b/>
      <sz val="9"/>
      <color indexed="81"/>
      <name val="Tahoma"/>
      <family val="2"/>
    </font>
    <font>
      <sz val="12"/>
      <color rgb="FFFF0000"/>
      <name val="Arial"/>
      <family val="2"/>
    </font>
    <font>
      <sz val="8"/>
      <color indexed="81"/>
      <name val="Tahoma"/>
      <family val="2"/>
    </font>
    <font>
      <b/>
      <sz val="8"/>
      <color indexed="81"/>
      <name val="Tahoma"/>
      <family val="2"/>
    </font>
    <font>
      <b/>
      <sz val="10"/>
      <color theme="0"/>
      <name val="Arial"/>
      <family val="2"/>
    </font>
    <font>
      <b/>
      <i/>
      <sz val="10"/>
      <name val="Arial"/>
      <family val="2"/>
    </font>
    <font>
      <b/>
      <u/>
      <sz val="11"/>
      <color rgb="FFFF0000"/>
      <name val="Arial"/>
      <family val="2"/>
    </font>
    <font>
      <u/>
      <sz val="10"/>
      <name val="Arial"/>
      <family val="2"/>
    </font>
  </fonts>
  <fills count="35">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43"/>
      </patternFill>
    </fill>
    <fill>
      <patternFill patternType="solid">
        <fgColor indexed="26"/>
      </patternFill>
    </fill>
    <fill>
      <patternFill patternType="solid">
        <fgColor indexed="55"/>
      </patternFill>
    </fill>
    <fill>
      <patternFill patternType="solid">
        <fgColor indexed="22"/>
        <bgColor indexed="64"/>
      </patternFill>
    </fill>
    <fill>
      <patternFill patternType="solid">
        <fgColor indexed="43"/>
        <bgColor indexed="64"/>
      </patternFill>
    </fill>
    <fill>
      <patternFill patternType="solid">
        <fgColor indexed="40"/>
        <bgColor indexed="64"/>
      </patternFill>
    </fill>
    <fill>
      <patternFill patternType="solid">
        <fgColor indexed="42"/>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0"/>
        <bgColor indexed="64"/>
      </patternFill>
    </fill>
    <fill>
      <patternFill patternType="solid">
        <fgColor rgb="FF00B0F0"/>
        <bgColor indexed="64"/>
      </patternFill>
    </fill>
    <fill>
      <patternFill patternType="solid">
        <fgColor rgb="FF99FFCC"/>
        <bgColor indexed="64"/>
      </patternFill>
    </fill>
  </fills>
  <borders count="33">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bottom style="thick">
        <color indexed="17"/>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47">
    <xf numFmtId="0" fontId="0"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20" borderId="1" applyNumberFormat="0" applyAlignment="0" applyProtection="0"/>
    <xf numFmtId="0" fontId="16" fillId="20" borderId="2" applyNumberFormat="0" applyAlignment="0" applyProtection="0"/>
    <xf numFmtId="164" fontId="1" fillId="0" borderId="0" applyFont="0" applyFill="0" applyBorder="0" applyAlignment="0" applyProtection="0"/>
    <xf numFmtId="0" fontId="17" fillId="7" borderId="2" applyNumberFormat="0" applyAlignment="0" applyProtection="0"/>
    <xf numFmtId="0" fontId="18" fillId="0" borderId="3" applyNumberFormat="0" applyFill="0" applyAlignment="0" applyProtection="0"/>
    <xf numFmtId="0" fontId="19" fillId="0" borderId="0" applyNumberFormat="0" applyFill="0" applyBorder="0" applyAlignment="0" applyProtection="0"/>
    <xf numFmtId="0" fontId="20" fillId="4" borderId="0" applyNumberFormat="0" applyBorder="0" applyAlignment="0" applyProtection="0"/>
    <xf numFmtId="0" fontId="3" fillId="0" borderId="0" applyNumberFormat="0" applyFill="0" applyBorder="0" applyAlignment="0" applyProtection="0">
      <alignment vertical="top"/>
      <protection locked="0"/>
    </xf>
    <xf numFmtId="0" fontId="21" fillId="21" borderId="0" applyNumberFormat="0" applyBorder="0" applyAlignment="0" applyProtection="0"/>
    <xf numFmtId="0" fontId="1" fillId="0" borderId="0" applyAlignment="0"/>
    <xf numFmtId="0" fontId="12" fillId="22" borderId="4" applyNumberFormat="0" applyFont="0" applyAlignment="0" applyProtection="0"/>
    <xf numFmtId="0" fontId="22" fillId="3" borderId="0" applyNumberFormat="0" applyBorder="0" applyAlignment="0" applyProtection="0"/>
    <xf numFmtId="0" fontId="12" fillId="0" borderId="0"/>
    <xf numFmtId="0" fontId="23" fillId="0" borderId="0" applyNumberFormat="0" applyFill="0" applyBorder="0" applyAlignment="0" applyProtection="0"/>
    <xf numFmtId="0" fontId="24" fillId="0" borderId="5" applyNumberFormat="0" applyFill="0" applyAlignment="0" applyProtection="0"/>
    <xf numFmtId="0" fontId="25" fillId="0" borderId="6" applyNumberFormat="0" applyFill="0" applyAlignment="0" applyProtection="0"/>
    <xf numFmtId="0" fontId="26" fillId="0" borderId="7" applyNumberFormat="0" applyFill="0" applyAlignment="0" applyProtection="0"/>
    <xf numFmtId="0" fontId="26" fillId="0" borderId="0" applyNumberFormat="0" applyFill="0" applyBorder="0" applyAlignment="0" applyProtection="0"/>
    <xf numFmtId="0" fontId="27" fillId="0" borderId="8" applyNumberFormat="0" applyFill="0" applyAlignment="0" applyProtection="0"/>
    <xf numFmtId="0" fontId="28" fillId="0" borderId="0" applyNumberFormat="0" applyFill="0" applyBorder="0" applyAlignment="0" applyProtection="0"/>
    <xf numFmtId="0" fontId="29" fillId="23" borderId="9" applyNumberFormat="0" applyAlignment="0" applyProtection="0"/>
    <xf numFmtId="0" fontId="1" fillId="0" borderId="0"/>
  </cellStyleXfs>
  <cellXfs count="161">
    <xf numFmtId="0" fontId="0" fillId="0" borderId="0" xfId="0"/>
    <xf numFmtId="164" fontId="4" fillId="0" borderId="0" xfId="27" applyFont="1"/>
    <xf numFmtId="164" fontId="1" fillId="0" borderId="0" xfId="27"/>
    <xf numFmtId="164" fontId="9" fillId="0" borderId="0" xfId="27" applyFont="1"/>
    <xf numFmtId="165" fontId="9" fillId="0" borderId="0" xfId="27" applyNumberFormat="1" applyFont="1" applyAlignment="1">
      <alignment horizontal="left"/>
    </xf>
    <xf numFmtId="164" fontId="9" fillId="0" borderId="0" xfId="27" applyFont="1" applyAlignment="1">
      <alignment horizontal="left" vertical="top"/>
    </xf>
    <xf numFmtId="164" fontId="31" fillId="0" borderId="0" xfId="27" applyFont="1"/>
    <xf numFmtId="0" fontId="7" fillId="0" borderId="0" xfId="34" applyFont="1" applyFill="1" applyBorder="1" applyAlignment="1">
      <alignment vertical="top"/>
    </xf>
    <xf numFmtId="0" fontId="4" fillId="0" borderId="0" xfId="34" applyFont="1" applyFill="1" applyBorder="1" applyAlignment="1">
      <alignment vertical="top"/>
    </xf>
    <xf numFmtId="0" fontId="4" fillId="0" borderId="0" xfId="34" applyFont="1" applyAlignment="1">
      <alignment vertical="top"/>
    </xf>
    <xf numFmtId="0" fontId="10" fillId="0" borderId="0" xfId="34" applyFont="1" applyFill="1" applyBorder="1" applyAlignment="1">
      <alignment vertical="top"/>
    </xf>
    <xf numFmtId="0" fontId="11" fillId="24" borderId="10" xfId="34" applyFont="1" applyFill="1" applyBorder="1" applyAlignment="1">
      <alignment horizontal="left" vertical="top"/>
    </xf>
    <xf numFmtId="0" fontId="4" fillId="0" borderId="10" xfId="34" applyFont="1" applyFill="1" applyBorder="1" applyAlignment="1">
      <alignment horizontal="left" vertical="top"/>
    </xf>
    <xf numFmtId="0" fontId="4" fillId="0" borderId="10" xfId="34" applyFont="1" applyBorder="1" applyAlignment="1">
      <alignment horizontal="left" vertical="top"/>
    </xf>
    <xf numFmtId="16" fontId="4" fillId="25" borderId="10" xfId="34" applyNumberFormat="1" applyFont="1" applyFill="1" applyBorder="1" applyAlignment="1">
      <alignment horizontal="left" vertical="top" wrapText="1"/>
    </xf>
    <xf numFmtId="0" fontId="12" fillId="0" borderId="0" xfId="34" applyFont="1" applyFill="1" applyBorder="1" applyAlignment="1">
      <alignment horizontal="left"/>
    </xf>
    <xf numFmtId="0" fontId="0" fillId="0" borderId="10" xfId="0" applyBorder="1"/>
    <xf numFmtId="0" fontId="33" fillId="26" borderId="10" xfId="0" applyFont="1" applyFill="1" applyBorder="1"/>
    <xf numFmtId="0" fontId="33" fillId="0" borderId="0" xfId="0" applyFont="1" applyFill="1" applyAlignment="1"/>
    <xf numFmtId="0" fontId="33" fillId="26" borderId="11" xfId="0" applyFont="1" applyFill="1" applyBorder="1"/>
    <xf numFmtId="0" fontId="33" fillId="25" borderId="12" xfId="0" applyFont="1" applyFill="1" applyBorder="1" applyAlignment="1"/>
    <xf numFmtId="0" fontId="33" fillId="25" borderId="12" xfId="0" applyFont="1" applyFill="1" applyBorder="1" applyAlignment="1">
      <alignment horizontal="center"/>
    </xf>
    <xf numFmtId="0" fontId="0" fillId="0" borderId="10" xfId="0" applyBorder="1" applyAlignment="1">
      <alignment horizontal="center"/>
    </xf>
    <xf numFmtId="0" fontId="34" fillId="0" borderId="10" xfId="0" applyFont="1" applyBorder="1"/>
    <xf numFmtId="0" fontId="35" fillId="27" borderId="10" xfId="0" applyFont="1" applyFill="1" applyBorder="1"/>
    <xf numFmtId="0" fontId="0" fillId="0" borderId="10" xfId="0" applyBorder="1" applyAlignment="1">
      <alignment wrapText="1"/>
    </xf>
    <xf numFmtId="0" fontId="0" fillId="0" borderId="0" xfId="0" applyAlignment="1">
      <alignment wrapText="1"/>
    </xf>
    <xf numFmtId="0" fontId="33" fillId="25" borderId="15" xfId="0" applyFont="1" applyFill="1" applyBorder="1" applyAlignment="1">
      <alignment wrapText="1"/>
    </xf>
    <xf numFmtId="0" fontId="0" fillId="0" borderId="0" xfId="0" applyBorder="1" applyAlignment="1">
      <alignment wrapText="1"/>
    </xf>
    <xf numFmtId="0" fontId="33" fillId="25" borderId="10" xfId="0" applyFont="1" applyFill="1" applyBorder="1" applyAlignment="1">
      <alignment wrapText="1"/>
    </xf>
    <xf numFmtId="0" fontId="33" fillId="25" borderId="14" xfId="0" applyFont="1" applyFill="1" applyBorder="1" applyAlignment="1">
      <alignment wrapText="1"/>
    </xf>
    <xf numFmtId="0" fontId="1" fillId="0" borderId="10" xfId="0" applyFont="1" applyBorder="1" applyAlignment="1">
      <alignment wrapText="1"/>
    </xf>
    <xf numFmtId="0" fontId="0" fillId="0" borderId="0" xfId="0" applyBorder="1"/>
    <xf numFmtId="0" fontId="0" fillId="0" borderId="0" xfId="0" applyFill="1"/>
    <xf numFmtId="0" fontId="33" fillId="0" borderId="0" xfId="0" applyFont="1" applyFill="1" applyBorder="1"/>
    <xf numFmtId="0" fontId="0" fillId="0" borderId="0" xfId="0" applyFill="1" applyBorder="1"/>
    <xf numFmtId="0" fontId="33" fillId="26" borderId="10" xfId="0" applyFont="1" applyFill="1" applyBorder="1" applyAlignment="1">
      <alignment wrapText="1"/>
    </xf>
    <xf numFmtId="0" fontId="33" fillId="0" borderId="0" xfId="0" applyFont="1" applyFill="1" applyAlignment="1">
      <alignment wrapText="1"/>
    </xf>
    <xf numFmtId="0" fontId="35" fillId="27" borderId="10" xfId="0" applyFont="1" applyFill="1" applyBorder="1" applyAlignment="1">
      <alignment wrapText="1"/>
    </xf>
    <xf numFmtId="0" fontId="34" fillId="0" borderId="10" xfId="0" applyFont="1" applyBorder="1" applyAlignment="1">
      <alignment wrapText="1"/>
    </xf>
    <xf numFmtId="0" fontId="37" fillId="0" borderId="10" xfId="0" applyFont="1" applyBorder="1"/>
    <xf numFmtId="0" fontId="33" fillId="25" borderId="10" xfId="0" applyFont="1" applyFill="1" applyBorder="1" applyAlignment="1">
      <alignment horizontal="left" wrapText="1"/>
    </xf>
    <xf numFmtId="0" fontId="0" fillId="0" borderId="10" xfId="0" applyBorder="1" applyAlignment="1">
      <alignment horizontal="left" wrapText="1"/>
    </xf>
    <xf numFmtId="0" fontId="0" fillId="0" borderId="0" xfId="0" applyAlignment="1">
      <alignment horizontal="left" wrapText="1"/>
    </xf>
    <xf numFmtId="0" fontId="33" fillId="25" borderId="15" xfId="0" applyFont="1" applyFill="1" applyBorder="1" applyAlignment="1">
      <alignment horizontal="left" wrapText="1"/>
    </xf>
    <xf numFmtId="0" fontId="0" fillId="30" borderId="0" xfId="0" applyFill="1"/>
    <xf numFmtId="0" fontId="1" fillId="30" borderId="0" xfId="0" applyFont="1" applyFill="1"/>
    <xf numFmtId="0" fontId="39" fillId="30" borderId="10" xfId="0" applyFont="1" applyFill="1" applyBorder="1"/>
    <xf numFmtId="0" fontId="0" fillId="30" borderId="10" xfId="0" applyFill="1" applyBorder="1"/>
    <xf numFmtId="0" fontId="1" fillId="0" borderId="10" xfId="0" applyFont="1" applyBorder="1" applyAlignment="1">
      <alignment horizontal="center"/>
    </xf>
    <xf numFmtId="0" fontId="1" fillId="0" borderId="10" xfId="0" applyFont="1" applyBorder="1"/>
    <xf numFmtId="0" fontId="35" fillId="26" borderId="10" xfId="0" applyFont="1" applyFill="1" applyBorder="1"/>
    <xf numFmtId="0" fontId="35" fillId="26" borderId="10" xfId="0" applyFont="1" applyFill="1" applyBorder="1" applyAlignment="1">
      <alignment wrapText="1"/>
    </xf>
    <xf numFmtId="0" fontId="35" fillId="26" borderId="11" xfId="0" applyFont="1" applyFill="1" applyBorder="1"/>
    <xf numFmtId="0" fontId="35" fillId="26" borderId="11" xfId="0" applyFont="1" applyFill="1" applyBorder="1" applyAlignment="1">
      <alignment wrapText="1"/>
    </xf>
    <xf numFmtId="0" fontId="34" fillId="0" borderId="0" xfId="0" applyFont="1"/>
    <xf numFmtId="0" fontId="35" fillId="26" borderId="11" xfId="0" applyFont="1" applyFill="1" applyBorder="1" applyAlignment="1">
      <alignment vertical="center" wrapText="1"/>
    </xf>
    <xf numFmtId="0" fontId="0" fillId="30" borderId="13" xfId="0" applyFill="1" applyBorder="1"/>
    <xf numFmtId="0" fontId="0" fillId="30" borderId="23" xfId="0" applyFill="1" applyBorder="1"/>
    <xf numFmtId="0" fontId="0" fillId="30" borderId="14" xfId="0" applyFill="1" applyBorder="1"/>
    <xf numFmtId="0" fontId="0" fillId="30" borderId="24" xfId="0" applyFill="1" applyBorder="1"/>
    <xf numFmtId="0" fontId="0" fillId="30" borderId="0" xfId="0" applyFill="1" applyBorder="1"/>
    <xf numFmtId="0" fontId="0" fillId="30" borderId="25" xfId="0" applyFill="1" applyBorder="1"/>
    <xf numFmtId="0" fontId="39" fillId="30" borderId="24" xfId="0" applyFont="1" applyFill="1" applyBorder="1"/>
    <xf numFmtId="0" fontId="0" fillId="30" borderId="26" xfId="0" applyFill="1" applyBorder="1"/>
    <xf numFmtId="0" fontId="0" fillId="30" borderId="27" xfId="0" applyFill="1" applyBorder="1"/>
    <xf numFmtId="0" fontId="0" fillId="30" borderId="28" xfId="0" applyFill="1" applyBorder="1"/>
    <xf numFmtId="0" fontId="33" fillId="25" borderId="15" xfId="0" applyFont="1" applyFill="1" applyBorder="1" applyAlignment="1">
      <alignment horizontal="center"/>
    </xf>
    <xf numFmtId="0" fontId="37" fillId="0" borderId="0" xfId="0" applyFont="1" applyBorder="1"/>
    <xf numFmtId="0" fontId="1" fillId="0" borderId="0" xfId="0" applyFont="1"/>
    <xf numFmtId="0" fontId="1" fillId="0" borderId="10" xfId="0" applyFont="1" applyFill="1" applyBorder="1"/>
    <xf numFmtId="0" fontId="0" fillId="32" borderId="0" xfId="0" applyFill="1"/>
    <xf numFmtId="0" fontId="36" fillId="32" borderId="0" xfId="0" applyFont="1" applyFill="1" applyBorder="1"/>
    <xf numFmtId="0" fontId="3" fillId="32" borderId="10" xfId="32" applyFill="1" applyBorder="1" applyAlignment="1" applyProtection="1"/>
    <xf numFmtId="0" fontId="0" fillId="32" borderId="10" xfId="0" applyFill="1" applyBorder="1" applyAlignment="1">
      <alignment wrapText="1"/>
    </xf>
    <xf numFmtId="0" fontId="0" fillId="32" borderId="10" xfId="0" applyFill="1" applyBorder="1"/>
    <xf numFmtId="0" fontId="0" fillId="32" borderId="0" xfId="0" applyFill="1" applyBorder="1"/>
    <xf numFmtId="0" fontId="1" fillId="32" borderId="10" xfId="0" applyFont="1" applyFill="1" applyBorder="1"/>
    <xf numFmtId="0" fontId="35" fillId="26" borderId="29" xfId="0" applyFont="1" applyFill="1" applyBorder="1"/>
    <xf numFmtId="0" fontId="0" fillId="0" borderId="30" xfId="0" applyBorder="1"/>
    <xf numFmtId="0" fontId="35" fillId="26" borderId="31" xfId="0" applyFont="1" applyFill="1" applyBorder="1"/>
    <xf numFmtId="0" fontId="0" fillId="0" borderId="32" xfId="0" applyBorder="1"/>
    <xf numFmtId="0" fontId="45" fillId="33" borderId="0" xfId="0" applyFont="1" applyFill="1"/>
    <xf numFmtId="0" fontId="45" fillId="33" borderId="0" xfId="0" applyFont="1" applyFill="1" applyAlignment="1">
      <alignment horizontal="center"/>
    </xf>
    <xf numFmtId="0" fontId="39" fillId="34" borderId="10" xfId="0" applyFont="1" applyFill="1" applyBorder="1"/>
    <xf numFmtId="168" fontId="0" fillId="34" borderId="10" xfId="0" applyNumberFormat="1" applyFill="1" applyBorder="1" applyAlignment="1">
      <alignment horizontal="center"/>
    </xf>
    <xf numFmtId="0" fontId="0" fillId="34" borderId="10" xfId="0" applyFill="1" applyBorder="1" applyAlignment="1">
      <alignment horizontal="center"/>
    </xf>
    <xf numFmtId="14" fontId="1" fillId="34" borderId="10" xfId="0" quotePrefix="1" applyNumberFormat="1" applyFont="1" applyFill="1" applyBorder="1" applyAlignment="1">
      <alignment horizontal="center"/>
    </xf>
    <xf numFmtId="0" fontId="1" fillId="34" borderId="10" xfId="0" applyFont="1" applyFill="1" applyBorder="1" applyAlignment="1">
      <alignment horizontal="center"/>
    </xf>
    <xf numFmtId="164" fontId="6" fillId="0" borderId="0" xfId="27" applyFont="1" applyAlignment="1">
      <alignment horizontal="center"/>
    </xf>
    <xf numFmtId="0" fontId="0" fillId="0" borderId="0" xfId="0" applyAlignment="1">
      <alignment horizontal="center"/>
    </xf>
    <xf numFmtId="14" fontId="1" fillId="34" borderId="10" xfId="0" applyNumberFormat="1" applyFont="1" applyFill="1" applyBorder="1" applyAlignment="1">
      <alignment horizontal="center"/>
    </xf>
    <xf numFmtId="0" fontId="30" fillId="0" borderId="0" xfId="0" applyFont="1" applyAlignment="1">
      <alignment horizontal="left"/>
    </xf>
    <xf numFmtId="0" fontId="46" fillId="30" borderId="0" xfId="0" applyFont="1" applyFill="1"/>
    <xf numFmtId="0" fontId="47" fillId="30" borderId="0" xfId="0" applyFont="1" applyFill="1"/>
    <xf numFmtId="164" fontId="30" fillId="0" borderId="0" xfId="27" applyFont="1" applyAlignment="1"/>
    <xf numFmtId="14" fontId="30" fillId="0" borderId="0" xfId="27" applyNumberFormat="1" applyFont="1"/>
    <xf numFmtId="164" fontId="6" fillId="0" borderId="0" xfId="27" applyFont="1" applyAlignment="1"/>
    <xf numFmtId="0" fontId="1" fillId="0" borderId="10" xfId="46" applyFont="1" applyBorder="1"/>
    <xf numFmtId="0" fontId="1" fillId="0" borderId="0" xfId="46" applyFill="1" applyAlignment="1">
      <alignment vertical="center"/>
    </xf>
    <xf numFmtId="0" fontId="1" fillId="0" borderId="10" xfId="0" applyFont="1" applyBorder="1" applyAlignment="1">
      <alignment horizontal="left" vertical="top" wrapText="1"/>
    </xf>
    <xf numFmtId="0" fontId="1" fillId="0" borderId="10" xfId="0" applyFont="1" applyBorder="1" applyAlignment="1">
      <alignment vertical="top" wrapText="1"/>
    </xf>
    <xf numFmtId="0" fontId="1" fillId="0" borderId="10" xfId="0" applyFont="1" applyBorder="1" applyAlignment="1">
      <alignment vertical="top"/>
    </xf>
    <xf numFmtId="0" fontId="39" fillId="0" borderId="10" xfId="0" applyFont="1" applyBorder="1"/>
    <xf numFmtId="0" fontId="39" fillId="0" borderId="10" xfId="0" applyFont="1" applyBorder="1" applyAlignment="1">
      <alignment vertical="top" wrapText="1"/>
    </xf>
    <xf numFmtId="0" fontId="1" fillId="0" borderId="0" xfId="0" applyFont="1" applyBorder="1"/>
    <xf numFmtId="0" fontId="1" fillId="0" borderId="0" xfId="0" applyFont="1" applyBorder="1" applyAlignment="1">
      <alignment horizontal="left" vertical="top" wrapText="1"/>
    </xf>
    <xf numFmtId="164" fontId="5" fillId="0" borderId="16" xfId="27" applyFont="1" applyBorder="1" applyAlignment="1">
      <alignment horizontal="center"/>
    </xf>
    <xf numFmtId="164" fontId="6" fillId="0" borderId="0" xfId="27" applyFont="1" applyAlignment="1">
      <alignment horizontal="center"/>
    </xf>
    <xf numFmtId="164" fontId="8" fillId="0" borderId="0" xfId="27" applyFont="1" applyAlignment="1">
      <alignment horizontal="center"/>
    </xf>
    <xf numFmtId="164" fontId="7" fillId="0" borderId="0" xfId="27" applyFont="1" applyAlignment="1">
      <alignment horizontal="center"/>
    </xf>
    <xf numFmtId="0" fontId="0" fillId="0" borderId="0" xfId="0" applyAlignment="1">
      <alignment horizontal="center"/>
    </xf>
    <xf numFmtId="164" fontId="30" fillId="0" borderId="0" xfId="27" applyFont="1" applyAlignment="1"/>
    <xf numFmtId="0" fontId="0" fillId="0" borderId="0" xfId="0" applyAlignment="1"/>
    <xf numFmtId="164" fontId="30" fillId="0" borderId="0" xfId="27" applyFont="1" applyAlignment="1">
      <alignment horizontal="center"/>
    </xf>
    <xf numFmtId="164" fontId="30" fillId="0" borderId="0" xfId="27" applyFont="1" applyAlignment="1">
      <alignment horizontal="left"/>
    </xf>
    <xf numFmtId="0" fontId="32" fillId="27" borderId="10" xfId="34" applyFont="1" applyFill="1" applyBorder="1" applyAlignment="1">
      <alignment horizontal="center" vertical="top"/>
    </xf>
    <xf numFmtId="0" fontId="4" fillId="0" borderId="10" xfId="34" applyFont="1" applyBorder="1" applyAlignment="1">
      <alignment horizontal="left" vertical="top"/>
    </xf>
    <xf numFmtId="0" fontId="4" fillId="0" borderId="10" xfId="34" applyFont="1" applyBorder="1" applyAlignment="1">
      <alignment horizontal="center" vertical="top"/>
    </xf>
    <xf numFmtId="0" fontId="4" fillId="0" borderId="17" xfId="34" applyFont="1" applyFill="1" applyBorder="1" applyAlignment="1">
      <alignment horizontal="left" vertical="top"/>
    </xf>
    <xf numFmtId="0" fontId="4" fillId="0" borderId="18" xfId="34" applyFont="1" applyFill="1" applyBorder="1" applyAlignment="1">
      <alignment horizontal="left" vertical="top"/>
    </xf>
    <xf numFmtId="0" fontId="4" fillId="0" borderId="19" xfId="34" applyFont="1" applyFill="1" applyBorder="1" applyAlignment="1">
      <alignment horizontal="left" vertical="top"/>
    </xf>
    <xf numFmtId="0" fontId="4" fillId="0" borderId="10" xfId="34" applyFont="1" applyFill="1" applyBorder="1" applyAlignment="1">
      <alignment horizontal="left" vertical="top"/>
    </xf>
    <xf numFmtId="0" fontId="11" fillId="24" borderId="17" xfId="34" applyFont="1" applyFill="1" applyBorder="1" applyAlignment="1">
      <alignment horizontal="left" vertical="top" wrapText="1"/>
    </xf>
    <xf numFmtId="0" fontId="1" fillId="0" borderId="18" xfId="34" applyBorder="1" applyAlignment="1">
      <alignment vertical="top"/>
    </xf>
    <xf numFmtId="0" fontId="1" fillId="0" borderId="19" xfId="34" applyBorder="1" applyAlignment="1">
      <alignment vertical="top"/>
    </xf>
    <xf numFmtId="0" fontId="11" fillId="24" borderId="17" xfId="34" applyFont="1" applyFill="1" applyBorder="1" applyAlignment="1">
      <alignment horizontal="left" vertical="top"/>
    </xf>
    <xf numFmtId="0" fontId="11" fillId="24" borderId="18" xfId="34" applyFont="1" applyFill="1" applyBorder="1" applyAlignment="1">
      <alignment horizontal="left" vertical="top" wrapText="1"/>
    </xf>
    <xf numFmtId="0" fontId="11" fillId="24" borderId="19" xfId="34" applyFont="1" applyFill="1" applyBorder="1" applyAlignment="1">
      <alignment horizontal="left" vertical="top" wrapText="1"/>
    </xf>
    <xf numFmtId="0" fontId="11" fillId="24" borderId="10" xfId="34" applyFont="1" applyFill="1" applyBorder="1" applyAlignment="1">
      <alignment horizontal="left" vertical="top"/>
    </xf>
    <xf numFmtId="167" fontId="4" fillId="0" borderId="17" xfId="34" applyNumberFormat="1" applyFont="1" applyBorder="1" applyAlignment="1">
      <alignment horizontal="left" vertical="top"/>
    </xf>
    <xf numFmtId="167" fontId="4" fillId="0" borderId="18" xfId="34" applyNumberFormat="1" applyFont="1" applyBorder="1" applyAlignment="1">
      <alignment horizontal="left" vertical="top"/>
    </xf>
    <xf numFmtId="167" fontId="4" fillId="0" borderId="19" xfId="34" applyNumberFormat="1" applyFont="1" applyBorder="1" applyAlignment="1">
      <alignment horizontal="left" vertical="top"/>
    </xf>
    <xf numFmtId="166" fontId="4" fillId="0" borderId="17" xfId="34" applyNumberFormat="1" applyFont="1" applyBorder="1" applyAlignment="1">
      <alignment horizontal="left" vertical="top"/>
    </xf>
    <xf numFmtId="166" fontId="4" fillId="0" borderId="19" xfId="34" applyNumberFormat="1" applyFont="1" applyBorder="1" applyAlignment="1">
      <alignment horizontal="left" vertical="top"/>
    </xf>
    <xf numFmtId="0" fontId="32" fillId="27" borderId="10" xfId="34" applyFont="1" applyFill="1" applyBorder="1" applyAlignment="1">
      <alignment horizontal="left" vertical="top"/>
    </xf>
    <xf numFmtId="0" fontId="1" fillId="28" borderId="17" xfId="0" applyFont="1" applyFill="1" applyBorder="1" applyAlignment="1">
      <alignment horizontal="left" vertical="top" wrapText="1"/>
    </xf>
    <xf numFmtId="0" fontId="1" fillId="28" borderId="18" xfId="0" applyFont="1" applyFill="1" applyBorder="1" applyAlignment="1">
      <alignment horizontal="left" vertical="top" wrapText="1"/>
    </xf>
    <xf numFmtId="0" fontId="1" fillId="28" borderId="19" xfId="0" applyFont="1" applyFill="1" applyBorder="1" applyAlignment="1">
      <alignment horizontal="left" vertical="top" wrapText="1"/>
    </xf>
    <xf numFmtId="0" fontId="1" fillId="28" borderId="10" xfId="0" applyFont="1" applyFill="1" applyBorder="1" applyAlignment="1">
      <alignment horizontal="left" vertical="top" wrapText="1"/>
    </xf>
    <xf numFmtId="0" fontId="32" fillId="28" borderId="17" xfId="34" applyFont="1" applyFill="1" applyBorder="1" applyAlignment="1">
      <alignment horizontal="left" vertical="top"/>
    </xf>
    <xf numFmtId="0" fontId="32" fillId="28" borderId="19" xfId="34" applyFont="1" applyFill="1" applyBorder="1" applyAlignment="1">
      <alignment horizontal="left" vertical="top"/>
    </xf>
    <xf numFmtId="0" fontId="39" fillId="29" borderId="17" xfId="0" applyFont="1" applyFill="1" applyBorder="1" applyAlignment="1">
      <alignment horizontal="center"/>
    </xf>
    <xf numFmtId="0" fontId="39" fillId="29" borderId="18" xfId="0" applyFont="1" applyFill="1" applyBorder="1" applyAlignment="1">
      <alignment horizontal="center"/>
    </xf>
    <xf numFmtId="0" fontId="39" fillId="29" borderId="19" xfId="0" applyFont="1" applyFill="1" applyBorder="1" applyAlignment="1">
      <alignment horizontal="center"/>
    </xf>
    <xf numFmtId="0" fontId="4" fillId="0" borderId="17" xfId="34" applyFont="1" applyBorder="1" applyAlignment="1">
      <alignment horizontal="center" vertical="top"/>
    </xf>
    <xf numFmtId="0" fontId="4" fillId="0" borderId="19" xfId="34" applyFont="1" applyBorder="1" applyAlignment="1">
      <alignment horizontal="center" vertical="top"/>
    </xf>
    <xf numFmtId="0" fontId="38" fillId="0" borderId="0" xfId="0" applyFont="1" applyAlignment="1">
      <alignment wrapText="1"/>
    </xf>
    <xf numFmtId="0" fontId="33" fillId="25" borderId="20" xfId="0" applyFont="1" applyFill="1" applyBorder="1" applyAlignment="1">
      <alignment horizontal="left"/>
    </xf>
    <xf numFmtId="0" fontId="33" fillId="25" borderId="21" xfId="0" applyFont="1" applyFill="1" applyBorder="1" applyAlignment="1">
      <alignment horizontal="left"/>
    </xf>
    <xf numFmtId="0" fontId="33" fillId="25" borderId="22" xfId="0" applyFont="1" applyFill="1" applyBorder="1" applyAlignment="1">
      <alignment horizontal="left"/>
    </xf>
    <xf numFmtId="0" fontId="0" fillId="0" borderId="22" xfId="0" applyBorder="1" applyAlignment="1">
      <alignment horizontal="left"/>
    </xf>
    <xf numFmtId="0" fontId="1" fillId="28" borderId="17" xfId="0" applyFont="1" applyFill="1" applyBorder="1" applyAlignment="1">
      <alignment horizontal="center"/>
    </xf>
    <xf numFmtId="0" fontId="0" fillId="28" borderId="19" xfId="0" applyFill="1" applyBorder="1" applyAlignment="1">
      <alignment horizontal="center"/>
    </xf>
    <xf numFmtId="0" fontId="33" fillId="31" borderId="17" xfId="0" applyFont="1" applyFill="1" applyBorder="1" applyAlignment="1">
      <alignment horizontal="center"/>
    </xf>
    <xf numFmtId="0" fontId="33" fillId="31" borderId="18" xfId="0" applyFont="1" applyFill="1" applyBorder="1" applyAlignment="1">
      <alignment horizontal="center"/>
    </xf>
    <xf numFmtId="0" fontId="33" fillId="31" borderId="19" xfId="0" applyFont="1" applyFill="1" applyBorder="1" applyAlignment="1">
      <alignment horizontal="center"/>
    </xf>
    <xf numFmtId="0" fontId="33" fillId="31" borderId="10" xfId="0" applyFont="1" applyFill="1" applyBorder="1" applyAlignment="1">
      <alignment horizontal="center"/>
    </xf>
    <xf numFmtId="0" fontId="42" fillId="30" borderId="0" xfId="0" applyFont="1" applyFill="1" applyAlignment="1">
      <alignment horizontal="left" vertical="center" wrapText="1"/>
    </xf>
    <xf numFmtId="0" fontId="33" fillId="25" borderId="13" xfId="0" applyFont="1" applyFill="1" applyBorder="1" applyAlignment="1">
      <alignment horizontal="left"/>
    </xf>
    <xf numFmtId="0" fontId="33" fillId="25" borderId="14" xfId="0" applyFont="1" applyFill="1" applyBorder="1" applyAlignment="1">
      <alignment horizontal="left"/>
    </xf>
  </cellXfs>
  <cellStyles count="47">
    <cellStyle name="20% - Akzent1" xfId="1"/>
    <cellStyle name="20% - Akzent2" xfId="2"/>
    <cellStyle name="20% - Akzent3" xfId="3"/>
    <cellStyle name="20% - Akzent4" xfId="4"/>
    <cellStyle name="20% - Akzent5" xfId="5"/>
    <cellStyle name="20% - Akzent6" xfId="6"/>
    <cellStyle name="40% - Akzent1" xfId="7"/>
    <cellStyle name="40% - Akzent2" xfId="8"/>
    <cellStyle name="40% - Akzent3" xfId="9"/>
    <cellStyle name="40% - Akzent4" xfId="10"/>
    <cellStyle name="40% - Akzent5" xfId="11"/>
    <cellStyle name="40% - Akzent6" xfId="12"/>
    <cellStyle name="60% - Akzent1" xfId="13"/>
    <cellStyle name="60% - Akzent2" xfId="14"/>
    <cellStyle name="60% - Akzent3" xfId="15"/>
    <cellStyle name="60% - Akzent4" xfId="16"/>
    <cellStyle name="60% - Akzent5" xfId="17"/>
    <cellStyle name="60% - Akzent6" xfId="18"/>
    <cellStyle name="Akzent1" xfId="19"/>
    <cellStyle name="Akzent2" xfId="20"/>
    <cellStyle name="Akzent3" xfId="21"/>
    <cellStyle name="Akzent4" xfId="22"/>
    <cellStyle name="Akzent5" xfId="23"/>
    <cellStyle name="Akzent6" xfId="24"/>
    <cellStyle name="Ausgabe" xfId="25"/>
    <cellStyle name="Berechnung" xfId="26"/>
    <cellStyle name="Comma_template landscape1" xfId="27"/>
    <cellStyle name="Eingabe" xfId="28"/>
    <cellStyle name="Ergebnis" xfId="29"/>
    <cellStyle name="Erklärender Text" xfId="30"/>
    <cellStyle name="Gut" xfId="31"/>
    <cellStyle name="Hyperlink" xfId="32" builtinId="8"/>
    <cellStyle name="Neutral" xfId="33" builtinId="28" customBuiltin="1"/>
    <cellStyle name="Normal" xfId="0" builtinId="0"/>
    <cellStyle name="Normal 2" xfId="46"/>
    <cellStyle name="Normal_Sales DetailedTD_CR_XXXX_Template" xfId="34"/>
    <cellStyle name="Notiz" xfId="35"/>
    <cellStyle name="Schlecht" xfId="36"/>
    <cellStyle name="Standard 2" xfId="37"/>
    <cellStyle name="Überschrift" xfId="38"/>
    <cellStyle name="Überschrift 1" xfId="39"/>
    <cellStyle name="Überschrift 2" xfId="40"/>
    <cellStyle name="Überschrift 3" xfId="41"/>
    <cellStyle name="Überschrift 4" xfId="42"/>
    <cellStyle name="Verknüpfte Zelle" xfId="43"/>
    <cellStyle name="Warnender Text" xfId="44"/>
    <cellStyle name="Zelle überprüfen" xfId="4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5</xdr:col>
      <xdr:colOff>476250</xdr:colOff>
      <xdr:row>6</xdr:row>
      <xdr:rowOff>104775</xdr:rowOff>
    </xdr:from>
    <xdr:ext cx="188118" cy="881063"/>
    <xdr:sp macro="" textlink="">
      <xdr:nvSpPr>
        <xdr:cNvPr id="2049" name="Rectangle 1">
          <a:extLst>
            <a:ext uri="{FF2B5EF4-FFF2-40B4-BE49-F238E27FC236}">
              <a16:creationId xmlns:a16="http://schemas.microsoft.com/office/drawing/2014/main" id="{00000000-0008-0000-0000-000001080000}"/>
            </a:ext>
          </a:extLst>
        </xdr:cNvPr>
        <xdr:cNvSpPr>
          <a:spLocks noChangeArrowheads="1"/>
        </xdr:cNvSpPr>
      </xdr:nvSpPr>
      <xdr:spPr bwMode="auto">
        <a:xfrm>
          <a:off x="3933825" y="1085850"/>
          <a:ext cx="190500" cy="876300"/>
        </a:xfrm>
        <a:prstGeom prst="rect">
          <a:avLst/>
        </a:prstGeom>
        <a:noFill/>
        <a:ln w="9525">
          <a:noFill/>
          <a:miter lim="800000"/>
          <a:headEnd/>
          <a:tailEnd/>
        </a:ln>
        <a:effectLst/>
      </xdr:spPr>
    </xdr:sp>
    <xdr:clientData/>
  </xdr:oneCellAnchor>
  <xdr:twoCellAnchor>
    <xdr:from>
      <xdr:col>0</xdr:col>
      <xdr:colOff>0</xdr:colOff>
      <xdr:row>0</xdr:row>
      <xdr:rowOff>0</xdr:rowOff>
    </xdr:from>
    <xdr:to>
      <xdr:col>4</xdr:col>
      <xdr:colOff>66675</xdr:colOff>
      <xdr:row>5</xdr:row>
      <xdr:rowOff>76200</xdr:rowOff>
    </xdr:to>
    <xdr:pic>
      <xdr:nvPicPr>
        <xdr:cNvPr id="2050" name="Picture 2" descr="JTI_TMELogo_S">
          <a:extLst>
            <a:ext uri="{FF2B5EF4-FFF2-40B4-BE49-F238E27FC236}">
              <a16:creationId xmlns:a16="http://schemas.microsoft.com/office/drawing/2014/main" id="{00000000-0008-0000-0000-0000020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2914650" cy="895350"/>
        </a:xfrm>
        <a:prstGeom prst="rect">
          <a:avLst/>
        </a:prstGeom>
        <a:noFill/>
      </xdr:spPr>
    </xdr:pic>
    <xdr:clientData/>
  </xdr:twoCellAnchor>
  <xdr:twoCellAnchor>
    <xdr:from>
      <xdr:col>13</xdr:col>
      <xdr:colOff>257175</xdr:colOff>
      <xdr:row>0</xdr:row>
      <xdr:rowOff>104775</xdr:rowOff>
    </xdr:from>
    <xdr:to>
      <xdr:col>15</xdr:col>
      <xdr:colOff>266700</xdr:colOff>
      <xdr:row>6</xdr:row>
      <xdr:rowOff>66675</xdr:rowOff>
    </xdr:to>
    <xdr:pic>
      <xdr:nvPicPr>
        <xdr:cNvPr id="2051" name="Picture 3" descr="JTI Logo">
          <a:extLst>
            <a:ext uri="{FF2B5EF4-FFF2-40B4-BE49-F238E27FC236}">
              <a16:creationId xmlns:a16="http://schemas.microsoft.com/office/drawing/2014/main" id="{00000000-0008-0000-0000-00000308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591550" y="104775"/>
          <a:ext cx="1228725" cy="942975"/>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O40"/>
  <sheetViews>
    <sheetView showGridLines="0" tabSelected="1" zoomScale="80" zoomScaleNormal="75" workbookViewId="0">
      <selection activeCell="I23" sqref="I23"/>
    </sheetView>
  </sheetViews>
  <sheetFormatPr defaultRowHeight="12.75" x14ac:dyDescent="0.2"/>
  <cols>
    <col min="1" max="1" width="11.5703125" style="2" customWidth="1"/>
    <col min="2" max="2" width="12.85546875" style="2" bestFit="1" customWidth="1"/>
    <col min="3" max="6" width="9.140625" style="2"/>
    <col min="7" max="7" width="13.42578125" style="2" customWidth="1"/>
    <col min="8" max="8" width="9.85546875" style="2" customWidth="1"/>
    <col min="9" max="9" width="12.28515625" style="2" customWidth="1"/>
    <col min="10" max="10" width="9.140625" style="2"/>
    <col min="11" max="11" width="7" style="2" customWidth="1"/>
    <col min="12" max="13" width="17.28515625" style="2" customWidth="1"/>
    <col min="14" max="16384" width="9.140625" style="2"/>
  </cols>
  <sheetData>
    <row r="1" spans="1:15" ht="13.5" x14ac:dyDescent="0.25">
      <c r="A1" s="1"/>
    </row>
    <row r="10" spans="1:15" ht="13.5" x14ac:dyDescent="0.25">
      <c r="A10" s="1"/>
      <c r="B10" s="1"/>
      <c r="C10" s="1"/>
      <c r="D10" s="1"/>
      <c r="E10" s="1"/>
      <c r="F10" s="1"/>
      <c r="G10" s="1"/>
      <c r="H10" s="1"/>
      <c r="I10" s="1"/>
    </row>
    <row r="11" spans="1:15" ht="13.5" x14ac:dyDescent="0.25">
      <c r="A11" s="1"/>
      <c r="B11" s="1"/>
      <c r="C11" s="1"/>
      <c r="D11" s="1"/>
      <c r="E11" s="1"/>
      <c r="F11" s="1"/>
      <c r="G11" s="1"/>
      <c r="H11" s="1"/>
      <c r="I11" s="1"/>
    </row>
    <row r="12" spans="1:15" ht="13.5" x14ac:dyDescent="0.25">
      <c r="A12" s="1"/>
      <c r="B12" s="1"/>
      <c r="C12" s="1"/>
      <c r="D12" s="1"/>
      <c r="E12" s="1"/>
      <c r="F12" s="1"/>
      <c r="G12" s="1"/>
      <c r="H12" s="1"/>
      <c r="I12" s="1"/>
    </row>
    <row r="13" spans="1:15" ht="32.25" customHeight="1" thickBot="1" x14ac:dyDescent="0.45">
      <c r="A13" s="107" t="s">
        <v>0</v>
      </c>
      <c r="B13" s="107"/>
      <c r="C13" s="107"/>
      <c r="D13" s="107"/>
      <c r="E13" s="107"/>
      <c r="F13" s="107"/>
      <c r="G13" s="107"/>
      <c r="H13" s="107"/>
      <c r="I13" s="107"/>
      <c r="J13" s="107"/>
      <c r="K13" s="107"/>
      <c r="L13" s="107"/>
      <c r="M13" s="107"/>
      <c r="N13" s="107"/>
      <c r="O13" s="107"/>
    </row>
    <row r="14" spans="1:15" ht="14.25" thickTop="1" x14ac:dyDescent="0.25">
      <c r="A14" s="1"/>
      <c r="B14" s="1"/>
      <c r="C14" s="1"/>
      <c r="D14" s="1"/>
      <c r="E14" s="1"/>
      <c r="F14" s="1"/>
      <c r="G14" s="1"/>
      <c r="H14" s="1"/>
      <c r="I14" s="1"/>
    </row>
    <row r="15" spans="1:15" ht="13.5" x14ac:dyDescent="0.25">
      <c r="A15" s="1"/>
      <c r="B15" s="1"/>
      <c r="C15" s="1"/>
      <c r="D15" s="1"/>
      <c r="E15" s="1"/>
      <c r="F15" s="1"/>
      <c r="G15" s="1"/>
      <c r="H15" s="1"/>
      <c r="I15" s="1"/>
    </row>
    <row r="16" spans="1:15" ht="13.5" customHeight="1" x14ac:dyDescent="0.25">
      <c r="A16" s="1"/>
      <c r="B16" s="1"/>
      <c r="C16" s="1"/>
      <c r="D16" s="1"/>
      <c r="E16" s="1"/>
      <c r="F16" s="1"/>
      <c r="G16" s="1"/>
      <c r="H16" s="1"/>
      <c r="I16" s="1"/>
    </row>
    <row r="17" spans="1:15" ht="14.25" customHeight="1" x14ac:dyDescent="0.25">
      <c r="A17" s="1"/>
      <c r="B17" s="1"/>
      <c r="C17" s="1"/>
      <c r="D17" s="1"/>
      <c r="E17" s="1"/>
      <c r="F17" s="1"/>
      <c r="G17" s="1"/>
      <c r="H17" s="1"/>
      <c r="I17" s="1"/>
    </row>
    <row r="18" spans="1:15" ht="13.5" x14ac:dyDescent="0.25">
      <c r="A18" s="1"/>
      <c r="B18" s="1"/>
      <c r="C18" s="1"/>
      <c r="D18" s="1"/>
      <c r="E18" s="1"/>
      <c r="F18" s="1"/>
      <c r="G18" s="1"/>
      <c r="H18" s="1"/>
      <c r="I18" s="1"/>
    </row>
    <row r="19" spans="1:15" ht="13.5" x14ac:dyDescent="0.25">
      <c r="A19" s="1"/>
      <c r="B19" s="1"/>
      <c r="C19" s="1"/>
      <c r="D19" s="1"/>
      <c r="E19" s="1"/>
      <c r="F19" s="1"/>
      <c r="G19" s="1"/>
      <c r="H19" s="1"/>
      <c r="I19" s="1"/>
    </row>
    <row r="20" spans="1:15" ht="30.75" x14ac:dyDescent="0.45">
      <c r="A20" s="108" t="s">
        <v>12</v>
      </c>
      <c r="B20" s="108"/>
      <c r="C20" s="108"/>
      <c r="D20" s="108"/>
      <c r="E20" s="108"/>
      <c r="F20" s="108"/>
      <c r="G20" s="108"/>
      <c r="H20" s="108"/>
      <c r="I20" s="108"/>
      <c r="J20" s="108"/>
      <c r="K20" s="108"/>
      <c r="L20" s="108"/>
      <c r="M20" s="108"/>
      <c r="N20" s="108"/>
      <c r="O20" s="108"/>
    </row>
    <row r="21" spans="1:15" ht="30.75" x14ac:dyDescent="0.45">
      <c r="A21" s="108" t="s">
        <v>13</v>
      </c>
      <c r="B21" s="108"/>
      <c r="C21" s="108"/>
      <c r="D21" s="108"/>
      <c r="E21" s="108"/>
      <c r="F21" s="108"/>
      <c r="G21" s="108"/>
      <c r="H21" s="108"/>
      <c r="I21" s="108"/>
      <c r="J21" s="108"/>
      <c r="K21" s="108"/>
      <c r="L21" s="108"/>
      <c r="M21" s="108"/>
      <c r="N21" s="108"/>
      <c r="O21" s="108"/>
    </row>
    <row r="22" spans="1:15" ht="13.5" x14ac:dyDescent="0.25">
      <c r="A22" s="1"/>
      <c r="B22" s="1"/>
      <c r="C22" s="1"/>
      <c r="D22" s="1"/>
      <c r="E22" s="1"/>
      <c r="F22" s="1"/>
      <c r="G22" s="1"/>
      <c r="H22" s="1"/>
      <c r="I22" s="1"/>
    </row>
    <row r="23" spans="1:15" ht="30.75" x14ac:dyDescent="0.45">
      <c r="A23" s="89"/>
      <c r="B23" s="89"/>
      <c r="C23" s="89"/>
      <c r="D23" s="89"/>
      <c r="E23" s="89"/>
      <c r="F23" s="90"/>
      <c r="G23" s="108" t="s">
        <v>237</v>
      </c>
      <c r="H23" s="111"/>
      <c r="I23" s="92" t="s">
        <v>275</v>
      </c>
      <c r="J23" s="90"/>
      <c r="L23" s="89"/>
      <c r="M23" s="89"/>
      <c r="N23" s="89"/>
      <c r="O23" s="89"/>
    </row>
    <row r="24" spans="1:15" s="6" customFormat="1" ht="27.75" customHeight="1" x14ac:dyDescent="0.45">
      <c r="A24" s="95"/>
      <c r="B24" s="95"/>
      <c r="C24" s="95"/>
      <c r="D24" s="95"/>
      <c r="F24" s="97"/>
      <c r="G24" s="108" t="s">
        <v>243</v>
      </c>
      <c r="H24" s="108"/>
      <c r="I24" s="92" t="s">
        <v>256</v>
      </c>
      <c r="J24" s="95"/>
      <c r="K24" s="95"/>
      <c r="L24" s="95"/>
      <c r="M24" s="95"/>
      <c r="N24" s="95"/>
      <c r="O24" s="95"/>
    </row>
    <row r="25" spans="1:15" ht="27.75" x14ac:dyDescent="0.4">
      <c r="F25" s="114" t="s">
        <v>236</v>
      </c>
      <c r="G25" s="114"/>
      <c r="H25" s="114"/>
      <c r="I25" s="114"/>
      <c r="J25" s="114"/>
      <c r="K25" s="114"/>
      <c r="L25" s="96" t="s">
        <v>246</v>
      </c>
    </row>
    <row r="26" spans="1:15" ht="27.75" x14ac:dyDescent="0.4">
      <c r="F26" s="115" t="s">
        <v>244</v>
      </c>
      <c r="G26" s="115"/>
      <c r="H26" s="115"/>
      <c r="I26" s="115"/>
      <c r="J26" s="112" t="s">
        <v>245</v>
      </c>
      <c r="K26" s="113"/>
    </row>
    <row r="27" spans="1:15" ht="16.5" x14ac:dyDescent="0.3">
      <c r="A27" s="110"/>
      <c r="B27" s="110"/>
      <c r="C27" s="110"/>
      <c r="D27" s="110"/>
      <c r="E27" s="110"/>
      <c r="F27" s="110"/>
      <c r="G27" s="110"/>
      <c r="H27" s="110"/>
      <c r="I27" s="110"/>
    </row>
    <row r="28" spans="1:15" ht="18" customHeight="1" x14ac:dyDescent="0.3">
      <c r="A28" s="109"/>
      <c r="B28" s="109"/>
      <c r="C28" s="109"/>
      <c r="D28" s="109"/>
      <c r="E28" s="109"/>
      <c r="F28" s="109"/>
      <c r="G28" s="109"/>
      <c r="H28" s="109"/>
      <c r="I28" s="109"/>
    </row>
    <row r="37" spans="1:9" ht="18" customHeight="1" x14ac:dyDescent="0.2"/>
    <row r="38" spans="1:9" ht="15.75" x14ac:dyDescent="0.25">
      <c r="A38" s="3" t="s">
        <v>1</v>
      </c>
      <c r="B38" s="4">
        <f ca="1">TODAY()</f>
        <v>43259</v>
      </c>
      <c r="C38" s="1"/>
      <c r="D38" s="1"/>
      <c r="E38" s="1"/>
      <c r="F38" s="1"/>
      <c r="G38" s="1"/>
      <c r="H38" s="1"/>
      <c r="I38" s="1"/>
    </row>
    <row r="39" spans="1:9" ht="15.75" x14ac:dyDescent="0.25">
      <c r="A39" s="3" t="s">
        <v>2</v>
      </c>
      <c r="B39" s="5" t="s">
        <v>3</v>
      </c>
      <c r="C39" s="1"/>
      <c r="D39" s="1"/>
      <c r="E39" s="1"/>
      <c r="F39" s="1"/>
      <c r="G39" s="1"/>
      <c r="H39" s="1"/>
      <c r="I39" s="1"/>
    </row>
    <row r="40" spans="1:9" ht="15.75" x14ac:dyDescent="0.25">
      <c r="A40" s="3"/>
      <c r="B40" s="5"/>
      <c r="C40" s="1"/>
      <c r="D40" s="1"/>
      <c r="E40" s="1"/>
      <c r="F40" s="1"/>
      <c r="G40" s="1"/>
      <c r="H40" s="1"/>
      <c r="I40" s="1"/>
    </row>
  </sheetData>
  <mergeCells count="10">
    <mergeCell ref="A13:O13"/>
    <mergeCell ref="A20:O20"/>
    <mergeCell ref="A21:O21"/>
    <mergeCell ref="A28:I28"/>
    <mergeCell ref="A27:I27"/>
    <mergeCell ref="G23:H23"/>
    <mergeCell ref="J26:K26"/>
    <mergeCell ref="G24:H24"/>
    <mergeCell ref="F25:K25"/>
    <mergeCell ref="F26:I26"/>
  </mergeCells>
  <phoneticPr fontId="0" type="noConversion"/>
  <printOptions horizontalCentered="1"/>
  <pageMargins left="0.74803149606299213" right="0.74803149606299213" top="0.98425196850393704" bottom="0.98425196850393704" header="0.51181102362204722" footer="0.51181102362204722"/>
  <pageSetup paperSize="9" scale="77" orientation="landscape" r:id="rId1"/>
  <headerFooter alignWithMargins="0">
    <oddFooter>&amp;L&amp;"Book Antiqua,Regular"&amp;8Document: &amp;F&amp;R&amp;"Book Antiqua,Regular"&amp;8Page &amp;P / &amp;N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T37"/>
  <sheetViews>
    <sheetView showGridLines="0" zoomScaleNormal="100" workbookViewId="0">
      <selection activeCell="A6" sqref="A6"/>
    </sheetView>
  </sheetViews>
  <sheetFormatPr defaultRowHeight="13.5" x14ac:dyDescent="0.2"/>
  <cols>
    <col min="1" max="1" width="7.85546875" style="9" customWidth="1"/>
    <col min="2" max="2" width="22.140625" style="9" customWidth="1"/>
    <col min="3" max="3" width="6.42578125" style="9" customWidth="1"/>
    <col min="4" max="4" width="21.5703125" style="9" customWidth="1"/>
    <col min="5" max="5" width="0.140625" style="9" customWidth="1"/>
    <col min="6" max="6" width="9.140625" style="9" hidden="1" customWidth="1"/>
    <col min="7" max="7" width="19.7109375" style="9" customWidth="1"/>
    <col min="8" max="8" width="9.140625" style="9" hidden="1" customWidth="1"/>
    <col min="9" max="9" width="9.28515625" style="9" hidden="1" customWidth="1"/>
    <col min="10" max="10" width="33.5703125" style="9" customWidth="1"/>
    <col min="11" max="11" width="12.42578125" style="9" customWidth="1"/>
    <col min="12" max="12" width="9.140625" style="9" hidden="1" customWidth="1"/>
    <col min="13" max="13" width="28" style="9" customWidth="1"/>
    <col min="14" max="15" width="9.140625" style="9"/>
    <col min="16" max="16" width="37.140625" style="9" customWidth="1"/>
    <col min="17" max="16384" width="9.140625" style="9"/>
  </cols>
  <sheetData>
    <row r="1" spans="1:20" ht="16.5" x14ac:dyDescent="0.2">
      <c r="A1" s="7" t="s">
        <v>4</v>
      </c>
      <c r="B1" s="8"/>
      <c r="C1" s="8"/>
      <c r="D1" s="8"/>
      <c r="E1" s="8"/>
      <c r="F1" s="8"/>
      <c r="G1" s="8"/>
      <c r="H1" s="8"/>
      <c r="I1" s="8"/>
    </row>
    <row r="2" spans="1:20" x14ac:dyDescent="0.2">
      <c r="A2" s="10"/>
      <c r="B2" s="8"/>
      <c r="C2" s="8"/>
      <c r="D2" s="8"/>
      <c r="E2" s="8"/>
      <c r="F2" s="10"/>
      <c r="G2" s="8"/>
      <c r="H2" s="8"/>
      <c r="I2" s="8"/>
    </row>
    <row r="3" spans="1:20" ht="15" x14ac:dyDescent="0.2">
      <c r="A3" s="129" t="s">
        <v>5</v>
      </c>
      <c r="B3" s="129"/>
      <c r="C3" s="129"/>
      <c r="D3" s="129" t="s">
        <v>6</v>
      </c>
      <c r="E3" s="129"/>
      <c r="F3" s="129"/>
      <c r="G3" s="129" t="s">
        <v>7</v>
      </c>
      <c r="H3" s="129"/>
      <c r="I3" s="129"/>
      <c r="J3" s="123" t="s">
        <v>8</v>
      </c>
      <c r="K3" s="127"/>
      <c r="L3" s="128"/>
      <c r="M3" s="129" t="s">
        <v>9</v>
      </c>
      <c r="N3" s="129"/>
      <c r="O3" s="129"/>
      <c r="P3" s="11" t="s">
        <v>10</v>
      </c>
    </row>
    <row r="4" spans="1:20" ht="27" x14ac:dyDescent="0.2">
      <c r="A4" s="119" t="s">
        <v>257</v>
      </c>
      <c r="B4" s="120"/>
      <c r="C4" s="121"/>
      <c r="D4" s="119" t="s">
        <v>258</v>
      </c>
      <c r="E4" s="121"/>
      <c r="F4" s="12"/>
      <c r="G4" s="122" t="s">
        <v>225</v>
      </c>
      <c r="H4" s="122"/>
      <c r="I4" s="122"/>
      <c r="J4" s="133">
        <v>1</v>
      </c>
      <c r="K4" s="134"/>
      <c r="L4" s="13"/>
      <c r="M4" s="130">
        <v>43256</v>
      </c>
      <c r="N4" s="131"/>
      <c r="O4" s="132"/>
      <c r="P4" s="14" t="s">
        <v>259</v>
      </c>
      <c r="T4" s="15"/>
    </row>
    <row r="5" spans="1:20" x14ac:dyDescent="0.2">
      <c r="A5" s="119" t="s">
        <v>271</v>
      </c>
      <c r="B5" s="120"/>
      <c r="C5" s="121"/>
      <c r="D5" s="119" t="s">
        <v>272</v>
      </c>
      <c r="E5" s="121"/>
      <c r="F5" s="12"/>
      <c r="G5" s="122" t="s">
        <v>273</v>
      </c>
      <c r="H5" s="122"/>
      <c r="I5" s="122"/>
      <c r="J5" s="133">
        <v>1</v>
      </c>
      <c r="K5" s="134"/>
      <c r="L5" s="13"/>
      <c r="M5" s="130">
        <v>43259</v>
      </c>
      <c r="N5" s="131"/>
      <c r="O5" s="132"/>
      <c r="P5" s="14" t="s">
        <v>274</v>
      </c>
      <c r="T5" s="15"/>
    </row>
    <row r="6" spans="1:20" x14ac:dyDescent="0.2">
      <c r="A6" s="8"/>
      <c r="B6" s="8"/>
      <c r="C6" s="8"/>
      <c r="D6" s="8"/>
      <c r="E6" s="8"/>
      <c r="F6" s="8"/>
      <c r="G6" s="8"/>
      <c r="H6" s="8"/>
      <c r="I6" s="8"/>
    </row>
    <row r="7" spans="1:20" ht="16.5" x14ac:dyDescent="0.2">
      <c r="A7" s="7" t="s">
        <v>67</v>
      </c>
      <c r="B7" s="7"/>
      <c r="C7" s="7"/>
      <c r="D7" s="7"/>
      <c r="E7" s="8"/>
      <c r="F7" s="10"/>
      <c r="G7" s="8"/>
      <c r="H7" s="8"/>
      <c r="I7" s="8"/>
    </row>
    <row r="8" spans="1:20" x14ac:dyDescent="0.2">
      <c r="A8" s="8"/>
      <c r="B8" s="8"/>
      <c r="C8" s="8"/>
      <c r="D8" s="8"/>
      <c r="E8" s="8"/>
      <c r="F8" s="8"/>
      <c r="G8" s="8"/>
      <c r="H8" s="8"/>
      <c r="I8" s="8"/>
    </row>
    <row r="9" spans="1:20" ht="29.25" customHeight="1" x14ac:dyDescent="0.2">
      <c r="A9" s="126" t="s">
        <v>5</v>
      </c>
      <c r="B9" s="125"/>
      <c r="C9" s="126" t="s">
        <v>6</v>
      </c>
      <c r="D9" s="125"/>
      <c r="E9" s="126" t="s">
        <v>7</v>
      </c>
      <c r="F9" s="124"/>
      <c r="G9" s="125"/>
      <c r="H9" s="123" t="s">
        <v>8</v>
      </c>
      <c r="I9" s="124"/>
      <c r="J9" s="125"/>
      <c r="K9" s="126" t="s">
        <v>9</v>
      </c>
      <c r="L9" s="125"/>
      <c r="M9" s="126" t="s">
        <v>11</v>
      </c>
      <c r="N9" s="124"/>
      <c r="O9" s="125"/>
    </row>
    <row r="10" spans="1:20" x14ac:dyDescent="0.2">
      <c r="A10" s="118"/>
      <c r="B10" s="118"/>
      <c r="C10" s="118"/>
      <c r="D10" s="118"/>
      <c r="E10" s="118"/>
      <c r="F10" s="118"/>
      <c r="G10" s="118"/>
      <c r="H10" s="118"/>
      <c r="I10" s="118"/>
      <c r="J10" s="118"/>
      <c r="K10" s="118"/>
      <c r="L10" s="118"/>
      <c r="M10" s="118"/>
      <c r="N10" s="118"/>
      <c r="O10" s="118"/>
    </row>
    <row r="11" spans="1:20" x14ac:dyDescent="0.2">
      <c r="A11" s="118"/>
      <c r="B11" s="118"/>
      <c r="C11" s="118"/>
      <c r="D11" s="118"/>
      <c r="E11" s="118"/>
      <c r="F11" s="118"/>
      <c r="G11" s="118"/>
      <c r="H11" s="118"/>
      <c r="I11" s="118"/>
      <c r="J11" s="118"/>
      <c r="K11" s="118"/>
      <c r="L11" s="118"/>
      <c r="M11" s="118"/>
      <c r="N11" s="118"/>
      <c r="O11" s="118"/>
    </row>
    <row r="12" spans="1:20" x14ac:dyDescent="0.2">
      <c r="A12" s="118"/>
      <c r="B12" s="118"/>
      <c r="C12" s="118"/>
      <c r="D12" s="118"/>
      <c r="E12" s="118"/>
      <c r="F12" s="118"/>
      <c r="G12" s="118"/>
      <c r="H12" s="118"/>
      <c r="I12" s="118"/>
      <c r="J12" s="118"/>
      <c r="K12" s="118"/>
      <c r="L12" s="118"/>
      <c r="M12" s="118"/>
      <c r="N12" s="118"/>
      <c r="O12" s="118"/>
    </row>
    <row r="13" spans="1:20" x14ac:dyDescent="0.2">
      <c r="A13" s="118"/>
      <c r="B13" s="118"/>
      <c r="C13" s="118"/>
      <c r="D13" s="118"/>
      <c r="E13" s="118"/>
      <c r="F13" s="118"/>
      <c r="G13" s="118"/>
      <c r="H13" s="118"/>
      <c r="I13" s="118"/>
      <c r="J13" s="118"/>
      <c r="K13" s="118"/>
      <c r="L13" s="118"/>
      <c r="M13" s="118"/>
      <c r="N13" s="118"/>
      <c r="O13" s="118"/>
    </row>
    <row r="14" spans="1:20" x14ac:dyDescent="0.2">
      <c r="A14" s="118"/>
      <c r="B14" s="118"/>
      <c r="C14" s="118"/>
      <c r="D14" s="118"/>
      <c r="E14" s="118"/>
      <c r="F14" s="118"/>
      <c r="G14" s="118"/>
      <c r="H14" s="118"/>
      <c r="I14" s="118"/>
      <c r="J14" s="118"/>
      <c r="K14" s="118"/>
      <c r="L14" s="118"/>
      <c r="M14" s="118"/>
      <c r="N14" s="118"/>
      <c r="O14" s="118"/>
    </row>
    <row r="15" spans="1:20" x14ac:dyDescent="0.2">
      <c r="A15" s="118"/>
      <c r="B15" s="118"/>
      <c r="C15" s="118"/>
      <c r="D15" s="118"/>
      <c r="E15" s="118"/>
      <c r="F15" s="118"/>
      <c r="G15" s="118"/>
      <c r="H15" s="118"/>
      <c r="I15" s="118"/>
      <c r="J15" s="118"/>
      <c r="K15" s="118"/>
      <c r="L15" s="118"/>
      <c r="M15" s="118"/>
      <c r="N15" s="118"/>
      <c r="O15" s="118"/>
    </row>
    <row r="16" spans="1:20" x14ac:dyDescent="0.2">
      <c r="A16" s="118"/>
      <c r="B16" s="118"/>
      <c r="C16" s="118"/>
      <c r="D16" s="118"/>
      <c r="E16" s="118"/>
      <c r="F16" s="118"/>
      <c r="G16" s="118"/>
      <c r="H16" s="118"/>
      <c r="I16" s="118"/>
      <c r="J16" s="118"/>
      <c r="K16" s="118"/>
      <c r="L16" s="118"/>
      <c r="M16" s="118"/>
      <c r="N16" s="118"/>
      <c r="O16" s="118"/>
    </row>
    <row r="17" spans="1:15" x14ac:dyDescent="0.2">
      <c r="A17" s="118"/>
      <c r="B17" s="118"/>
      <c r="C17" s="118"/>
      <c r="D17" s="118"/>
      <c r="E17" s="118"/>
      <c r="F17" s="118"/>
      <c r="G17" s="118"/>
      <c r="H17" s="118"/>
      <c r="I17" s="118"/>
      <c r="J17" s="118"/>
      <c r="K17" s="118"/>
      <c r="L17" s="118"/>
      <c r="M17" s="118"/>
      <c r="N17" s="118"/>
      <c r="O17" s="118"/>
    </row>
    <row r="20" spans="1:15" ht="15" x14ac:dyDescent="0.2">
      <c r="A20" s="116" t="s">
        <v>14</v>
      </c>
      <c r="B20" s="116"/>
      <c r="C20" s="116" t="s">
        <v>15</v>
      </c>
      <c r="D20" s="116"/>
    </row>
    <row r="21" spans="1:15" x14ac:dyDescent="0.2">
      <c r="A21" s="117" t="s">
        <v>70</v>
      </c>
      <c r="B21" s="117"/>
      <c r="C21" s="118">
        <v>0</v>
      </c>
      <c r="D21" s="118"/>
      <c r="J21" s="9" t="s">
        <v>270</v>
      </c>
    </row>
    <row r="22" spans="1:15" x14ac:dyDescent="0.2">
      <c r="A22" s="117" t="s">
        <v>71</v>
      </c>
      <c r="B22" s="117"/>
      <c r="C22" s="118">
        <v>0</v>
      </c>
      <c r="D22" s="118"/>
      <c r="J22" s="9" t="s">
        <v>269</v>
      </c>
    </row>
    <row r="23" spans="1:15" x14ac:dyDescent="0.2">
      <c r="A23" s="117" t="s">
        <v>178</v>
      </c>
      <c r="B23" s="117"/>
      <c r="C23" s="118">
        <v>0</v>
      </c>
      <c r="D23" s="118"/>
    </row>
    <row r="24" spans="1:15" x14ac:dyDescent="0.2">
      <c r="A24" s="117" t="s">
        <v>16</v>
      </c>
      <c r="B24" s="117"/>
      <c r="C24" s="118">
        <f>'1.0 DB Schema'!B31+'2.0 Ifb &amp; PHP'!B40+'3.0 Mapping'!B9+'4.0 Worklet &amp; workflow'!B17+'5.0 Stored Procedure'!B10+'4.1 Session Details'!B13</f>
        <v>0</v>
      </c>
      <c r="D24" s="118"/>
    </row>
    <row r="25" spans="1:15" x14ac:dyDescent="0.2">
      <c r="A25" s="117" t="s">
        <v>19</v>
      </c>
      <c r="B25" s="117"/>
      <c r="C25" s="118">
        <v>0</v>
      </c>
      <c r="D25" s="118"/>
    </row>
    <row r="26" spans="1:15" x14ac:dyDescent="0.2">
      <c r="A26" s="117" t="s">
        <v>17</v>
      </c>
      <c r="B26" s="117"/>
      <c r="C26" s="145">
        <v>0</v>
      </c>
      <c r="D26" s="146"/>
    </row>
    <row r="27" spans="1:15" ht="15" x14ac:dyDescent="0.2">
      <c r="A27" s="135" t="s">
        <v>18</v>
      </c>
      <c r="B27" s="135"/>
      <c r="C27" s="116">
        <f>ROUND(SUM(C21:E26),2)</f>
        <v>0</v>
      </c>
      <c r="D27" s="116"/>
    </row>
    <row r="30" spans="1:15" x14ac:dyDescent="0.2">
      <c r="B30" s="142" t="s">
        <v>81</v>
      </c>
      <c r="C30" s="143"/>
      <c r="D30" s="143"/>
      <c r="E30" s="143"/>
      <c r="F30" s="143"/>
      <c r="G30" s="143"/>
      <c r="H30" s="143"/>
      <c r="I30" s="143"/>
      <c r="J30" s="143"/>
      <c r="K30" s="143"/>
      <c r="L30" s="143"/>
      <c r="M30" s="144"/>
    </row>
    <row r="31" spans="1:15" ht="33.75" customHeight="1" x14ac:dyDescent="0.2">
      <c r="B31" s="140" t="s">
        <v>70</v>
      </c>
      <c r="C31" s="141"/>
      <c r="D31" s="139" t="s">
        <v>177</v>
      </c>
      <c r="E31" s="139"/>
      <c r="F31" s="139"/>
      <c r="G31" s="139"/>
      <c r="H31" s="139"/>
      <c r="I31" s="139"/>
      <c r="J31" s="139"/>
      <c r="K31" s="139"/>
      <c r="L31" s="139"/>
      <c r="M31" s="139"/>
    </row>
    <row r="32" spans="1:15" ht="39.75" customHeight="1" x14ac:dyDescent="0.2">
      <c r="B32" s="140" t="s">
        <v>71</v>
      </c>
      <c r="C32" s="141"/>
      <c r="D32" s="139" t="s">
        <v>82</v>
      </c>
      <c r="E32" s="139"/>
      <c r="F32" s="139"/>
      <c r="G32" s="139"/>
      <c r="H32" s="139"/>
      <c r="I32" s="139"/>
      <c r="J32" s="139"/>
      <c r="K32" s="139"/>
      <c r="L32" s="139"/>
      <c r="M32" s="139"/>
    </row>
    <row r="33" spans="2:13" ht="236.25" customHeight="1" x14ac:dyDescent="0.2">
      <c r="B33" s="140" t="s">
        <v>178</v>
      </c>
      <c r="C33" s="141"/>
      <c r="D33" s="139" t="s">
        <v>223</v>
      </c>
      <c r="E33" s="139"/>
      <c r="F33" s="139"/>
      <c r="G33" s="139"/>
      <c r="H33" s="139"/>
      <c r="I33" s="139"/>
      <c r="J33" s="139"/>
      <c r="K33" s="139"/>
      <c r="L33" s="139"/>
      <c r="M33" s="139"/>
    </row>
    <row r="34" spans="2:13" ht="15" x14ac:dyDescent="0.2">
      <c r="B34" s="140" t="s">
        <v>16</v>
      </c>
      <c r="C34" s="141"/>
      <c r="D34" s="139" t="s">
        <v>112</v>
      </c>
      <c r="E34" s="139"/>
      <c r="F34" s="139"/>
      <c r="G34" s="139"/>
      <c r="H34" s="139"/>
      <c r="I34" s="139"/>
      <c r="J34" s="139"/>
      <c r="K34" s="139"/>
      <c r="L34" s="139"/>
      <c r="M34" s="139"/>
    </row>
    <row r="35" spans="2:13" ht="52.5" customHeight="1" x14ac:dyDescent="0.2">
      <c r="B35" s="140" t="s">
        <v>19</v>
      </c>
      <c r="C35" s="141"/>
      <c r="D35" s="136" t="s">
        <v>113</v>
      </c>
      <c r="E35" s="137"/>
      <c r="F35" s="137"/>
      <c r="G35" s="137"/>
      <c r="H35" s="137"/>
      <c r="I35" s="137"/>
      <c r="J35" s="137"/>
      <c r="K35" s="137"/>
      <c r="L35" s="137"/>
      <c r="M35" s="138"/>
    </row>
    <row r="36" spans="2:13" ht="34.5" customHeight="1" x14ac:dyDescent="0.2">
      <c r="B36" s="140" t="s">
        <v>17</v>
      </c>
      <c r="C36" s="141"/>
      <c r="D36" s="139" t="s">
        <v>114</v>
      </c>
      <c r="E36" s="139"/>
      <c r="F36" s="139"/>
      <c r="G36" s="139"/>
      <c r="H36" s="139"/>
      <c r="I36" s="139"/>
      <c r="J36" s="139"/>
      <c r="K36" s="139"/>
      <c r="L36" s="139"/>
      <c r="M36" s="139"/>
    </row>
    <row r="37" spans="2:13" ht="29.25" customHeight="1" x14ac:dyDescent="0.2"/>
  </sheetData>
  <mergeCells count="98">
    <mergeCell ref="B30:M30"/>
    <mergeCell ref="A26:B26"/>
    <mergeCell ref="C26:D26"/>
    <mergeCell ref="C25:D25"/>
    <mergeCell ref="D34:M34"/>
    <mergeCell ref="D35:M35"/>
    <mergeCell ref="D36:M36"/>
    <mergeCell ref="B36:C36"/>
    <mergeCell ref="B31:C31"/>
    <mergeCell ref="B32:C32"/>
    <mergeCell ref="B34:C34"/>
    <mergeCell ref="B35:C35"/>
    <mergeCell ref="B33:C33"/>
    <mergeCell ref="D33:M33"/>
    <mergeCell ref="D31:M31"/>
    <mergeCell ref="D32:M32"/>
    <mergeCell ref="A3:C3"/>
    <mergeCell ref="D3:F3"/>
    <mergeCell ref="A27:B27"/>
    <mergeCell ref="C27:D27"/>
    <mergeCell ref="A5:C5"/>
    <mergeCell ref="D5:E5"/>
    <mergeCell ref="A9:B9"/>
    <mergeCell ref="C9:D9"/>
    <mergeCell ref="E9:G9"/>
    <mergeCell ref="A25:B25"/>
    <mergeCell ref="G3:I3"/>
    <mergeCell ref="A12:B12"/>
    <mergeCell ref="C12:D12"/>
    <mergeCell ref="C13:D13"/>
    <mergeCell ref="C14:D14"/>
    <mergeCell ref="A17:B17"/>
    <mergeCell ref="J3:L3"/>
    <mergeCell ref="M3:O3"/>
    <mergeCell ref="M5:O5"/>
    <mergeCell ref="G5:I5"/>
    <mergeCell ref="J5:K5"/>
    <mergeCell ref="J4:K4"/>
    <mergeCell ref="M4:O4"/>
    <mergeCell ref="M17:O17"/>
    <mergeCell ref="M16:O16"/>
    <mergeCell ref="M15:O15"/>
    <mergeCell ref="H9:J9"/>
    <mergeCell ref="K9:L9"/>
    <mergeCell ref="M11:O11"/>
    <mergeCell ref="H10:J10"/>
    <mergeCell ref="H11:J11"/>
    <mergeCell ref="M9:O9"/>
    <mergeCell ref="K10:L10"/>
    <mergeCell ref="M10:O10"/>
    <mergeCell ref="K11:L11"/>
    <mergeCell ref="M12:O12"/>
    <mergeCell ref="M13:O13"/>
    <mergeCell ref="M14:O14"/>
    <mergeCell ref="K12:L12"/>
    <mergeCell ref="K13:L13"/>
    <mergeCell ref="H15:J15"/>
    <mergeCell ref="K17:L17"/>
    <mergeCell ref="K16:L16"/>
    <mergeCell ref="K14:L14"/>
    <mergeCell ref="K15:L15"/>
    <mergeCell ref="H16:J16"/>
    <mergeCell ref="A14:B14"/>
    <mergeCell ref="E14:G14"/>
    <mergeCell ref="A15:B15"/>
    <mergeCell ref="C15:D15"/>
    <mergeCell ref="H14:J14"/>
    <mergeCell ref="E15:G15"/>
    <mergeCell ref="H12:J12"/>
    <mergeCell ref="A4:C4"/>
    <mergeCell ref="D4:E4"/>
    <mergeCell ref="G4:I4"/>
    <mergeCell ref="A13:B13"/>
    <mergeCell ref="E13:G13"/>
    <mergeCell ref="H13:J13"/>
    <mergeCell ref="E12:G12"/>
    <mergeCell ref="A10:B10"/>
    <mergeCell ref="C10:D10"/>
    <mergeCell ref="E10:G10"/>
    <mergeCell ref="A11:B11"/>
    <mergeCell ref="C11:D11"/>
    <mergeCell ref="E11:G11"/>
    <mergeCell ref="A16:B16"/>
    <mergeCell ref="C16:D16"/>
    <mergeCell ref="E16:G16"/>
    <mergeCell ref="E17:G17"/>
    <mergeCell ref="H17:J17"/>
    <mergeCell ref="C17:D17"/>
    <mergeCell ref="A20:B20"/>
    <mergeCell ref="C20:D20"/>
    <mergeCell ref="A24:B24"/>
    <mergeCell ref="C24:D24"/>
    <mergeCell ref="A21:B21"/>
    <mergeCell ref="C21:D21"/>
    <mergeCell ref="A22:B22"/>
    <mergeCell ref="C22:D22"/>
    <mergeCell ref="A23:B23"/>
    <mergeCell ref="C23:D23"/>
  </mergeCells>
  <phoneticPr fontId="0" type="noConversion"/>
  <dataValidations count="1">
    <dataValidation type="list" allowBlank="1" showInputMessage="1" showErrorMessage="1" sqref="C23:D23">
      <formula1>"0, 0.04, 0.07 , 0.1"</formula1>
    </dataValidation>
  </dataValidations>
  <pageMargins left="0.75" right="0.75" top="1" bottom="1" header="0.5" footer="0.5"/>
  <pageSetup paperSize="9" orientation="landscape" r:id="rId1"/>
  <headerFooter alignWithMargins="0">
    <oddFooter>&amp;L&amp;"Book Antiqua,Regular"&amp;8Document: &amp;F&amp;R&amp;"Book Antiqua,Regular"&amp;8Page &amp;P / &amp;N</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19"/>
  <sheetViews>
    <sheetView workbookViewId="0">
      <selection activeCell="B6" sqref="B6"/>
    </sheetView>
  </sheetViews>
  <sheetFormatPr defaultColWidth="11.42578125" defaultRowHeight="12.75" x14ac:dyDescent="0.2"/>
  <cols>
    <col min="1" max="1" width="4.28515625" style="43" customWidth="1"/>
    <col min="2" max="2" width="87.42578125" style="26" customWidth="1"/>
    <col min="3" max="3" width="10.7109375" style="26" customWidth="1"/>
    <col min="4" max="16384" width="11.42578125" style="26"/>
  </cols>
  <sheetData>
    <row r="1" spans="1:2" ht="13.5" thickBot="1" x14ac:dyDescent="0.25">
      <c r="A1" s="147" t="s">
        <v>69</v>
      </c>
      <c r="B1" s="147"/>
    </row>
    <row r="2" spans="1:2" x14ac:dyDescent="0.2">
      <c r="A2" s="41"/>
      <c r="B2" s="30" t="s">
        <v>60</v>
      </c>
    </row>
    <row r="3" spans="1:2" x14ac:dyDescent="0.2">
      <c r="A3" s="42"/>
      <c r="B3" s="25"/>
    </row>
    <row r="4" spans="1:2" x14ac:dyDescent="0.2">
      <c r="B4" s="28"/>
    </row>
    <row r="5" spans="1:2" x14ac:dyDescent="0.2">
      <c r="A5" s="41" t="s">
        <v>59</v>
      </c>
      <c r="B5" s="29" t="s">
        <v>61</v>
      </c>
    </row>
    <row r="6" spans="1:2" ht="127.5" x14ac:dyDescent="0.2">
      <c r="A6" s="42">
        <v>1</v>
      </c>
      <c r="B6" s="101" t="s">
        <v>260</v>
      </c>
    </row>
    <row r="7" spans="1:2" x14ac:dyDescent="0.2">
      <c r="A7" s="42">
        <v>2</v>
      </c>
      <c r="B7" s="25"/>
    </row>
    <row r="8" spans="1:2" x14ac:dyDescent="0.2">
      <c r="A8" s="42">
        <v>3</v>
      </c>
      <c r="B8" s="25"/>
    </row>
    <row r="9" spans="1:2" x14ac:dyDescent="0.2">
      <c r="A9" s="42" t="s">
        <v>62</v>
      </c>
      <c r="B9" s="25"/>
    </row>
    <row r="10" spans="1:2" x14ac:dyDescent="0.2">
      <c r="A10" s="42" t="s">
        <v>63</v>
      </c>
      <c r="B10" s="25"/>
    </row>
    <row r="12" spans="1:2" x14ac:dyDescent="0.2">
      <c r="A12" s="41" t="s">
        <v>59</v>
      </c>
      <c r="B12" s="29" t="s">
        <v>64</v>
      </c>
    </row>
    <row r="13" spans="1:2" x14ac:dyDescent="0.2">
      <c r="A13" s="42">
        <v>4</v>
      </c>
      <c r="B13" s="25"/>
    </row>
    <row r="15" spans="1:2" x14ac:dyDescent="0.2">
      <c r="A15" s="41" t="s">
        <v>59</v>
      </c>
      <c r="B15" s="29" t="s">
        <v>65</v>
      </c>
    </row>
    <row r="16" spans="1:2" x14ac:dyDescent="0.2">
      <c r="A16" s="42">
        <v>5</v>
      </c>
      <c r="B16" s="25"/>
    </row>
    <row r="17" spans="1:2" ht="13.5" thickBot="1" x14ac:dyDescent="0.25"/>
    <row r="18" spans="1:2" x14ac:dyDescent="0.2">
      <c r="A18" s="44" t="s">
        <v>59</v>
      </c>
      <c r="B18" s="27" t="s">
        <v>66</v>
      </c>
    </row>
    <row r="19" spans="1:2" x14ac:dyDescent="0.2">
      <c r="A19" s="42">
        <v>6</v>
      </c>
      <c r="B19" s="25"/>
    </row>
  </sheetData>
  <mergeCells count="1">
    <mergeCell ref="A1:B1"/>
  </mergeCells>
  <phoneticPr fontId="2" type="noConversion"/>
  <pageMargins left="0.75" right="0.75" top="1" bottom="1" header="0" footer="0"/>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R19"/>
  <sheetViews>
    <sheetView workbookViewId="0">
      <selection activeCell="A5" sqref="A5"/>
    </sheetView>
  </sheetViews>
  <sheetFormatPr defaultRowHeight="12.75" x14ac:dyDescent="0.2"/>
  <cols>
    <col min="1" max="1" width="43.85546875" bestFit="1" customWidth="1"/>
    <col min="2" max="2" width="99.85546875" bestFit="1" customWidth="1"/>
    <col min="3" max="3" width="20.42578125" customWidth="1"/>
    <col min="4" max="4" width="25" customWidth="1"/>
    <col min="18" max="18" width="11" customWidth="1"/>
  </cols>
  <sheetData>
    <row r="1" spans="1:18" ht="13.5" thickBot="1" x14ac:dyDescent="0.25">
      <c r="A1" s="148" t="s">
        <v>143</v>
      </c>
      <c r="B1" s="149"/>
      <c r="C1" s="149"/>
      <c r="D1" s="150"/>
      <c r="M1" s="57" t="s">
        <v>144</v>
      </c>
      <c r="N1" s="58"/>
      <c r="O1" s="58"/>
      <c r="P1" s="58"/>
      <c r="Q1" s="58"/>
      <c r="R1" s="59"/>
    </row>
    <row r="2" spans="1:18" ht="13.5" thickBot="1" x14ac:dyDescent="0.25">
      <c r="C2" s="26"/>
      <c r="M2" s="60" t="s">
        <v>145</v>
      </c>
      <c r="N2" s="61"/>
      <c r="O2" s="61"/>
      <c r="P2" s="61"/>
      <c r="Q2" s="61"/>
      <c r="R2" s="62"/>
    </row>
    <row r="3" spans="1:18" x14ac:dyDescent="0.2">
      <c r="A3" s="67" t="s">
        <v>148</v>
      </c>
      <c r="B3" s="37"/>
      <c r="C3" s="37"/>
      <c r="M3" s="60" t="s">
        <v>146</v>
      </c>
      <c r="N3" s="61"/>
      <c r="O3" s="61"/>
      <c r="P3" s="61"/>
      <c r="Q3" s="61"/>
      <c r="R3" s="62"/>
    </row>
    <row r="4" spans="1:18" ht="25.5" customHeight="1" x14ac:dyDescent="0.2">
      <c r="A4" s="17" t="s">
        <v>150</v>
      </c>
      <c r="B4" s="17" t="s">
        <v>152</v>
      </c>
      <c r="C4" s="36" t="s">
        <v>149</v>
      </c>
      <c r="D4" s="36" t="s">
        <v>31</v>
      </c>
      <c r="M4" s="63" t="s">
        <v>147</v>
      </c>
      <c r="N4" s="61"/>
      <c r="O4" s="61"/>
      <c r="P4" s="61"/>
      <c r="Q4" s="61"/>
      <c r="R4" s="62"/>
    </row>
    <row r="5" spans="1:18" ht="128.25" thickBot="1" x14ac:dyDescent="0.25">
      <c r="A5" s="50" t="s">
        <v>151</v>
      </c>
      <c r="B5" s="31" t="s">
        <v>156</v>
      </c>
      <c r="C5" s="16" t="s">
        <v>255</v>
      </c>
      <c r="D5" s="16"/>
      <c r="M5" s="64"/>
      <c r="N5" s="65"/>
      <c r="O5" s="65"/>
      <c r="P5" s="65"/>
      <c r="Q5" s="65"/>
      <c r="R5" s="66"/>
    </row>
    <row r="6" spans="1:18" x14ac:dyDescent="0.2">
      <c r="A6" s="50" t="s">
        <v>153</v>
      </c>
      <c r="B6" s="50" t="s">
        <v>154</v>
      </c>
      <c r="C6" s="16" t="s">
        <v>255</v>
      </c>
      <c r="D6" s="16"/>
    </row>
    <row r="7" spans="1:18" x14ac:dyDescent="0.2">
      <c r="A7" s="50" t="s">
        <v>173</v>
      </c>
      <c r="B7" s="50" t="s">
        <v>174</v>
      </c>
      <c r="C7" s="16" t="s">
        <v>255</v>
      </c>
      <c r="D7" s="16"/>
    </row>
    <row r="8" spans="1:18" ht="89.25" x14ac:dyDescent="0.2">
      <c r="A8" s="50" t="s">
        <v>155</v>
      </c>
      <c r="B8" s="31" t="s">
        <v>157</v>
      </c>
      <c r="C8" s="16" t="s">
        <v>255</v>
      </c>
      <c r="D8" s="16"/>
    </row>
    <row r="9" spans="1:18" x14ac:dyDescent="0.2">
      <c r="A9" s="50" t="s">
        <v>158</v>
      </c>
      <c r="B9" s="50" t="s">
        <v>159</v>
      </c>
      <c r="C9" s="16" t="s">
        <v>255</v>
      </c>
      <c r="D9" s="16"/>
    </row>
    <row r="10" spans="1:18" x14ac:dyDescent="0.2">
      <c r="A10" s="50" t="s">
        <v>160</v>
      </c>
      <c r="B10" s="16"/>
      <c r="C10" s="16" t="s">
        <v>255</v>
      </c>
      <c r="D10" s="16"/>
    </row>
    <row r="11" spans="1:18" x14ac:dyDescent="0.2">
      <c r="A11" s="50" t="s">
        <v>161</v>
      </c>
      <c r="B11" s="50" t="s">
        <v>162</v>
      </c>
      <c r="C11" s="16" t="s">
        <v>255</v>
      </c>
      <c r="D11" s="16"/>
    </row>
    <row r="12" spans="1:18" x14ac:dyDescent="0.2">
      <c r="A12" s="50" t="s">
        <v>163</v>
      </c>
      <c r="B12" s="50" t="s">
        <v>164</v>
      </c>
      <c r="C12" s="16" t="s">
        <v>255</v>
      </c>
      <c r="D12" s="16"/>
    </row>
    <row r="13" spans="1:18" x14ac:dyDescent="0.2">
      <c r="A13" s="50" t="s">
        <v>165</v>
      </c>
      <c r="B13" s="50" t="s">
        <v>166</v>
      </c>
      <c r="C13" s="16" t="s">
        <v>255</v>
      </c>
      <c r="D13" s="16"/>
    </row>
    <row r="14" spans="1:18" x14ac:dyDescent="0.2">
      <c r="A14" s="50" t="s">
        <v>167</v>
      </c>
      <c r="B14" s="50" t="s">
        <v>168</v>
      </c>
      <c r="C14" s="16" t="s">
        <v>255</v>
      </c>
      <c r="D14" s="16"/>
    </row>
    <row r="15" spans="1:18" x14ac:dyDescent="0.2">
      <c r="A15" s="50" t="s">
        <v>169</v>
      </c>
      <c r="B15" s="50" t="s">
        <v>170</v>
      </c>
      <c r="C15" s="16" t="s">
        <v>255</v>
      </c>
      <c r="D15" s="16"/>
    </row>
    <row r="16" spans="1:18" x14ac:dyDescent="0.2">
      <c r="A16" s="50" t="s">
        <v>171</v>
      </c>
      <c r="B16" s="50" t="s">
        <v>172</v>
      </c>
      <c r="C16" s="16" t="s">
        <v>255</v>
      </c>
      <c r="D16" s="16"/>
    </row>
    <row r="17" spans="1:4" x14ac:dyDescent="0.2">
      <c r="A17" s="50" t="s">
        <v>175</v>
      </c>
      <c r="B17" s="50" t="s">
        <v>176</v>
      </c>
      <c r="C17" s="16" t="s">
        <v>255</v>
      </c>
      <c r="D17" s="16"/>
    </row>
    <row r="18" spans="1:4" x14ac:dyDescent="0.2">
      <c r="A18" s="70" t="s">
        <v>221</v>
      </c>
      <c r="B18" s="70" t="s">
        <v>222</v>
      </c>
      <c r="C18" s="16" t="s">
        <v>255</v>
      </c>
      <c r="D18" s="16"/>
    </row>
    <row r="19" spans="1:4" x14ac:dyDescent="0.2">
      <c r="A19" s="70" t="s">
        <v>240</v>
      </c>
      <c r="B19" s="50" t="s">
        <v>241</v>
      </c>
      <c r="C19" s="16" t="s">
        <v>255</v>
      </c>
      <c r="D19" s="16"/>
    </row>
  </sheetData>
  <mergeCells count="1">
    <mergeCell ref="A1:D1"/>
  </mergeCells>
  <dataValidations count="1">
    <dataValidation type="list" allowBlank="1" showInputMessage="1" showErrorMessage="1" sqref="C5:C19">
      <formula1>"NA,Passed,Failed"</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A1:C17"/>
  <sheetViews>
    <sheetView workbookViewId="0">
      <selection activeCell="C16" sqref="C16"/>
    </sheetView>
  </sheetViews>
  <sheetFormatPr defaultRowHeight="12.75" x14ac:dyDescent="0.2"/>
  <cols>
    <col min="1" max="1" width="55.28515625" customWidth="1"/>
    <col min="2" max="2" width="70.7109375" customWidth="1"/>
    <col min="3" max="3" width="26.5703125" customWidth="1"/>
  </cols>
  <sheetData>
    <row r="1" spans="1:3" x14ac:dyDescent="0.2">
      <c r="A1" s="82" t="s">
        <v>226</v>
      </c>
      <c r="B1" s="83" t="s">
        <v>227</v>
      </c>
    </row>
    <row r="2" spans="1:3" x14ac:dyDescent="0.2">
      <c r="A2" s="84" t="s">
        <v>228</v>
      </c>
      <c r="B2" s="85" t="str">
        <f>PPRD</f>
        <v>Jul, 2018</v>
      </c>
      <c r="C2" s="69"/>
    </row>
    <row r="3" spans="1:3" x14ac:dyDescent="0.2">
      <c r="A3" s="84" t="s">
        <v>232</v>
      </c>
      <c r="B3" s="86" t="str">
        <f>CRNIRN</f>
        <v>CHG131815 Defect 334</v>
      </c>
      <c r="C3" s="69"/>
    </row>
    <row r="4" spans="1:3" x14ac:dyDescent="0.2">
      <c r="A4" s="84" t="s">
        <v>94</v>
      </c>
      <c r="B4" s="86" t="str">
        <f>MA</f>
        <v>CA</v>
      </c>
      <c r="C4" s="69"/>
    </row>
    <row r="5" spans="1:3" x14ac:dyDescent="0.2">
      <c r="A5" s="84" t="s">
        <v>229</v>
      </c>
      <c r="B5" s="86" t="s">
        <v>230</v>
      </c>
    </row>
    <row r="6" spans="1:3" x14ac:dyDescent="0.2">
      <c r="A6" s="84" t="s">
        <v>231</v>
      </c>
      <c r="B6" s="88" t="s">
        <v>233</v>
      </c>
    </row>
    <row r="7" spans="1:3" x14ac:dyDescent="0.2">
      <c r="A7" s="84" t="s">
        <v>235</v>
      </c>
      <c r="B7" s="91">
        <f>DevDReviewed</f>
        <v>43256</v>
      </c>
      <c r="C7" s="69"/>
    </row>
    <row r="8" spans="1:3" x14ac:dyDescent="0.2">
      <c r="A8" s="84" t="s">
        <v>239</v>
      </c>
      <c r="B8" s="88" t="str">
        <f>DevNameReviewed</f>
        <v>MisaRakotoasimbahoaka</v>
      </c>
      <c r="C8" s="69"/>
    </row>
    <row r="9" spans="1:3" x14ac:dyDescent="0.2">
      <c r="A9" s="84" t="s">
        <v>234</v>
      </c>
      <c r="B9" s="87">
        <f>DateReviewed</f>
        <v>43259</v>
      </c>
      <c r="C9" s="69"/>
    </row>
    <row r="10" spans="1:3" x14ac:dyDescent="0.2">
      <c r="A10" s="84" t="s">
        <v>238</v>
      </c>
      <c r="B10" s="88" t="str">
        <f>ReviewedBy</f>
        <v>JonathanL'etourdi</v>
      </c>
      <c r="C10" s="69"/>
    </row>
    <row r="17" spans="3:3" x14ac:dyDescent="0.2">
      <c r="C17">
        <f>C20</f>
        <v>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24"/>
  <sheetViews>
    <sheetView workbookViewId="0">
      <selection activeCell="D6" sqref="D6"/>
    </sheetView>
  </sheetViews>
  <sheetFormatPr defaultRowHeight="12.75" x14ac:dyDescent="0.2"/>
  <cols>
    <col min="1" max="1" width="19.42578125" style="71" customWidth="1"/>
    <col min="2" max="2" width="42.5703125" style="71" customWidth="1"/>
    <col min="3" max="3" width="50.85546875" style="71" customWidth="1"/>
    <col min="4" max="4" width="27.42578125" style="71" customWidth="1"/>
    <col min="5" max="5" width="32.28515625" style="71" customWidth="1"/>
    <col min="6" max="16384" width="9.140625" style="71"/>
  </cols>
  <sheetData>
    <row r="1" spans="1:5" ht="13.5" thickBot="1" x14ac:dyDescent="0.25">
      <c r="A1" s="148" t="s">
        <v>46</v>
      </c>
      <c r="B1" s="149"/>
      <c r="C1" s="149"/>
      <c r="D1" s="151"/>
    </row>
    <row r="2" spans="1:5" x14ac:dyDescent="0.2">
      <c r="B2" s="17" t="s">
        <v>47</v>
      </c>
      <c r="C2" s="17" t="s">
        <v>141</v>
      </c>
      <c r="D2" s="17" t="s">
        <v>142</v>
      </c>
      <c r="E2" s="72"/>
    </row>
    <row r="3" spans="1:5" ht="38.25" x14ac:dyDescent="0.2">
      <c r="B3" s="73" t="s">
        <v>45</v>
      </c>
      <c r="C3" s="74" t="s">
        <v>53</v>
      </c>
      <c r="D3" s="75" t="str">
        <f>IF(ISBLANK('1.0 DB Schema'!B31)=FALSE,"Impacted","Not Impacted")</f>
        <v>Not Impacted</v>
      </c>
      <c r="E3" s="76"/>
    </row>
    <row r="4" spans="1:5" ht="25.5" x14ac:dyDescent="0.2">
      <c r="B4" s="73" t="s">
        <v>48</v>
      </c>
      <c r="C4" s="74" t="s">
        <v>54</v>
      </c>
      <c r="D4" s="75" t="str">
        <f>IF(ISBLANK('2.0 Ifb &amp; PHP'!B40)=FALSE,"Impacted","Not Impacted")</f>
        <v>Not Impacted</v>
      </c>
      <c r="E4" s="76"/>
    </row>
    <row r="5" spans="1:5" ht="38.25" x14ac:dyDescent="0.2">
      <c r="B5" s="73" t="s">
        <v>49</v>
      </c>
      <c r="C5" s="74" t="s">
        <v>55</v>
      </c>
      <c r="D5" s="75" t="str">
        <f>IF(ISBLANK('3.0 Mapping'!B9)=FALSE,"Impacted","Not Impacted")</f>
        <v>Impacted</v>
      </c>
      <c r="E5" s="76"/>
    </row>
    <row r="6" spans="1:5" ht="25.5" x14ac:dyDescent="0.2">
      <c r="B6" s="73" t="s">
        <v>50</v>
      </c>
      <c r="C6" s="74" t="s">
        <v>56</v>
      </c>
      <c r="D6" s="75" t="str">
        <f>IF(ISBLANK('4.0 Worklet &amp; workflow'!B17)=FALSE,"Impacted","Not Impacted")</f>
        <v>Impacted</v>
      </c>
      <c r="E6" s="76"/>
    </row>
    <row r="7" spans="1:5" ht="25.5" x14ac:dyDescent="0.2">
      <c r="B7" s="73" t="s">
        <v>34</v>
      </c>
      <c r="C7" s="74" t="s">
        <v>57</v>
      </c>
      <c r="D7" s="75" t="str">
        <f>IF(ISBLANK('5.0 Stored Procedure'!B10)=FALSE,"Impacted","Not Impacted")</f>
        <v>Not Impacted</v>
      </c>
      <c r="E7" s="76"/>
    </row>
    <row r="8" spans="1:5" ht="25.5" x14ac:dyDescent="0.2">
      <c r="B8" s="73" t="s">
        <v>43</v>
      </c>
      <c r="C8" s="74" t="s">
        <v>58</v>
      </c>
      <c r="D8" s="75" t="str">
        <f>IF(ISBLANK('6.0 Data Update'!E5)=FALSE,"Impacted","Not Impacted")</f>
        <v>Not Impacted</v>
      </c>
      <c r="E8" s="76"/>
    </row>
    <row r="10" spans="1:5" ht="13.5" thickBot="1" x14ac:dyDescent="0.25"/>
    <row r="11" spans="1:5" ht="13.5" thickBot="1" x14ac:dyDescent="0.25">
      <c r="B11" s="20" t="s">
        <v>218</v>
      </c>
    </row>
    <row r="12" spans="1:5" x14ac:dyDescent="0.2">
      <c r="B12" s="17" t="s">
        <v>182</v>
      </c>
      <c r="C12" s="17" t="s">
        <v>194</v>
      </c>
      <c r="D12" s="17" t="s">
        <v>217</v>
      </c>
    </row>
    <row r="13" spans="1:5" x14ac:dyDescent="0.2">
      <c r="B13" s="75" t="s">
        <v>183</v>
      </c>
      <c r="C13" s="75" t="s">
        <v>210</v>
      </c>
      <c r="D13" s="77" t="s">
        <v>205</v>
      </c>
    </row>
    <row r="14" spans="1:5" x14ac:dyDescent="0.2">
      <c r="B14" s="75" t="s">
        <v>184</v>
      </c>
      <c r="C14" s="77" t="s">
        <v>214</v>
      </c>
      <c r="D14" s="75" t="s">
        <v>195</v>
      </c>
    </row>
    <row r="15" spans="1:5" x14ac:dyDescent="0.2">
      <c r="B15" s="75" t="s">
        <v>185</v>
      </c>
      <c r="C15" s="75" t="s">
        <v>208</v>
      </c>
      <c r="D15" s="75" t="s">
        <v>196</v>
      </c>
    </row>
    <row r="16" spans="1:5" x14ac:dyDescent="0.2">
      <c r="B16" s="75" t="s">
        <v>186</v>
      </c>
      <c r="C16" s="75" t="s">
        <v>209</v>
      </c>
      <c r="D16" s="75" t="s">
        <v>197</v>
      </c>
    </row>
    <row r="17" spans="2:4" x14ac:dyDescent="0.2">
      <c r="B17" s="75" t="s">
        <v>187</v>
      </c>
      <c r="C17" s="77" t="s">
        <v>207</v>
      </c>
      <c r="D17" s="75" t="s">
        <v>198</v>
      </c>
    </row>
    <row r="18" spans="2:4" x14ac:dyDescent="0.2">
      <c r="B18" s="75" t="s">
        <v>188</v>
      </c>
      <c r="C18" s="75" t="s">
        <v>211</v>
      </c>
      <c r="D18" s="75" t="s">
        <v>199</v>
      </c>
    </row>
    <row r="19" spans="2:4" x14ac:dyDescent="0.2">
      <c r="B19" s="75" t="s">
        <v>189</v>
      </c>
      <c r="C19" s="75" t="s">
        <v>212</v>
      </c>
      <c r="D19" s="75" t="s">
        <v>200</v>
      </c>
    </row>
    <row r="20" spans="2:4" x14ac:dyDescent="0.2">
      <c r="B20" s="75" t="s">
        <v>190</v>
      </c>
      <c r="C20" s="77" t="s">
        <v>215</v>
      </c>
      <c r="D20" s="75" t="s">
        <v>201</v>
      </c>
    </row>
    <row r="21" spans="2:4" x14ac:dyDescent="0.2">
      <c r="B21" s="75" t="s">
        <v>191</v>
      </c>
      <c r="C21" s="77" t="s">
        <v>213</v>
      </c>
      <c r="D21" s="75" t="s">
        <v>204</v>
      </c>
    </row>
    <row r="22" spans="2:4" x14ac:dyDescent="0.2">
      <c r="B22" s="75" t="s">
        <v>192</v>
      </c>
      <c r="C22" s="77" t="s">
        <v>216</v>
      </c>
      <c r="D22" s="75" t="s">
        <v>202</v>
      </c>
    </row>
    <row r="23" spans="2:4" x14ac:dyDescent="0.2">
      <c r="B23" s="75" t="s">
        <v>193</v>
      </c>
      <c r="C23" s="75" t="s">
        <v>206</v>
      </c>
      <c r="D23" s="75" t="s">
        <v>203</v>
      </c>
    </row>
    <row r="24" spans="2:4" x14ac:dyDescent="0.2">
      <c r="B24" s="75" t="s">
        <v>179</v>
      </c>
      <c r="C24" s="75"/>
      <c r="D24" s="75"/>
    </row>
  </sheetData>
  <mergeCells count="1">
    <mergeCell ref="A1:D1"/>
  </mergeCells>
  <phoneticPr fontId="2" type="noConversion"/>
  <hyperlinks>
    <hyperlink ref="B3" location="'1.0 DB Schema'!A1" display="DB Schema"/>
    <hyperlink ref="B4" location="'2.0 Ifb &amp; PHP'!A1" display="Ifb &amp; PHP"/>
    <hyperlink ref="B5" location="'3.0 Mapping'!A1" display="Mapping"/>
    <hyperlink ref="B6" location="'4.0 Worklet &amp; workflow'!A1" display="Worklet &amp; worflow"/>
    <hyperlink ref="B7" location="'5.0 Stored Procedure'!A1" display="Stored Procedure"/>
    <hyperlink ref="B8" location="'6.0 Data Update'!A1" display="Data Update"/>
  </hyperlinks>
  <pageMargins left="0.75" right="0.75" top="1" bottom="1" header="0.5" footer="0.5"/>
  <pageSetup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C31"/>
  <sheetViews>
    <sheetView workbookViewId="0">
      <selection activeCell="A12" sqref="A12"/>
    </sheetView>
  </sheetViews>
  <sheetFormatPr defaultRowHeight="12.75" x14ac:dyDescent="0.2"/>
  <cols>
    <col min="1" max="1" width="31.85546875" bestFit="1" customWidth="1"/>
    <col min="2" max="2" width="30.85546875" bestFit="1" customWidth="1"/>
    <col min="3" max="3" width="43.140625" bestFit="1" customWidth="1"/>
    <col min="4" max="4" width="25" bestFit="1" customWidth="1"/>
    <col min="5" max="5" width="20.5703125" bestFit="1" customWidth="1"/>
    <col min="6" max="6" width="38.7109375" bestFit="1" customWidth="1"/>
    <col min="10" max="10" width="18.85546875" bestFit="1" customWidth="1"/>
    <col min="11" max="11" width="26.5703125" bestFit="1" customWidth="1"/>
    <col min="25" max="25" width="20" customWidth="1"/>
  </cols>
  <sheetData>
    <row r="1" spans="1:24" ht="13.5" thickBot="1" x14ac:dyDescent="0.25">
      <c r="A1" s="148" t="s">
        <v>20</v>
      </c>
      <c r="B1" s="149"/>
      <c r="C1" s="150"/>
    </row>
    <row r="2" spans="1:24" ht="15.75" thickBot="1" x14ac:dyDescent="0.3">
      <c r="E2" s="94" t="s">
        <v>91</v>
      </c>
      <c r="F2" s="45"/>
      <c r="G2" s="45"/>
      <c r="H2" s="45"/>
      <c r="I2" s="45"/>
      <c r="J2" s="45"/>
      <c r="K2" s="45"/>
      <c r="W2" s="69"/>
    </row>
    <row r="3" spans="1:24" ht="13.5" thickBot="1" x14ac:dyDescent="0.25">
      <c r="A3" s="20" t="s">
        <v>51</v>
      </c>
      <c r="B3" s="18"/>
      <c r="C3" s="18"/>
      <c r="E3" s="46" t="s">
        <v>92</v>
      </c>
      <c r="F3" s="45"/>
      <c r="G3" s="45"/>
      <c r="H3" s="45"/>
      <c r="I3" s="45"/>
      <c r="J3" s="45"/>
      <c r="K3" s="45"/>
      <c r="X3" s="69"/>
    </row>
    <row r="4" spans="1:24" x14ac:dyDescent="0.2">
      <c r="A4" s="19" t="s">
        <v>21</v>
      </c>
      <c r="B4" s="17" t="s">
        <v>36</v>
      </c>
      <c r="C4" s="17" t="s">
        <v>31</v>
      </c>
      <c r="E4" s="46" t="s">
        <v>133</v>
      </c>
      <c r="F4" s="46"/>
      <c r="G4" s="46"/>
      <c r="H4" s="46"/>
      <c r="I4" s="46"/>
      <c r="J4" s="45"/>
      <c r="K4" s="45"/>
    </row>
    <row r="5" spans="1:24" x14ac:dyDescent="0.2">
      <c r="A5" s="50" t="s">
        <v>251</v>
      </c>
      <c r="B5" s="98"/>
      <c r="C5" s="98"/>
      <c r="E5" s="46" t="s">
        <v>93</v>
      </c>
      <c r="F5" s="46"/>
      <c r="G5" s="46"/>
      <c r="H5" s="46"/>
      <c r="I5" s="46"/>
      <c r="J5" s="45"/>
      <c r="K5" s="45"/>
    </row>
    <row r="6" spans="1:24" x14ac:dyDescent="0.2">
      <c r="A6" s="16"/>
      <c r="B6" s="16"/>
      <c r="C6" s="25"/>
      <c r="E6" s="93" t="s">
        <v>242</v>
      </c>
      <c r="F6" s="45"/>
      <c r="G6" s="45"/>
      <c r="H6" s="45"/>
      <c r="I6" s="45"/>
      <c r="J6" s="45"/>
      <c r="K6" s="45"/>
      <c r="X6" s="69"/>
    </row>
    <row r="7" spans="1:24" x14ac:dyDescent="0.2">
      <c r="A7" s="16"/>
      <c r="B7" s="16"/>
      <c r="C7" s="25"/>
    </row>
    <row r="8" spans="1:24" ht="13.5" thickBot="1" x14ac:dyDescent="0.25">
      <c r="X8" s="69"/>
    </row>
    <row r="9" spans="1:24" ht="13.5" thickBot="1" x14ac:dyDescent="0.25">
      <c r="A9" s="20" t="s">
        <v>52</v>
      </c>
      <c r="X9" s="69"/>
    </row>
    <row r="10" spans="1:24" x14ac:dyDescent="0.2">
      <c r="A10" s="19" t="s">
        <v>21</v>
      </c>
      <c r="B10" s="17" t="s">
        <v>22</v>
      </c>
      <c r="C10" s="17" t="s">
        <v>23</v>
      </c>
      <c r="D10" s="17" t="s">
        <v>36</v>
      </c>
      <c r="E10" s="17" t="s">
        <v>90</v>
      </c>
      <c r="F10" s="17" t="s">
        <v>31</v>
      </c>
      <c r="X10" s="69"/>
    </row>
    <row r="11" spans="1:24" x14ac:dyDescent="0.2">
      <c r="A11" s="50" t="s">
        <v>251</v>
      </c>
      <c r="B11" s="98"/>
      <c r="C11" s="98"/>
      <c r="D11" s="98"/>
      <c r="E11" s="40"/>
      <c r="F11" s="50"/>
    </row>
    <row r="12" spans="1:24" x14ac:dyDescent="0.2">
      <c r="A12" s="98"/>
      <c r="B12" s="98"/>
      <c r="C12" s="98"/>
      <c r="D12" s="98"/>
      <c r="E12" s="40"/>
      <c r="F12" s="50"/>
    </row>
    <row r="13" spans="1:24" x14ac:dyDescent="0.2">
      <c r="A13" s="98"/>
      <c r="B13" s="98"/>
      <c r="C13" s="98"/>
      <c r="D13" s="98"/>
      <c r="E13" s="40"/>
      <c r="F13" s="50"/>
    </row>
    <row r="14" spans="1:24" x14ac:dyDescent="0.2">
      <c r="A14" s="98"/>
      <c r="B14" s="98"/>
      <c r="C14" s="98"/>
      <c r="D14" s="98"/>
      <c r="E14" s="40"/>
      <c r="F14" s="50"/>
    </row>
    <row r="15" spans="1:24" x14ac:dyDescent="0.2">
      <c r="A15" s="98"/>
      <c r="B15" s="98"/>
      <c r="C15" s="98"/>
      <c r="D15" s="98"/>
      <c r="E15" s="40"/>
      <c r="F15" s="50"/>
    </row>
    <row r="16" spans="1:24" x14ac:dyDescent="0.2">
      <c r="A16" s="98"/>
      <c r="B16" s="98"/>
      <c r="C16" s="98"/>
      <c r="D16" s="98"/>
      <c r="E16" s="40"/>
      <c r="F16" s="50"/>
    </row>
    <row r="17" spans="1:29" x14ac:dyDescent="0.2">
      <c r="A17" s="98"/>
      <c r="B17" s="98"/>
      <c r="C17" s="98"/>
      <c r="D17" s="98"/>
      <c r="E17" s="40"/>
      <c r="F17" s="50"/>
    </row>
    <row r="18" spans="1:29" x14ac:dyDescent="0.2">
      <c r="A18" s="98"/>
      <c r="B18" s="98"/>
      <c r="C18" s="98"/>
      <c r="D18" s="98"/>
      <c r="E18" s="40"/>
      <c r="F18" s="50"/>
    </row>
    <row r="19" spans="1:29" ht="13.5" thickBot="1" x14ac:dyDescent="0.25">
      <c r="A19" s="32"/>
      <c r="B19" s="32"/>
      <c r="C19" s="32"/>
      <c r="D19" s="32"/>
      <c r="E19" s="32"/>
      <c r="F19" s="32"/>
    </row>
    <row r="20" spans="1:29" ht="13.5" thickBot="1" x14ac:dyDescent="0.25">
      <c r="A20" s="20" t="s">
        <v>85</v>
      </c>
      <c r="D20" s="32"/>
      <c r="E20" s="32"/>
      <c r="F20" s="32"/>
    </row>
    <row r="21" spans="1:29" x14ac:dyDescent="0.2">
      <c r="A21" s="19" t="s">
        <v>86</v>
      </c>
      <c r="B21" s="17" t="s">
        <v>87</v>
      </c>
      <c r="C21" s="17" t="s">
        <v>88</v>
      </c>
      <c r="D21" s="17" t="s">
        <v>89</v>
      </c>
      <c r="E21" s="32"/>
      <c r="F21" s="32"/>
    </row>
    <row r="22" spans="1:29" x14ac:dyDescent="0.2">
      <c r="A22" s="50" t="s">
        <v>251</v>
      </c>
      <c r="B22" s="40"/>
      <c r="C22" s="40"/>
      <c r="D22" s="16"/>
      <c r="E22" s="32"/>
      <c r="F22" s="32"/>
      <c r="AA22" s="69"/>
    </row>
    <row r="23" spans="1:29" x14ac:dyDescent="0.2">
      <c r="A23" s="40"/>
      <c r="B23" s="40"/>
      <c r="C23" s="40"/>
      <c r="D23" s="16"/>
      <c r="E23" s="32"/>
      <c r="F23" s="32"/>
      <c r="AA23" s="69"/>
    </row>
    <row r="24" spans="1:29" x14ac:dyDescent="0.2">
      <c r="A24" s="40"/>
      <c r="B24" s="40"/>
      <c r="C24" s="40"/>
      <c r="D24" s="16"/>
      <c r="E24" s="32"/>
      <c r="F24" s="32"/>
    </row>
    <row r="25" spans="1:29" ht="13.5" thickBot="1" x14ac:dyDescent="0.25">
      <c r="A25" s="68"/>
      <c r="B25" s="68"/>
      <c r="C25" s="68"/>
      <c r="D25" s="32"/>
      <c r="E25" s="32"/>
      <c r="F25" s="32"/>
    </row>
    <row r="26" spans="1:29" ht="13.5" thickBot="1" x14ac:dyDescent="0.25">
      <c r="A26" s="20" t="s">
        <v>219</v>
      </c>
      <c r="B26" s="68"/>
      <c r="C26" s="68"/>
      <c r="D26" s="32"/>
      <c r="E26" s="32"/>
      <c r="F26" s="32"/>
    </row>
    <row r="27" spans="1:29" x14ac:dyDescent="0.2">
      <c r="A27" s="19" t="s">
        <v>182</v>
      </c>
      <c r="B27" s="17" t="s">
        <v>220</v>
      </c>
      <c r="E27" s="32"/>
      <c r="F27" s="32"/>
    </row>
    <row r="28" spans="1:29" x14ac:dyDescent="0.2">
      <c r="A28" s="40" t="s">
        <v>179</v>
      </c>
      <c r="B28" s="40"/>
      <c r="C28" s="32"/>
      <c r="D28" s="32"/>
      <c r="E28" s="32"/>
      <c r="F28" s="32"/>
      <c r="AC28" s="69"/>
    </row>
    <row r="29" spans="1:29" x14ac:dyDescent="0.2">
      <c r="A29" s="40"/>
      <c r="B29" s="40"/>
      <c r="C29" s="32"/>
      <c r="D29" s="32"/>
      <c r="E29" s="32"/>
      <c r="F29" s="32"/>
    </row>
    <row r="30" spans="1:29" x14ac:dyDescent="0.2">
      <c r="A30" s="24" t="s">
        <v>14</v>
      </c>
      <c r="B30" s="24" t="s">
        <v>44</v>
      </c>
    </row>
    <row r="31" spans="1:29" x14ac:dyDescent="0.2">
      <c r="A31" s="23"/>
      <c r="B31" s="23"/>
    </row>
  </sheetData>
  <mergeCells count="1">
    <mergeCell ref="A1:C1"/>
  </mergeCells>
  <phoneticPr fontId="2" type="noConversion"/>
  <pageMargins left="0.75" right="0.75" top="1" bottom="1" header="0.5" footer="0.5"/>
  <pageSetup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showInputMessage="1" showErrorMessage="1">
          <x14:formula1>
            <xm:f>Overview!$B$13:$B$24</xm:f>
          </x14:formula1>
          <xm:sqref>A28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40"/>
  <sheetViews>
    <sheetView workbookViewId="0">
      <selection activeCell="A34" sqref="A34"/>
    </sheetView>
  </sheetViews>
  <sheetFormatPr defaultRowHeight="12.75" x14ac:dyDescent="0.2"/>
  <cols>
    <col min="1" max="1" width="39.85546875" bestFit="1" customWidth="1"/>
    <col min="2" max="2" width="114.5703125" style="26" customWidth="1"/>
    <col min="3" max="3" width="32.85546875" customWidth="1"/>
  </cols>
  <sheetData>
    <row r="1" spans="1:3" ht="13.5" thickBot="1" x14ac:dyDescent="0.25">
      <c r="A1" s="148" t="s">
        <v>24</v>
      </c>
      <c r="B1" s="149"/>
      <c r="C1" s="150"/>
    </row>
    <row r="2" spans="1:3" ht="13.5" thickBot="1" x14ac:dyDescent="0.25"/>
    <row r="3" spans="1:3" ht="13.5" thickBot="1" x14ac:dyDescent="0.25">
      <c r="A3" s="21" t="s">
        <v>84</v>
      </c>
      <c r="B3" s="37"/>
    </row>
    <row r="4" spans="1:3" x14ac:dyDescent="0.2">
      <c r="A4" s="19" t="s">
        <v>25</v>
      </c>
      <c r="B4" s="36" t="s">
        <v>31</v>
      </c>
    </row>
    <row r="5" spans="1:3" x14ac:dyDescent="0.2">
      <c r="A5" s="50" t="s">
        <v>251</v>
      </c>
      <c r="B5" s="25"/>
    </row>
    <row r="6" spans="1:3" x14ac:dyDescent="0.2">
      <c r="A6" s="16"/>
      <c r="B6" s="25"/>
    </row>
    <row r="7" spans="1:3" x14ac:dyDescent="0.2">
      <c r="A7" s="16"/>
      <c r="B7" s="25"/>
    </row>
    <row r="8" spans="1:3" x14ac:dyDescent="0.2">
      <c r="A8" s="16"/>
      <c r="B8" s="25"/>
    </row>
    <row r="9" spans="1:3" ht="13.5" thickBot="1" x14ac:dyDescent="0.25"/>
    <row r="10" spans="1:3" ht="13.5" thickBot="1" x14ac:dyDescent="0.25">
      <c r="A10" s="21" t="s">
        <v>26</v>
      </c>
      <c r="B10" s="37"/>
      <c r="C10" s="18"/>
    </row>
    <row r="11" spans="1:3" x14ac:dyDescent="0.2">
      <c r="A11" s="19" t="s">
        <v>27</v>
      </c>
      <c r="B11" s="36" t="s">
        <v>31</v>
      </c>
    </row>
    <row r="12" spans="1:3" x14ac:dyDescent="0.2">
      <c r="A12" s="50" t="s">
        <v>251</v>
      </c>
      <c r="B12" s="25"/>
    </row>
    <row r="13" spans="1:3" x14ac:dyDescent="0.2">
      <c r="A13" s="16"/>
      <c r="B13" s="25"/>
    </row>
    <row r="14" spans="1:3" x14ac:dyDescent="0.2">
      <c r="A14" s="16"/>
      <c r="B14" s="25"/>
    </row>
    <row r="15" spans="1:3" ht="13.5" thickBot="1" x14ac:dyDescent="0.25"/>
    <row r="16" spans="1:3" ht="13.5" thickBot="1" x14ac:dyDescent="0.25">
      <c r="A16" s="21" t="s">
        <v>33</v>
      </c>
    </row>
    <row r="17" spans="1:2" x14ac:dyDescent="0.2">
      <c r="A17" s="19" t="s">
        <v>25</v>
      </c>
      <c r="B17" s="36" t="s">
        <v>31</v>
      </c>
    </row>
    <row r="18" spans="1:2" x14ac:dyDescent="0.2">
      <c r="A18" s="50" t="s">
        <v>251</v>
      </c>
      <c r="B18" s="25"/>
    </row>
    <row r="19" spans="1:2" x14ac:dyDescent="0.2">
      <c r="A19" s="50"/>
      <c r="B19" s="101"/>
    </row>
    <row r="20" spans="1:2" x14ac:dyDescent="0.2">
      <c r="A20" s="50"/>
      <c r="B20" s="101"/>
    </row>
    <row r="21" spans="1:2" x14ac:dyDescent="0.2">
      <c r="A21" s="50"/>
      <c r="B21" s="101"/>
    </row>
    <row r="22" spans="1:2" x14ac:dyDescent="0.2">
      <c r="A22" s="50"/>
      <c r="B22" s="101"/>
    </row>
    <row r="23" spans="1:2" x14ac:dyDescent="0.2">
      <c r="A23" s="16"/>
      <c r="B23" s="25"/>
    </row>
    <row r="24" spans="1:2" ht="13.5" thickBot="1" x14ac:dyDescent="0.25">
      <c r="A24" s="32"/>
      <c r="B24" s="28"/>
    </row>
    <row r="25" spans="1:2" ht="13.5" thickBot="1" x14ac:dyDescent="0.25">
      <c r="A25" s="21" t="s">
        <v>128</v>
      </c>
    </row>
    <row r="26" spans="1:2" x14ac:dyDescent="0.2">
      <c r="A26" s="19" t="s">
        <v>25</v>
      </c>
      <c r="B26" s="36" t="s">
        <v>31</v>
      </c>
    </row>
    <row r="27" spans="1:2" x14ac:dyDescent="0.2">
      <c r="A27" s="50" t="s">
        <v>251</v>
      </c>
      <c r="B27" s="25"/>
    </row>
    <row r="28" spans="1:2" x14ac:dyDescent="0.2">
      <c r="A28" s="16"/>
      <c r="B28" s="25"/>
    </row>
    <row r="29" spans="1:2" x14ac:dyDescent="0.2">
      <c r="A29" s="16"/>
      <c r="B29" s="25"/>
    </row>
    <row r="30" spans="1:2" x14ac:dyDescent="0.2">
      <c r="A30" s="16"/>
      <c r="B30" s="25"/>
    </row>
    <row r="31" spans="1:2" ht="13.5" thickBot="1" x14ac:dyDescent="0.25">
      <c r="A31" s="32"/>
      <c r="B31" s="28"/>
    </row>
    <row r="32" spans="1:2" ht="13.5" thickBot="1" x14ac:dyDescent="0.25">
      <c r="A32" s="21" t="s">
        <v>127</v>
      </c>
    </row>
    <row r="33" spans="1:2" x14ac:dyDescent="0.2">
      <c r="A33" s="19" t="s">
        <v>25</v>
      </c>
      <c r="B33" s="36" t="s">
        <v>31</v>
      </c>
    </row>
    <row r="34" spans="1:2" x14ac:dyDescent="0.2">
      <c r="A34" s="50" t="s">
        <v>251</v>
      </c>
      <c r="B34" s="25"/>
    </row>
    <row r="35" spans="1:2" x14ac:dyDescent="0.2">
      <c r="A35" s="16"/>
      <c r="B35" s="25"/>
    </row>
    <row r="36" spans="1:2" x14ac:dyDescent="0.2">
      <c r="A36" s="16"/>
      <c r="B36" s="25"/>
    </row>
    <row r="37" spans="1:2" x14ac:dyDescent="0.2">
      <c r="A37" s="16"/>
      <c r="B37" s="25"/>
    </row>
    <row r="39" spans="1:2" x14ac:dyDescent="0.2">
      <c r="A39" s="24" t="s">
        <v>14</v>
      </c>
      <c r="B39" s="38" t="s">
        <v>44</v>
      </c>
    </row>
    <row r="40" spans="1:2" x14ac:dyDescent="0.2">
      <c r="A40" s="23"/>
      <c r="B40" s="39"/>
    </row>
  </sheetData>
  <mergeCells count="1">
    <mergeCell ref="A1:C1"/>
  </mergeCells>
  <phoneticPr fontId="2" type="noConversion"/>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9"/>
  <sheetViews>
    <sheetView workbookViewId="0">
      <selection activeCell="C16" sqref="C16"/>
    </sheetView>
  </sheetViews>
  <sheetFormatPr defaultRowHeight="12.75" x14ac:dyDescent="0.2"/>
  <cols>
    <col min="1" max="1" width="19.140625" customWidth="1"/>
    <col min="2" max="2" width="35.28515625" bestFit="1" customWidth="1"/>
    <col min="3" max="3" width="66.140625" customWidth="1"/>
  </cols>
  <sheetData>
    <row r="1" spans="1:4" ht="13.5" thickBot="1" x14ac:dyDescent="0.25">
      <c r="A1" s="148" t="s">
        <v>28</v>
      </c>
      <c r="B1" s="149"/>
      <c r="C1" s="150"/>
    </row>
    <row r="3" spans="1:4" x14ac:dyDescent="0.2">
      <c r="A3" s="17" t="s">
        <v>29</v>
      </c>
      <c r="B3" s="17" t="s">
        <v>30</v>
      </c>
      <c r="C3" s="17" t="s">
        <v>31</v>
      </c>
    </row>
    <row r="4" spans="1:4" x14ac:dyDescent="0.2">
      <c r="A4" s="98" t="s">
        <v>247</v>
      </c>
      <c r="B4" s="50" t="s">
        <v>248</v>
      </c>
      <c r="C4" s="31" t="s">
        <v>261</v>
      </c>
      <c r="D4" s="99"/>
    </row>
    <row r="8" spans="1:4" x14ac:dyDescent="0.2">
      <c r="A8" s="24" t="s">
        <v>14</v>
      </c>
      <c r="B8" s="24" t="s">
        <v>44</v>
      </c>
    </row>
    <row r="9" spans="1:4" x14ac:dyDescent="0.2">
      <c r="A9" s="23"/>
      <c r="B9" s="23">
        <v>0</v>
      </c>
    </row>
  </sheetData>
  <mergeCells count="1">
    <mergeCell ref="A1:C1"/>
  </mergeCells>
  <phoneticPr fontId="2" type="noConversion"/>
  <pageMargins left="0.75" right="0.75" top="1" bottom="1" header="0.5" footer="0.5"/>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25"/>
  <sheetViews>
    <sheetView zoomScale="90" zoomScaleNormal="90" workbookViewId="0">
      <selection activeCell="I8" sqref="I8"/>
    </sheetView>
  </sheetViews>
  <sheetFormatPr defaultRowHeight="12.75" x14ac:dyDescent="0.2"/>
  <cols>
    <col min="1" max="2" width="17.42578125" bestFit="1" customWidth="1"/>
    <col min="3" max="3" width="30.85546875" bestFit="1" customWidth="1"/>
    <col min="4" max="4" width="14.5703125" bestFit="1" customWidth="1"/>
    <col min="5" max="5" width="22.7109375" bestFit="1" customWidth="1"/>
    <col min="6" max="6" width="22.85546875" bestFit="1" customWidth="1"/>
    <col min="7" max="7" width="30.85546875" bestFit="1" customWidth="1"/>
    <col min="8" max="8" width="14.85546875" bestFit="1" customWidth="1"/>
    <col min="9" max="9" width="51.7109375" customWidth="1"/>
    <col min="10" max="10" width="61.7109375" customWidth="1"/>
  </cols>
  <sheetData>
    <row r="1" spans="1:10" ht="13.5" thickBot="1" x14ac:dyDescent="0.25">
      <c r="A1" s="148" t="s">
        <v>83</v>
      </c>
      <c r="B1" s="149"/>
      <c r="C1" s="149"/>
      <c r="D1" s="150"/>
    </row>
    <row r="3" spans="1:10" x14ac:dyDescent="0.2">
      <c r="A3" s="17" t="s">
        <v>30</v>
      </c>
      <c r="B3" s="152" t="s">
        <v>248</v>
      </c>
      <c r="C3" s="153"/>
    </row>
    <row r="5" spans="1:10" x14ac:dyDescent="0.2">
      <c r="A5" s="17" t="s">
        <v>72</v>
      </c>
      <c r="B5" s="17" t="s">
        <v>74</v>
      </c>
      <c r="C5" s="17" t="s">
        <v>73</v>
      </c>
      <c r="D5" s="17" t="s">
        <v>75</v>
      </c>
      <c r="E5" s="17" t="s">
        <v>76</v>
      </c>
      <c r="F5" s="17" t="s">
        <v>74</v>
      </c>
      <c r="G5" s="17" t="s">
        <v>77</v>
      </c>
      <c r="H5" s="17" t="s">
        <v>75</v>
      </c>
      <c r="I5" s="17" t="s">
        <v>78</v>
      </c>
      <c r="J5" s="17" t="s">
        <v>79</v>
      </c>
    </row>
    <row r="6" spans="1:10" ht="76.5" x14ac:dyDescent="0.2">
      <c r="A6" s="102" t="s">
        <v>251</v>
      </c>
      <c r="B6" s="102" t="s">
        <v>251</v>
      </c>
      <c r="C6" s="102" t="s">
        <v>251</v>
      </c>
      <c r="D6" s="102" t="s">
        <v>251</v>
      </c>
      <c r="E6" s="102" t="s">
        <v>251</v>
      </c>
      <c r="F6" s="102" t="s">
        <v>251</v>
      </c>
      <c r="G6" s="102" t="s">
        <v>251</v>
      </c>
      <c r="H6" s="102" t="s">
        <v>251</v>
      </c>
      <c r="I6" s="101" t="s">
        <v>265</v>
      </c>
      <c r="J6" s="101" t="s">
        <v>262</v>
      </c>
    </row>
    <row r="7" spans="1:10" ht="114.75" x14ac:dyDescent="0.2">
      <c r="A7" s="16"/>
      <c r="B7" s="16"/>
      <c r="C7" s="16"/>
      <c r="D7" s="16"/>
      <c r="E7" s="16"/>
      <c r="F7" s="16"/>
      <c r="G7" s="16"/>
      <c r="H7" s="16"/>
      <c r="I7" s="101" t="s">
        <v>264</v>
      </c>
      <c r="J7" s="101" t="s">
        <v>263</v>
      </c>
    </row>
    <row r="8" spans="1:10" ht="89.25" x14ac:dyDescent="0.2">
      <c r="A8" s="103"/>
      <c r="B8" s="103"/>
      <c r="C8" s="103"/>
      <c r="D8" s="103"/>
      <c r="E8" s="103"/>
      <c r="F8" s="103"/>
      <c r="G8" s="103"/>
      <c r="H8" s="103"/>
      <c r="I8" s="104" t="s">
        <v>266</v>
      </c>
      <c r="J8" s="101" t="s">
        <v>267</v>
      </c>
    </row>
    <row r="23" spans="3:3" x14ac:dyDescent="0.2">
      <c r="C23" s="69"/>
    </row>
    <row r="24" spans="3:3" x14ac:dyDescent="0.2">
      <c r="C24" s="69"/>
    </row>
    <row r="25" spans="3:3" x14ac:dyDescent="0.2">
      <c r="C25" s="69"/>
    </row>
  </sheetData>
  <mergeCells count="2">
    <mergeCell ref="A1:D1"/>
    <mergeCell ref="B3:C3"/>
  </mergeCells>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F17"/>
  <sheetViews>
    <sheetView workbookViewId="0">
      <selection activeCell="A5" sqref="A5"/>
    </sheetView>
  </sheetViews>
  <sheetFormatPr defaultRowHeight="12.75" x14ac:dyDescent="0.2"/>
  <cols>
    <col min="1" max="1" width="18.5703125" customWidth="1"/>
    <col min="2" max="2" width="30.5703125" bestFit="1" customWidth="1"/>
    <col min="3" max="3" width="47.7109375" bestFit="1" customWidth="1"/>
    <col min="4" max="4" width="31.5703125" customWidth="1"/>
    <col min="5" max="5" width="25.5703125" bestFit="1" customWidth="1"/>
    <col min="6" max="6" width="48.42578125" style="26" bestFit="1" customWidth="1"/>
  </cols>
  <sheetData>
    <row r="1" spans="1:5" ht="13.5" thickBot="1" x14ac:dyDescent="0.25">
      <c r="A1" s="148" t="s">
        <v>41</v>
      </c>
      <c r="B1" s="149"/>
      <c r="C1" s="150"/>
    </row>
    <row r="2" spans="1:5" ht="13.5" thickBot="1" x14ac:dyDescent="0.25"/>
    <row r="3" spans="1:5" ht="13.5" thickBot="1" x14ac:dyDescent="0.25">
      <c r="A3" s="148" t="s">
        <v>38</v>
      </c>
      <c r="B3" s="149"/>
      <c r="C3" s="150"/>
    </row>
    <row r="4" spans="1:5" x14ac:dyDescent="0.2">
      <c r="A4" s="19" t="s">
        <v>29</v>
      </c>
      <c r="B4" s="19" t="s">
        <v>32</v>
      </c>
      <c r="C4" s="19" t="s">
        <v>31</v>
      </c>
    </row>
    <row r="5" spans="1:5" x14ac:dyDescent="0.2">
      <c r="A5" s="16" t="s">
        <v>247</v>
      </c>
      <c r="B5" s="16" t="s">
        <v>249</v>
      </c>
      <c r="C5" s="16" t="s">
        <v>250</v>
      </c>
    </row>
    <row r="6" spans="1:5" x14ac:dyDescent="0.2">
      <c r="A6" s="32"/>
      <c r="B6" s="32"/>
      <c r="C6" s="32"/>
    </row>
    <row r="7" spans="1:5" x14ac:dyDescent="0.2">
      <c r="E7" s="33"/>
    </row>
    <row r="8" spans="1:5" ht="13.5" thickBot="1" x14ac:dyDescent="0.25">
      <c r="E8" s="33"/>
    </row>
    <row r="9" spans="1:5" ht="13.5" thickBot="1" x14ac:dyDescent="0.25">
      <c r="A9" s="148" t="s">
        <v>37</v>
      </c>
      <c r="B9" s="149"/>
      <c r="C9" s="150"/>
      <c r="E9" s="33"/>
    </row>
    <row r="10" spans="1:5" x14ac:dyDescent="0.2">
      <c r="A10" s="19" t="s">
        <v>29</v>
      </c>
      <c r="B10" s="19" t="s">
        <v>32</v>
      </c>
      <c r="C10" s="19" t="s">
        <v>39</v>
      </c>
      <c r="D10" s="17" t="s">
        <v>10</v>
      </c>
      <c r="E10" s="34"/>
    </row>
    <row r="11" spans="1:5" x14ac:dyDescent="0.2">
      <c r="A11" s="16" t="s">
        <v>247</v>
      </c>
      <c r="B11" s="16" t="s">
        <v>249</v>
      </c>
      <c r="C11" s="16" t="s">
        <v>254</v>
      </c>
      <c r="D11" s="16" t="s">
        <v>250</v>
      </c>
      <c r="E11" s="35"/>
    </row>
    <row r="12" spans="1:5" x14ac:dyDescent="0.2">
      <c r="E12" s="32"/>
    </row>
    <row r="13" spans="1:5" x14ac:dyDescent="0.2">
      <c r="E13" s="32"/>
    </row>
    <row r="16" spans="1:5" x14ac:dyDescent="0.2">
      <c r="A16" s="24" t="s">
        <v>14</v>
      </c>
      <c r="B16" s="24" t="s">
        <v>44</v>
      </c>
    </row>
    <row r="17" spans="1:2" x14ac:dyDescent="0.2">
      <c r="A17" s="23"/>
      <c r="B17" s="23">
        <v>0</v>
      </c>
    </row>
  </sheetData>
  <mergeCells count="3">
    <mergeCell ref="A1:C1"/>
    <mergeCell ref="A9:C9"/>
    <mergeCell ref="A3:C3"/>
  </mergeCells>
  <phoneticPr fontId="2" type="noConversion"/>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X13"/>
  <sheetViews>
    <sheetView zoomScale="80" zoomScaleNormal="80" workbookViewId="0">
      <selection sqref="A1:C1"/>
    </sheetView>
  </sheetViews>
  <sheetFormatPr defaultRowHeight="12.75" x14ac:dyDescent="0.2"/>
  <cols>
    <col min="1" max="1" width="15.7109375" bestFit="1" customWidth="1"/>
    <col min="2" max="2" width="23.7109375" bestFit="1" customWidth="1"/>
    <col min="3" max="3" width="50.140625" bestFit="1" customWidth="1"/>
    <col min="4" max="4" width="49.5703125" bestFit="1" customWidth="1"/>
    <col min="5" max="5" width="35.28515625" bestFit="1" customWidth="1"/>
    <col min="6" max="6" width="14.140625" bestFit="1" customWidth="1"/>
    <col min="7" max="7" width="18.85546875" bestFit="1" customWidth="1"/>
    <col min="8" max="8" width="13.5703125" bestFit="1" customWidth="1"/>
    <col min="9" max="9" width="21.5703125" bestFit="1" customWidth="1"/>
    <col min="10" max="10" width="20.140625" bestFit="1" customWidth="1"/>
    <col min="11" max="11" width="18.42578125" bestFit="1" customWidth="1"/>
    <col min="12" max="12" width="9.85546875" bestFit="1" customWidth="1"/>
    <col min="13" max="13" width="10.85546875" bestFit="1" customWidth="1"/>
    <col min="14" max="14" width="12.28515625" bestFit="1" customWidth="1"/>
    <col min="15" max="16" width="12.85546875" bestFit="1" customWidth="1"/>
    <col min="17" max="17" width="10.7109375" bestFit="1" customWidth="1"/>
    <col min="18" max="18" width="9.85546875" bestFit="1" customWidth="1"/>
    <col min="19" max="19" width="10.85546875" bestFit="1" customWidth="1"/>
    <col min="20" max="20" width="20.5703125" bestFit="1" customWidth="1"/>
    <col min="21" max="21" width="17.7109375" bestFit="1" customWidth="1"/>
    <col min="22" max="22" width="13.85546875" bestFit="1" customWidth="1"/>
    <col min="23" max="23" width="15.140625" bestFit="1" customWidth="1"/>
    <col min="24" max="24" width="63.5703125" style="26" bestFit="1" customWidth="1"/>
    <col min="25" max="25" width="5.5703125" bestFit="1" customWidth="1"/>
  </cols>
  <sheetData>
    <row r="1" spans="1:24" ht="13.5" thickBot="1" x14ac:dyDescent="0.25">
      <c r="A1" s="148" t="s">
        <v>80</v>
      </c>
      <c r="B1" s="149"/>
      <c r="C1" s="150"/>
    </row>
    <row r="2" spans="1:24" x14ac:dyDescent="0.2">
      <c r="F2" s="157" t="s">
        <v>132</v>
      </c>
      <c r="G2" s="157"/>
      <c r="H2" s="157"/>
      <c r="I2" s="154" t="s">
        <v>115</v>
      </c>
      <c r="J2" s="155"/>
      <c r="K2" s="155"/>
      <c r="L2" s="154" t="s">
        <v>119</v>
      </c>
      <c r="M2" s="155"/>
      <c r="N2" s="155"/>
      <c r="O2" s="155"/>
      <c r="P2" s="155"/>
      <c r="Q2" s="156"/>
      <c r="R2" s="154" t="s">
        <v>122</v>
      </c>
      <c r="S2" s="155"/>
      <c r="T2" s="155"/>
      <c r="U2" s="156"/>
      <c r="V2" s="154" t="s">
        <v>124</v>
      </c>
      <c r="W2" s="156"/>
    </row>
    <row r="3" spans="1:24" s="55" customFormat="1" ht="23.25" x14ac:dyDescent="0.2">
      <c r="A3" s="51" t="s">
        <v>29</v>
      </c>
      <c r="B3" s="51" t="s">
        <v>32</v>
      </c>
      <c r="C3" s="51" t="s">
        <v>39</v>
      </c>
      <c r="D3" s="51" t="s">
        <v>40</v>
      </c>
      <c r="E3" s="51" t="s">
        <v>49</v>
      </c>
      <c r="F3" s="52" t="s">
        <v>129</v>
      </c>
      <c r="G3" s="52" t="s">
        <v>130</v>
      </c>
      <c r="H3" s="51" t="s">
        <v>131</v>
      </c>
      <c r="I3" s="52" t="s">
        <v>116</v>
      </c>
      <c r="J3" s="52" t="s">
        <v>117</v>
      </c>
      <c r="K3" s="52" t="s">
        <v>118</v>
      </c>
      <c r="L3" s="56" t="s">
        <v>120</v>
      </c>
      <c r="M3" s="56" t="s">
        <v>121</v>
      </c>
      <c r="N3" s="52" t="s">
        <v>224</v>
      </c>
      <c r="O3" s="52" t="s">
        <v>138</v>
      </c>
      <c r="P3" s="52" t="s">
        <v>139</v>
      </c>
      <c r="Q3" s="52" t="s">
        <v>140</v>
      </c>
      <c r="R3" s="53" t="s">
        <v>120</v>
      </c>
      <c r="S3" s="53" t="s">
        <v>121</v>
      </c>
      <c r="T3" s="53" t="s">
        <v>181</v>
      </c>
      <c r="U3" s="54" t="s">
        <v>123</v>
      </c>
      <c r="V3" s="54" t="s">
        <v>125</v>
      </c>
      <c r="W3" s="54" t="s">
        <v>126</v>
      </c>
      <c r="X3" s="52" t="s">
        <v>10</v>
      </c>
    </row>
    <row r="4" spans="1:24" ht="12" customHeight="1" x14ac:dyDescent="0.2">
      <c r="A4" s="50" t="s">
        <v>247</v>
      </c>
      <c r="B4" s="50" t="s">
        <v>249</v>
      </c>
      <c r="C4" s="50" t="s">
        <v>254</v>
      </c>
      <c r="D4" s="50" t="s">
        <v>252</v>
      </c>
      <c r="E4" s="50" t="s">
        <v>248</v>
      </c>
      <c r="F4" s="50" t="s">
        <v>251</v>
      </c>
      <c r="G4" s="50" t="s">
        <v>251</v>
      </c>
      <c r="H4" s="50" t="s">
        <v>251</v>
      </c>
      <c r="I4" s="50" t="s">
        <v>251</v>
      </c>
      <c r="J4" s="50" t="s">
        <v>251</v>
      </c>
      <c r="K4" s="50" t="s">
        <v>251</v>
      </c>
      <c r="L4" s="50" t="s">
        <v>251</v>
      </c>
      <c r="M4" s="50" t="s">
        <v>251</v>
      </c>
      <c r="N4" s="50" t="s">
        <v>251</v>
      </c>
      <c r="O4" s="50" t="s">
        <v>251</v>
      </c>
      <c r="P4" s="50" t="s">
        <v>251</v>
      </c>
      <c r="Q4" s="50" t="s">
        <v>251</v>
      </c>
      <c r="R4" s="50" t="s">
        <v>251</v>
      </c>
      <c r="S4" s="50" t="s">
        <v>251</v>
      </c>
      <c r="T4" s="50" t="s">
        <v>251</v>
      </c>
      <c r="U4" s="50" t="s">
        <v>251</v>
      </c>
      <c r="V4" s="50" t="s">
        <v>251</v>
      </c>
      <c r="W4" s="50" t="s">
        <v>251</v>
      </c>
      <c r="X4" s="100" t="s">
        <v>268</v>
      </c>
    </row>
    <row r="5" spans="1:24" ht="12.75" customHeight="1" x14ac:dyDescent="0.2">
      <c r="A5" s="50" t="s">
        <v>247</v>
      </c>
      <c r="B5" s="50" t="s">
        <v>249</v>
      </c>
      <c r="C5" s="50" t="s">
        <v>254</v>
      </c>
      <c r="D5" s="50" t="s">
        <v>253</v>
      </c>
      <c r="E5" s="50" t="s">
        <v>248</v>
      </c>
      <c r="F5" s="50" t="s">
        <v>251</v>
      </c>
      <c r="G5" s="50" t="s">
        <v>251</v>
      </c>
      <c r="H5" s="50" t="s">
        <v>251</v>
      </c>
      <c r="I5" s="50" t="s">
        <v>251</v>
      </c>
      <c r="J5" s="50" t="s">
        <v>251</v>
      </c>
      <c r="K5" s="50" t="s">
        <v>251</v>
      </c>
      <c r="L5" s="50" t="s">
        <v>251</v>
      </c>
      <c r="M5" s="50" t="s">
        <v>251</v>
      </c>
      <c r="N5" s="50" t="s">
        <v>251</v>
      </c>
      <c r="O5" s="50" t="s">
        <v>251</v>
      </c>
      <c r="P5" s="50" t="s">
        <v>251</v>
      </c>
      <c r="Q5" s="50" t="s">
        <v>251</v>
      </c>
      <c r="R5" s="50" t="s">
        <v>251</v>
      </c>
      <c r="S5" s="50" t="s">
        <v>251</v>
      </c>
      <c r="T5" s="50" t="s">
        <v>251</v>
      </c>
      <c r="U5" s="50" t="s">
        <v>251</v>
      </c>
      <c r="V5" s="50" t="s">
        <v>251</v>
      </c>
      <c r="W5" s="50" t="s">
        <v>251</v>
      </c>
      <c r="X5" s="100" t="s">
        <v>268</v>
      </c>
    </row>
    <row r="6" spans="1:24" ht="12.75" customHeight="1" x14ac:dyDescent="0.2">
      <c r="A6" s="105"/>
      <c r="B6" s="105"/>
      <c r="C6" s="105"/>
      <c r="D6" s="105"/>
      <c r="E6" s="105"/>
      <c r="F6" s="105"/>
      <c r="G6" s="105"/>
      <c r="H6" s="105"/>
      <c r="I6" s="105"/>
      <c r="J6" s="105"/>
      <c r="K6" s="105"/>
      <c r="L6" s="105"/>
      <c r="M6" s="105"/>
      <c r="N6" s="105"/>
      <c r="O6" s="105"/>
      <c r="P6" s="105"/>
      <c r="Q6" s="105"/>
      <c r="R6" s="105"/>
      <c r="S6" s="105"/>
      <c r="T6" s="105"/>
      <c r="U6" s="105"/>
      <c r="V6" s="105"/>
      <c r="W6" s="105"/>
      <c r="X6" s="106"/>
    </row>
    <row r="7" spans="1:24" ht="12.75" customHeight="1" x14ac:dyDescent="0.2">
      <c r="A7" s="105"/>
      <c r="B7" s="105"/>
      <c r="C7" s="105"/>
      <c r="D7" s="105"/>
      <c r="E7" s="105"/>
      <c r="F7" s="105"/>
      <c r="G7" s="105"/>
      <c r="H7" s="105"/>
      <c r="I7" s="105"/>
      <c r="J7" s="105"/>
      <c r="K7" s="105"/>
      <c r="L7" s="105"/>
      <c r="M7" s="105"/>
      <c r="N7" s="105"/>
      <c r="O7" s="105"/>
      <c r="P7" s="105"/>
      <c r="Q7" s="105"/>
      <c r="R7" s="105"/>
      <c r="S7" s="105"/>
      <c r="T7" s="105"/>
      <c r="U7" s="105"/>
      <c r="V7" s="105"/>
      <c r="W7" s="105"/>
      <c r="X7" s="106"/>
    </row>
    <row r="8" spans="1:24" ht="12.75" customHeight="1" x14ac:dyDescent="0.2">
      <c r="A8" s="105"/>
      <c r="B8" s="105"/>
      <c r="C8" s="105"/>
      <c r="D8" s="105"/>
      <c r="E8" s="105"/>
      <c r="F8" s="105"/>
      <c r="G8" s="105"/>
      <c r="H8" s="105"/>
      <c r="I8" s="105"/>
      <c r="J8" s="105"/>
      <c r="K8" s="105"/>
      <c r="L8" s="105"/>
      <c r="M8" s="105"/>
      <c r="N8" s="105"/>
      <c r="O8" s="105"/>
      <c r="P8" s="105"/>
      <c r="Q8" s="105"/>
      <c r="R8" s="105"/>
      <c r="S8" s="105"/>
      <c r="T8" s="105"/>
      <c r="U8" s="105"/>
      <c r="V8" s="105"/>
      <c r="W8" s="105"/>
      <c r="X8" s="106"/>
    </row>
    <row r="9" spans="1:24" ht="12.75" customHeight="1" x14ac:dyDescent="0.2">
      <c r="A9" s="105"/>
      <c r="B9" s="105"/>
      <c r="C9" s="105"/>
      <c r="D9" s="105"/>
      <c r="E9" s="105"/>
      <c r="F9" s="105"/>
      <c r="G9" s="105"/>
      <c r="H9" s="105"/>
      <c r="I9" s="105"/>
      <c r="J9" s="105"/>
      <c r="K9" s="105"/>
      <c r="L9" s="105"/>
      <c r="M9" s="105"/>
      <c r="N9" s="105"/>
      <c r="O9" s="105"/>
      <c r="P9" s="105"/>
      <c r="Q9" s="105"/>
      <c r="R9" s="105"/>
      <c r="S9" s="105"/>
      <c r="T9" s="105"/>
      <c r="U9" s="105"/>
      <c r="V9" s="105"/>
      <c r="W9" s="105"/>
      <c r="X9" s="106"/>
    </row>
    <row r="12" spans="1:24" x14ac:dyDescent="0.2">
      <c r="A12" s="24" t="s">
        <v>14</v>
      </c>
      <c r="B12" s="24" t="s">
        <v>44</v>
      </c>
    </row>
    <row r="13" spans="1:24" x14ac:dyDescent="0.2">
      <c r="A13" s="23"/>
      <c r="B13" s="23">
        <v>0</v>
      </c>
    </row>
  </sheetData>
  <mergeCells count="6">
    <mergeCell ref="A1:C1"/>
    <mergeCell ref="I2:K2"/>
    <mergeCell ref="L2:Q2"/>
    <mergeCell ref="R2:U2"/>
    <mergeCell ref="V2:W2"/>
    <mergeCell ref="F2:H2"/>
  </mergeCell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10"/>
  <sheetViews>
    <sheetView workbookViewId="0">
      <selection sqref="A1:C1"/>
    </sheetView>
  </sheetViews>
  <sheetFormatPr defaultRowHeight="12.75" x14ac:dyDescent="0.2"/>
  <cols>
    <col min="1" max="1" width="16.28515625" bestFit="1" customWidth="1"/>
    <col min="2" max="2" width="15.28515625" customWidth="1"/>
    <col min="3" max="3" width="39.140625" customWidth="1"/>
  </cols>
  <sheetData>
    <row r="1" spans="1:3" ht="13.5" thickBot="1" x14ac:dyDescent="0.25">
      <c r="A1" s="148" t="s">
        <v>34</v>
      </c>
      <c r="B1" s="149"/>
      <c r="C1" s="150"/>
    </row>
    <row r="3" spans="1:3" ht="25.5" x14ac:dyDescent="0.2">
      <c r="A3" s="36" t="s">
        <v>35</v>
      </c>
      <c r="B3" s="36" t="s">
        <v>36</v>
      </c>
      <c r="C3" s="36" t="s">
        <v>31</v>
      </c>
    </row>
    <row r="4" spans="1:3" x14ac:dyDescent="0.2">
      <c r="A4" s="50" t="s">
        <v>251</v>
      </c>
      <c r="B4" s="16"/>
      <c r="C4" s="16"/>
    </row>
    <row r="5" spans="1:3" x14ac:dyDescent="0.2">
      <c r="A5" s="16"/>
      <c r="B5" s="16"/>
      <c r="C5" s="25"/>
    </row>
    <row r="6" spans="1:3" x14ac:dyDescent="0.2">
      <c r="A6" s="16"/>
      <c r="B6" s="16"/>
      <c r="C6" s="16"/>
    </row>
    <row r="9" spans="1:3" x14ac:dyDescent="0.2">
      <c r="A9" s="24" t="s">
        <v>14</v>
      </c>
      <c r="B9" s="24" t="s">
        <v>44</v>
      </c>
    </row>
    <row r="10" spans="1:3" x14ac:dyDescent="0.2">
      <c r="A10" s="23"/>
      <c r="B10" s="23"/>
    </row>
  </sheetData>
  <mergeCells count="1">
    <mergeCell ref="A1:C1"/>
  </mergeCells>
  <phoneticPr fontId="2" type="noConversion"/>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P18"/>
  <sheetViews>
    <sheetView workbookViewId="0">
      <selection sqref="A1:D1"/>
    </sheetView>
  </sheetViews>
  <sheetFormatPr defaultRowHeight="12.75" x14ac:dyDescent="0.2"/>
  <cols>
    <col min="1" max="1" width="21.85546875" bestFit="1" customWidth="1"/>
    <col min="2" max="2" width="27.85546875" bestFit="1" customWidth="1"/>
    <col min="3" max="3" width="16.42578125" bestFit="1" customWidth="1"/>
    <col min="4" max="4" width="14.7109375" bestFit="1" customWidth="1"/>
    <col min="5" max="5" width="22.85546875" customWidth="1"/>
    <col min="6" max="6" width="20.28515625" customWidth="1"/>
    <col min="8" max="8" width="22.28515625" bestFit="1" customWidth="1"/>
    <col min="30" max="30" width="23.42578125" bestFit="1" customWidth="1"/>
  </cols>
  <sheetData>
    <row r="1" spans="1:16" ht="13.5" thickBot="1" x14ac:dyDescent="0.25">
      <c r="A1" s="148" t="s">
        <v>43</v>
      </c>
      <c r="B1" s="149"/>
      <c r="C1" s="149"/>
      <c r="D1" s="150"/>
    </row>
    <row r="3" spans="1:16" x14ac:dyDescent="0.2">
      <c r="A3" s="17" t="s">
        <v>42</v>
      </c>
      <c r="B3" s="17" t="s">
        <v>107</v>
      </c>
      <c r="C3" s="17" t="s">
        <v>94</v>
      </c>
      <c r="D3" s="17" t="s">
        <v>95</v>
      </c>
      <c r="E3" s="17" t="s">
        <v>109</v>
      </c>
      <c r="F3" s="17" t="s">
        <v>180</v>
      </c>
    </row>
    <row r="4" spans="1:16" x14ac:dyDescent="0.2">
      <c r="A4" s="22" t="s">
        <v>68</v>
      </c>
      <c r="B4" s="49"/>
      <c r="C4" s="50"/>
      <c r="D4" s="16"/>
      <c r="E4" s="16"/>
      <c r="F4" s="16" t="s">
        <v>179</v>
      </c>
    </row>
    <row r="5" spans="1:16" x14ac:dyDescent="0.2">
      <c r="A5" s="22" t="s">
        <v>68</v>
      </c>
      <c r="B5" s="16"/>
      <c r="C5" s="16"/>
      <c r="D5" s="16"/>
      <c r="E5" s="16"/>
      <c r="F5" s="16" t="s">
        <v>179</v>
      </c>
    </row>
    <row r="8" spans="1:16" x14ac:dyDescent="0.2">
      <c r="A8" s="17" t="s">
        <v>106</v>
      </c>
      <c r="B8" s="47" t="s">
        <v>99</v>
      </c>
      <c r="C8" s="47" t="s">
        <v>100</v>
      </c>
      <c r="D8" s="47" t="s">
        <v>101</v>
      </c>
      <c r="E8" s="47" t="s">
        <v>102</v>
      </c>
      <c r="F8" s="47" t="s">
        <v>103</v>
      </c>
      <c r="G8" s="47" t="s">
        <v>104</v>
      </c>
      <c r="H8" s="47" t="s">
        <v>105</v>
      </c>
      <c r="I8" s="33"/>
      <c r="J8" s="33"/>
      <c r="K8" s="33"/>
      <c r="L8" s="33"/>
      <c r="M8" s="33"/>
      <c r="N8" s="33"/>
      <c r="O8" s="33"/>
      <c r="P8" s="33"/>
    </row>
    <row r="9" spans="1:16" x14ac:dyDescent="0.2">
      <c r="A9" s="17" t="s">
        <v>108</v>
      </c>
      <c r="B9" s="48"/>
      <c r="C9" s="48"/>
      <c r="D9" s="48"/>
      <c r="E9" s="48"/>
      <c r="F9" s="48"/>
      <c r="G9" s="48"/>
      <c r="H9" s="48"/>
      <c r="I9" s="33"/>
      <c r="J9" s="33"/>
      <c r="K9" s="33"/>
      <c r="L9" s="33"/>
      <c r="M9" s="33"/>
      <c r="N9" s="33"/>
      <c r="O9" s="33"/>
      <c r="P9" s="33"/>
    </row>
    <row r="10" spans="1:16" x14ac:dyDescent="0.2">
      <c r="A10" s="17" t="s">
        <v>108</v>
      </c>
      <c r="B10" s="48"/>
      <c r="C10" s="48"/>
      <c r="D10" s="48"/>
      <c r="E10" s="48"/>
      <c r="F10" s="48"/>
      <c r="G10" s="48"/>
      <c r="H10" s="48"/>
    </row>
    <row r="11" spans="1:16" x14ac:dyDescent="0.2">
      <c r="A11" s="17" t="s">
        <v>108</v>
      </c>
      <c r="B11" s="48"/>
      <c r="C11" s="48"/>
      <c r="D11" s="48"/>
      <c r="E11" s="48"/>
      <c r="F11" s="48"/>
      <c r="G11" s="48"/>
      <c r="H11" s="48"/>
    </row>
    <row r="15" spans="1:16" x14ac:dyDescent="0.2">
      <c r="B15" s="46" t="s">
        <v>110</v>
      </c>
      <c r="C15" s="158" t="s">
        <v>111</v>
      </c>
      <c r="D15" s="158"/>
      <c r="E15" s="158"/>
      <c r="F15" s="158"/>
      <c r="G15" s="158"/>
    </row>
    <row r="16" spans="1:16" x14ac:dyDescent="0.2">
      <c r="B16" s="46" t="s">
        <v>96</v>
      </c>
      <c r="C16" s="158"/>
      <c r="D16" s="158"/>
      <c r="E16" s="158"/>
      <c r="F16" s="158"/>
      <c r="G16" s="158"/>
    </row>
    <row r="17" spans="2:7" x14ac:dyDescent="0.2">
      <c r="B17" s="46" t="s">
        <v>97</v>
      </c>
      <c r="C17" s="158"/>
      <c r="D17" s="158"/>
      <c r="E17" s="158"/>
      <c r="F17" s="158"/>
      <c r="G17" s="158"/>
    </row>
    <row r="18" spans="2:7" x14ac:dyDescent="0.2">
      <c r="B18" s="46" t="s">
        <v>98</v>
      </c>
      <c r="C18" s="158"/>
      <c r="D18" s="158"/>
      <c r="E18" s="158"/>
      <c r="F18" s="158"/>
      <c r="G18" s="158"/>
    </row>
  </sheetData>
  <mergeCells count="2">
    <mergeCell ref="A1:D1"/>
    <mergeCell ref="C15:G18"/>
  </mergeCells>
  <phoneticPr fontId="2" type="noConversion"/>
  <dataValidations count="2">
    <dataValidation type="list" allowBlank="1" showInputMessage="1" showErrorMessage="1" sqref="F4:F5">
      <formula1>"High (Y), Normal (N), N/A"</formula1>
    </dataValidation>
    <dataValidation type="list" allowBlank="1" showInputMessage="1" showErrorMessage="1" sqref="E4:E5">
      <formula1>"SR Data Update, Post Release Data Update, N/A"</formula1>
    </dataValidation>
  </dataValidations>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4"/>
  <sheetViews>
    <sheetView workbookViewId="0">
      <selection activeCell="P46" sqref="P46"/>
    </sheetView>
  </sheetViews>
  <sheetFormatPr defaultRowHeight="12.75" x14ac:dyDescent="0.2"/>
  <cols>
    <col min="1" max="1" width="15.140625" bestFit="1" customWidth="1"/>
    <col min="2" max="2" width="48" customWidth="1"/>
  </cols>
  <sheetData>
    <row r="1" spans="1:2" x14ac:dyDescent="0.2">
      <c r="A1" s="159" t="s">
        <v>134</v>
      </c>
      <c r="B1" s="160"/>
    </row>
    <row r="2" spans="1:2" x14ac:dyDescent="0.2">
      <c r="A2" s="78" t="s">
        <v>136</v>
      </c>
      <c r="B2" s="79"/>
    </row>
    <row r="3" spans="1:2" x14ac:dyDescent="0.2">
      <c r="A3" s="78" t="s">
        <v>135</v>
      </c>
      <c r="B3" s="79"/>
    </row>
    <row r="4" spans="1:2" ht="13.5" thickBot="1" x14ac:dyDescent="0.25">
      <c r="A4" s="80" t="s">
        <v>137</v>
      </c>
      <c r="B4" s="81"/>
    </row>
  </sheetData>
  <mergeCells count="1">
    <mergeCell ref="A1:B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14</vt:i4>
      </vt:variant>
    </vt:vector>
  </HeadingPairs>
  <TitlesOfParts>
    <vt:vector size="29" baseType="lpstr">
      <vt:lpstr>Title</vt:lpstr>
      <vt:lpstr>Version Control</vt:lpstr>
      <vt:lpstr>Functional Specification</vt:lpstr>
      <vt:lpstr>DTD Review Checklist</vt:lpstr>
      <vt:lpstr>AppConfig</vt:lpstr>
      <vt:lpstr>Overview</vt:lpstr>
      <vt:lpstr>1.0 DB Schema</vt:lpstr>
      <vt:lpstr>2.0 Ifb &amp; PHP</vt:lpstr>
      <vt:lpstr>3.0 Mapping</vt:lpstr>
      <vt:lpstr>3.1 Mapping Details</vt:lpstr>
      <vt:lpstr>4.0 Worklet &amp; workflow</vt:lpstr>
      <vt:lpstr>4.1 Session Details</vt:lpstr>
      <vt:lpstr>5.0 Stored Procedure</vt:lpstr>
      <vt:lpstr>6.0 Data Update</vt:lpstr>
      <vt:lpstr>6.1 Data update Details</vt:lpstr>
      <vt:lpstr>AppCRN</vt:lpstr>
      <vt:lpstr>AppDateReviewed</vt:lpstr>
      <vt:lpstr>AppDevDReviewed</vt:lpstr>
      <vt:lpstr>AppDevNameReviewed</vt:lpstr>
      <vt:lpstr>AppMA</vt:lpstr>
      <vt:lpstr>AppPPRD</vt:lpstr>
      <vt:lpstr>AppReviewedBy</vt:lpstr>
      <vt:lpstr>Area</vt:lpstr>
      <vt:lpstr>CRNIRN</vt:lpstr>
      <vt:lpstr>DateReviewed</vt:lpstr>
      <vt:lpstr>DevDReviewed</vt:lpstr>
      <vt:lpstr>Entity</vt:lpstr>
      <vt:lpstr>MA</vt:lpstr>
      <vt:lpstr>PPRD</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DTD &amp; Estimation</dc:title>
  <dc:subject>Detail Functional &amp; Technical Design</dc:subject>
  <dc:creator>arnaud.grimont</dc:creator>
  <cp:lastModifiedBy>L'Etourdi, J.</cp:lastModifiedBy>
  <dcterms:created xsi:type="dcterms:W3CDTF">2009-06-01T12:18:44Z</dcterms:created>
  <dcterms:modified xsi:type="dcterms:W3CDTF">2018-06-08T16:38:51Z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64440492-4C8B-11D1-8B70-080036B11A03}" pid="4">
    <vt:lpwstr>TME JTI</vt:lpwstr>
  </property>
</Properties>
</file>