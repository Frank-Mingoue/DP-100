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24226"/>
  <mc:AlternateContent xmlns:mc="http://schemas.openxmlformats.org/markup-compatibility/2006">
    <mc:Choice Requires="x15">
      <x15ac:absPath xmlns:x15ac="http://schemas.microsoft.com/office/spreadsheetml/2010/11/ac" url="J:\General\04_RELEASE_MANAGEMENT\2018-07_Release PROD JUL18\02_Development\Cross\C_CHG131815\03_Build\"/>
    </mc:Choice>
  </mc:AlternateContent>
  <bookViews>
    <workbookView xWindow="0" yWindow="0" windowWidth="24000" windowHeight="9510" tabRatio="926"/>
  </bookViews>
  <sheets>
    <sheet name="Cover" sheetId="20" r:id="rId1"/>
    <sheet name="Version Control" sheetId="23" r:id="rId2"/>
    <sheet name="Test Cycle 1" sheetId="24" r:id="rId3"/>
    <sheet name="AppConfig" sheetId="26" state="hidden" r:id="rId4"/>
    <sheet name="Screenshot" sheetId="25" r:id="rId5"/>
    <sheet name="Export flat file" sheetId="27" r:id="rId6"/>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1'!$F$8</definedName>
    <definedName name="DTested">'Test Cycle 1'!$F$7</definedName>
    <definedName name="dTestedBy">'Test Cycle 1'!$H$7</definedName>
    <definedName name="Entity">'Test Cycle 1'!$F$6</definedName>
    <definedName name="MA">Cover!$K$25</definedName>
    <definedName name="PPRD">'Version Control'!$B$11</definedName>
    <definedName name="ReviewedBy">'Test Cycle 1'!$H$8</definedName>
    <definedName name="TestedBy">'Test Cycle 1'!$H$7</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71027"/>
</workbook>
</file>

<file path=xl/calcChain.xml><?xml version="1.0" encoding="utf-8"?>
<calcChain xmlns="http://schemas.openxmlformats.org/spreadsheetml/2006/main">
  <c r="B10" i="26" l="1"/>
  <c r="B9" i="26"/>
  <c r="B8" i="26"/>
  <c r="B7" i="26"/>
  <c r="B6" i="26"/>
  <c r="B5" i="26"/>
  <c r="B4" i="26"/>
  <c r="B3" i="26"/>
  <c r="B2" i="26"/>
  <c r="A14" i="23"/>
  <c r="A30" i="23"/>
  <c r="C37" i="20"/>
</calcChain>
</file>

<file path=xl/comments1.xml><?xml version="1.0" encoding="utf-8"?>
<comments xmlns="http://schemas.openxmlformats.org/spreadsheetml/2006/main">
  <authors>
    <author>arnaud.grimont</author>
  </authors>
  <commentList>
    <comment ref="A17" authorId="0" shapeId="0">
      <text>
        <r>
          <rPr>
            <b/>
            <sz val="8"/>
            <color indexed="81"/>
            <rFont val="Tahoma"/>
            <family val="2"/>
          </rPr>
          <t>arnaud.grimont:</t>
        </r>
        <r>
          <rPr>
            <sz val="8"/>
            <color indexed="81"/>
            <rFont val="Tahoma"/>
            <family val="2"/>
          </rPr>
          <t xml:space="preserve">
Application if any interface is modified</t>
        </r>
      </text>
    </comment>
    <comment ref="A19" authorId="0" shapeId="0">
      <text>
        <r>
          <rPr>
            <b/>
            <sz val="8"/>
            <color indexed="81"/>
            <rFont val="Tahoma"/>
            <family val="2"/>
          </rPr>
          <t>arnaud.grimont:</t>
        </r>
        <r>
          <rPr>
            <sz val="8"/>
            <color indexed="81"/>
            <rFont val="Tahoma"/>
            <family val="2"/>
          </rPr>
          <t xml:space="preserve">
Applicable for only ETL changes</t>
        </r>
      </text>
    </comment>
    <comment ref="A24" authorId="0" shapeId="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authors>
    <author>bruneau.melier</author>
    <author>virish.seechurn</author>
  </authors>
  <commentList>
    <comment ref="B6" authorId="0" shapeId="0">
      <text>
        <r>
          <rPr>
            <b/>
            <sz val="8"/>
            <color indexed="81"/>
            <rFont val="Tahoma"/>
            <family val="2"/>
          </rPr>
          <t>bruneau.melier:</t>
        </r>
        <r>
          <rPr>
            <sz val="8"/>
            <color indexed="81"/>
            <rFont val="Tahoma"/>
            <family val="2"/>
          </rPr>
          <t xml:space="preserve">
give the name of the mapping being tested </t>
        </r>
      </text>
    </comment>
    <comment ref="F6" authorId="0" shapeId="0">
      <text>
        <r>
          <rPr>
            <b/>
            <sz val="8"/>
            <color indexed="81"/>
            <rFont val="Tahoma"/>
            <family val="2"/>
          </rPr>
          <t>bruneau.melier:</t>
        </r>
        <r>
          <rPr>
            <sz val="8"/>
            <color indexed="81"/>
            <rFont val="Tahoma"/>
            <family val="2"/>
          </rPr>
          <t xml:space="preserve">
give the name of the entity being tested</t>
        </r>
      </text>
    </comment>
    <comment ref="B7" authorId="0" shapeId="0">
      <text>
        <r>
          <rPr>
            <b/>
            <sz val="8"/>
            <color indexed="81"/>
            <rFont val="Tahoma"/>
            <family val="2"/>
          </rPr>
          <t>bruneau.melier:</t>
        </r>
        <r>
          <rPr>
            <sz val="8"/>
            <color indexed="81"/>
            <rFont val="Tahoma"/>
            <family val="2"/>
          </rPr>
          <t xml:space="preserve">
give the name of the mapping being tested </t>
        </r>
      </text>
    </comment>
    <comment ref="F7" authorId="0" shapeId="0">
      <text>
        <r>
          <rPr>
            <b/>
            <sz val="8"/>
            <color indexed="81"/>
            <rFont val="Tahoma"/>
            <family val="2"/>
          </rPr>
          <t>bruneau.melier:</t>
        </r>
        <r>
          <rPr>
            <sz val="8"/>
            <color indexed="81"/>
            <rFont val="Tahoma"/>
            <family val="2"/>
          </rPr>
          <t xml:space="preserve">
store the date when the test script was executed by the developer/tester</t>
        </r>
      </text>
    </comment>
    <comment ref="H7" authorId="0" shapeId="0">
      <text>
        <r>
          <rPr>
            <b/>
            <sz val="8"/>
            <color indexed="81"/>
            <rFont val="Tahoma"/>
            <family val="2"/>
          </rPr>
          <t>bruneau.melier:</t>
        </r>
        <r>
          <rPr>
            <sz val="8"/>
            <color indexed="81"/>
            <rFont val="Tahoma"/>
            <family val="2"/>
          </rPr>
          <t xml:space="preserve">
give the name of the developer/tester</t>
        </r>
      </text>
    </comment>
    <comment ref="B8" authorId="0" shapeId="0">
      <text>
        <r>
          <rPr>
            <b/>
            <sz val="8"/>
            <color indexed="81"/>
            <rFont val="Tahoma"/>
            <family val="2"/>
          </rPr>
          <t>bruneau.melier:</t>
        </r>
        <r>
          <rPr>
            <sz val="8"/>
            <color indexed="81"/>
            <rFont val="Tahoma"/>
            <family val="2"/>
          </rPr>
          <t xml:space="preserve">
indicate the status of the test script </t>
        </r>
      </text>
    </comment>
    <comment ref="F8" authorId="0" shapeId="0">
      <text>
        <r>
          <rPr>
            <b/>
            <sz val="8"/>
            <color indexed="81"/>
            <rFont val="Tahoma"/>
            <family val="2"/>
          </rPr>
          <t>bruneau.melier:</t>
        </r>
        <r>
          <rPr>
            <sz val="8"/>
            <color indexed="81"/>
            <rFont val="Tahoma"/>
            <family val="2"/>
          </rPr>
          <t xml:space="preserve">
store the date when the test script was executed by the developer/tester</t>
        </r>
      </text>
    </comment>
    <comment ref="H8" authorId="0" shapeId="0">
      <text>
        <r>
          <rPr>
            <b/>
            <sz val="8"/>
            <color indexed="81"/>
            <rFont val="Tahoma"/>
            <family val="2"/>
          </rPr>
          <t>bruneau.melier:</t>
        </r>
        <r>
          <rPr>
            <sz val="8"/>
            <color indexed="81"/>
            <rFont val="Tahoma"/>
            <family val="2"/>
          </rPr>
          <t xml:space="preserve">
give the name of the reviewer of the test script </t>
        </r>
      </text>
    </comment>
    <comment ref="B9" authorId="0" shapeId="0">
      <text>
        <r>
          <rPr>
            <b/>
            <sz val="8"/>
            <color indexed="81"/>
            <rFont val="Tahoma"/>
            <family val="2"/>
          </rPr>
          <t>bruneau.melier:</t>
        </r>
        <r>
          <rPr>
            <sz val="8"/>
            <color indexed="81"/>
            <rFont val="Tahoma"/>
            <family val="2"/>
          </rPr>
          <t xml:space="preserve">
give a description of the purpose of the test script </t>
        </r>
      </text>
    </comment>
    <comment ref="A10" authorId="1" shapeId="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10" authorId="0" shapeId="0">
      <text>
        <r>
          <rPr>
            <b/>
            <sz val="8"/>
            <color indexed="81"/>
            <rFont val="Tahoma"/>
            <family val="2"/>
          </rPr>
          <t>bruneau.melier:</t>
        </r>
        <r>
          <rPr>
            <sz val="8"/>
            <color indexed="81"/>
            <rFont val="Tahoma"/>
            <family val="2"/>
          </rPr>
          <t xml:space="preserve">
give a summary of the purpose of the test step </t>
        </r>
      </text>
    </comment>
    <comment ref="C10" authorId="0" shapeId="0">
      <text>
        <r>
          <rPr>
            <b/>
            <sz val="8"/>
            <color indexed="81"/>
            <rFont val="Tahoma"/>
            <family val="2"/>
          </rPr>
          <t>bruneau.melier:</t>
        </r>
        <r>
          <rPr>
            <sz val="8"/>
            <color indexed="81"/>
            <rFont val="Tahoma"/>
            <family val="2"/>
          </rPr>
          <t xml:space="preserve">
give a detailed description of the purpose of the test step </t>
        </r>
      </text>
    </comment>
    <comment ref="D10" authorId="0" shapeId="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10" authorId="0" shapeId="0">
      <text>
        <r>
          <rPr>
            <b/>
            <sz val="8"/>
            <color indexed="81"/>
            <rFont val="Tahoma"/>
            <family val="2"/>
          </rPr>
          <t>bruneau.melier:</t>
        </r>
        <r>
          <rPr>
            <sz val="8"/>
            <color indexed="81"/>
            <rFont val="Tahoma"/>
            <family val="2"/>
          </rPr>
          <t xml:space="preserve">
SQL script (if any) to be used for executing the step</t>
        </r>
      </text>
    </comment>
    <comment ref="F10" authorId="0" shapeId="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10" authorId="0" shapeId="0">
      <text>
        <r>
          <rPr>
            <b/>
            <sz val="8"/>
            <color indexed="81"/>
            <rFont val="Tahoma"/>
            <family val="2"/>
          </rPr>
          <t>bruneau.melier:</t>
        </r>
        <r>
          <rPr>
            <sz val="8"/>
            <color indexed="81"/>
            <rFont val="Tahoma"/>
            <family val="2"/>
          </rPr>
          <t xml:space="preserve">
SQL script (if any) to be used for checking the results of the step executed </t>
        </r>
      </text>
    </comment>
    <comment ref="H10" authorId="0" shapeId="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J10" authorId="0" shapeId="0">
      <text>
        <r>
          <rPr>
            <b/>
            <sz val="8"/>
            <color indexed="81"/>
            <rFont val="Tahoma"/>
            <family val="2"/>
          </rPr>
          <t>bruneau.melier:</t>
        </r>
        <r>
          <rPr>
            <sz val="8"/>
            <color indexed="81"/>
            <rFont val="Tahoma"/>
            <family val="2"/>
          </rPr>
          <t xml:space="preserve">
Comments related to the status of the Test Status (used for justifying a particular test status)</t>
        </r>
      </text>
    </comment>
    <comment ref="K10" authorId="0" shapeId="0">
      <text>
        <r>
          <rPr>
            <b/>
            <sz val="8"/>
            <color indexed="81"/>
            <rFont val="Tahoma"/>
            <family val="2"/>
          </rPr>
          <t>bruneau.melier:</t>
        </r>
        <r>
          <rPr>
            <sz val="8"/>
            <color indexed="81"/>
            <rFont val="Tahoma"/>
            <family val="2"/>
          </rPr>
          <t xml:space="preserve">
Takes the value of Not Executed, WIP, Passed or Failed</t>
        </r>
      </text>
    </comment>
    <comment ref="L10" authorId="0" shapeId="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 ref="M10" authorId="0" shapeId="0">
      <text>
        <r>
          <rPr>
            <b/>
            <sz val="8"/>
            <color indexed="81"/>
            <rFont val="Tahoma"/>
            <family val="2"/>
          </rPr>
          <t>bruneau.melier:</t>
        </r>
        <r>
          <rPr>
            <sz val="8"/>
            <color indexed="81"/>
            <rFont val="Tahoma"/>
            <family val="2"/>
          </rPr>
          <t xml:space="preserve">
This should be filled in by the Reviewer for filling in the actual result being observed by the reviewer on executing the test step</t>
        </r>
      </text>
    </comment>
  </commentList>
</comments>
</file>

<file path=xl/sharedStrings.xml><?xml version="1.0" encoding="utf-8"?>
<sst xmlns="http://schemas.openxmlformats.org/spreadsheetml/2006/main" count="371" uniqueCount="253">
  <si>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</si>
  <si>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</si>
  <si>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</si>
  <si>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</si>
  <si>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</si>
  <si>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</si>
  <si>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</si>
  <si>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</si>
  <si>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</si>
  <si>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</si>
  <si>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</si>
  <si>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</si>
  <si>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</si>
  <si>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</si>
  <si>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</si>
  <si>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</si>
  <si>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</si>
  <si>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</si>
  <si>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</si>
  <si>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</si>
  <si>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</si>
  <si>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</si>
  <si>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</si>
  <si>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</si>
  <si>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</si>
  <si>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</si>
  <si>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</si>
  <si>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</si>
  <si>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</si>
  <si>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Issue Log correctly Updated</t>
  </si>
  <si>
    <t>Stored Procedures on SVN</t>
  </si>
  <si>
    <t>PRE_EIM_TABLES on SVN if any</t>
  </si>
  <si>
    <t xml:space="preserve">PHP/IFB Update on SVN </t>
  </si>
  <si>
    <t>Data Update Incident Template if any</t>
  </si>
  <si>
    <t>Data Impacted Objects Document Update</t>
  </si>
  <si>
    <t>Technical Solution, Data Update Flag &amp; Target Release on Scopesheet</t>
  </si>
  <si>
    <t>Test Script Passed</t>
  </si>
  <si>
    <t>Screenshots available</t>
  </si>
  <si>
    <t>End User Test Script completed (Integration Test Script)</t>
  </si>
  <si>
    <t>Sharepoint Update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</si>
  <si>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</si>
  <si>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</si>
  <si>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</si>
  <si>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</si>
  <si>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</si>
  <si>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</si>
  <si>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</si>
  <si>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</si>
  <si>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</si>
  <si>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</si>
  <si>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</si>
  <si>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</si>
  <si>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</si>
  <si>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</si>
  <si>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</si>
  <si>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</si>
  <si>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</si>
  <si>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</si>
  <si>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</si>
  <si>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</si>
  <si>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</si>
  <si>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</si>
  <si>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</si>
  <si>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</si>
  <si>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</si>
  <si>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</si>
  <si>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</si>
  <si>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</si>
  <si>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</si>
  <si>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</si>
  <si>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</si>
  <si>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</si>
  <si>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</si>
  <si>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</si>
  <si>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</si>
  <si>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</si>
  <si>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</si>
  <si>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</si>
  <si>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</si>
  <si>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</si>
  <si>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Test Status</t>
  </si>
  <si>
    <t>Test Status Comments</t>
  </si>
  <si>
    <t>Reviewer’s Actual Result Observed</t>
  </si>
  <si>
    <t>CR\INC:</t>
  </si>
  <si>
    <t>JUL, 2018</t>
  </si>
  <si>
    <t>CHG131815</t>
  </si>
  <si>
    <t>New Order Types for Web based orders</t>
  </si>
  <si>
    <t>CA</t>
  </si>
  <si>
    <t>15/03/2018</t>
  </si>
  <si>
    <t>Y</t>
  </si>
  <si>
    <t xml:space="preserve">Screenshot 1 </t>
  </si>
  <si>
    <t>N</t>
  </si>
  <si>
    <t>CHG131815 Detail Functional and Technical Design Data Part v1.xlsm</t>
  </si>
  <si>
    <t>J:\General\04_RELEASE_MANAGEMENT\2018-07_Release PROD JUL18\04_Release Docs\003-Data\JUL_2018_Data_Impacted_Objects.xlsx</t>
  </si>
  <si>
    <t>Anju</t>
  </si>
  <si>
    <t>PE</t>
  </si>
  <si>
    <t xml:space="preserve"> RUN_OUTBOUND_PE_CA</t>
  </si>
  <si>
    <t>Check if new field populated</t>
  </si>
  <si>
    <t>FDE_INT_PAYMENT_EFT_EXPORT_V6</t>
  </si>
  <si>
    <t>Siebel Sales Application &amp; SIEBEL_OLTP_DEV14</t>
  </si>
  <si>
    <t>Execute Payment Order Batch</t>
  </si>
  <si>
    <r>
      <t xml:space="preserve">Execute worklet </t>
    </r>
    <r>
      <rPr>
        <b/>
        <sz val="9"/>
        <rFont val="Book Antiqua"/>
        <family val="1"/>
      </rPr>
      <t>wrk_Payment_Order_Batch</t>
    </r>
    <r>
      <rPr>
        <sz val="9"/>
        <rFont val="Book Antiqua"/>
        <family val="1"/>
      </rPr>
      <t xml:space="preserve"> in </t>
    </r>
    <r>
      <rPr>
        <b/>
        <sz val="9"/>
        <rFont val="Book Antiqua"/>
        <family val="1"/>
      </rPr>
      <t>RUN_OUTBOUND_PE_CA</t>
    </r>
    <r>
      <rPr>
        <sz val="9"/>
        <rFont val="Book Antiqua"/>
        <family val="1"/>
      </rPr>
      <t xml:space="preserve"> workflow and verify if records have been correctly imported in EIM tables </t>
    </r>
  </si>
  <si>
    <t>Workflow Manager &amp; SIEBEL_OLTP_DEV14</t>
  </si>
  <si>
    <t>N/A</t>
  </si>
  <si>
    <t>1 row updated</t>
  </si>
  <si>
    <t xml:space="preserve">Create  Order Test data
Payment Collection </t>
  </si>
  <si>
    <t>1  Order line should be returned with field correctly populated</t>
  </si>
  <si>
    <t>1 Order line should be returned with field correctly populated</t>
  </si>
  <si>
    <t>1 Order line is  returned  with field correctly populated</t>
  </si>
  <si>
    <t>Screenshot 2</t>
  </si>
  <si>
    <t>Create  Order Test data
Payment EFT</t>
  </si>
  <si>
    <t>NotePayment of type  EFT cannot be created through sales application hence we will update the record directly to be processed by ' PE"</t>
  </si>
  <si>
    <t xml:space="preserve">SELECT *
FROM WC_ETL_FILES_G
WHERE  SUBSTRING (FILENAME,3,6) ='PE0602' AND SUBSTRING (FILENAME,1,2)  ='CA'
SELECT * FROM WC_LOAD_STATUS_G
WHERE BU_NAME ='CA' AND ENTITY = 'PE' AND VERSION= '06'
ORDER BY 1 DESC
</t>
  </si>
  <si>
    <t xml:space="preserve">UPDATE S_SRC_PAYMENT
SET  X_EXPORT_STATUS_CD = null
where ROW_ID ='1-6D71I5'
SELECT DISTINCT CHEQUE.X_VAT_REGN_NUM, BL_ADR.ADDR, BL_ADR.ADDR_LINE_2, BL_ADR.ADDR_LINE_4, BL_ADR.ZIPCODE, BL_ADR.CITY, BL_ADR.X_STATE, BL_ADR.COUNTRY, AC_ADDR.ADDR, AC_ADDR.ADDR_LINE_2, AC_ADDR.ZIPCODE, AC_ADDR.CITY, INV_CONTACT.FST_NAME, INV_CONTACT.LAST_NAME, INV_CONTACT.X_LANGUAGE_CD, INV_CONTACT.PER_TITLE, CHEQUE.X_PAY_DEL_STAT_CD, ORG_CHEQUE.ALIAS_NAME, CHEQUE.X_CONTRACT_PAY_METHOD_CD, S_ORDER.ORDER_NUM, S_ORDER.X_SUB_TYPE 
FROM S_SRC_PAYMENT PAY INNER JOIN S_BU ON S_BU.ROW_ID = PAY.X_BU_ID INNER JOIN S_ORG_EXT ON S_BU.ROW_ID = S_ORG_EXT.ROW_ID INNER JOIN S_SRC_PAYMENT CHEQUE ON PAY.PAR_PAYMENT_ID = CHEQUE.ROW_ID INNER JOIN PRE_PAYMENT_ETF_BANK_EXPORT XML ON XML.CHECK_ID = CHEQUE.ROW_ID LEFT OUTER JOIN S_ORG_EXT ORG_CHEQUE ON ORG_CHEQUE.ROW_ID = CHEQUE.ACCNT_ID LEFT OUTER JOIN S_MDF BUD ON BUD.ROW_ID = CHEQUE.X_AGREE_BUDGET_ID LEFT OUTER JOIN S_USER APPRV ON APPRV.ROW_ID = CHEQUE.X_APPROVER_ID LEFT OUTER JOIN S_USER SEC_APPRV ON SEC_APPRV.ROW_ID = CHEQUE.X_SECONDARY_APPROVER_ID LEFT OUTER JOIN S_USER APPRV_BY ON APPRV_BY.ROW_ID = CHEQUE.X_APPROVED_BY_ID LEFT OUTER JOIN S_ADDR_PER ON CHEQUE.BANK_ADDR_ID = S_ADDR_PER.ROW_ID LEFT OUTER JOIN S_CONTACT CHEQUE_CON ON CHEQUE.CON_ID = CHEQUE_CON.ROW_ID LEFT OUTER JOIN S_PTY_PAY_PRFL ON CHEQUE_CON.PR_PER_PAY_PRFL_ID = S_PTY_PAY_PRFL.ROW_ID LEFT OUTER JOIN S_DOC_AGREE ON CHEQUE.CONTRACT_ID = S_DOC_AGREE.ROW_ID LEFT OUTER JOIN S_ORG_EXT AGREE_ACNT ON S_DOC_AGREE.TARGET_OU_ID = AGREE_ACNT.ROW_ID LEFT OUTER JOIN S_ORG_EXT_X AC_C ON CHEQUE.ACCNT_ID = AC_C.PAR_ROW_ID LEFT OUTER JOIN S_CONTACT CHEQUE_SIGN ON CHEQUE.X_SIGNED_BY_ID = CHEQUE_SIGN.ROW_ID LEFT OUTER JOIN S_CONTACT CHEQUE_CREATED ON CHEQUE.CREATED_BY = CHEQUE_CREATED.ROW_ID LEFT OUTER JOIN S_USER S_USER ON CHEQUE.CREATED_BY = S_USER.ROW_ID LEFT OUTER JOIN CX_BANK_ADMIN CXBK ON CXBK.ROW_ID = AC_C.X_BANK_ID LEFT OUTER JOIN S_ADDR_PER BL_ADR(NOLOCK) ON CHEQUE.ADDR_ORG_ID = BL_ADR.ROW_ID LEFT OUTER JOIN S_ADDR_PER AC_ADDR(NOLOCK) ON AC_ADDR.ROW_ID = ORG_CHEQUE.PR_ADDR_ID LEFT OUTER JOIN S_CONTACT INV_CONTACT(NOLOCK) ON CHEQUE.X_INVOICE_CON_ID = INV_CONTACT.ROW_ID LEFT OUTER JOIN S_ORDER(NOLOCK) ON CHEQUE.ORDER_ID = S_ORDER.ROW_ID
AND CHEQUE.ROW_ID ='1-6D71I5'
</t>
  </si>
  <si>
    <t xml:space="preserve">Create  Order Test data
Payment Collection </t>
  </si>
  <si>
    <t xml:space="preserve">SELECT  
O.ROW_ID,
O.ORDER_NUM, 
O.REV_NUM, 
T.NAME,
O.BU_ID,
ORD_BU.NAME AS BU_NAME,
CASE WHEN ORD_BU.NAME &lt;&gt; 'Canada, CA' THEN O.X_SUB_TYPE  ELSE G.PAYMENT_TYPE END AS X_SUB_TYPE,--CHG100481
CASE WHEN ORD_BU.NAME &lt;&gt; 'Canada, CA' THEN O.STATUS_CD ELSE G.PAYMENT_STATUS END AS STATUS_CD,--CHG100481
CASE WHEN ORD_BU.NAME &lt;&gt; 'Canada, CA' THEN O.REQ_SHIP_DT ELSE O.ORDER_DT END AS REQ_SHIP_DT,--CHG100481
ACCNT.NAME AS AC_NAME,
ACCNT.LOC AS AC_LOC,
ACCNT_BU.NAME AS ACCNT_BU,
ACCNT_PR_CON.PERSON_UID,
ACCNT_PR_CON.PRIV_FLG,
ACCNT_PR_CON_BU.NAME,
OI.ROW_ID AS ORDER_ITEM_ID,
PROD.NAME AS PROD_NAME,
PROD_BU.NAME AS PROD_BU,
SOE.NAME AS VENDOR_NAME,
SOE.LOC AS VENDOR_LOC,
SOE_BU.NAME AS VENDOR_BU,
CASE WHEN OI.DLVRY_STATUS_CD = 'Sent to Altadis' THEN 'Submitted'
ELSE OI.DLVRY_STATUS_CD
END AS DLVRY_STATUS_CD,
OI.X_FG_TXN_REASON_CD,
ISNULL((ISNULL (OI.X_FREE_GOODS_VALUE * (100.0 - ISNULL(OI.DISCNT_PERCENT, 0.0)) / 100.0, OI.X_FREE_GOODS_VALUE) * OI.QTY_REQ),0) AS TOTAL_FREE_GOODS,
OI.X_VAT_TAX,
O.CURCY_CD,
VAT_OU.VAT_REGN_NUM,
O.TOTAL_AMT, -- CHG100481 
G.PAYMENT_LINE_FLG,-- CHG100481
ATT.FILE_NAME,
ATT.FILE_EXT
FROM S_ORDER O (NOLOCK) 
INNER JOIN WC_ETL_MARKET_PARAM_G ETL (NOLOCK) ON ETL.MARKET_ID = O.BU_ID AND 
             ETL.ETL_PROCESS_NAME ='Payment Order Batch' AND 
             ETL.EXECUTION_FLG ='Y'
INNER JOIN S_BU ORDER_BU (NOLOCK) ON ORDER_BU.ROW_ID =  O.BU_ID
INNER JOIN S_ORDER_TYPE T (NOLOCK) ON T.ROW_ID = O.ORDER_TYPE_ID
INNER JOIN WC_PAYMENT_ORDER_PARAM_G G (NOLOCK) ON O.BU_ID = G.BU_ID  
     AND  O.STATUS_CD = G.ORDER_STATUS 
     AND  O.ORDER_CAT_CD = G.ORDER_CAT_CD 
     AND  T.NAME = G.ORDER_TYPE
     AND  O.X_SUB_TYPE= G.ORDER_SUBTYPE
INNER JOIN S_BU ORD_BU ON ORD_BU.ROW_ID=O.BU_ID     
INNER JOIN S_ORG_EXT ACCNT (NOLOCK)ON O.ACCNT_ID = ACCNT.ROW_ID
INNER JOIN S_BU ACCNT_BU (NOLOCK)ON ACCNT.BU_ID =ACCNT_BU.ROW_ID
INNER  JOIN S_ORDER_ITEM OI (NOLOCK)ON O.ROW_ID = OI.ORDER_ID
LEFT OUTER JOIN S_CONTACT ACCNT_PR_CON (NOLOCK) ON ACCNT.PR_CON_ID = ACCNT_PR_CON.ROW_ID
LEFT OUTER JOIN S_BU ACCNT_PR_CON_BU (NOLOCK) ON ACCNT_PR_CON.BU_ID = ACCNT_PR_CON_BU.ROW_ID
LEFT OUTER JOIN S_PROD_INT PROD (NOLOCK) ON OI.PROD_ID = PROD.ROW_ID
LEFT OUTER JOIN S_BU PROD_BU (NOLOCK) ON PROD_BU.ROW_ID = PROD.BU_ID 
LEFT OUTER JOIN S_ORG_EXT SOE (NOLOCK) ON SOE.ROW_ID = PROD.VENDR_OU_ID 
LEFT OUTER JOIN S_BU SOE_BU (NOLOCK) ON SOE_BU.ROW_ID = SOE.BU_ID 
LEFT OUTER JOIN S_ORG_EXT VAT_OU (NOLOCK)ON VAT_OU.ROW_ID=O.BL_OU_ID
LEFT OUTER JOIN S_ORDER_ATT ATT (NOLOCK) ON O.ROW_ID = ATT.PAR_ROW_ID
WHERE ISNULL(O.REQ_SHIP_DT,'1980/01/01') &gt;= G.DELIVERY_DATE
--AND ISNULL (O.X_PR_PAYMENT_ID ,'No Match RowId')='No Match RowId'
AND CASE WHEN ORD_BU.NAME &lt;&gt; 'Canada, CA' THEN 'Y' 
   WHEN ORD_BU.NAME = 'Canada, CA' AND O.DLVRY_STATUS_CD = G.DLVRY_STATUS_CD  THEN 'Y'
   ELSE 'N'
   END ='Y'
AND ORDER_NUM IN ('1-385014328') -- replace with orde_num created"
</t>
  </si>
  <si>
    <t xml:space="preserve">1) Login on sales Application as CSTADMCA
2. Go to Orders --&gt; Sales Orders List
3. Add 1 new  order with Export Status = 'In progress' ,  and 'Direct Sales GTA' 
with Account  name:  PE02_1
Bill to Address=BIL_ADDR1
4. Drill down on the  Order and on the lower applet, go to Line Items --&gt; Line Detail to add product. 
Save record.
5. Go to Attachement tab menu , add  new file  of type pdf and rename with format 'O_Ordernum_YYMMDD' (YYMMDD  value of order date)
6)  Go to Orders --&gt; Sales Orders List and set  Status ='Submited', Invoice  Delivery Status ='To be processed'
  Refer to  Check Order Screenshot 1
</t>
  </si>
  <si>
    <t xml:space="preserve">1) Login on sales Application as CSTADMCA
2. Go to Orders --&gt; Sales Orders List
3. Add 2 new  order with Export Status = 'In progress' , Type =  'Direct Sales RRP 
with Account  name:  PE02_1
4. Drill down on  Order and on the lower applet, go to Line Items --&gt; Line Detail to add product.
Bill to Address=BIL_ADDR1
Save record.
5. Go to Attachement tab menu , add  new file  of type pdf and rename with format 'O_Ordernum_YYMMDD' (YYMMDD  value of order date)
6)  Go to Orders --&gt; Sales Orders List and set  Status ='Submited', Invoice  Delivery Status ='To be processed'
 Refer to  Check Order Screenshot 2
</t>
  </si>
  <si>
    <t xml:space="preserve">SELECT  
O.ROW_ID,
O.ORDER_NUM, 
O.REV_NUM, 
T.NAME,
O.BU_ID,
ORD_BU.NAME AS BU_NAME,
CASE WHEN ORD_BU.NAME &lt;&gt; 'Canada, CA' THEN O.X_SUB_TYPE  ELSE G.PAYMENT_TYPE END AS X_SUB_TYPE,--CHG100481
CASE WHEN ORD_BU.NAME &lt;&gt; 'Canada, CA' THEN O.STATUS_CD ELSE G.PAYMENT_STATUS END AS STATUS_CD,--CHG100481
CASE WHEN ORD_BU.NAME &lt;&gt; 'Canada, CA' THEN O.REQ_SHIP_DT ELSE O.ORDER_DT END AS REQ_SHIP_DT,--CHG100481
ACCNT.NAME AS AC_NAME,
ACCNT.LOC AS AC_LOC,
ACCNT_BU.NAME AS ACCNT_BU,
ACCNT_PR_CON.PERSON_UID,
ACCNT_PR_CON.PRIV_FLG,
ACCNT_PR_CON_BU.NAME,
OI.ROW_ID AS ORDER_ITEM_ID,
PROD.NAME AS PROD_NAME,
PROD_BU.NAME AS PROD_BU,
SOE.NAME AS VENDOR_NAME,
SOE.LOC AS VENDOR_LOC,
SOE_BU.NAME AS VENDOR_BU,
CASE WHEN OI.DLVRY_STATUS_CD = 'Sent to Altadis' THEN 'Submitted'
ELSE OI.DLVRY_STATUS_CD
END AS DLVRY_STATUS_CD,
OI.X_FG_TXN_REASON_CD,
ISNULL((ISNULL (OI.X_FREE_GOODS_VALUE * (100.0 - ISNULL(OI.DISCNT_PERCENT, 0.0)) / 100.0, OI.X_FREE_GOODS_VALUE) * OI.QTY_REQ),0) AS TOTAL_FREE_GOODS,
OI.X_VAT_TAX,
O.CURCY_CD,
VAT_OU.VAT_REGN_NUM,
O.TOTAL_AMT, -- CHG100481 
G.PAYMENT_LINE_FLG,-- CHG100481
ATT.FILE_NAME,
ATT.FILE_EXT
FROM S_ORDER O (NOLOCK) 
INNER JOIN WC_ETL_MARKET_PARAM_G ETL (NOLOCK) ON ETL.MARKET_ID = O.BU_ID AND 
             ETL.ETL_PROCESS_NAME ='Payment Order Batch' AND 
             ETL.EXECUTION_FLG ='Y'
INNER JOIN S_BU ORDER_BU (NOLOCK) ON ORDER_BU.ROW_ID =  O.BU_ID
INNER JOIN S_ORDER_TYPE T (NOLOCK) ON T.ROW_ID = O.ORDER_TYPE_ID
INNER JOIN WC_PAYMENT_ORDER_PARAM_G G (NOLOCK) ON O.BU_ID = G.BU_ID  
     AND  O.STATUS_CD = G.ORDER_STATUS 
     AND  O.ORDER_CAT_CD = G.ORDER_CAT_CD 
     AND  T.NAME = G.ORDER_TYPE
     AND  O.X_SUB_TYPE= G.ORDER_SUBTYPE
INNER JOIN S_BU ORD_BU ON ORD_BU.ROW_ID=O.BU_ID     
INNER JOIN S_ORG_EXT ACCNT (NOLOCK)ON O.ACCNT_ID = ACCNT.ROW_ID
INNER JOIN S_BU ACCNT_BU (NOLOCK)ON ACCNT.BU_ID =ACCNT_BU.ROW_ID
INNER  JOIN S_ORDER_ITEM OI (NOLOCK)ON O.ROW_ID = OI.ORDER_ID
LEFT OUTER JOIN S_CONTACT ACCNT_PR_CON (NOLOCK) ON ACCNT.PR_CON_ID = ACCNT_PR_CON.ROW_ID
LEFT OUTER JOIN S_BU ACCNT_PR_CON_BU (NOLOCK) ON ACCNT_PR_CON.BU_ID = ACCNT_PR_CON_BU.ROW_ID
LEFT OUTER JOIN S_PROD_INT PROD (NOLOCK) ON OI.PROD_ID = PROD.ROW_ID
LEFT OUTER JOIN S_BU PROD_BU (NOLOCK) ON PROD_BU.ROW_ID = PROD.BU_ID 
LEFT OUTER JOIN S_ORG_EXT SOE (NOLOCK) ON SOE.ROW_ID = PROD.VENDR_OU_ID 
LEFT OUTER JOIN S_BU SOE_BU (NOLOCK) ON SOE_BU.ROW_ID = SOE.BU_ID 
LEFT OUTER JOIN S_ORG_EXT VAT_OU (NOLOCK)ON VAT_OU.ROW_ID=O.BL_OU_ID
LEFT OUTER JOIN S_ORDER_ATT ATT (NOLOCK) ON O.ROW_ID = ATT.PAR_ROW_ID
WHERE ISNULL(O.REQ_SHIP_DT,'1980/01/01') &gt;= G.DELIVERY_DATE
--AND ISNULL (O.X_PR_PAYMENT_ID ,'No Match RowId')='No Match RowId'
AND CASE WHEN ORD_BU.NAME &lt;&gt; 'Canada, CA' THEN 'Y' 
   WHEN ORD_BU.NAME = 'Canada, CA' AND O.DLVRY_STATUS_CD = G.DLVRY_STATUS_CD  THEN 'Y'
   ELSE 'N'
   END ='Y'
AND ORDER_NUM IN ('1-385014432') -- replace with orde_num created"
</t>
  </si>
  <si>
    <t xml:space="preserve">One record should have been inserted in WC_ETL_FILES_G and 
WC_LOAD_STATUS_G
PE flat file have been generated on the following path \\MRUINFO961\Interfaces_IP14\Canada\OUNP\Payment\OUNP
Open PE file in a tab delimiter file and compared against value extracted from above sql
CAPE0602_20180320_14.txt
</t>
  </si>
  <si>
    <t xml:space="preserve">SELECT *
FROM WC_ETL_FILES_G
WHERE  SUBSTRING (FILENAME,3,6) ='PE0603' AND SUBSTRING (FILENAME,1,2)  ='CA'
SELECT * FROM WC_LOAD_STATUS_G
WHERE BU_NAME ='CA' AND ENTITY = 'PE' AND VERSION= '06'
ORDER BY 1 DESC
</t>
  </si>
  <si>
    <t>Screenshot 3</t>
  </si>
  <si>
    <t xml:space="preserve">One record should have been inserted in WC_ETL_FILES_G and 
WC_LOAD_STATUS_G
PE flat file have been generated on the following path \\MRUINFO961\Interfaces_IP14\Canada\OUNP\Payment\OUNP
Open PE file in a tab delimiter file and verify if the ORDER_NUM and ORDER_TYPE last 2 columns has been populated
CAPE0603_20180320_15.txt
</t>
  </si>
  <si>
    <t>EFT_NUM</t>
  </si>
  <si>
    <t>CHECK_PAYMENT_NUM</t>
  </si>
  <si>
    <t>PAY_AMT</t>
  </si>
  <si>
    <t>PAYMENT_ID</t>
  </si>
  <si>
    <t>REASON_CD</t>
  </si>
  <si>
    <t>ACCOUNT_CODE</t>
  </si>
  <si>
    <t>PAY_STAT_CD</t>
  </si>
  <si>
    <t>PAY_EXPORT_STAT</t>
  </si>
  <si>
    <t>X_APPROVAL_STATUS_CD</t>
  </si>
  <si>
    <t>CHECK_STAT_CD</t>
  </si>
  <si>
    <t>BUDGET_NAME</t>
  </si>
  <si>
    <t>CHECK_REQNUM</t>
  </si>
  <si>
    <t>CHECK_TYPE</t>
  </si>
  <si>
    <t>CHECK_STATUS_CD</t>
  </si>
  <si>
    <t>CHECK_CON_LAST_NAME</t>
  </si>
  <si>
    <t>CHECK_CON_FST_NAME</t>
  </si>
  <si>
    <t>PAY_DELIVERY_METHOD</t>
  </si>
  <si>
    <t>PAY_EMAIL</t>
  </si>
  <si>
    <t>PAY_DELIVERY_ADDRESS</t>
  </si>
  <si>
    <t>PAY_DELIVERY_ADDRESS_LINE2</t>
  </si>
  <si>
    <t>PAY_DELIVERY_ADDRESS_LINE3</t>
  </si>
  <si>
    <t>SHIP_ZIPCODE</t>
  </si>
  <si>
    <t>SHIP_STATES</t>
  </si>
  <si>
    <t>SHIP_COUNTRY</t>
  </si>
  <si>
    <t>SHIP_CITY</t>
  </si>
  <si>
    <t>SHIP_ADDR_TYPE</t>
  </si>
  <si>
    <t>PAY_FAX</t>
  </si>
  <si>
    <t>APPROVER_LOGIN</t>
  </si>
  <si>
    <t>SEC_APPROVER_LOGIN</t>
  </si>
  <si>
    <t>X_APPROVAL_DATE_DT</t>
  </si>
  <si>
    <t>APPROVED_BY</t>
  </si>
  <si>
    <t>X_BANK_PAYMENT_NUMBER</t>
  </si>
  <si>
    <t>X_BANK_PAYMENT_DATE_DT</t>
  </si>
  <si>
    <t>X_BANK_PAYMENT_STATUS</t>
  </si>
  <si>
    <t>AGREE_NUM</t>
  </si>
  <si>
    <t>AGREE_NAME</t>
  </si>
  <si>
    <t>PERSON_UID</t>
  </si>
  <si>
    <t>X_GIFT_CARD_NUM</t>
  </si>
  <si>
    <t>X_BANK_NAME</t>
  </si>
  <si>
    <t>X_BANK_NUM</t>
  </si>
  <si>
    <t>X_TRANSIT_NUM</t>
  </si>
  <si>
    <t>X_ACCOUNT_NUM</t>
  </si>
  <si>
    <t>X_LAST_NAME_BA_TEXT</t>
  </si>
  <si>
    <t>X_FIRST_NAME_BA_TEXT</t>
  </si>
  <si>
    <t>DEL_CON_FST_NAME</t>
  </si>
  <si>
    <t>DEL_CON_LAST_NAME</t>
  </si>
  <si>
    <t>DEL_CON_TITLE</t>
  </si>
  <si>
    <t>DEL_CON_TYPE</t>
  </si>
  <si>
    <t>DEL_CON_LANG</t>
  </si>
  <si>
    <t>X_SIGNATURE_DATE</t>
  </si>
  <si>
    <t>DIGITAL_CON_FST_NAME</t>
  </si>
  <si>
    <t>DIGITAL_CON_LAST_NAME</t>
  </si>
  <si>
    <t>DIGITAL_CON_TITLE</t>
  </si>
  <si>
    <t>DIGITAL_CON_TYPE</t>
  </si>
  <si>
    <t>DIGITAL_CON_LANG</t>
  </si>
  <si>
    <t>PAYMENT_DATE</t>
  </si>
  <si>
    <t>CREATED_BY</t>
  </si>
  <si>
    <t>CREATED_BY_FST_NAME</t>
  </si>
  <si>
    <t>CREATED_BY_LAST_NAME</t>
  </si>
  <si>
    <t>VAT</t>
  </si>
  <si>
    <t>BL_ADDR</t>
  </si>
  <si>
    <t>BL_ADDR_LINE_2</t>
  </si>
  <si>
    <t>BL_ADDR_LINE_3</t>
  </si>
  <si>
    <t>BL_ZIPCODE</t>
  </si>
  <si>
    <t>BL_CITY</t>
  </si>
  <si>
    <t>BL_STATE</t>
  </si>
  <si>
    <t>BL_COUNTRY</t>
  </si>
  <si>
    <t>PR_ACCOUNT_ADDRESS</t>
  </si>
  <si>
    <t>PR_ACCOUNT_ADDRESS2</t>
  </si>
  <si>
    <t>PR_ACCOUNT_ZIPCODE</t>
  </si>
  <si>
    <t>PR_ACCOUNT_CITY</t>
  </si>
  <si>
    <t>INV_DEL_FST_NAME</t>
  </si>
  <si>
    <t>INV_DEL_LAST_NAME</t>
  </si>
  <si>
    <t>INV_DEL_LANG</t>
  </si>
  <si>
    <t>INV_DEL_TITLE</t>
  </si>
  <si>
    <t>PAY_DELIV_STS</t>
  </si>
  <si>
    <t>ACCOUNT_NAME</t>
  </si>
  <si>
    <t>X_CONTRACT_PAY_METHOD_CD</t>
  </si>
  <si>
    <t>ORDER_NUMBER</t>
  </si>
  <si>
    <t>ORDER_TYPE</t>
  </si>
  <si>
    <t>CAPE602</t>
  </si>
  <si>
    <t>1-384960605</t>
  </si>
  <si>
    <t>1-6D71I5</t>
  </si>
  <si>
    <t>1-89480203</t>
  </si>
  <si>
    <t>To be Sent</t>
  </si>
  <si>
    <t>EFT</t>
  </si>
  <si>
    <t>THE BANK OF NOVA SCOTIA</t>
  </si>
  <si>
    <t>Data Unavailable</t>
  </si>
  <si>
    <t>Reduit</t>
  </si>
  <si>
    <t>sbm</t>
  </si>
  <si>
    <t>Grenar</t>
  </si>
  <si>
    <t>Robo</t>
  </si>
  <si>
    <t>Mr.</t>
  </si>
  <si>
    <t>1st Barman</t>
  </si>
  <si>
    <t>CSTTM1CA</t>
  </si>
  <si>
    <t>Test</t>
  </si>
  <si>
    <t>Trade Marketer 1</t>
  </si>
  <si>
    <t>BIL_ADDR1</t>
  </si>
  <si>
    <t>BIL_ADDR2</t>
  </si>
  <si>
    <t>BIL_ADDR3</t>
  </si>
  <si>
    <t>+255+</t>
  </si>
  <si>
    <t>Quebec</t>
  </si>
  <si>
    <t>Canada</t>
  </si>
  <si>
    <t>addr1</t>
  </si>
  <si>
    <t>add_line2</t>
  </si>
  <si>
    <t>Test1</t>
  </si>
  <si>
    <t>French</t>
  </si>
  <si>
    <t>To be processed</t>
  </si>
  <si>
    <t>PE02_1</t>
  </si>
  <si>
    <t>Bank Transfer</t>
  </si>
  <si>
    <t>1-385014283</t>
  </si>
  <si>
    <t>Direct Sales RRP</t>
  </si>
  <si>
    <t>Collection</t>
  </si>
  <si>
    <t>addr_line3</t>
  </si>
  <si>
    <t>Billing</t>
  </si>
  <si>
    <t>1-1HA6OX</t>
  </si>
  <si>
    <t>SADMIN</t>
  </si>
  <si>
    <t>FST_NAME</t>
  </si>
  <si>
    <t>LAST_NAME</t>
  </si>
  <si>
    <t>Direct Sales GTA</t>
  </si>
  <si>
    <t>CAPE603</t>
  </si>
  <si>
    <t>One record is inserted in WC_ETL_FILES_G and 
WC_LOAD_STATUS_G
PE flat file have been generated on the following path \\MRUINFO961\Interfaces_IP14\Canada\OUNP\Payment\OUNP
Open PE file in a tab delimiter file and verify if the ORDER_NUM and ORDER_TYPE last 2 columns has been populated
CAPE0603_20180320_15.txt
See excel table EXPORT FLAT FILE</t>
  </si>
  <si>
    <t>One record is inserted in WC_ETL_FILES_G and 
WC_LOAD_STATUS_G
PE flat file have been generated on the following path \\MRUINFO961\Interfaces_IP14\Canada\OUNP\Payment\OUNP
Open PE file in a tab delimiter file and compared against value extracted from above sql
CAPE0602_20180320_10.txt
See excel table EXPORT FLAT FILE</t>
  </si>
  <si>
    <t>Condition link not updated before session EIM_PROCESS_CA_PE</t>
  </si>
  <si>
    <t>EIM process was not called</t>
  </si>
  <si>
    <t>1-385087031</t>
  </si>
  <si>
    <t>1-ZWB9-0</t>
  </si>
  <si>
    <t>1-385087051</t>
  </si>
  <si>
    <t>1-ZWB9-1</t>
  </si>
  <si>
    <t>Robert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</si>
</sst>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 _B_F_-;\-* #,##0.00\ _B_F_-;_-* &quot;-&quot;??\ _B_F_-;_-@_-"/>
    <numFmt numFmtId="165" formatCode="mm/dd/yy"/>
    <numFmt numFmtId="166" formatCode="mmm\-yyyy"/>
  </numFmts>
  <fonts count="50" x14ac:knownFonts="1">
    <font>
      <sz val="10"/>
      <name val="Arial"/>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u/>
      <sz val="20"/>
      <color indexed="10"/>
      <name val="Book Antiqua"/>
      <family val="1"/>
    </font>
    <font>
      <b/>
      <sz val="11"/>
      <color indexed="9"/>
      <name val="Book Antiqua"/>
      <family val="1"/>
    </font>
    <font>
      <b/>
      <sz val="12"/>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b/>
      <sz val="10"/>
      <color theme="0"/>
      <name val="Arial"/>
      <family val="2"/>
    </font>
    <font>
      <sz val="9"/>
      <name val="Book Antiqua"/>
      <family val="1"/>
    </font>
    <font>
      <b/>
      <sz val="9"/>
      <name val="Book Antiqua"/>
      <family val="1"/>
    </font>
    <font>
      <sz val="9"/>
      <color theme="1"/>
      <name val="Arial"/>
      <family val="2"/>
    </font>
    <font>
      <sz val="9"/>
      <color rgb="FF548DD4"/>
      <name val="Arial"/>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rgb="FF00B0F0"/>
        <bgColor indexed="64"/>
      </patternFill>
    </fill>
    <fill>
      <patternFill patternType="solid">
        <fgColor rgb="FF99FFCC"/>
        <bgColor indexed="64"/>
      </patternFill>
    </fill>
    <fill>
      <patternFill patternType="solid">
        <fgColor rgb="FFFFFF00"/>
        <bgColor indexed="64"/>
      </patternFill>
    </fill>
  </fills>
  <borders count="18">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51">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5" borderId="0" applyNumberFormat="0" applyBorder="0" applyAlignment="0" applyProtection="0"/>
    <xf numFmtId="0" fontId="4" fillId="8" borderId="0" applyNumberFormat="0" applyBorder="0" applyAlignment="0" applyProtection="0"/>
    <xf numFmtId="0" fontId="4"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20" borderId="1" applyNumberFormat="0" applyAlignment="0" applyProtection="0"/>
    <xf numFmtId="0" fontId="10" fillId="20" borderId="2" applyNumberFormat="0" applyAlignment="0" applyProtection="0"/>
    <xf numFmtId="0" fontId="2" fillId="0" borderId="0" applyFont="0" applyFill="0" applyBorder="0" applyAlignment="0" applyProtection="0"/>
    <xf numFmtId="0" fontId="11" fillId="7" borderId="2" applyNumberFormat="0" applyAlignment="0" applyProtection="0"/>
    <xf numFmtId="0" fontId="5" fillId="0" borderId="4" applyNumberFormat="0" applyFill="0" applyAlignment="0" applyProtection="0"/>
    <xf numFmtId="0" fontId="12" fillId="0" borderId="0" applyNumberFormat="0" applyFill="0" applyBorder="0" applyAlignment="0" applyProtection="0"/>
    <xf numFmtId="0" fontId="13" fillId="4" borderId="0" applyNumberFormat="0" applyBorder="0" applyAlignment="0" applyProtection="0"/>
    <xf numFmtId="0" fontId="43" fillId="0" borderId="0" applyNumberFormat="0" applyFill="0" applyBorder="0" applyAlignment="0" applyProtection="0">
      <alignment vertical="top"/>
      <protection locked="0"/>
    </xf>
    <xf numFmtId="0" fontId="44" fillId="0" borderId="0"/>
    <xf numFmtId="0" fontId="2" fillId="0" borderId="0"/>
    <xf numFmtId="0" fontId="44" fillId="0" borderId="0"/>
    <xf numFmtId="0" fontId="44" fillId="0" borderId="0"/>
    <xf numFmtId="0" fontId="37" fillId="0" borderId="0"/>
    <xf numFmtId="0" fontId="2" fillId="0" borderId="0"/>
    <xf numFmtId="0" fontId="2" fillId="22" borderId="9" applyNumberFormat="0" applyFont="0" applyAlignment="0" applyProtection="0"/>
    <xf numFmtId="0" fontId="14" fillId="3" borderId="0" applyNumberFormat="0" applyBorder="0" applyAlignment="0" applyProtection="0"/>
    <xf numFmtId="0" fontId="2" fillId="0" borderId="0"/>
    <xf numFmtId="0" fontId="15" fillId="0" borderId="0"/>
    <xf numFmtId="0" fontId="16" fillId="0" borderId="0" applyNumberFormat="0" applyFill="0" applyBorder="0" applyAlignment="0" applyProtection="0"/>
    <xf numFmtId="0" fontId="17" fillId="0" borderId="5" applyNumberFormat="0" applyFill="0" applyAlignment="0" applyProtection="0"/>
    <xf numFmtId="0" fontId="18" fillId="0" borderId="6" applyNumberFormat="0" applyFill="0" applyAlignment="0" applyProtection="0"/>
    <xf numFmtId="0" fontId="19" fillId="0" borderId="7" applyNumberFormat="0" applyFill="0" applyAlignment="0" applyProtection="0"/>
    <xf numFmtId="0" fontId="19" fillId="0" borderId="0" applyNumberFormat="0" applyFill="0" applyBorder="0" applyAlignment="0" applyProtection="0"/>
    <xf numFmtId="0" fontId="20" fillId="0" borderId="8" applyNumberFormat="0" applyFill="0" applyAlignment="0" applyProtection="0"/>
    <xf numFmtId="0" fontId="21" fillId="0" borderId="0" applyNumberFormat="0" applyFill="0" applyBorder="0" applyAlignment="0" applyProtection="0"/>
    <xf numFmtId="0" fontId="22" fillId="21" borderId="3" applyNumberFormat="0" applyAlignment="0" applyProtection="0"/>
  </cellStyleXfs>
  <cellXfs count="107">
    <xf numFmtId="0" fontId="0" fillId="0" borderId="0" xfId="0"/>
    <xf numFmtId="0" fontId="3" fillId="0" borderId="0" xfId="38" applyFont="1" applyAlignment="1">
      <alignment vertical="center"/>
    </xf>
    <xf numFmtId="0" fontId="2" fillId="0" borderId="0" xfId="38" applyAlignment="1">
      <alignment vertical="center"/>
    </xf>
    <xf numFmtId="0" fontId="2" fillId="0" borderId="0" xfId="38" applyFont="1" applyAlignment="1">
      <alignment vertical="center"/>
    </xf>
    <xf numFmtId="0" fontId="2" fillId="23" borderId="0" xfId="38" applyFill="1" applyAlignment="1">
      <alignment vertical="center"/>
    </xf>
    <xf numFmtId="0" fontId="3" fillId="23" borderId="0" xfId="38" applyFont="1" applyFill="1" applyAlignment="1">
      <alignment vertical="center"/>
    </xf>
    <xf numFmtId="0" fontId="25" fillId="0" borderId="0" xfId="27" applyFont="1" applyAlignment="1">
      <alignment vertical="center"/>
    </xf>
    <xf numFmtId="0" fontId="26" fillId="0" borderId="0" xfId="27" applyFont="1" applyAlignment="1">
      <alignment vertical="center"/>
    </xf>
    <xf numFmtId="0" fontId="28" fillId="0" borderId="0" xfId="27" applyFont="1" applyAlignment="1">
      <alignment vertical="center"/>
    </xf>
    <xf numFmtId="164" fontId="29" fillId="23" borderId="0" xfId="27" applyNumberFormat="1" applyFont="1" applyFill="1" applyAlignment="1">
      <alignment vertical="center"/>
    </xf>
    <xf numFmtId="164" fontId="2" fillId="23" borderId="0" xfId="27" applyNumberFormat="1" applyFill="1" applyAlignment="1">
      <alignment vertical="center"/>
    </xf>
    <xf numFmtId="0" fontId="1" fillId="0" borderId="0" xfId="34" applyFont="1" applyAlignment="1">
      <alignment vertical="center"/>
    </xf>
    <xf numFmtId="0" fontId="2" fillId="0" borderId="0" xfId="34" applyAlignment="1">
      <alignment vertical="center"/>
    </xf>
    <xf numFmtId="164" fontId="2" fillId="23" borderId="0" xfId="27" applyNumberFormat="1" applyFill="1" applyBorder="1" applyAlignment="1">
      <alignment vertical="center"/>
    </xf>
    <xf numFmtId="164" fontId="29" fillId="23" borderId="0" xfId="27" applyNumberFormat="1" applyFont="1" applyFill="1" applyBorder="1" applyAlignment="1">
      <alignment vertical="center"/>
    </xf>
    <xf numFmtId="0" fontId="2" fillId="0" borderId="0" xfId="27" applyFont="1" applyAlignment="1">
      <alignment vertical="center"/>
    </xf>
    <xf numFmtId="0" fontId="29" fillId="0" borderId="0" xfId="27" applyFont="1" applyAlignment="1">
      <alignment vertical="center"/>
    </xf>
    <xf numFmtId="0" fontId="30" fillId="0" borderId="0" xfId="27" applyFont="1" applyAlignment="1">
      <alignment vertical="center"/>
    </xf>
    <xf numFmtId="0" fontId="23" fillId="0" borderId="0" xfId="27" applyFont="1" applyAlignment="1">
      <alignment vertical="center"/>
    </xf>
    <xf numFmtId="0" fontId="31" fillId="0" borderId="0" xfId="27" applyFont="1" applyAlignment="1">
      <alignment vertical="center"/>
    </xf>
    <xf numFmtId="165" fontId="31" fillId="0" borderId="0" xfId="27" applyNumberFormat="1" applyFont="1" applyAlignment="1">
      <alignment horizontal="left" vertical="center"/>
    </xf>
    <xf numFmtId="0" fontId="32" fillId="23" borderId="0" xfId="38" applyFont="1" applyFill="1" applyAlignment="1">
      <alignment vertical="center" wrapText="1"/>
    </xf>
    <xf numFmtId="0" fontId="3" fillId="23" borderId="0" xfId="38" applyFont="1" applyFill="1" applyAlignment="1">
      <alignment horizontal="center" vertical="center" wrapText="1"/>
    </xf>
    <xf numFmtId="0" fontId="3" fillId="24" borderId="10" xfId="38" applyFont="1" applyFill="1" applyBorder="1" applyAlignment="1">
      <alignment horizontal="center" vertical="center" wrapText="1"/>
    </xf>
    <xf numFmtId="0" fontId="33" fillId="0" borderId="10" xfId="38" applyFont="1" applyBorder="1" applyAlignment="1">
      <alignment vertical="center" wrapText="1"/>
    </xf>
    <xf numFmtId="0" fontId="3" fillId="23" borderId="0" xfId="38" applyFont="1" applyFill="1" applyAlignment="1">
      <alignment vertical="center" wrapText="1"/>
    </xf>
    <xf numFmtId="0" fontId="3" fillId="24" borderId="10" xfId="38" applyFont="1" applyFill="1" applyBorder="1" applyAlignment="1">
      <alignment vertical="center"/>
    </xf>
    <xf numFmtId="0" fontId="33" fillId="0" borderId="10" xfId="38" applyFont="1" applyBorder="1" applyAlignment="1">
      <alignment horizontal="left" vertical="center" wrapText="1"/>
    </xf>
    <xf numFmtId="0" fontId="3" fillId="24" borderId="10" xfId="38" applyFont="1" applyFill="1" applyBorder="1" applyAlignment="1">
      <alignment vertical="center" wrapText="1"/>
    </xf>
    <xf numFmtId="0" fontId="35" fillId="23" borderId="11" xfId="38" applyFont="1" applyFill="1" applyBorder="1" applyAlignment="1">
      <alignment horizontal="right" vertical="center"/>
    </xf>
    <xf numFmtId="0" fontId="2" fillId="23" borderId="0" xfId="38" applyFont="1" applyFill="1" applyAlignment="1">
      <alignment vertical="center"/>
    </xf>
    <xf numFmtId="0" fontId="3" fillId="24" borderId="12" xfId="38" applyFont="1" applyFill="1" applyBorder="1" applyAlignment="1">
      <alignment vertical="center"/>
    </xf>
    <xf numFmtId="0" fontId="37" fillId="0" borderId="0" xfId="37" applyBorder="1" applyAlignment="1"/>
    <xf numFmtId="0" fontId="37" fillId="0" borderId="0" xfId="37" applyBorder="1"/>
    <xf numFmtId="0" fontId="37" fillId="0" borderId="0" xfId="37"/>
    <xf numFmtId="0" fontId="2" fillId="0" borderId="0" xfId="37" applyFont="1"/>
    <xf numFmtId="0" fontId="38" fillId="0" borderId="0" xfId="37" applyFont="1" applyBorder="1"/>
    <xf numFmtId="0" fontId="39" fillId="25" borderId="10" xfId="37" applyFont="1" applyFill="1" applyBorder="1" applyAlignment="1">
      <alignment horizontal="right" wrapText="1"/>
    </xf>
    <xf numFmtId="0" fontId="37" fillId="0" borderId="10" xfId="37" applyBorder="1" applyAlignment="1">
      <alignment wrapText="1"/>
    </xf>
    <xf numFmtId="0" fontId="37" fillId="0" borderId="10" xfId="37" applyBorder="1"/>
    <xf numFmtId="14" fontId="37" fillId="0" borderId="10" xfId="37" applyNumberFormat="1" applyBorder="1" applyAlignment="1">
      <alignment horizontal="right" wrapText="1"/>
    </xf>
    <xf numFmtId="14" fontId="37" fillId="0" borderId="10" xfId="37" applyNumberFormat="1" applyBorder="1" applyAlignment="1">
      <alignment wrapText="1"/>
    </xf>
    <xf numFmtId="0" fontId="37" fillId="0" borderId="10" xfId="37" applyFill="1" applyBorder="1" applyAlignment="1">
      <alignment wrapText="1"/>
    </xf>
    <xf numFmtId="0" fontId="37" fillId="0" borderId="10" xfId="37" applyFont="1" applyBorder="1" applyAlignment="1">
      <alignment wrapText="1"/>
    </xf>
    <xf numFmtId="0" fontId="3" fillId="24" borderId="13" xfId="38" applyFont="1" applyFill="1" applyBorder="1" applyAlignment="1">
      <alignment vertical="center"/>
    </xf>
    <xf numFmtId="0" fontId="2" fillId="23" borderId="0" xfId="38" applyFont="1" applyFill="1" applyBorder="1" applyAlignment="1">
      <alignment vertical="center"/>
    </xf>
    <xf numFmtId="0" fontId="2" fillId="23" borderId="0" xfId="38" applyFill="1" applyBorder="1" applyAlignment="1">
      <alignment vertical="center"/>
    </xf>
    <xf numFmtId="0" fontId="2" fillId="0" borderId="0" xfId="38" applyBorder="1" applyAlignment="1">
      <alignment vertical="center"/>
    </xf>
    <xf numFmtId="0" fontId="29" fillId="0" borderId="10" xfId="37" applyFont="1" applyBorder="1" applyAlignment="1">
      <alignment vertical="top" wrapText="1"/>
    </xf>
    <xf numFmtId="0" fontId="29" fillId="0" borderId="10" xfId="37" applyFont="1" applyBorder="1" applyAlignment="1">
      <alignment horizontal="left" vertical="top" wrapText="1"/>
    </xf>
    <xf numFmtId="0" fontId="2" fillId="0" borderId="0" xfId="38" applyAlignment="1">
      <alignment vertical="center" wrapText="1"/>
    </xf>
    <xf numFmtId="0" fontId="2" fillId="0" borderId="0" xfId="38" applyFont="1" applyAlignment="1">
      <alignment vertical="center" wrapText="1"/>
    </xf>
    <xf numFmtId="0" fontId="2" fillId="23" borderId="0" xfId="38" applyFill="1" applyAlignment="1">
      <alignment vertical="center" wrapText="1"/>
    </xf>
    <xf numFmtId="0" fontId="2" fillId="23" borderId="0" xfId="38" applyNumberFormat="1" applyFill="1" applyAlignment="1">
      <alignment vertical="center" wrapText="1"/>
    </xf>
    <xf numFmtId="15" fontId="33" fillId="0" borderId="10" xfId="38" applyNumberFormat="1" applyFont="1" applyBorder="1" applyAlignment="1">
      <alignment horizontal="left" vertical="center" wrapText="1"/>
    </xf>
    <xf numFmtId="15" fontId="43" fillId="0" borderId="10" xfId="32" applyNumberFormat="1" applyBorder="1" applyAlignment="1" applyProtection="1">
      <alignment horizontal="left" vertical="center" wrapText="1"/>
    </xf>
    <xf numFmtId="0" fontId="2" fillId="23" borderId="0" xfId="38" applyFill="1" applyBorder="1" applyAlignment="1">
      <alignment vertical="center" wrapText="1"/>
    </xf>
    <xf numFmtId="0" fontId="2" fillId="0" borderId="0" xfId="38" applyBorder="1" applyAlignment="1">
      <alignment vertical="center" wrapText="1"/>
    </xf>
    <xf numFmtId="0" fontId="29" fillId="0" borderId="10" xfId="37" applyFont="1" applyBorder="1"/>
    <xf numFmtId="0" fontId="29" fillId="0" borderId="10" xfId="37" applyFont="1" applyFill="1" applyBorder="1" applyAlignment="1">
      <alignment wrapText="1"/>
    </xf>
    <xf numFmtId="0" fontId="37" fillId="0" borderId="0" xfId="37" applyBorder="1" applyAlignment="1">
      <alignment horizontal="left" vertical="top"/>
    </xf>
    <xf numFmtId="0" fontId="37" fillId="0" borderId="0" xfId="37" applyAlignment="1">
      <alignment horizontal="left" vertical="top"/>
    </xf>
    <xf numFmtId="0" fontId="0" fillId="0" borderId="0" xfId="0" applyAlignment="1">
      <alignment horizontal="center"/>
    </xf>
    <xf numFmtId="0" fontId="45" fillId="26" borderId="0" xfId="0" applyFont="1" applyFill="1"/>
    <xf numFmtId="0" fontId="45" fillId="26" borderId="0" xfId="0" applyFont="1" applyFill="1" applyAlignment="1">
      <alignment horizontal="center"/>
    </xf>
    <xf numFmtId="0" fontId="3" fillId="27" borderId="10" xfId="0" applyFont="1" applyFill="1" applyBorder="1"/>
    <xf numFmtId="0" fontId="0" fillId="27" borderId="10" xfId="0" applyFill="1" applyBorder="1" applyAlignment="1">
      <alignment horizontal="center"/>
    </xf>
    <xf numFmtId="14" fontId="0" fillId="27" borderId="10" xfId="0" applyNumberFormat="1" applyFill="1" applyBorder="1" applyAlignment="1">
      <alignment horizontal="center"/>
    </xf>
    <xf numFmtId="14" fontId="2" fillId="27" borderId="10" xfId="0" quotePrefix="1" applyNumberFormat="1" applyFont="1" applyFill="1" applyBorder="1" applyAlignment="1">
      <alignment horizontal="center"/>
    </xf>
    <xf numFmtId="0" fontId="2" fillId="27" borderId="10" xfId="0" applyFont="1" applyFill="1" applyBorder="1" applyAlignment="1">
      <alignment horizontal="center"/>
    </xf>
    <xf numFmtId="166" fontId="0" fillId="27" borderId="10" xfId="0" applyNumberFormat="1" applyFill="1" applyBorder="1" applyAlignment="1">
      <alignment horizontal="center"/>
    </xf>
    <xf numFmtId="22" fontId="37" fillId="0" borderId="0" xfId="37" applyNumberFormat="1" applyBorder="1"/>
    <xf numFmtId="49" fontId="3" fillId="24" borderId="10" xfId="37" applyNumberFormat="1" applyFont="1" applyFill="1" applyBorder="1" applyAlignment="1">
      <alignment horizontal="center" vertical="top"/>
    </xf>
    <xf numFmtId="0" fontId="39" fillId="25" borderId="10" xfId="37" applyFont="1" applyFill="1" applyBorder="1" applyAlignment="1">
      <alignment horizontal="right" vertical="top" wrapText="1"/>
    </xf>
    <xf numFmtId="0" fontId="3" fillId="0" borderId="0" xfId="0" applyFont="1" applyFill="1"/>
    <xf numFmtId="0" fontId="0" fillId="0" borderId="0" xfId="0" applyFill="1"/>
    <xf numFmtId="0" fontId="3" fillId="28" borderId="0" xfId="0" applyFont="1" applyFill="1"/>
    <xf numFmtId="0" fontId="29" fillId="0" borderId="10" xfId="37" applyFont="1" applyFill="1" applyBorder="1" applyAlignment="1">
      <alignment vertical="top"/>
    </xf>
    <xf numFmtId="0" fontId="46" fillId="0" borderId="10" xfId="37" applyFont="1" applyFill="1" applyBorder="1" applyAlignment="1">
      <alignment vertical="top" wrapText="1"/>
    </xf>
    <xf numFmtId="0" fontId="48" fillId="0" borderId="16" xfId="0" applyFont="1" applyBorder="1" applyAlignment="1">
      <alignment horizontal="left" vertical="center" wrapText="1"/>
    </xf>
    <xf numFmtId="0" fontId="48" fillId="0" borderId="17" xfId="0" applyFont="1" applyBorder="1" applyAlignment="1">
      <alignment horizontal="left" vertical="center" wrapText="1"/>
    </xf>
    <xf numFmtId="0" fontId="49" fillId="0" borderId="17" xfId="0" applyFont="1" applyBorder="1" applyAlignment="1">
      <alignment horizontal="left" vertical="center" wrapText="1"/>
    </xf>
    <xf numFmtId="0" fontId="2" fillId="0" borderId="0" xfId="0" applyFont="1"/>
    <xf numFmtId="22" fontId="0" fillId="0" borderId="0" xfId="0" applyNumberFormat="1"/>
    <xf numFmtId="0" fontId="0" fillId="28" borderId="0" xfId="0" applyFill="1"/>
    <xf numFmtId="22" fontId="0" fillId="28" borderId="0" xfId="0" applyNumberFormat="1" applyFill="1"/>
    <xf numFmtId="164" fontId="6" fillId="23" borderId="14" xfId="27" applyNumberFormat="1" applyFont="1" applyFill="1" applyBorder="1" applyAlignment="1">
      <alignment horizontal="center" vertical="center"/>
    </xf>
    <xf numFmtId="0" fontId="23" fillId="0" borderId="0" xfId="27" applyFont="1" applyAlignment="1">
      <alignment horizontal="center" vertical="center"/>
    </xf>
    <xf numFmtId="0" fontId="24" fillId="0" borderId="0" xfId="27" applyFont="1" applyAlignment="1">
      <alignment horizontal="center" vertical="center"/>
    </xf>
    <xf numFmtId="0" fontId="25" fillId="0" borderId="0" xfId="27" applyFont="1" applyAlignment="1">
      <alignment horizontal="right" vertical="center"/>
    </xf>
    <xf numFmtId="0" fontId="25" fillId="0" borderId="0" xfId="27" applyFont="1" applyAlignment="1">
      <alignment horizontal="left" vertical="center"/>
    </xf>
    <xf numFmtId="0" fontId="28" fillId="0" borderId="0" xfId="27" applyFont="1" applyAlignment="1">
      <alignment horizontal="right" vertical="center"/>
    </xf>
    <xf numFmtId="0" fontId="30" fillId="0" borderId="0" xfId="27" applyFont="1" applyAlignment="1">
      <alignment horizontal="left" vertical="center"/>
    </xf>
    <xf numFmtId="0" fontId="26" fillId="0" borderId="0" xfId="27" applyFont="1" applyAlignment="1">
      <alignment horizontal="right" vertical="center"/>
    </xf>
    <xf numFmtId="0" fontId="26" fillId="0" borderId="0" xfId="27" applyFont="1" applyAlignment="1">
      <alignment horizontal="left" vertical="center" wrapText="1"/>
    </xf>
    <xf numFmtId="0" fontId="27" fillId="0" borderId="0" xfId="27" applyFont="1" applyAlignment="1">
      <alignment horizontal="right" vertical="center"/>
    </xf>
    <xf numFmtId="0" fontId="27" fillId="0" borderId="0" xfId="27" applyFont="1" applyAlignment="1">
      <alignment horizontal="left" vertical="center" wrapText="1"/>
    </xf>
    <xf numFmtId="0" fontId="34" fillId="23" borderId="11" xfId="38" applyFont="1" applyFill="1" applyBorder="1" applyAlignment="1">
      <alignment horizontal="left" vertical="center"/>
    </xf>
    <xf numFmtId="0" fontId="32" fillId="23" borderId="0" xfId="38" applyFont="1" applyFill="1" applyAlignment="1">
      <alignment vertical="center"/>
    </xf>
    <xf numFmtId="0" fontId="32" fillId="24" borderId="15" xfId="38" applyFont="1" applyFill="1" applyBorder="1" applyAlignment="1">
      <alignment horizontal="center" vertical="center" wrapText="1"/>
    </xf>
    <xf numFmtId="0" fontId="44" fillId="0" borderId="15" xfId="36" applyBorder="1"/>
    <xf numFmtId="0" fontId="37" fillId="0" borderId="10" xfId="37" applyFont="1" applyBorder="1" applyAlignment="1">
      <alignment horizontal="center" wrapText="1"/>
    </xf>
    <xf numFmtId="0" fontId="37" fillId="0" borderId="10" xfId="37" applyBorder="1" applyAlignment="1">
      <alignment horizontal="center" wrapText="1"/>
    </xf>
    <xf numFmtId="0" fontId="40" fillId="0" borderId="10" xfId="37" applyFont="1" applyBorder="1" applyAlignment="1">
      <alignment horizontal="left" wrapText="1"/>
    </xf>
    <xf numFmtId="0" fontId="37" fillId="0" borderId="10" xfId="37" applyFont="1" applyBorder="1" applyAlignment="1">
      <alignment horizontal="left" wrapText="1"/>
    </xf>
    <xf numFmtId="0" fontId="37" fillId="0" borderId="10" xfId="37" applyBorder="1" applyAlignment="1">
      <alignment horizontal="left" wrapText="1"/>
    </xf>
    <xf numFmtId="49" fontId="0" fillId="0" borderId="0" xfId="0" applyNumberFormat="1"/>
  </cellXfs>
  <cellStyles count="51">
    <cellStyle name="20% - Akzent1" xfId="1"/>
    <cellStyle name="20% - Akzent2" xfId="2"/>
    <cellStyle name="20% - Akzent3" xfId="3"/>
    <cellStyle name="20% - Akzent4" xfId="4"/>
    <cellStyle name="20% - Akzent5" xfId="5"/>
    <cellStyle name="20% - Akzent6" xfId="6"/>
    <cellStyle name="40% - Akzent1" xfId="7"/>
    <cellStyle name="40% - Akzent2" xfId="8"/>
    <cellStyle name="40% - Akzent3" xfId="9"/>
    <cellStyle name="40% - Akzent4" xfId="10"/>
    <cellStyle name="40% - Akzent5" xfId="11"/>
    <cellStyle name="40% - Akzent6" xfId="12"/>
    <cellStyle name="60% - Akzent1" xfId="13"/>
    <cellStyle name="60% - Akzent2" xfId="14"/>
    <cellStyle name="60% - Akzent3" xfId="15"/>
    <cellStyle name="60% - Akzent4" xfId="16"/>
    <cellStyle name="60% - Akzent5" xfId="17"/>
    <cellStyle name="60% - Akzent6" xfId="18"/>
    <cellStyle name="Akzent1" xfId="19"/>
    <cellStyle name="Akzent2" xfId="20"/>
    <cellStyle name="Akzent3" xfId="21"/>
    <cellStyle name="Akzent4" xfId="22"/>
    <cellStyle name="Akzent5" xfId="23"/>
    <cellStyle name="Akzent6" xfId="24"/>
    <cellStyle name="Ausgabe" xfId="25"/>
    <cellStyle name="Berechnung" xfId="26"/>
    <cellStyle name="Comma_template landscape1" xfId="27"/>
    <cellStyle name="Eingabe" xfId="28"/>
    <cellStyle name="Ergebnis" xfId="29"/>
    <cellStyle name="Erklärender Text" xfId="30"/>
    <cellStyle name="Gut" xfId="31"/>
    <cellStyle name="Hyperlink" xfId="32" builtinId="8"/>
    <cellStyle name="Normal" xfId="0" builtinId="0"/>
    <cellStyle name="Normal 2" xfId="33"/>
    <cellStyle name="Normal 2 2" xfId="34"/>
    <cellStyle name="Normal 3" xfId="35"/>
    <cellStyle name="Normal 3 2" xfId="36"/>
    <cellStyle name="Normal 4" xfId="37"/>
    <cellStyle name="Normal_Analytics_Test Script_CR_XXXX_Template" xfId="38"/>
    <cellStyle name="Notiz" xfId="39"/>
    <cellStyle name="Schlecht" xfId="40"/>
    <cellStyle name="Standard 2" xfId="41"/>
    <cellStyle name="Style 1" xfId="42"/>
    <cellStyle name="Überschrift" xfId="43"/>
    <cellStyle name="Überschrift 1" xfId="44"/>
    <cellStyle name="Überschrift 2" xfId="45"/>
    <cellStyle name="Überschrift 3" xfId="46"/>
    <cellStyle name="Überschrift 4" xfId="47"/>
    <cellStyle name="Verknüpfte Zelle" xfId="48"/>
    <cellStyle name="Warnender Text" xfId="49"/>
    <cellStyle name="Zelle überprüfen" xfId="5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4"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00000000-0008-0000-0000-000001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0000000-0008-0000-0000-000002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00000000-0008-0000-0000-000003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00000000-0008-0000-0000-000004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00000000-0008-0000-0000-000005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590550</xdr:colOff>
      <xdr:row>3</xdr:row>
      <xdr:rowOff>146050</xdr:rowOff>
    </xdr:to>
    <xdr:pic>
      <xdr:nvPicPr>
        <xdr:cNvPr id="10277" name="Picture 1" descr="JTI_TMELogo_S">
          <a:extLst>
            <a:ext uri="{FF2B5EF4-FFF2-40B4-BE49-F238E27FC236}">
              <a16:creationId xmlns:a16="http://schemas.microsoft.com/office/drawing/2014/main" id="{00000000-0008-0000-0200-000025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4781550" cy="984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895350</xdr:colOff>
      <xdr:row>0</xdr:row>
      <xdr:rowOff>0</xdr:rowOff>
    </xdr:from>
    <xdr:to>
      <xdr:col>8</xdr:col>
      <xdr:colOff>0</xdr:colOff>
      <xdr:row>3</xdr:row>
      <xdr:rowOff>146050</xdr:rowOff>
    </xdr:to>
    <xdr:pic>
      <xdr:nvPicPr>
        <xdr:cNvPr id="10278" name="Picture 2" descr="JTI Logo">
          <a:extLst>
            <a:ext uri="{FF2B5EF4-FFF2-40B4-BE49-F238E27FC236}">
              <a16:creationId xmlns:a16="http://schemas.microsoft.com/office/drawing/2014/main" id="{00000000-0008-0000-0200-000026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45200" y="0"/>
          <a:ext cx="1676400" cy="984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4</xdr:col>
          <xdr:colOff>419100</xdr:colOff>
          <xdr:row>11</xdr:row>
          <xdr:rowOff>666750</xdr:rowOff>
        </xdr:from>
        <xdr:to>
          <xdr:col>4</xdr:col>
          <xdr:colOff>2447925</xdr:colOff>
          <xdr:row>11</xdr:row>
          <xdr:rowOff>1352550</xdr:rowOff>
        </xdr:to>
        <xdr:sp macro="" textlink="">
          <xdr:nvSpPr>
            <xdr:cNvPr id="10282" name="Object 42" hidden="1">
              <a:extLst>
                <a:ext uri="{63B3BB69-23CF-44E3-9099-C40C66FF867C}">
                  <a14:compatExt spid="_x0000_s10282"/>
                </a:ext>
                <a:ext uri="{FF2B5EF4-FFF2-40B4-BE49-F238E27FC236}">
                  <a16:creationId xmlns:a16="http://schemas.microsoft.com/office/drawing/2014/main" id="{00000000-0008-0000-0200-00002A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xdr:row>
          <xdr:rowOff>647700</xdr:rowOff>
        </xdr:from>
        <xdr:to>
          <xdr:col>4</xdr:col>
          <xdr:colOff>2276475</xdr:colOff>
          <xdr:row>14</xdr:row>
          <xdr:rowOff>1333500</xdr:rowOff>
        </xdr:to>
        <xdr:sp macro="" textlink="">
          <xdr:nvSpPr>
            <xdr:cNvPr id="10283" name="Object 43" hidden="1">
              <a:extLst>
                <a:ext uri="{63B3BB69-23CF-44E3-9099-C40C66FF867C}">
                  <a14:compatExt spid="_x0000_s10283"/>
                </a:ext>
                <a:ext uri="{FF2B5EF4-FFF2-40B4-BE49-F238E27FC236}">
                  <a16:creationId xmlns:a16="http://schemas.microsoft.com/office/drawing/2014/main" id="{00000000-0008-0000-0200-00002B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590550</xdr:colOff>
      <xdr:row>76</xdr:row>
      <xdr:rowOff>104775</xdr:rowOff>
    </xdr:from>
    <xdr:to>
      <xdr:col>9</xdr:col>
      <xdr:colOff>228600</xdr:colOff>
      <xdr:row>80</xdr:row>
      <xdr:rowOff>85725</xdr:rowOff>
    </xdr:to>
    <xdr:sp macro="" textlink="">
      <xdr:nvSpPr>
        <xdr:cNvPr id="4" name="Rectangle 3">
          <a:extLst>
            <a:ext uri="{FF2B5EF4-FFF2-40B4-BE49-F238E27FC236}">
              <a16:creationId xmlns:a16="http://schemas.microsoft.com/office/drawing/2014/main" id="{00000000-0008-0000-0400-000004000000}"/>
            </a:ext>
          </a:extLst>
        </xdr:cNvPr>
        <xdr:cNvSpPr/>
      </xdr:nvSpPr>
      <xdr:spPr>
        <a:xfrm>
          <a:off x="5962650" y="12420600"/>
          <a:ext cx="2076450" cy="6286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0</xdr:row>
      <xdr:rowOff>0</xdr:rowOff>
    </xdr:from>
    <xdr:to>
      <xdr:col>25</xdr:col>
      <xdr:colOff>388281</xdr:colOff>
      <xdr:row>32</xdr:row>
      <xdr:rowOff>113637</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1"/>
        <a:stretch>
          <a:fillRect/>
        </a:stretch>
      </xdr:blipFill>
      <xdr:spPr>
        <a:xfrm>
          <a:off x="0" y="0"/>
          <a:ext cx="17952381" cy="5304762"/>
        </a:xfrm>
        <a:prstGeom prst="rect">
          <a:avLst/>
        </a:prstGeom>
      </xdr:spPr>
    </xdr:pic>
    <xdr:clientData/>
  </xdr:twoCellAnchor>
  <xdr:twoCellAnchor>
    <xdr:from>
      <xdr:col>0</xdr:col>
      <xdr:colOff>0</xdr:colOff>
      <xdr:row>28</xdr:row>
      <xdr:rowOff>66675</xdr:rowOff>
    </xdr:from>
    <xdr:to>
      <xdr:col>0</xdr:col>
      <xdr:colOff>2076450</xdr:colOff>
      <xdr:row>32</xdr:row>
      <xdr:rowOff>47625</xdr:rowOff>
    </xdr:to>
    <xdr:sp macro="" textlink="">
      <xdr:nvSpPr>
        <xdr:cNvPr id="10" name="Rectangle 9">
          <a:extLst>
            <a:ext uri="{FF2B5EF4-FFF2-40B4-BE49-F238E27FC236}">
              <a16:creationId xmlns:a16="http://schemas.microsoft.com/office/drawing/2014/main" id="{00000000-0008-0000-0400-00000A000000}"/>
            </a:ext>
          </a:extLst>
        </xdr:cNvPr>
        <xdr:cNvSpPr/>
      </xdr:nvSpPr>
      <xdr:spPr>
        <a:xfrm>
          <a:off x="0" y="4610100"/>
          <a:ext cx="2076450" cy="6286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0</xdr:colOff>
      <xdr:row>12</xdr:row>
      <xdr:rowOff>57150</xdr:rowOff>
    </xdr:from>
    <xdr:to>
      <xdr:col>12</xdr:col>
      <xdr:colOff>247650</xdr:colOff>
      <xdr:row>16</xdr:row>
      <xdr:rowOff>28575</xdr:rowOff>
    </xdr:to>
    <xdr:sp macro="" textlink="">
      <xdr:nvSpPr>
        <xdr:cNvPr id="11" name="Rectangle 10">
          <a:extLst>
            <a:ext uri="{FF2B5EF4-FFF2-40B4-BE49-F238E27FC236}">
              <a16:creationId xmlns:a16="http://schemas.microsoft.com/office/drawing/2014/main" id="{00000000-0008-0000-0400-00000B000000}"/>
            </a:ext>
          </a:extLst>
        </xdr:cNvPr>
        <xdr:cNvSpPr/>
      </xdr:nvSpPr>
      <xdr:spPr>
        <a:xfrm>
          <a:off x="7810500" y="2000250"/>
          <a:ext cx="2076450" cy="6286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2905125</xdr:colOff>
      <xdr:row>8</xdr:row>
      <xdr:rowOff>38100</xdr:rowOff>
    </xdr:from>
    <xdr:to>
      <xdr:col>4</xdr:col>
      <xdr:colOff>219075</xdr:colOff>
      <xdr:row>12</xdr:row>
      <xdr:rowOff>19050</xdr:rowOff>
    </xdr:to>
    <xdr:sp macro="" textlink="">
      <xdr:nvSpPr>
        <xdr:cNvPr id="12" name="Rectangle 11">
          <a:extLst>
            <a:ext uri="{FF2B5EF4-FFF2-40B4-BE49-F238E27FC236}">
              <a16:creationId xmlns:a16="http://schemas.microsoft.com/office/drawing/2014/main" id="{00000000-0008-0000-0400-00000C000000}"/>
            </a:ext>
          </a:extLst>
        </xdr:cNvPr>
        <xdr:cNvSpPr/>
      </xdr:nvSpPr>
      <xdr:spPr>
        <a:xfrm>
          <a:off x="2905125" y="1333500"/>
          <a:ext cx="2076450" cy="6286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34</xdr:row>
      <xdr:rowOff>0</xdr:rowOff>
    </xdr:from>
    <xdr:to>
      <xdr:col>25</xdr:col>
      <xdr:colOff>483519</xdr:colOff>
      <xdr:row>42</xdr:row>
      <xdr:rowOff>37933</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2"/>
        <a:stretch>
          <a:fillRect/>
        </a:stretch>
      </xdr:blipFill>
      <xdr:spPr>
        <a:xfrm>
          <a:off x="0" y="5514975"/>
          <a:ext cx="18047619" cy="1333333"/>
        </a:xfrm>
        <a:prstGeom prst="rect">
          <a:avLst/>
        </a:prstGeom>
      </xdr:spPr>
    </xdr:pic>
    <xdr:clientData/>
  </xdr:twoCellAnchor>
  <xdr:twoCellAnchor>
    <xdr:from>
      <xdr:col>3</xdr:col>
      <xdr:colOff>9524</xdr:colOff>
      <xdr:row>38</xdr:row>
      <xdr:rowOff>76200</xdr:rowOff>
    </xdr:from>
    <xdr:to>
      <xdr:col>7</xdr:col>
      <xdr:colOff>419099</xdr:colOff>
      <xdr:row>42</xdr:row>
      <xdr:rowOff>57150</xdr:rowOff>
    </xdr:to>
    <xdr:sp macro="" textlink="">
      <xdr:nvSpPr>
        <xdr:cNvPr id="14" name="Rectangle 13">
          <a:extLst>
            <a:ext uri="{FF2B5EF4-FFF2-40B4-BE49-F238E27FC236}">
              <a16:creationId xmlns:a16="http://schemas.microsoft.com/office/drawing/2014/main" id="{00000000-0008-0000-0400-00000E000000}"/>
            </a:ext>
          </a:extLst>
        </xdr:cNvPr>
        <xdr:cNvSpPr/>
      </xdr:nvSpPr>
      <xdr:spPr>
        <a:xfrm>
          <a:off x="4162424" y="6238875"/>
          <a:ext cx="2847975" cy="6286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47</xdr:row>
      <xdr:rowOff>0</xdr:rowOff>
    </xdr:from>
    <xdr:to>
      <xdr:col>24</xdr:col>
      <xdr:colOff>102643</xdr:colOff>
      <xdr:row>81</xdr:row>
      <xdr:rowOff>161217</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3"/>
        <a:stretch>
          <a:fillRect/>
        </a:stretch>
      </xdr:blipFill>
      <xdr:spPr>
        <a:xfrm>
          <a:off x="0" y="7620000"/>
          <a:ext cx="17057143" cy="5666667"/>
        </a:xfrm>
        <a:prstGeom prst="rect">
          <a:avLst/>
        </a:prstGeom>
      </xdr:spPr>
    </xdr:pic>
    <xdr:clientData/>
  </xdr:twoCellAnchor>
  <xdr:twoCellAnchor editAs="oneCell">
    <xdr:from>
      <xdr:col>0</xdr:col>
      <xdr:colOff>0</xdr:colOff>
      <xdr:row>84</xdr:row>
      <xdr:rowOff>0</xdr:rowOff>
    </xdr:from>
    <xdr:to>
      <xdr:col>26</xdr:col>
      <xdr:colOff>35824</xdr:colOff>
      <xdr:row>98</xdr:row>
      <xdr:rowOff>47336</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4"/>
        <a:stretch>
          <a:fillRect/>
        </a:stretch>
      </xdr:blipFill>
      <xdr:spPr>
        <a:xfrm>
          <a:off x="0" y="13611225"/>
          <a:ext cx="18209524" cy="231428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S37"/>
  <sheetViews>
    <sheetView showGridLines="0" tabSelected="1" zoomScale="66" workbookViewId="0">
      <selection activeCell="I30" sqref="I30"/>
    </sheetView>
  </sheetViews>
  <sheetFormatPr defaultColWidth="9.140625" defaultRowHeight="12.75" x14ac:dyDescent="0.2"/>
  <cols>
    <col min="1" max="9" width="10.7109375" style="12" customWidth="1"/>
    <col min="10" max="10" width="2.7109375" style="12" customWidth="1"/>
    <col min="11" max="19" width="10.7109375" style="12" customWidth="1"/>
    <col min="20" max="16384" width="9.140625" style="12"/>
  </cols>
  <sheetData>
    <row r="1" spans="1:19" s="11" customFormat="1" ht="13.5" x14ac:dyDescent="0.2">
      <c r="A1" s="9"/>
      <c r="B1" s="10"/>
      <c r="C1" s="10"/>
      <c r="D1" s="10"/>
      <c r="E1" s="10"/>
      <c r="F1" s="10"/>
      <c r="G1" s="10"/>
      <c r="H1" s="10"/>
      <c r="I1" s="10"/>
      <c r="J1" s="10"/>
      <c r="K1" s="10"/>
      <c r="L1" s="10"/>
      <c r="M1" s="10"/>
      <c r="N1" s="10"/>
      <c r="O1" s="10"/>
      <c r="P1" s="10"/>
      <c r="Q1" s="10"/>
      <c r="R1" s="10"/>
      <c r="S1" s="10"/>
    </row>
    <row r="2" spans="1:19" s="11" customFormat="1" x14ac:dyDescent="0.2">
      <c r="A2" s="10"/>
      <c r="B2" s="10"/>
      <c r="C2" s="10"/>
      <c r="D2" s="10"/>
      <c r="E2" s="10"/>
      <c r="F2" s="10"/>
      <c r="G2" s="10"/>
      <c r="H2" s="10"/>
      <c r="I2" s="10"/>
      <c r="J2" s="10"/>
      <c r="K2" s="10"/>
      <c r="L2" s="10"/>
      <c r="M2" s="10"/>
      <c r="N2" s="10"/>
      <c r="O2" s="10"/>
      <c r="P2" s="10"/>
      <c r="Q2" s="10"/>
      <c r="R2" s="10"/>
      <c r="S2" s="10"/>
    </row>
    <row r="3" spans="1:19" s="11" customFormat="1" x14ac:dyDescent="0.2">
      <c r="A3" s="10"/>
      <c r="B3" s="10"/>
      <c r="C3" s="10"/>
      <c r="D3" s="10"/>
      <c r="E3" s="10"/>
      <c r="F3" s="10"/>
      <c r="G3" s="10"/>
      <c r="H3" s="10"/>
      <c r="I3" s="10"/>
      <c r="J3" s="10"/>
      <c r="K3" s="10"/>
      <c r="L3" s="10"/>
      <c r="M3" s="10"/>
      <c r="N3" s="10"/>
      <c r="O3" s="10"/>
      <c r="P3" s="10"/>
      <c r="Q3" s="10"/>
      <c r="R3" s="10"/>
      <c r="S3" s="10"/>
    </row>
    <row r="4" spans="1:19" s="11" customFormat="1" x14ac:dyDescent="0.2">
      <c r="A4" s="10"/>
      <c r="B4" s="10"/>
      <c r="C4" s="10"/>
      <c r="D4" s="10"/>
      <c r="E4" s="10"/>
      <c r="F4" s="10"/>
      <c r="G4" s="10"/>
      <c r="H4" s="10"/>
      <c r="I4" s="10"/>
      <c r="J4" s="10"/>
      <c r="K4" s="10"/>
      <c r="L4" s="10"/>
      <c r="M4" s="10"/>
      <c r="N4" s="10"/>
      <c r="O4" s="10"/>
      <c r="P4" s="10"/>
      <c r="Q4" s="10"/>
      <c r="R4" s="10"/>
      <c r="S4" s="10"/>
    </row>
    <row r="5" spans="1:19" s="11" customFormat="1" x14ac:dyDescent="0.2">
      <c r="A5" s="10"/>
      <c r="B5" s="10"/>
      <c r="C5" s="10"/>
      <c r="D5" s="10"/>
      <c r="E5" s="10"/>
      <c r="F5" s="10"/>
      <c r="G5" s="10"/>
      <c r="H5" s="10"/>
      <c r="I5" s="10"/>
      <c r="J5" s="10"/>
      <c r="K5" s="10"/>
      <c r="L5" s="10"/>
      <c r="M5" s="10"/>
      <c r="N5" s="10"/>
      <c r="O5" s="10"/>
      <c r="P5" s="10"/>
      <c r="Q5" s="10"/>
      <c r="R5" s="10"/>
      <c r="S5" s="10"/>
    </row>
    <row r="6" spans="1:19" x14ac:dyDescent="0.2">
      <c r="A6" s="10"/>
      <c r="B6" s="10"/>
      <c r="C6" s="10"/>
      <c r="D6" s="10"/>
      <c r="E6" s="10"/>
      <c r="F6" s="10"/>
      <c r="G6" s="10"/>
      <c r="H6" s="10"/>
      <c r="I6" s="10"/>
      <c r="J6" s="10"/>
      <c r="K6" s="10"/>
      <c r="L6" s="10"/>
      <c r="M6" s="10"/>
      <c r="N6" s="10"/>
      <c r="O6" s="10"/>
      <c r="P6" s="10"/>
      <c r="Q6" s="10"/>
      <c r="R6" s="10"/>
      <c r="S6" s="10"/>
    </row>
    <row r="7" spans="1:19" ht="12.75" customHeight="1" x14ac:dyDescent="0.2">
      <c r="A7" s="10"/>
      <c r="B7" s="10"/>
      <c r="C7" s="10"/>
      <c r="D7" s="10"/>
      <c r="E7" s="10"/>
      <c r="F7" s="10"/>
      <c r="G7" s="10"/>
      <c r="H7" s="10"/>
      <c r="I7" s="10"/>
      <c r="J7" s="10"/>
      <c r="K7" s="10"/>
      <c r="L7" s="10"/>
      <c r="M7" s="10"/>
      <c r="N7" s="10"/>
      <c r="O7" s="10"/>
      <c r="P7" s="10"/>
      <c r="Q7" s="10"/>
      <c r="R7" s="10"/>
      <c r="S7" s="10"/>
    </row>
    <row r="8" spans="1:19" ht="9.75" customHeight="1" x14ac:dyDescent="0.2">
      <c r="A8" s="10"/>
      <c r="B8" s="10"/>
      <c r="C8" s="10"/>
      <c r="D8" s="10"/>
      <c r="E8" s="10"/>
      <c r="F8" s="10"/>
      <c r="G8" s="10"/>
      <c r="H8" s="10"/>
      <c r="I8" s="10"/>
      <c r="J8" s="10"/>
      <c r="K8" s="10"/>
      <c r="L8" s="10"/>
      <c r="M8" s="10"/>
      <c r="N8" s="10"/>
      <c r="O8" s="10"/>
      <c r="P8" s="10"/>
      <c r="Q8" s="10"/>
      <c r="R8" s="10"/>
      <c r="S8" s="10"/>
    </row>
    <row r="9" spans="1:19" x14ac:dyDescent="0.2">
      <c r="A9" s="10"/>
      <c r="B9" s="10"/>
      <c r="C9" s="10"/>
      <c r="D9" s="10"/>
      <c r="E9" s="10"/>
      <c r="F9" s="10"/>
      <c r="G9" s="10"/>
      <c r="H9" s="10"/>
      <c r="I9" s="10"/>
      <c r="J9" s="10"/>
      <c r="K9" s="10"/>
      <c r="L9" s="10"/>
      <c r="M9" s="10"/>
      <c r="N9" s="10"/>
      <c r="O9" s="10"/>
      <c r="P9" s="10"/>
      <c r="Q9" s="10"/>
      <c r="R9" s="10"/>
      <c r="S9" s="10"/>
    </row>
    <row r="10" spans="1:19" ht="13.5" x14ac:dyDescent="0.2">
      <c r="A10" s="9"/>
      <c r="B10" s="9"/>
      <c r="C10" s="9"/>
      <c r="D10" s="9"/>
      <c r="E10" s="9"/>
      <c r="F10" s="9"/>
      <c r="G10" s="9"/>
      <c r="H10" s="9"/>
      <c r="I10" s="9"/>
      <c r="J10" s="9"/>
      <c r="K10" s="9"/>
      <c r="L10" s="9"/>
      <c r="M10" s="10"/>
      <c r="N10" s="10"/>
      <c r="O10" s="10"/>
      <c r="P10" s="10"/>
      <c r="Q10" s="10"/>
      <c r="R10" s="10"/>
      <c r="S10" s="10"/>
    </row>
    <row r="11" spans="1:19" ht="13.5" x14ac:dyDescent="0.2">
      <c r="A11" s="9"/>
      <c r="B11" s="9"/>
      <c r="C11" s="9"/>
      <c r="D11" s="9"/>
      <c r="E11" s="9"/>
      <c r="F11" s="9"/>
      <c r="G11" s="9"/>
      <c r="H11" s="9"/>
      <c r="I11" s="9"/>
      <c r="J11" s="9"/>
      <c r="K11" s="9"/>
      <c r="L11" s="9"/>
      <c r="M11" s="10"/>
      <c r="N11" s="10"/>
      <c r="O11" s="10"/>
      <c r="P11" s="10"/>
      <c r="Q11" s="10"/>
      <c r="R11" s="10"/>
      <c r="S11" s="10"/>
    </row>
    <row r="12" spans="1:19" ht="13.5" x14ac:dyDescent="0.2">
      <c r="A12" s="9"/>
      <c r="B12" s="9"/>
      <c r="C12" s="9"/>
      <c r="D12" s="9"/>
      <c r="E12" s="9"/>
      <c r="F12" s="9"/>
      <c r="G12" s="9"/>
      <c r="H12" s="9"/>
      <c r="I12" s="9"/>
      <c r="J12" s="9"/>
      <c r="K12" s="9"/>
      <c r="L12" s="9"/>
      <c r="M12" s="10"/>
      <c r="N12" s="10"/>
      <c r="O12" s="10"/>
      <c r="P12" s="10"/>
      <c r="Q12" s="10"/>
      <c r="R12" s="10"/>
      <c r="S12" s="10"/>
    </row>
    <row r="13" spans="1:19" ht="30.75" thickBot="1" x14ac:dyDescent="0.25">
      <c r="A13" s="86" t="s">
        <v>2</v>
      </c>
      <c r="B13" s="86"/>
      <c r="C13" s="86"/>
      <c r="D13" s="86"/>
      <c r="E13" s="86"/>
      <c r="F13" s="86"/>
      <c r="G13" s="86"/>
      <c r="H13" s="86"/>
      <c r="I13" s="86"/>
      <c r="J13" s="86"/>
      <c r="K13" s="86"/>
      <c r="L13" s="86"/>
      <c r="M13" s="86"/>
      <c r="N13" s="86"/>
      <c r="O13" s="86"/>
      <c r="P13" s="86"/>
      <c r="Q13" s="86"/>
      <c r="R13" s="86"/>
      <c r="S13" s="86"/>
    </row>
    <row r="14" spans="1:19" ht="14.25" thickTop="1" x14ac:dyDescent="0.2">
      <c r="A14" s="9"/>
      <c r="B14" s="9"/>
      <c r="C14" s="9"/>
      <c r="D14" s="9"/>
      <c r="E14" s="9"/>
      <c r="F14" s="9"/>
      <c r="G14" s="9"/>
      <c r="H14" s="9"/>
      <c r="I14" s="9"/>
      <c r="J14" s="9"/>
      <c r="K14" s="9"/>
      <c r="L14" s="9"/>
      <c r="M14" s="10"/>
      <c r="N14" s="10"/>
      <c r="O14" s="10"/>
      <c r="P14" s="10"/>
      <c r="Q14" s="10"/>
      <c r="R14" s="10"/>
      <c r="S14" s="10"/>
    </row>
    <row r="15" spans="1:19" ht="13.5" x14ac:dyDescent="0.2">
      <c r="A15" s="9"/>
      <c r="B15" s="9"/>
      <c r="C15" s="9"/>
      <c r="D15" s="9"/>
      <c r="E15" s="9"/>
      <c r="F15" s="9"/>
      <c r="G15" s="9"/>
      <c r="H15" s="9"/>
      <c r="I15" s="9"/>
      <c r="J15" s="9"/>
      <c r="K15" s="9"/>
      <c r="L15" s="9"/>
      <c r="M15" s="10"/>
      <c r="N15" s="10"/>
      <c r="O15" s="10"/>
      <c r="P15" s="10"/>
      <c r="Q15" s="10"/>
      <c r="R15" s="13"/>
      <c r="S15" s="13"/>
    </row>
    <row r="16" spans="1:19" ht="13.5" x14ac:dyDescent="0.2">
      <c r="A16" s="14"/>
      <c r="B16" s="14"/>
      <c r="C16" s="14"/>
      <c r="D16" s="14"/>
      <c r="E16" s="14"/>
      <c r="F16" s="14"/>
      <c r="G16" s="14"/>
      <c r="H16" s="14"/>
      <c r="I16" s="14"/>
      <c r="J16" s="14"/>
      <c r="K16" s="14"/>
      <c r="L16" s="14"/>
      <c r="M16" s="13"/>
      <c r="N16" s="13"/>
      <c r="O16" s="13"/>
      <c r="P16" s="13"/>
      <c r="Q16" s="13"/>
      <c r="R16" s="13"/>
      <c r="S16" s="13"/>
    </row>
    <row r="17" spans="1:19" ht="13.5" x14ac:dyDescent="0.2">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
      <c r="A18" s="87" t="s">
        <v>17</v>
      </c>
      <c r="B18" s="87"/>
      <c r="C18" s="87"/>
      <c r="D18" s="87"/>
      <c r="E18" s="87"/>
      <c r="F18" s="87"/>
      <c r="G18" s="87"/>
      <c r="H18" s="87"/>
      <c r="I18" s="87"/>
      <c r="J18" s="87"/>
      <c r="K18" s="87"/>
      <c r="L18" s="87"/>
      <c r="M18" s="87"/>
      <c r="N18" s="87"/>
      <c r="O18" s="87"/>
      <c r="P18" s="87"/>
      <c r="Q18" s="87"/>
      <c r="R18" s="87"/>
      <c r="S18" s="87"/>
    </row>
    <row r="19" spans="1:19" s="15" customFormat="1" ht="40.700000000000003" customHeight="1" x14ac:dyDescent="0.2">
      <c r="A19" s="88" t="s">
        <v>1</v>
      </c>
      <c r="B19" s="88"/>
      <c r="C19" s="88"/>
      <c r="D19" s="88"/>
      <c r="E19" s="88"/>
      <c r="F19" s="88"/>
      <c r="G19" s="88"/>
      <c r="H19" s="88"/>
      <c r="I19" s="88"/>
      <c r="J19" s="88"/>
      <c r="K19" s="88"/>
      <c r="L19" s="88"/>
      <c r="M19" s="88"/>
      <c r="N19" s="88"/>
      <c r="O19" s="88"/>
      <c r="P19" s="88"/>
      <c r="Q19" s="88"/>
      <c r="R19" s="88"/>
      <c r="S19" s="88"/>
    </row>
    <row r="20" spans="1:19" s="15" customFormat="1" ht="13.5" x14ac:dyDescent="0.2">
      <c r="A20" s="16"/>
      <c r="B20" s="16"/>
      <c r="C20" s="16"/>
      <c r="D20" s="16"/>
      <c r="E20" s="16"/>
      <c r="F20" s="16"/>
      <c r="G20" s="16"/>
      <c r="H20" s="16"/>
      <c r="I20" s="16"/>
      <c r="J20" s="16"/>
    </row>
    <row r="21" spans="1:19" s="15" customFormat="1" ht="58.7" customHeight="1" x14ac:dyDescent="0.2">
      <c r="A21" s="89" t="s">
        <v>83</v>
      </c>
      <c r="B21" s="89"/>
      <c r="C21" s="89"/>
      <c r="D21" s="89"/>
      <c r="E21" s="89"/>
      <c r="F21" s="89"/>
      <c r="G21" s="89"/>
      <c r="H21" s="89"/>
      <c r="I21" s="89"/>
      <c r="J21" s="6"/>
      <c r="K21" s="90" t="s">
        <v>85</v>
      </c>
      <c r="L21" s="90"/>
      <c r="M21" s="90"/>
      <c r="N21" s="90"/>
      <c r="O21" s="90"/>
      <c r="P21" s="90"/>
      <c r="Q21" s="90"/>
      <c r="R21" s="90"/>
      <c r="S21" s="90"/>
    </row>
    <row r="22" spans="1:19" s="15" customFormat="1" ht="13.5" x14ac:dyDescent="0.2">
      <c r="A22" s="16"/>
      <c r="B22" s="16"/>
      <c r="C22" s="16"/>
      <c r="D22" s="16"/>
      <c r="E22" s="16"/>
      <c r="F22" s="16"/>
      <c r="G22" s="16"/>
      <c r="H22" s="16"/>
      <c r="I22" s="16"/>
      <c r="J22" s="16"/>
    </row>
    <row r="23" spans="1:19" s="15" customFormat="1" ht="70.150000000000006" customHeight="1" x14ac:dyDescent="0.2">
      <c r="A23" s="93" t="s">
        <v>18</v>
      </c>
      <c r="B23" s="93"/>
      <c r="C23" s="93"/>
      <c r="D23" s="93"/>
      <c r="E23" s="93"/>
      <c r="F23" s="93"/>
      <c r="G23" s="93"/>
      <c r="H23" s="93"/>
      <c r="I23" s="93"/>
      <c r="J23" s="7"/>
      <c r="K23" s="94" t="s">
        <v>86</v>
      </c>
      <c r="L23" s="94"/>
      <c r="M23" s="94"/>
      <c r="N23" s="94"/>
      <c r="O23" s="94"/>
      <c r="P23" s="94"/>
      <c r="Q23" s="94"/>
      <c r="R23" s="94"/>
      <c r="S23" s="94"/>
    </row>
    <row r="24" spans="1:19" s="15" customFormat="1" ht="13.5" x14ac:dyDescent="0.2">
      <c r="A24" s="16"/>
      <c r="B24" s="16"/>
      <c r="C24" s="16"/>
      <c r="D24" s="16"/>
      <c r="E24" s="16"/>
      <c r="F24" s="16"/>
      <c r="G24" s="16"/>
      <c r="H24" s="16"/>
      <c r="I24" s="16"/>
      <c r="J24" s="16"/>
    </row>
    <row r="25" spans="1:19" s="15" customFormat="1" ht="70.150000000000006" customHeight="1" x14ac:dyDescent="0.2">
      <c r="A25" s="95" t="s">
        <v>3</v>
      </c>
      <c r="B25" s="95"/>
      <c r="C25" s="95"/>
      <c r="D25" s="95"/>
      <c r="E25" s="95"/>
      <c r="F25" s="95"/>
      <c r="G25" s="95"/>
      <c r="H25" s="95"/>
      <c r="I25" s="95"/>
      <c r="J25" s="7"/>
      <c r="K25" s="96" t="s">
        <v>87</v>
      </c>
      <c r="L25" s="96"/>
      <c r="M25" s="96"/>
      <c r="N25" s="96"/>
      <c r="O25" s="96"/>
      <c r="P25" s="96"/>
      <c r="Q25" s="96"/>
      <c r="R25" s="96"/>
      <c r="S25" s="96"/>
    </row>
    <row r="26" spans="1:19" s="15" customFormat="1" ht="13.5" x14ac:dyDescent="0.2">
      <c r="A26" s="16"/>
      <c r="B26" s="16"/>
      <c r="C26" s="16"/>
      <c r="D26" s="16"/>
      <c r="E26" s="16"/>
      <c r="F26" s="16"/>
      <c r="G26" s="16"/>
      <c r="H26" s="16"/>
      <c r="I26" s="16"/>
      <c r="J26" s="16"/>
    </row>
    <row r="27" spans="1:19" ht="27" customHeight="1" x14ac:dyDescent="0.2">
      <c r="A27" s="91" t="s">
        <v>13</v>
      </c>
      <c r="B27" s="91"/>
      <c r="C27" s="91"/>
      <c r="D27" s="91"/>
      <c r="E27" s="91"/>
      <c r="F27" s="91"/>
      <c r="G27" s="91"/>
      <c r="H27" s="91"/>
      <c r="I27" s="91"/>
      <c r="K27" s="92" t="s">
        <v>19</v>
      </c>
      <c r="L27" s="92"/>
      <c r="M27" s="92"/>
      <c r="N27" s="92"/>
      <c r="O27" s="92"/>
      <c r="P27" s="92"/>
      <c r="Q27" s="92"/>
      <c r="R27" s="92"/>
      <c r="S27" s="92"/>
    </row>
    <row r="28" spans="1:19" ht="27" customHeight="1" x14ac:dyDescent="0.2">
      <c r="A28" s="91"/>
      <c r="B28" s="91"/>
      <c r="C28" s="91"/>
      <c r="D28" s="91"/>
      <c r="E28" s="91"/>
      <c r="F28" s="91"/>
      <c r="G28" s="91"/>
      <c r="H28" s="91"/>
      <c r="I28" s="91"/>
      <c r="K28" s="92"/>
      <c r="L28" s="92"/>
      <c r="M28" s="92"/>
      <c r="N28" s="92"/>
      <c r="O28" s="17"/>
      <c r="P28" s="17"/>
      <c r="Q28" s="17"/>
      <c r="R28" s="17"/>
      <c r="S28" s="17"/>
    </row>
    <row r="29" spans="1:19" ht="27" customHeight="1" x14ac:dyDescent="0.2">
      <c r="A29" s="91"/>
      <c r="B29" s="91"/>
      <c r="C29" s="91"/>
      <c r="D29" s="91"/>
      <c r="E29" s="91"/>
      <c r="F29" s="91"/>
      <c r="G29" s="91"/>
      <c r="H29" s="91"/>
      <c r="I29" s="91"/>
      <c r="K29" s="92"/>
      <c r="L29" s="92"/>
      <c r="M29" s="92"/>
      <c r="N29" s="92"/>
      <c r="O29" s="92"/>
      <c r="P29" s="92"/>
      <c r="Q29" s="92"/>
      <c r="R29" s="92"/>
      <c r="S29" s="92"/>
    </row>
    <row r="30" spans="1:19" s="15" customFormat="1" ht="30.75" x14ac:dyDescent="0.2">
      <c r="A30" s="8"/>
      <c r="B30" s="18"/>
      <c r="C30" s="18"/>
      <c r="D30" s="18"/>
      <c r="E30" s="18"/>
      <c r="F30" s="18"/>
      <c r="G30" s="18"/>
      <c r="H30" s="18"/>
      <c r="I30" s="18"/>
      <c r="J30" s="18"/>
      <c r="K30" s="18"/>
      <c r="L30" s="18"/>
      <c r="M30" s="18"/>
      <c r="N30" s="18"/>
      <c r="O30" s="18"/>
      <c r="P30" s="18"/>
      <c r="Q30" s="18"/>
    </row>
    <row r="31" spans="1:19" x14ac:dyDescent="0.2">
      <c r="A31" s="10"/>
      <c r="B31" s="10"/>
      <c r="C31" s="10"/>
      <c r="D31" s="10"/>
      <c r="E31" s="10"/>
      <c r="F31" s="10"/>
      <c r="G31" s="10"/>
      <c r="H31" s="10"/>
      <c r="I31" s="10"/>
      <c r="J31" s="10"/>
      <c r="K31" s="10"/>
      <c r="L31" s="10"/>
      <c r="M31" s="10"/>
      <c r="N31" s="10"/>
      <c r="O31" s="10"/>
      <c r="P31" s="10"/>
      <c r="Q31" s="10"/>
      <c r="R31" s="10"/>
      <c r="S31" s="10"/>
    </row>
    <row r="32" spans="1:19" x14ac:dyDescent="0.2">
      <c r="A32" s="10"/>
      <c r="B32" s="10"/>
      <c r="C32" s="10"/>
      <c r="D32" s="10"/>
      <c r="E32" s="10"/>
      <c r="F32" s="10"/>
      <c r="G32" s="10"/>
      <c r="H32" s="10"/>
      <c r="I32" s="10"/>
      <c r="J32" s="10"/>
      <c r="K32" s="10"/>
      <c r="L32" s="10"/>
      <c r="M32" s="10"/>
      <c r="N32" s="10"/>
      <c r="O32" s="10"/>
      <c r="P32" s="10"/>
      <c r="Q32" s="10"/>
      <c r="R32" s="10"/>
      <c r="S32" s="10"/>
    </row>
    <row r="33" spans="1:19" x14ac:dyDescent="0.2">
      <c r="A33" s="10"/>
      <c r="B33" s="10"/>
      <c r="C33" s="10"/>
      <c r="D33" s="10"/>
      <c r="E33" s="10"/>
      <c r="F33" s="10"/>
      <c r="G33" s="10"/>
      <c r="H33" s="10"/>
      <c r="I33" s="10"/>
      <c r="J33" s="10"/>
      <c r="K33" s="10"/>
      <c r="L33" s="10"/>
      <c r="M33" s="10"/>
      <c r="N33" s="10"/>
      <c r="O33" s="10"/>
      <c r="P33" s="10"/>
      <c r="Q33" s="10"/>
      <c r="R33" s="10"/>
      <c r="S33" s="10"/>
    </row>
    <row r="34" spans="1:19" x14ac:dyDescent="0.2">
      <c r="A34" s="10"/>
      <c r="B34" s="10"/>
      <c r="C34" s="10"/>
      <c r="D34" s="10"/>
      <c r="E34" s="10"/>
      <c r="F34" s="10"/>
      <c r="G34" s="10"/>
      <c r="H34" s="10"/>
      <c r="I34" s="10"/>
      <c r="J34" s="10"/>
      <c r="K34" s="10"/>
      <c r="L34" s="10"/>
      <c r="M34" s="10"/>
      <c r="N34" s="10"/>
      <c r="O34" s="10"/>
      <c r="P34" s="10"/>
      <c r="Q34" s="10"/>
      <c r="R34" s="10"/>
      <c r="S34" s="10"/>
    </row>
    <row r="35" spans="1:19" x14ac:dyDescent="0.2">
      <c r="A35" s="10"/>
      <c r="B35" s="10"/>
      <c r="C35" s="10"/>
      <c r="D35" s="10"/>
      <c r="E35" s="10"/>
      <c r="F35" s="10"/>
      <c r="G35" s="10"/>
      <c r="H35" s="10"/>
      <c r="I35" s="10"/>
      <c r="J35" s="10"/>
      <c r="K35" s="10"/>
      <c r="L35" s="10"/>
      <c r="M35" s="10"/>
      <c r="N35" s="10"/>
      <c r="O35" s="10"/>
      <c r="P35" s="10"/>
      <c r="Q35" s="10"/>
      <c r="R35" s="10"/>
      <c r="S35" s="10"/>
    </row>
    <row r="36" spans="1:19" x14ac:dyDescent="0.2">
      <c r="A36" s="10"/>
      <c r="B36" s="10"/>
      <c r="C36" s="10"/>
      <c r="D36" s="10"/>
      <c r="E36" s="10"/>
      <c r="F36" s="10"/>
      <c r="G36" s="10"/>
      <c r="H36" s="10"/>
      <c r="I36" s="10"/>
      <c r="J36" s="10"/>
      <c r="K36" s="10"/>
      <c r="L36" s="10"/>
      <c r="M36" s="10"/>
      <c r="N36" s="10"/>
      <c r="O36" s="10"/>
      <c r="P36" s="10"/>
      <c r="Q36" s="10"/>
      <c r="R36" s="10"/>
      <c r="S36" s="10"/>
    </row>
    <row r="37" spans="1:19" s="15" customFormat="1" ht="15.75" x14ac:dyDescent="0.2">
      <c r="A37" s="19" t="s">
        <v>4</v>
      </c>
      <c r="C37" s="20">
        <f ca="1">TODAY()</f>
        <v>43180</v>
      </c>
      <c r="D37" s="16"/>
      <c r="E37" s="16"/>
      <c r="F37" s="16"/>
      <c r="G37" s="16"/>
      <c r="H37" s="16"/>
      <c r="I37" s="16"/>
      <c r="J37" s="16"/>
    </row>
  </sheetData>
  <mergeCells count="15">
    <mergeCell ref="A28:I28"/>
    <mergeCell ref="K28:N28"/>
    <mergeCell ref="A29:I29"/>
    <mergeCell ref="K29:S29"/>
    <mergeCell ref="A23:I23"/>
    <mergeCell ref="K23:S23"/>
    <mergeCell ref="A25:I25"/>
    <mergeCell ref="K25:S25"/>
    <mergeCell ref="A27:I27"/>
    <mergeCell ref="K27:S27"/>
    <mergeCell ref="A13:S13"/>
    <mergeCell ref="A18:S18"/>
    <mergeCell ref="A19:S19"/>
    <mergeCell ref="A21:I21"/>
    <mergeCell ref="K21:S21"/>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37"/>
  <sheetViews>
    <sheetView topLeftCell="A6" workbookViewId="0">
      <selection activeCell="A17" sqref="A17"/>
    </sheetView>
  </sheetViews>
  <sheetFormatPr defaultColWidth="8" defaultRowHeight="12.75" x14ac:dyDescent="0.2"/>
  <cols>
    <col min="1" max="1" width="54.140625" style="2" customWidth="1"/>
    <col min="2" max="2" width="86.42578125" style="50" customWidth="1"/>
    <col min="3" max="3" width="25.140625" style="2" bestFit="1" customWidth="1"/>
    <col min="4" max="16384" width="8" style="2"/>
  </cols>
  <sheetData>
    <row r="1" spans="1:3" hidden="1" x14ac:dyDescent="0.2">
      <c r="A1" s="1" t="s">
        <v>5</v>
      </c>
    </row>
    <row r="2" spans="1:3" hidden="1" x14ac:dyDescent="0.2">
      <c r="A2" s="3" t="s">
        <v>20</v>
      </c>
      <c r="B2" s="51" t="s">
        <v>6</v>
      </c>
    </row>
    <row r="3" spans="1:3" hidden="1" x14ac:dyDescent="0.2">
      <c r="A3" s="3" t="s">
        <v>20</v>
      </c>
      <c r="B3" s="51" t="s">
        <v>6</v>
      </c>
    </row>
    <row r="4" spans="1:3" hidden="1" x14ac:dyDescent="0.2">
      <c r="A4" s="3" t="s">
        <v>21</v>
      </c>
      <c r="B4" s="51" t="s">
        <v>7</v>
      </c>
    </row>
    <row r="5" spans="1:3" hidden="1" x14ac:dyDescent="0.2">
      <c r="A5" s="3" t="s">
        <v>22</v>
      </c>
      <c r="B5" s="51" t="s">
        <v>7</v>
      </c>
    </row>
    <row r="6" spans="1:3" x14ac:dyDescent="0.2">
      <c r="A6" s="5"/>
      <c r="B6" s="52"/>
      <c r="C6" s="4"/>
    </row>
    <row r="7" spans="1:3" x14ac:dyDescent="0.2">
      <c r="A7" s="30"/>
      <c r="B7" s="52"/>
      <c r="C7" s="4"/>
    </row>
    <row r="8" spans="1:3" ht="27.75" x14ac:dyDescent="0.2">
      <c r="A8" s="97" t="s">
        <v>1</v>
      </c>
      <c r="B8" s="97"/>
      <c r="C8" s="29" t="s">
        <v>8</v>
      </c>
    </row>
    <row r="9" spans="1:3" x14ac:dyDescent="0.2">
      <c r="A9" s="4"/>
      <c r="B9" s="52"/>
      <c r="C9" s="4"/>
    </row>
    <row r="10" spans="1:3" x14ac:dyDescent="0.2">
      <c r="A10" s="5" t="s">
        <v>9</v>
      </c>
      <c r="B10" s="98" t="s">
        <v>10</v>
      </c>
      <c r="C10" s="98"/>
    </row>
    <row r="11" spans="1:3" x14ac:dyDescent="0.2">
      <c r="A11" s="25" t="s">
        <v>11</v>
      </c>
      <c r="B11" s="21" t="s">
        <v>84</v>
      </c>
      <c r="C11" s="22"/>
    </row>
    <row r="12" spans="1:3" x14ac:dyDescent="0.2">
      <c r="A12" s="30"/>
      <c r="B12" s="52"/>
      <c r="C12" s="4"/>
    </row>
    <row r="13" spans="1:3" x14ac:dyDescent="0.2">
      <c r="A13" s="30"/>
      <c r="B13" s="52"/>
      <c r="C13" s="4"/>
    </row>
    <row r="14" spans="1:3" ht="19.7" customHeight="1" x14ac:dyDescent="0.2">
      <c r="A14" s="26" t="str">
        <f>CONCATENATE("To be Performed by Tester : ",'Test Cycle 1'!H7)</f>
        <v>To be Performed by Tester : Anju</v>
      </c>
      <c r="B14" s="53"/>
      <c r="C14" s="4"/>
    </row>
    <row r="15" spans="1:3" ht="21.95" customHeight="1" x14ac:dyDescent="0.25">
      <c r="A15" s="31" t="s">
        <v>23</v>
      </c>
      <c r="B15" s="99"/>
      <c r="C15" s="100"/>
    </row>
    <row r="16" spans="1:3" ht="39.75" customHeight="1" x14ac:dyDescent="0.2">
      <c r="A16" s="28" t="s">
        <v>24</v>
      </c>
      <c r="B16" s="28" t="s">
        <v>12</v>
      </c>
      <c r="C16" s="23" t="s">
        <v>25</v>
      </c>
    </row>
    <row r="17" spans="1:3" x14ac:dyDescent="0.2">
      <c r="A17" s="24" t="s">
        <v>26</v>
      </c>
      <c r="B17" s="54"/>
      <c r="C17" s="27" t="s">
        <v>91</v>
      </c>
    </row>
    <row r="18" spans="1:3" x14ac:dyDescent="0.2">
      <c r="A18" s="24" t="s">
        <v>27</v>
      </c>
      <c r="B18" s="54" t="s">
        <v>92</v>
      </c>
      <c r="C18" s="27" t="s">
        <v>89</v>
      </c>
    </row>
    <row r="19" spans="1:3" x14ac:dyDescent="0.2">
      <c r="A19" s="24" t="s">
        <v>28</v>
      </c>
      <c r="B19" s="54"/>
      <c r="C19" s="27" t="s">
        <v>91</v>
      </c>
    </row>
    <row r="20" spans="1:3" x14ac:dyDescent="0.2">
      <c r="A20" s="24" t="s">
        <v>29</v>
      </c>
      <c r="B20" s="55"/>
      <c r="C20" s="27" t="s">
        <v>91</v>
      </c>
    </row>
    <row r="21" spans="1:3" x14ac:dyDescent="0.2">
      <c r="A21" s="24" t="s">
        <v>30</v>
      </c>
      <c r="B21" s="54"/>
      <c r="C21" s="27" t="s">
        <v>91</v>
      </c>
    </row>
    <row r="22" spans="1:3" x14ac:dyDescent="0.2">
      <c r="A22" s="24" t="s">
        <v>31</v>
      </c>
      <c r="B22" s="54"/>
      <c r="C22" s="27" t="s">
        <v>91</v>
      </c>
    </row>
    <row r="23" spans="1:3" x14ac:dyDescent="0.2">
      <c r="A23" s="24" t="s">
        <v>32</v>
      </c>
      <c r="B23" s="55"/>
      <c r="C23" s="27" t="s">
        <v>91</v>
      </c>
    </row>
    <row r="24" spans="1:3" x14ac:dyDescent="0.2">
      <c r="A24" s="24" t="s">
        <v>33</v>
      </c>
      <c r="B24" s="54"/>
      <c r="C24" s="27" t="s">
        <v>91</v>
      </c>
    </row>
    <row r="25" spans="1:3" ht="25.5" x14ac:dyDescent="0.2">
      <c r="A25" s="24" t="s">
        <v>34</v>
      </c>
      <c r="B25" s="54" t="s">
        <v>93</v>
      </c>
      <c r="C25" s="27" t="s">
        <v>89</v>
      </c>
    </row>
    <row r="26" spans="1:3" ht="25.5" x14ac:dyDescent="0.2">
      <c r="A26" s="24" t="s">
        <v>35</v>
      </c>
      <c r="B26" s="27"/>
      <c r="C26" s="27" t="s">
        <v>91</v>
      </c>
    </row>
    <row r="27" spans="1:3" x14ac:dyDescent="0.2">
      <c r="A27" s="24" t="s">
        <v>61</v>
      </c>
      <c r="B27" s="27"/>
      <c r="C27" s="27" t="s">
        <v>91</v>
      </c>
    </row>
    <row r="28" spans="1:3" x14ac:dyDescent="0.2">
      <c r="A28" s="45"/>
      <c r="B28" s="56"/>
      <c r="C28" s="46"/>
    </row>
    <row r="29" spans="1:3" x14ac:dyDescent="0.2">
      <c r="A29" s="47"/>
      <c r="B29" s="57"/>
      <c r="C29" s="47"/>
    </row>
    <row r="30" spans="1:3" x14ac:dyDescent="0.2">
      <c r="A30" s="44" t="str">
        <f>CONCATENATE("To be Performed by Reviewer : ",'Test Cycle 1'!H8)</f>
        <v>To be Performed by Reviewer : Robert</v>
      </c>
      <c r="B30" s="53"/>
      <c r="C30" s="4"/>
    </row>
    <row r="31" spans="1:3" ht="15" x14ac:dyDescent="0.25">
      <c r="A31" s="31" t="s">
        <v>23</v>
      </c>
      <c r="B31" s="99"/>
      <c r="C31" s="100"/>
    </row>
    <row r="32" spans="1:3" ht="25.5" x14ac:dyDescent="0.2">
      <c r="A32" s="28" t="s">
        <v>24</v>
      </c>
      <c r="B32" s="28"/>
      <c r="C32" s="23" t="s">
        <v>25</v>
      </c>
    </row>
    <row r="33" spans="1:3" x14ac:dyDescent="0.2">
      <c r="A33" s="24" t="s">
        <v>36</v>
      </c>
      <c r="B33" s="54"/>
      <c r="C33" s="27" t="s">
        <v>89</v>
      </c>
    </row>
    <row r="34" spans="1:3" x14ac:dyDescent="0.2">
      <c r="A34" s="24" t="s">
        <v>37</v>
      </c>
      <c r="B34" s="54"/>
      <c r="C34" s="27" t="s">
        <v>89</v>
      </c>
    </row>
    <row r="35" spans="1:3" x14ac:dyDescent="0.2">
      <c r="A35" s="24" t="s">
        <v>38</v>
      </c>
      <c r="B35" s="54"/>
      <c r="C35" s="27" t="s">
        <v>89</v>
      </c>
    </row>
    <row r="36" spans="1:3" x14ac:dyDescent="0.2">
      <c r="A36" s="24" t="s">
        <v>39</v>
      </c>
      <c r="B36" s="54"/>
      <c r="C36" s="27" t="s">
        <v>89</v>
      </c>
    </row>
    <row r="37" spans="1:3" x14ac:dyDescent="0.2">
      <c r="A37" s="24" t="s">
        <v>40</v>
      </c>
      <c r="B37" s="54"/>
      <c r="C37" s="27" t="s">
        <v>89</v>
      </c>
    </row>
  </sheetData>
  <mergeCells count="4">
    <mergeCell ref="A8:B8"/>
    <mergeCell ref="B10:C10"/>
    <mergeCell ref="B15:C15"/>
    <mergeCell ref="B31:C31"/>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BD15"/>
  <sheetViews>
    <sheetView zoomScale="55" zoomScaleNormal="55" workbookViewId="0">
      <selection activeCell="B8" sqref="B8:D8"/>
    </sheetView>
  </sheetViews>
  <sheetFormatPr defaultColWidth="9.140625" defaultRowHeight="16.5" x14ac:dyDescent="0.3"/>
  <cols>
    <col min="1" max="1" width="22.85546875" style="34" customWidth="1"/>
    <col min="2" max="2" width="37.140625" style="34" customWidth="1"/>
    <col min="3" max="3" width="67.85546875" style="34" bestFit="1" customWidth="1"/>
    <col min="4" max="4" width="23.42578125" style="34" bestFit="1" customWidth="1"/>
    <col min="5" max="5" width="41.42578125" style="61" customWidth="1"/>
    <col min="6" max="6" width="36.85546875" style="34" customWidth="1"/>
    <col min="7" max="7" width="39.42578125" style="34" customWidth="1"/>
    <col min="8" max="8" width="36.85546875" style="34" customWidth="1"/>
    <col min="9" max="9" width="25" style="34" customWidth="1"/>
    <col min="10" max="10" width="23.42578125" style="34" customWidth="1"/>
    <col min="11" max="11" width="32" style="34" customWidth="1"/>
    <col min="12" max="12" width="30.85546875" style="34" customWidth="1"/>
    <col min="13" max="13" width="36.7109375" style="34" bestFit="1" customWidth="1"/>
    <col min="14" max="23" width="9.140625" style="33"/>
    <col min="24" max="24" width="17.140625" style="33" bestFit="1" customWidth="1"/>
    <col min="25" max="25" width="9.140625" style="33"/>
    <col min="26" max="26" width="14.28515625" style="33" bestFit="1" customWidth="1"/>
    <col min="27" max="49" width="9.140625" style="33"/>
    <col min="50" max="50" width="9" style="33" customWidth="1"/>
    <col min="51" max="53" width="9.140625" style="33" hidden="1" customWidth="1"/>
    <col min="54" max="54" width="27.7109375" style="33" customWidth="1"/>
    <col min="55" max="16384" width="9.140625" style="33"/>
  </cols>
  <sheetData>
    <row r="1" spans="1:56" s="34" customFormat="1" x14ac:dyDescent="0.3">
      <c r="A1" s="32"/>
      <c r="B1" s="32"/>
      <c r="C1" s="32"/>
      <c r="D1" s="33"/>
      <c r="E1" s="60"/>
      <c r="F1" s="33"/>
      <c r="G1" s="33"/>
      <c r="H1" s="33"/>
      <c r="I1" s="33"/>
      <c r="J1" s="33"/>
      <c r="K1" s="33"/>
      <c r="N1" s="33"/>
      <c r="O1" s="33"/>
      <c r="P1" s="33"/>
      <c r="Q1" s="33"/>
      <c r="R1" s="33"/>
      <c r="S1" s="33"/>
      <c r="T1" s="33"/>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5" t="s">
        <v>41</v>
      </c>
      <c r="BC1" s="35" t="s">
        <v>41</v>
      </c>
      <c r="BD1" s="34" t="s">
        <v>42</v>
      </c>
    </row>
    <row r="2" spans="1:56" s="34" customFormat="1" ht="26.25" x14ac:dyDescent="0.4">
      <c r="A2" s="32"/>
      <c r="B2" s="32"/>
      <c r="C2" s="32"/>
      <c r="D2" s="36"/>
      <c r="E2" s="60"/>
      <c r="F2" s="33"/>
      <c r="G2" s="71"/>
      <c r="H2" s="33"/>
      <c r="I2" s="33"/>
      <c r="J2" s="33"/>
      <c r="K2" s="33"/>
      <c r="N2" s="33"/>
      <c r="O2" s="33"/>
      <c r="P2" s="33"/>
      <c r="Q2" s="33"/>
      <c r="R2" s="33"/>
      <c r="S2" s="33"/>
      <c r="T2" s="33"/>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3"/>
      <c r="AV2" s="33"/>
      <c r="AW2" s="33"/>
      <c r="AX2" s="33"/>
      <c r="AY2" s="33"/>
      <c r="AZ2" s="33"/>
      <c r="BA2" s="33"/>
      <c r="BB2" s="35" t="s">
        <v>43</v>
      </c>
      <c r="BC2" s="35" t="s">
        <v>43</v>
      </c>
      <c r="BD2" s="34" t="s">
        <v>44</v>
      </c>
    </row>
    <row r="3" spans="1:56" s="34" customFormat="1" ht="26.25" customHeight="1" x14ac:dyDescent="0.3">
      <c r="A3" s="32"/>
      <c r="B3" s="32"/>
      <c r="C3" s="32"/>
      <c r="D3" s="33"/>
      <c r="E3" s="60"/>
      <c r="F3" s="33"/>
      <c r="G3" s="33"/>
      <c r="H3" s="33"/>
      <c r="I3" s="33"/>
      <c r="K3" s="33"/>
      <c r="N3" s="33"/>
      <c r="O3" s="33"/>
      <c r="P3" s="33"/>
      <c r="Q3" s="33"/>
      <c r="R3" s="33"/>
      <c r="S3" s="33"/>
      <c r="T3" s="33"/>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5" t="s">
        <v>45</v>
      </c>
      <c r="BC3" s="35" t="s">
        <v>46</v>
      </c>
      <c r="BD3" s="34" t="s">
        <v>15</v>
      </c>
    </row>
    <row r="4" spans="1:56" s="34" customFormat="1" ht="19.7" customHeight="1" x14ac:dyDescent="0.3">
      <c r="A4" s="32"/>
      <c r="B4" s="32"/>
      <c r="C4" s="32"/>
      <c r="D4" s="33"/>
      <c r="E4" s="60"/>
      <c r="F4" s="33"/>
      <c r="G4" s="33"/>
      <c r="H4" s="33"/>
      <c r="I4" s="33"/>
      <c r="K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5" t="s">
        <v>47</v>
      </c>
      <c r="BC4" s="35" t="s">
        <v>15</v>
      </c>
      <c r="BD4" s="34" t="s">
        <v>16</v>
      </c>
    </row>
    <row r="5" spans="1:56" s="34" customFormat="1" x14ac:dyDescent="0.3">
      <c r="A5" s="33"/>
      <c r="B5" s="33"/>
      <c r="C5" s="33"/>
      <c r="D5" s="33"/>
      <c r="E5" s="60"/>
      <c r="F5" s="33"/>
      <c r="G5" s="33"/>
      <c r="H5" s="33"/>
      <c r="N5" s="33"/>
      <c r="O5" s="33"/>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5" t="s">
        <v>48</v>
      </c>
      <c r="BC5" s="35" t="s">
        <v>16</v>
      </c>
    </row>
    <row r="6" spans="1:56" s="34" customFormat="1" x14ac:dyDescent="0.3">
      <c r="A6" s="37" t="s">
        <v>49</v>
      </c>
      <c r="B6" s="101" t="s">
        <v>98</v>
      </c>
      <c r="C6" s="102"/>
      <c r="D6" s="102"/>
      <c r="E6" s="73" t="s">
        <v>50</v>
      </c>
      <c r="F6" s="38" t="s">
        <v>95</v>
      </c>
      <c r="G6" s="39"/>
      <c r="H6" s="39"/>
      <c r="BB6" s="35" t="s">
        <v>51</v>
      </c>
    </row>
    <row r="7" spans="1:56" s="34" customFormat="1" x14ac:dyDescent="0.3">
      <c r="A7" s="37" t="s">
        <v>52</v>
      </c>
      <c r="B7" s="101" t="s">
        <v>96</v>
      </c>
      <c r="C7" s="102"/>
      <c r="D7" s="102"/>
      <c r="E7" s="73" t="s">
        <v>53</v>
      </c>
      <c r="F7" s="40" t="s">
        <v>88</v>
      </c>
      <c r="G7" s="37" t="s">
        <v>54</v>
      </c>
      <c r="H7" s="43" t="s">
        <v>94</v>
      </c>
      <c r="BB7" s="35" t="s">
        <v>55</v>
      </c>
    </row>
    <row r="8" spans="1:56" s="34" customFormat="1" x14ac:dyDescent="0.3">
      <c r="A8" s="37" t="s">
        <v>56</v>
      </c>
      <c r="B8" s="103" t="s">
        <v>55</v>
      </c>
      <c r="C8" s="103"/>
      <c r="D8" s="103"/>
      <c r="E8" s="73" t="s">
        <v>57</v>
      </c>
      <c r="F8" s="41">
        <v>43180</v>
      </c>
      <c r="G8" s="37" t="s">
        <v>58</v>
      </c>
      <c r="H8" s="38" t="s">
        <v>252</v>
      </c>
      <c r="BB8" s="35" t="s">
        <v>59</v>
      </c>
    </row>
    <row r="9" spans="1:56" s="34" customFormat="1" ht="30.75" x14ac:dyDescent="0.3">
      <c r="A9" s="37" t="s">
        <v>60</v>
      </c>
      <c r="B9" s="104" t="s">
        <v>97</v>
      </c>
      <c r="C9" s="105"/>
      <c r="D9" s="105"/>
      <c r="E9" s="105"/>
      <c r="F9" s="105"/>
      <c r="G9" s="105"/>
      <c r="H9" s="105"/>
      <c r="X9" s="33"/>
    </row>
    <row r="10" spans="1:56" s="34" customFormat="1" x14ac:dyDescent="0.3">
      <c r="A10" s="72" t="s">
        <v>72</v>
      </c>
      <c r="B10" s="72" t="s">
        <v>73</v>
      </c>
      <c r="C10" s="72" t="s">
        <v>74</v>
      </c>
      <c r="D10" s="72" t="s">
        <v>75</v>
      </c>
      <c r="E10" s="72" t="s">
        <v>76</v>
      </c>
      <c r="F10" s="72" t="s">
        <v>77</v>
      </c>
      <c r="G10" s="72" t="s">
        <v>78</v>
      </c>
      <c r="H10" s="72" t="s">
        <v>79</v>
      </c>
      <c r="I10" s="72" t="s">
        <v>80</v>
      </c>
      <c r="J10" s="72" t="s">
        <v>81</v>
      </c>
      <c r="K10" s="72" t="s">
        <v>70</v>
      </c>
      <c r="L10" s="72" t="s">
        <v>71</v>
      </c>
      <c r="M10" s="72" t="s">
        <v>82</v>
      </c>
    </row>
    <row r="11" spans="1:56" s="34" customFormat="1" ht="192.75" customHeight="1" x14ac:dyDescent="0.3">
      <c r="A11" s="77">
        <v>1</v>
      </c>
      <c r="B11" s="78" t="s">
        <v>110</v>
      </c>
      <c r="C11" s="78" t="s">
        <v>111</v>
      </c>
      <c r="D11" s="78" t="s">
        <v>99</v>
      </c>
      <c r="E11" s="78" t="s">
        <v>113</v>
      </c>
      <c r="F11" s="78" t="s">
        <v>104</v>
      </c>
      <c r="G11" s="78" t="s">
        <v>113</v>
      </c>
      <c r="H11" s="78" t="s">
        <v>104</v>
      </c>
      <c r="I11" s="39" t="s">
        <v>15</v>
      </c>
      <c r="J11" s="42"/>
      <c r="K11" s="39" t="s">
        <v>15</v>
      </c>
      <c r="L11" s="42" t="s">
        <v>246</v>
      </c>
      <c r="M11" s="39" t="s">
        <v>247</v>
      </c>
    </row>
    <row r="12" spans="1:56" s="34" customFormat="1" ht="255" customHeight="1" x14ac:dyDescent="0.3">
      <c r="A12" s="77">
        <v>2</v>
      </c>
      <c r="B12" s="78" t="s">
        <v>100</v>
      </c>
      <c r="C12" s="78" t="s">
        <v>101</v>
      </c>
      <c r="D12" s="78" t="s">
        <v>102</v>
      </c>
      <c r="E12" s="78"/>
      <c r="F12" s="48" t="s">
        <v>119</v>
      </c>
      <c r="G12" s="49" t="s">
        <v>112</v>
      </c>
      <c r="H12" s="48" t="s">
        <v>245</v>
      </c>
      <c r="I12" s="39" t="s">
        <v>15</v>
      </c>
      <c r="J12" s="59"/>
      <c r="K12" s="39" t="s">
        <v>15</v>
      </c>
      <c r="L12" s="59"/>
      <c r="M12" s="58"/>
    </row>
    <row r="13" spans="1:56" s="34" customFormat="1" ht="192.75" customHeight="1" x14ac:dyDescent="0.3">
      <c r="A13" s="77">
        <v>3</v>
      </c>
      <c r="B13" s="78" t="s">
        <v>114</v>
      </c>
      <c r="C13" s="78" t="s">
        <v>116</v>
      </c>
      <c r="D13" s="78" t="s">
        <v>99</v>
      </c>
      <c r="E13" s="78"/>
      <c r="F13" s="78" t="s">
        <v>106</v>
      </c>
      <c r="G13" s="78" t="s">
        <v>115</v>
      </c>
      <c r="H13" s="78" t="s">
        <v>108</v>
      </c>
      <c r="I13" s="39" t="s">
        <v>15</v>
      </c>
      <c r="J13" s="42"/>
      <c r="K13" s="39" t="s">
        <v>15</v>
      </c>
      <c r="L13" s="42"/>
      <c r="M13" s="39"/>
    </row>
    <row r="14" spans="1:56" s="34" customFormat="1" ht="192.75" customHeight="1" x14ac:dyDescent="0.3">
      <c r="A14" s="77">
        <v>4</v>
      </c>
      <c r="B14" s="78" t="s">
        <v>105</v>
      </c>
      <c r="C14" s="78" t="s">
        <v>117</v>
      </c>
      <c r="D14" s="78" t="s">
        <v>99</v>
      </c>
      <c r="E14" s="78"/>
      <c r="F14" s="78" t="s">
        <v>107</v>
      </c>
      <c r="G14" s="78" t="s">
        <v>118</v>
      </c>
      <c r="H14" s="78" t="s">
        <v>108</v>
      </c>
      <c r="I14" s="39" t="s">
        <v>15</v>
      </c>
      <c r="J14" s="42"/>
      <c r="K14" s="39" t="s">
        <v>15</v>
      </c>
      <c r="L14" s="42"/>
      <c r="M14" s="39"/>
    </row>
    <row r="15" spans="1:56" s="34" customFormat="1" ht="256.5" x14ac:dyDescent="0.3">
      <c r="A15" s="77">
        <v>5</v>
      </c>
      <c r="B15" s="78" t="s">
        <v>100</v>
      </c>
      <c r="C15" s="78" t="s">
        <v>101</v>
      </c>
      <c r="D15" s="78" t="s">
        <v>102</v>
      </c>
      <c r="E15" s="78" t="s">
        <v>103</v>
      </c>
      <c r="F15" s="48" t="s">
        <v>122</v>
      </c>
      <c r="G15" s="49" t="s">
        <v>120</v>
      </c>
      <c r="H15" s="48" t="s">
        <v>244</v>
      </c>
      <c r="I15" s="39" t="s">
        <v>15</v>
      </c>
      <c r="J15" s="59"/>
      <c r="K15" s="39" t="s">
        <v>15</v>
      </c>
      <c r="L15" s="59"/>
      <c r="M15" s="58"/>
    </row>
  </sheetData>
  <mergeCells count="4">
    <mergeCell ref="B6:D6"/>
    <mergeCell ref="B7:D7"/>
    <mergeCell ref="B8:D8"/>
    <mergeCell ref="B9:H9"/>
  </mergeCells>
  <dataValidations count="2">
    <dataValidation type="list" allowBlank="1" showInputMessage="1" showErrorMessage="1" sqref="B8:D8">
      <formula1>$BB$1:$BB$8</formula1>
    </dataValidation>
    <dataValidation type="list" allowBlank="1" showInputMessage="1" showErrorMessage="1" sqref="WLW11:WLW15 I11:I15 WVS11:WVS15 JE11:JE15 TA11:TA15 ACW11:ACW15 AMS11:AMS15 AWO11:AWO15 BGK11:BGK15 BQG11:BQG15 CAC11:CAC15 CJY11:CJY15 CTU11:CTU15 DDQ11:DDQ15 DNM11:DNM15 DXI11:DXI15 EHE11:EHE15 ERA11:ERA15 FAW11:FAW15 FKS11:FKS15 FUO11:FUO15 GEK11:GEK15 GOG11:GOG15 GYC11:GYC15 HHY11:HHY15 HRU11:HRU15 IBQ11:IBQ15 ILM11:ILM15 IVI11:IVI15 JFE11:JFE15 JPA11:JPA15 JYW11:JYW15 KIS11:KIS15 KSO11:KSO15 LCK11:LCK15 LMG11:LMG15 LWC11:LWC15 MFY11:MFY15 MPU11:MPU15 MZQ11:MZQ15 NJM11:NJM15 NTI11:NTI15 ODE11:ODE15 ONA11:ONA15 OWW11:OWW15 PGS11:PGS15 PQO11:PQO15 QAK11:QAK15 QKG11:QKG15 QUC11:QUC15 RDY11:RDY15 RNU11:RNU15 RXQ11:RXQ15 SHM11:SHM15 SRI11:SRI15 TBE11:TBE15 TLA11:TLA15 TUW11:TUW15 UES11:UES15 UOO11:UOO15 UYK11:UYK15 VIG11:VIG15 VSC11:VSC15 WBY11:WBY15 WLU11:WLU15 WVQ11:WVQ15 JG11:JG15 TC11:TC15 ACY11:ACY15 AMU11:AMU15 AWQ11:AWQ15 BGM11:BGM15 BQI11:BQI15 CAE11:CAE15 CKA11:CKA15 CTW11:CTW15 DDS11:DDS15 DNO11:DNO15 DXK11:DXK15 EHG11:EHG15 ERC11:ERC15 FAY11:FAY15 FKU11:FKU15 FUQ11:FUQ15 GEM11:GEM15 GOI11:GOI15 GYE11:GYE15 HIA11:HIA15 HRW11:HRW15 IBS11:IBS15 ILO11:ILO15 IVK11:IVK15 JFG11:JFG15 JPC11:JPC15 JYY11:JYY15 KIU11:KIU15 KSQ11:KSQ15 LCM11:LCM15 LMI11:LMI15 LWE11:LWE15 MGA11:MGA15 MPW11:MPW15 MZS11:MZS15 NJO11:NJO15 NTK11:NTK15 ODG11:ODG15 ONC11:ONC15 OWY11:OWY15 PGU11:PGU15 PQQ11:PQQ15 QAM11:QAM15 QKI11:QKI15 QUE11:QUE15 REA11:REA15 RNW11:RNW15 RXS11:RXS15 SHO11:SHO15 SRK11:SRK15 TBG11:TBG15 TLC11:TLC15 TUY11:TUY15 UEU11:UEU15 UOQ11:UOQ15 UYM11:UYM15 VII11:VII15 VSE11:VSE15 WCA11:WCA15 K11:K15">
      <formula1>$BC$1:$BC$5</formula1>
    </dataValidation>
  </dataValidations>
  <pageMargins left="0.75" right="0.75" top="1" bottom="1" header="0.5" footer="0.5"/>
  <pageSetup paperSize="9" scale="13" orientation="landscape" r:id="rId1"/>
  <headerFooter alignWithMargins="0"/>
  <drawing r:id="rId2"/>
  <legacyDrawing r:id="rId3"/>
  <oleObjects>
    <mc:AlternateContent xmlns:mc="http://schemas.openxmlformats.org/markup-compatibility/2006">
      <mc:Choice Requires="x14">
        <oleObject progId="Packager Shell Object" dvAspect="DVASPECT_ICON" shapeId="10282" r:id="rId4">
          <objectPr defaultSize="0" autoPict="0" r:id="rId5">
            <anchor moveWithCells="1">
              <from>
                <xdr:col>4</xdr:col>
                <xdr:colOff>419100</xdr:colOff>
                <xdr:row>11</xdr:row>
                <xdr:rowOff>666750</xdr:rowOff>
              </from>
              <to>
                <xdr:col>4</xdr:col>
                <xdr:colOff>2447925</xdr:colOff>
                <xdr:row>11</xdr:row>
                <xdr:rowOff>1352550</xdr:rowOff>
              </to>
            </anchor>
          </objectPr>
        </oleObject>
      </mc:Choice>
      <mc:Fallback>
        <oleObject progId="Packager Shell Object" dvAspect="DVASPECT_ICON" shapeId="10282" r:id="rId4"/>
      </mc:Fallback>
    </mc:AlternateContent>
    <mc:AlternateContent xmlns:mc="http://schemas.openxmlformats.org/markup-compatibility/2006">
      <mc:Choice Requires="x14">
        <oleObject progId="Packager Shell Object" dvAspect="DVASPECT_ICON" shapeId="10283" r:id="rId6">
          <objectPr defaultSize="0" autoPict="0" r:id="rId7">
            <anchor moveWithCells="1">
              <from>
                <xdr:col>4</xdr:col>
                <xdr:colOff>190500</xdr:colOff>
                <xdr:row>14</xdr:row>
                <xdr:rowOff>647700</xdr:rowOff>
              </from>
              <to>
                <xdr:col>4</xdr:col>
                <xdr:colOff>2276475</xdr:colOff>
                <xdr:row>14</xdr:row>
                <xdr:rowOff>1333500</xdr:rowOff>
              </to>
            </anchor>
          </objectPr>
        </oleObject>
      </mc:Choice>
      <mc:Fallback>
        <oleObject progId="Packager Shell Object" dvAspect="DVASPECT_ICON" shapeId="10283" r:id="rId6"/>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B12"/>
  <sheetViews>
    <sheetView workbookViewId="0"/>
  </sheetViews>
  <sheetFormatPr defaultRowHeight="12.75" outlineLevelRow="1" x14ac:dyDescent="0.2"/>
  <cols>
    <col min="1" max="1" width="27.140625" customWidth="1"/>
    <col min="2" max="2" width="59.85546875" style="62" customWidth="1"/>
    <col min="3" max="3" width="24.42578125" customWidth="1"/>
  </cols>
  <sheetData>
    <row r="1" spans="1:2" x14ac:dyDescent="0.2">
      <c r="A1" s="63" t="s">
        <v>68</v>
      </c>
      <c r="B1" s="64" t="s">
        <v>0</v>
      </c>
    </row>
    <row r="2" spans="1:2" outlineLevel="1" x14ac:dyDescent="0.2">
      <c r="A2" s="65" t="s">
        <v>62</v>
      </c>
      <c r="B2" s="70" t="str">
        <f>PPRD</f>
        <v>JUL, 2018</v>
      </c>
    </row>
    <row r="3" spans="1:2" x14ac:dyDescent="0.2">
      <c r="A3" s="65" t="s">
        <v>65</v>
      </c>
      <c r="B3" s="66" t="str">
        <f>CRN</f>
        <v>CHG131815</v>
      </c>
    </row>
    <row r="4" spans="1:2" x14ac:dyDescent="0.2">
      <c r="A4" s="65" t="s">
        <v>66</v>
      </c>
      <c r="B4" s="66" t="str">
        <f>MA</f>
        <v>CA</v>
      </c>
    </row>
    <row r="5" spans="1:2" x14ac:dyDescent="0.2">
      <c r="A5" s="65" t="s">
        <v>67</v>
      </c>
      <c r="B5" s="66" t="str">
        <f>Area</f>
        <v>Data</v>
      </c>
    </row>
    <row r="6" spans="1:2" x14ac:dyDescent="0.2">
      <c r="A6" s="65" t="s">
        <v>50</v>
      </c>
      <c r="B6" s="66" t="str">
        <f>Entity</f>
        <v>PE</v>
      </c>
    </row>
    <row r="7" spans="1:2" x14ac:dyDescent="0.2">
      <c r="A7" s="65" t="s">
        <v>63</v>
      </c>
      <c r="B7" s="67" t="str">
        <f>DTested</f>
        <v>15/03/2018</v>
      </c>
    </row>
    <row r="8" spans="1:2" x14ac:dyDescent="0.2">
      <c r="A8" s="65" t="s">
        <v>64</v>
      </c>
      <c r="B8" s="68">
        <f>DReviewed</f>
        <v>43180</v>
      </c>
    </row>
    <row r="9" spans="1:2" x14ac:dyDescent="0.2">
      <c r="A9" s="65" t="s">
        <v>54</v>
      </c>
      <c r="B9" s="66" t="str">
        <f>TestedBy</f>
        <v>Anju</v>
      </c>
    </row>
    <row r="10" spans="1:2" x14ac:dyDescent="0.2">
      <c r="A10" s="65" t="s">
        <v>58</v>
      </c>
      <c r="B10" s="66" t="str">
        <f>ReviewedBy</f>
        <v>Robert</v>
      </c>
    </row>
    <row r="12" spans="1:2" x14ac:dyDescent="0.2">
      <c r="A12" s="65" t="s">
        <v>69</v>
      </c>
      <c r="B12" s="69"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40"/>
  <sheetViews>
    <sheetView workbookViewId="0">
      <selection activeCell="C43" sqref="C43"/>
    </sheetView>
  </sheetViews>
  <sheetFormatPr defaultColWidth="9.140625" defaultRowHeight="12.75" x14ac:dyDescent="0.2"/>
  <cols>
    <col min="1" max="1" width="44" style="75" bestFit="1" customWidth="1"/>
    <col min="2" max="16384" width="9.140625" style="75"/>
  </cols>
  <sheetData>
    <row r="1" spans="1:1" x14ac:dyDescent="0.2">
      <c r="A1" s="76" t="s">
        <v>90</v>
      </c>
    </row>
    <row r="2" spans="1:1" x14ac:dyDescent="0.2">
      <c r="A2" s="74"/>
    </row>
    <row r="3" spans="1:1" x14ac:dyDescent="0.2">
      <c r="A3" s="74"/>
    </row>
    <row r="4" spans="1:1" x14ac:dyDescent="0.2">
      <c r="A4" s="74"/>
    </row>
    <row r="5" spans="1:1" x14ac:dyDescent="0.2">
      <c r="A5" s="74"/>
    </row>
    <row r="6" spans="1:1" x14ac:dyDescent="0.2">
      <c r="A6" s="74"/>
    </row>
    <row r="7" spans="1:1" x14ac:dyDescent="0.2">
      <c r="A7" s="74"/>
    </row>
    <row r="8" spans="1:1" x14ac:dyDescent="0.2">
      <c r="A8" s="74"/>
    </row>
    <row r="9" spans="1:1" x14ac:dyDescent="0.2">
      <c r="A9" s="74"/>
    </row>
    <row r="10" spans="1:1" x14ac:dyDescent="0.2">
      <c r="A10" s="74"/>
    </row>
    <row r="11" spans="1:1" x14ac:dyDescent="0.2">
      <c r="A11" s="74"/>
    </row>
    <row r="12" spans="1:1" x14ac:dyDescent="0.2">
      <c r="A12" s="74"/>
    </row>
    <row r="13" spans="1:1" x14ac:dyDescent="0.2">
      <c r="A13" s="74"/>
    </row>
    <row r="14" spans="1:1" x14ac:dyDescent="0.2">
      <c r="A14" s="74"/>
    </row>
    <row r="15" spans="1:1" ht="13.5" customHeight="1" x14ac:dyDescent="0.2">
      <c r="A15" s="74"/>
    </row>
    <row r="44" spans="1:1" x14ac:dyDescent="0.2">
      <c r="A44" s="74"/>
    </row>
    <row r="45" spans="1:1" x14ac:dyDescent="0.2">
      <c r="A45" s="76" t="s">
        <v>109</v>
      </c>
    </row>
    <row r="68" spans="1:1" x14ac:dyDescent="0.2">
      <c r="A68" s="74"/>
    </row>
    <row r="83" spans="1:1" x14ac:dyDescent="0.2">
      <c r="A83" s="74"/>
    </row>
    <row r="104" spans="1:1" x14ac:dyDescent="0.2">
      <c r="A104" s="76" t="s">
        <v>121</v>
      </c>
    </row>
    <row r="117" spans="1:1" x14ac:dyDescent="0.2">
      <c r="A117" s="74"/>
    </row>
    <row r="157" spans="1:1" x14ac:dyDescent="0.2">
      <c r="A157" s="74"/>
    </row>
    <row r="205" spans="1:1" x14ac:dyDescent="0.2">
      <c r="A205" s="74"/>
    </row>
    <row r="240" spans="1:1" x14ac:dyDescent="0.2">
      <c r="A240" s="74"/>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B17"/>
  <sheetViews>
    <sheetView topLeftCell="BL1" workbookViewId="0">
      <selection activeCell="BS27" sqref="BS27"/>
    </sheetView>
  </sheetViews>
  <sheetFormatPr defaultRowHeight="12" customHeight="1" x14ac:dyDescent="0.2"/>
  <cols>
    <col min="1" max="80" width="15.5703125" customWidth="1"/>
  </cols>
  <sheetData>
    <row r="1" spans="1:80" ht="12" customHeight="1" thickBot="1" x14ac:dyDescent="0.25">
      <c r="A1" s="79" t="s">
        <v>123</v>
      </c>
      <c r="B1" s="80" t="s">
        <v>124</v>
      </c>
      <c r="C1" s="80" t="s">
        <v>125</v>
      </c>
      <c r="D1" s="80" t="s">
        <v>126</v>
      </c>
      <c r="E1" s="80" t="s">
        <v>127</v>
      </c>
      <c r="F1" s="80" t="s">
        <v>128</v>
      </c>
      <c r="G1" s="80" t="s">
        <v>129</v>
      </c>
      <c r="H1" s="80" t="s">
        <v>130</v>
      </c>
      <c r="I1" s="80" t="s">
        <v>131</v>
      </c>
      <c r="J1" s="80" t="s">
        <v>132</v>
      </c>
      <c r="K1" s="80" t="s">
        <v>133</v>
      </c>
      <c r="L1" s="80" t="s">
        <v>134</v>
      </c>
      <c r="M1" s="80" t="s">
        <v>135</v>
      </c>
      <c r="N1" s="80" t="s">
        <v>136</v>
      </c>
      <c r="O1" s="80" t="s">
        <v>137</v>
      </c>
      <c r="P1" s="80" t="s">
        <v>138</v>
      </c>
      <c r="Q1" s="80" t="s">
        <v>139</v>
      </c>
      <c r="R1" s="80" t="s">
        <v>140</v>
      </c>
      <c r="S1" s="80" t="s">
        <v>141</v>
      </c>
      <c r="T1" s="80" t="s">
        <v>142</v>
      </c>
      <c r="U1" s="80" t="s">
        <v>143</v>
      </c>
      <c r="V1" s="80" t="s">
        <v>144</v>
      </c>
      <c r="W1" s="80" t="s">
        <v>145</v>
      </c>
      <c r="X1" s="80" t="s">
        <v>146</v>
      </c>
      <c r="Y1" s="80" t="s">
        <v>147</v>
      </c>
      <c r="Z1" s="80" t="s">
        <v>148</v>
      </c>
      <c r="AA1" s="80" t="s">
        <v>149</v>
      </c>
      <c r="AB1" s="80" t="s">
        <v>150</v>
      </c>
      <c r="AC1" s="80" t="s">
        <v>151</v>
      </c>
      <c r="AD1" s="80" t="s">
        <v>152</v>
      </c>
      <c r="AE1" s="80" t="s">
        <v>153</v>
      </c>
      <c r="AF1" s="80" t="s">
        <v>154</v>
      </c>
      <c r="AG1" s="80" t="s">
        <v>155</v>
      </c>
      <c r="AH1" s="80" t="s">
        <v>156</v>
      </c>
      <c r="AI1" s="80" t="s">
        <v>157</v>
      </c>
      <c r="AJ1" s="80" t="s">
        <v>158</v>
      </c>
      <c r="AK1" s="80" t="s">
        <v>159</v>
      </c>
      <c r="AL1" s="80" t="s">
        <v>160</v>
      </c>
      <c r="AM1" s="80" t="s">
        <v>161</v>
      </c>
      <c r="AN1" s="80" t="s">
        <v>162</v>
      </c>
      <c r="AO1" s="80" t="s">
        <v>163</v>
      </c>
      <c r="AP1" s="80" t="s">
        <v>164</v>
      </c>
      <c r="AQ1" s="80" t="s">
        <v>165</v>
      </c>
      <c r="AR1" s="80" t="s">
        <v>166</v>
      </c>
      <c r="AS1" s="80" t="s">
        <v>167</v>
      </c>
      <c r="AT1" s="80" t="s">
        <v>168</v>
      </c>
      <c r="AU1" s="80" t="s">
        <v>169</v>
      </c>
      <c r="AV1" s="80" t="s">
        <v>170</v>
      </c>
      <c r="AW1" s="80" t="s">
        <v>171</v>
      </c>
      <c r="AX1" s="80" t="s">
        <v>172</v>
      </c>
      <c r="AY1" s="80" t="s">
        <v>173</v>
      </c>
      <c r="AZ1" s="80" t="s">
        <v>174</v>
      </c>
      <c r="BA1" s="80" t="s">
        <v>175</v>
      </c>
      <c r="BB1" s="80" t="s">
        <v>176</v>
      </c>
      <c r="BC1" s="80" t="s">
        <v>177</v>
      </c>
      <c r="BD1" s="80" t="s">
        <v>178</v>
      </c>
      <c r="BE1" s="80" t="s">
        <v>179</v>
      </c>
      <c r="BF1" s="80" t="s">
        <v>180</v>
      </c>
      <c r="BG1" s="80" t="s">
        <v>181</v>
      </c>
      <c r="BH1" s="80" t="s">
        <v>182</v>
      </c>
      <c r="BI1" s="80" t="s">
        <v>183</v>
      </c>
      <c r="BJ1" s="80" t="s">
        <v>184</v>
      </c>
      <c r="BK1" s="80" t="s">
        <v>185</v>
      </c>
      <c r="BL1" s="80" t="s">
        <v>186</v>
      </c>
      <c r="BM1" s="80" t="s">
        <v>187</v>
      </c>
      <c r="BN1" s="80" t="s">
        <v>188</v>
      </c>
      <c r="BO1" s="80" t="s">
        <v>189</v>
      </c>
      <c r="BP1" s="80" t="s">
        <v>190</v>
      </c>
      <c r="BQ1" s="80" t="s">
        <v>191</v>
      </c>
      <c r="BR1" s="80" t="s">
        <v>192</v>
      </c>
      <c r="BS1" s="80" t="s">
        <v>193</v>
      </c>
      <c r="BT1" s="80" t="s">
        <v>194</v>
      </c>
      <c r="BU1" s="80" t="s">
        <v>195</v>
      </c>
      <c r="BV1" s="80" t="s">
        <v>196</v>
      </c>
      <c r="BW1" s="80" t="s">
        <v>197</v>
      </c>
      <c r="BX1" s="80" t="s">
        <v>198</v>
      </c>
      <c r="BY1" s="80" t="s">
        <v>199</v>
      </c>
      <c r="BZ1" s="80" t="s">
        <v>200</v>
      </c>
      <c r="CA1" s="81" t="s">
        <v>201</v>
      </c>
      <c r="CB1" s="81" t="s">
        <v>202</v>
      </c>
    </row>
    <row r="3" spans="1:80" ht="12" customHeight="1" x14ac:dyDescent="0.2">
      <c r="A3" s="82" t="s">
        <v>203</v>
      </c>
    </row>
    <row r="5" spans="1:80" ht="12.75" x14ac:dyDescent="0.2">
      <c r="A5" s="106" t="s">
        <v>204</v>
      </c>
      <c r="B5">
        <v>131815</v>
      </c>
      <c r="C5">
        <v>613</v>
      </c>
      <c r="D5" t="s">
        <v>205</v>
      </c>
      <c r="F5" t="s">
        <v>206</v>
      </c>
      <c r="G5" t="s">
        <v>207</v>
      </c>
      <c r="L5" t="s">
        <v>205</v>
      </c>
      <c r="M5" t="s">
        <v>208</v>
      </c>
      <c r="N5" t="s">
        <v>207</v>
      </c>
      <c r="AM5" t="s">
        <v>209</v>
      </c>
      <c r="AN5">
        <v>2</v>
      </c>
      <c r="AO5">
        <v>0</v>
      </c>
      <c r="AP5" t="s">
        <v>210</v>
      </c>
      <c r="AQ5" t="s">
        <v>211</v>
      </c>
      <c r="AR5" t="s">
        <v>212</v>
      </c>
      <c r="AX5" s="83">
        <v>43178.550763888888</v>
      </c>
      <c r="AY5" t="s">
        <v>213</v>
      </c>
      <c r="AZ5" t="s">
        <v>214</v>
      </c>
      <c r="BA5" t="s">
        <v>215</v>
      </c>
      <c r="BB5" t="s">
        <v>216</v>
      </c>
      <c r="BD5" s="83">
        <v>43178</v>
      </c>
      <c r="BE5" t="s">
        <v>217</v>
      </c>
      <c r="BF5" t="s">
        <v>218</v>
      </c>
      <c r="BG5" t="s">
        <v>219</v>
      </c>
      <c r="BH5">
        <v>1234</v>
      </c>
      <c r="BI5" t="s">
        <v>220</v>
      </c>
      <c r="BJ5" t="s">
        <v>221</v>
      </c>
      <c r="BK5" t="s">
        <v>222</v>
      </c>
      <c r="BL5" t="s">
        <v>223</v>
      </c>
      <c r="BM5" t="s">
        <v>224</v>
      </c>
      <c r="BN5" t="s">
        <v>224</v>
      </c>
      <c r="BO5" t="s">
        <v>225</v>
      </c>
      <c r="BP5" t="s">
        <v>226</v>
      </c>
      <c r="BQ5" t="s">
        <v>227</v>
      </c>
      <c r="BR5" t="s">
        <v>223</v>
      </c>
      <c r="BS5" t="s">
        <v>224</v>
      </c>
      <c r="BT5" t="s">
        <v>218</v>
      </c>
      <c r="BU5" t="s">
        <v>228</v>
      </c>
      <c r="BV5" t="s">
        <v>229</v>
      </c>
      <c r="BW5" t="s">
        <v>215</v>
      </c>
      <c r="BX5" t="s">
        <v>230</v>
      </c>
      <c r="BY5" t="s">
        <v>231</v>
      </c>
      <c r="BZ5" t="s">
        <v>232</v>
      </c>
      <c r="CA5" t="s">
        <v>233</v>
      </c>
      <c r="CB5" t="s">
        <v>234</v>
      </c>
    </row>
    <row r="7" spans="1:80" ht="12" customHeight="1" x14ac:dyDescent="0.2">
      <c r="A7" s="82" t="s">
        <v>243</v>
      </c>
    </row>
    <row r="8" spans="1:80" ht="12.75" x14ac:dyDescent="0.2">
      <c r="A8" s="106" t="s">
        <v>248</v>
      </c>
      <c r="B8" t="s">
        <v>248</v>
      </c>
      <c r="D8" t="s">
        <v>249</v>
      </c>
      <c r="F8" t="s">
        <v>206</v>
      </c>
      <c r="G8" t="s">
        <v>207</v>
      </c>
      <c r="H8" t="s">
        <v>230</v>
      </c>
      <c r="J8" t="s">
        <v>230</v>
      </c>
      <c r="L8" t="s">
        <v>248</v>
      </c>
      <c r="M8" t="s">
        <v>235</v>
      </c>
      <c r="N8" t="s">
        <v>207</v>
      </c>
      <c r="O8" t="s">
        <v>214</v>
      </c>
      <c r="P8" t="s">
        <v>213</v>
      </c>
      <c r="S8" t="s">
        <v>226</v>
      </c>
      <c r="T8" t="s">
        <v>227</v>
      </c>
      <c r="U8" t="s">
        <v>236</v>
      </c>
      <c r="V8" t="s">
        <v>223</v>
      </c>
      <c r="W8" t="s">
        <v>224</v>
      </c>
      <c r="X8" t="s">
        <v>225</v>
      </c>
      <c r="Y8" t="s">
        <v>224</v>
      </c>
      <c r="Z8" t="s">
        <v>237</v>
      </c>
      <c r="AK8" t="s">
        <v>238</v>
      </c>
      <c r="AM8" t="s">
        <v>209</v>
      </c>
      <c r="AN8">
        <v>2</v>
      </c>
      <c r="AO8">
        <v>0</v>
      </c>
      <c r="AQ8" t="s">
        <v>211</v>
      </c>
      <c r="AR8" t="s">
        <v>212</v>
      </c>
      <c r="AS8" t="s">
        <v>213</v>
      </c>
      <c r="AT8" t="s">
        <v>214</v>
      </c>
      <c r="AU8" t="s">
        <v>215</v>
      </c>
      <c r="AV8" t="s">
        <v>216</v>
      </c>
      <c r="BD8" s="83">
        <v>43180</v>
      </c>
      <c r="BE8" t="s">
        <v>239</v>
      </c>
      <c r="BF8" t="s">
        <v>240</v>
      </c>
      <c r="BG8" t="s">
        <v>241</v>
      </c>
      <c r="BH8">
        <v>23331</v>
      </c>
      <c r="BP8" t="s">
        <v>226</v>
      </c>
      <c r="BQ8" t="s">
        <v>227</v>
      </c>
      <c r="BR8" t="s">
        <v>223</v>
      </c>
      <c r="BS8" t="s">
        <v>224</v>
      </c>
      <c r="BY8" t="s">
        <v>231</v>
      </c>
      <c r="CA8" t="s">
        <v>248</v>
      </c>
      <c r="CB8" t="s">
        <v>242</v>
      </c>
    </row>
    <row r="9" spans="1:80" ht="12.75" x14ac:dyDescent="0.2">
      <c r="A9" s="106" t="s">
        <v>250</v>
      </c>
      <c r="B9" t="s">
        <v>250</v>
      </c>
      <c r="D9" t="s">
        <v>251</v>
      </c>
      <c r="F9" t="s">
        <v>206</v>
      </c>
      <c r="G9" t="s">
        <v>207</v>
      </c>
      <c r="H9" t="s">
        <v>230</v>
      </c>
      <c r="J9" t="s">
        <v>230</v>
      </c>
      <c r="L9" t="s">
        <v>250</v>
      </c>
      <c r="M9" t="s">
        <v>235</v>
      </c>
      <c r="N9" t="s">
        <v>207</v>
      </c>
      <c r="O9" t="s">
        <v>214</v>
      </c>
      <c r="P9" t="s">
        <v>213</v>
      </c>
      <c r="S9" t="s">
        <v>226</v>
      </c>
      <c r="T9" t="s">
        <v>227</v>
      </c>
      <c r="U9" t="s">
        <v>236</v>
      </c>
      <c r="V9" t="s">
        <v>223</v>
      </c>
      <c r="W9" t="s">
        <v>224</v>
      </c>
      <c r="X9" t="s">
        <v>225</v>
      </c>
      <c r="Y9" t="s">
        <v>224</v>
      </c>
      <c r="Z9" t="s">
        <v>237</v>
      </c>
      <c r="AK9" t="s">
        <v>238</v>
      </c>
      <c r="AM9" t="s">
        <v>209</v>
      </c>
      <c r="AN9">
        <v>2</v>
      </c>
      <c r="AO9">
        <v>0</v>
      </c>
      <c r="AQ9" t="s">
        <v>211</v>
      </c>
      <c r="AR9" t="s">
        <v>212</v>
      </c>
      <c r="AS9" t="s">
        <v>213</v>
      </c>
      <c r="AT9" t="s">
        <v>214</v>
      </c>
      <c r="AU9" t="s">
        <v>215</v>
      </c>
      <c r="AV9" t="s">
        <v>216</v>
      </c>
      <c r="BD9" s="83">
        <v>43180</v>
      </c>
      <c r="BE9" t="s">
        <v>239</v>
      </c>
      <c r="BF9" t="s">
        <v>240</v>
      </c>
      <c r="BG9" t="s">
        <v>241</v>
      </c>
      <c r="BH9">
        <v>23331</v>
      </c>
      <c r="BP9" t="s">
        <v>226</v>
      </c>
      <c r="BQ9" t="s">
        <v>227</v>
      </c>
      <c r="BR9" t="s">
        <v>223</v>
      </c>
      <c r="BS9" t="s">
        <v>224</v>
      </c>
      <c r="BY9" t="s">
        <v>231</v>
      </c>
      <c r="CA9" t="s">
        <v>250</v>
      </c>
      <c r="CB9" t="s">
        <v>234</v>
      </c>
    </row>
    <row r="10" spans="1:80" ht="12" customHeight="1" x14ac:dyDescent="0.2">
      <c r="BD10" s="83"/>
    </row>
    <row r="11" spans="1:80" ht="12" customHeight="1" x14ac:dyDescent="0.2">
      <c r="BD11" s="83"/>
    </row>
    <row r="12" spans="1:80" ht="12" customHeight="1" x14ac:dyDescent="0.2">
      <c r="BD12" s="83"/>
    </row>
    <row r="13" spans="1:80" ht="12" customHeight="1" x14ac:dyDescent="0.2">
      <c r="BD13" s="83"/>
    </row>
    <row r="14" spans="1:80" ht="12" customHeight="1" x14ac:dyDescent="0.2">
      <c r="BD14" s="83"/>
    </row>
    <row r="15" spans="1:80" ht="12" customHeight="1" x14ac:dyDescent="0.2">
      <c r="BD15" s="83"/>
    </row>
    <row r="16" spans="1:80" s="84" customFormat="1" ht="12" customHeight="1" x14ac:dyDescent="0.2">
      <c r="BD16" s="85"/>
    </row>
    <row r="17" spans="56:56" s="84" customFormat="1" ht="12" customHeight="1" x14ac:dyDescent="0.2">
      <c r="BD17" s="8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20</vt:i4>
      </vt:variant>
    </vt:vector>
  </HeadingPairs>
  <TitlesOfParts>
    <vt:vector size="26" baseType="lpstr">
      <vt:lpstr>Cover</vt:lpstr>
      <vt:lpstr>Version Control</vt:lpstr>
      <vt:lpstr>Test Cycle 1</vt:lpstr>
      <vt:lpstr>AppConfig</vt:lpstr>
      <vt:lpstr>Screenshot</vt:lpstr>
      <vt:lpstr>Export flat file</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Grenade, Robert</cp:lastModifiedBy>
  <cp:lastPrinted>2013-10-17T06:50:38Z</cp:lastPrinted>
  <dcterms:created xsi:type="dcterms:W3CDTF">2006-03-30T08:28:02Z</dcterms:created>
  <dcterms:modified xsi:type="dcterms:W3CDTF">2018-03-21T08:26:24Z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