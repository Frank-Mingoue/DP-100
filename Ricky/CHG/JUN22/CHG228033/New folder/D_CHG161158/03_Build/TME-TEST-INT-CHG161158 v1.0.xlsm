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3D1A710C-6663-3D7B-7F91-EC182F24A4BC}"/>
  <workbookPr codeName="ThisWorkbook" defaultThemeVersion="124226"/>
  <mc:AlternateContent xmlns:mc="http://schemas.openxmlformats.org/markup-compatibility/2006">
    <mc:Choice Requires="x15">
      <x15ac:absPath xmlns:x15ac="http://schemas.microsoft.com/office/spreadsheetml/2010/11/ac" url="J:\General\04_RELEASE_MANAGEMENT\2019-07-Release PROD JUL19\02_Development\Data\D_CHG161158\03_Build\"/>
    </mc:Choice>
  </mc:AlternateContent>
  <xr:revisionPtr revIDLastSave="0" documentId="13_ncr:1_{9B333D96-F760-464E-8774-642B745AE384}" xr6:coauthVersionLast="45" xr6:coauthVersionMax="45" xr10:uidLastSave="{00000000-0000-0000-0000-000000000000}"/>
  <bookViews>
    <workbookView xWindow="0" yWindow="450" windowWidth="24000" windowHeight="13050" tabRatio="926" xr2:uid="{00000000-000D-0000-FFFF-FFFF00000000}"/>
  </bookViews>
  <sheets>
    <sheet name="Cover" sheetId="1" r:id="rId1"/>
    <sheet name="Version Control" sheetId="2" r:id="rId2"/>
    <sheet name="Test Cycle 1" sheetId="3" r:id="rId3"/>
    <sheet name="AppConfig" sheetId="4" state="hidden" r:id="rId4"/>
    <sheet name="Screenshot" sheetId="8"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1'!$F$8</definedName>
    <definedName name="DTested">'Test Cycle 1'!$F$7</definedName>
    <definedName name="dTestedBy">'Test Cycle 1'!$H$7</definedName>
    <definedName name="Entity">'Test Cycle 1'!$F$6</definedName>
    <definedName name="MA">Cover!$K$25</definedName>
    <definedName name="PPRD">'Version Control'!$B$11</definedName>
    <definedName name="ReviewedBy">'Test Cycle 1'!$H$8</definedName>
    <definedName name="TestedBy">'Test Cycle 1'!$H$7</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 name="Z_21B0CAD9_87FB_46D4_A84D_3F27BF1AB225_.wvu.Cols" localSheetId="2" hidden="1">'Test Cycle 1'!$AY:$BA</definedName>
    <definedName name="Z_21B0CAD9_87FB_46D4_A84D_3F27BF1AB225_.wvu.Rows" localSheetId="1" hidden="1">'Version Control'!$1:$5</definedName>
    <definedName name="Z_91C06B70_6585_464B_BF53_C51BA7FBAF02_.wvu.Cols" localSheetId="2" hidden="1">'Test Cycle 1'!$AY:$BA</definedName>
    <definedName name="Z_91C06B70_6585_464B_BF53_C51BA7FBAF02_.wvu.Rows" localSheetId="1" hidden="1">'Version Control'!$1:$5</definedName>
  </definedNames>
  <calcPr calcId="191029"/>
  <customWorkbookViews>
    <customWorkbookView name="Ruthun, Maheshwaree - Personal View" guid="{21B0CAD9-87FB-46D4-A84D-3F27BF1AB225}" mergeInterval="0" personalView="1" maximized="1" xWindow="-8" yWindow="-8" windowWidth="1936" windowHeight="1056" tabRatio="926" activeSheetId="5"/>
    <customWorkbookView name="Grenade, Robert - Personal View" guid="{91C06B70-6585-464B-BF53-C51BA7FBAF02}" mergeInterval="0" personalView="1" maximized="1" xWindow="-4" yWindow="-4" windowWidth="1608" windowHeight="880" tabRatio="92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4" l="1"/>
  <c r="B9" i="4"/>
  <c r="B8" i="4"/>
  <c r="B7" i="4"/>
  <c r="B6" i="4"/>
  <c r="B5" i="4"/>
  <c r="B4" i="4"/>
  <c r="B3" i="4"/>
  <c r="B2" i="4"/>
  <c r="A14" i="2" l="1"/>
  <c r="A30" i="2"/>
  <c r="C3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6" authorId="0" shapeId="0" xr:uid="{5A478664-030F-4984-852A-16142F148992}">
      <text>
        <r>
          <rPr>
            <b/>
            <sz val="8"/>
            <color indexed="81"/>
            <rFont val="Tahoma"/>
            <family val="2"/>
          </rPr>
          <t>bruneau.melier:</t>
        </r>
        <r>
          <rPr>
            <sz val="8"/>
            <color indexed="81"/>
            <rFont val="Tahoma"/>
            <family val="2"/>
          </rPr>
          <t xml:space="preserve">
give the name of the mapping being tested </t>
        </r>
      </text>
    </comment>
    <comment ref="F6" authorId="0" shapeId="0" xr:uid="{1E0BA331-FDBD-4FBA-8ADF-3D3DB244737A}">
      <text>
        <r>
          <rPr>
            <b/>
            <sz val="8"/>
            <color indexed="81"/>
            <rFont val="Tahoma"/>
            <family val="2"/>
          </rPr>
          <t>bruneau.melier:</t>
        </r>
        <r>
          <rPr>
            <sz val="8"/>
            <color indexed="81"/>
            <rFont val="Tahoma"/>
            <family val="2"/>
          </rPr>
          <t xml:space="preserve">
give the name of the entity being tested</t>
        </r>
      </text>
    </comment>
    <comment ref="B7" authorId="0" shapeId="0" xr:uid="{2C319CFC-C972-44A8-A66F-976CFB72DDCC}">
      <text>
        <r>
          <rPr>
            <b/>
            <sz val="8"/>
            <color indexed="81"/>
            <rFont val="Tahoma"/>
            <family val="2"/>
          </rPr>
          <t>bruneau.melier:</t>
        </r>
        <r>
          <rPr>
            <sz val="8"/>
            <color indexed="81"/>
            <rFont val="Tahoma"/>
            <family val="2"/>
          </rPr>
          <t xml:space="preserve">
give the name of the mapping being tested </t>
        </r>
      </text>
    </comment>
    <comment ref="F7" authorId="0" shapeId="0" xr:uid="{D1B5EE92-BAD0-4B1D-9B30-5513947CFA2B}">
      <text>
        <r>
          <rPr>
            <b/>
            <sz val="8"/>
            <color indexed="81"/>
            <rFont val="Tahoma"/>
            <family val="2"/>
          </rPr>
          <t>bruneau.melier:</t>
        </r>
        <r>
          <rPr>
            <sz val="8"/>
            <color indexed="81"/>
            <rFont val="Tahoma"/>
            <family val="2"/>
          </rPr>
          <t xml:space="preserve">
store the date when the test script was executed by the developer/tester</t>
        </r>
      </text>
    </comment>
    <comment ref="H7" authorId="0" shapeId="0" xr:uid="{B0B1C515-3EA8-4125-90FA-D90D649F4173}">
      <text>
        <r>
          <rPr>
            <b/>
            <sz val="8"/>
            <color indexed="81"/>
            <rFont val="Tahoma"/>
            <family val="2"/>
          </rPr>
          <t>bruneau.melier:</t>
        </r>
        <r>
          <rPr>
            <sz val="8"/>
            <color indexed="81"/>
            <rFont val="Tahoma"/>
            <family val="2"/>
          </rPr>
          <t xml:space="preserve">
give the name of the developer/tester</t>
        </r>
      </text>
    </comment>
    <comment ref="B8" authorId="0" shapeId="0" xr:uid="{81A5DA00-83BC-4635-AC29-D5868AF1D0F9}">
      <text>
        <r>
          <rPr>
            <b/>
            <sz val="8"/>
            <color indexed="81"/>
            <rFont val="Tahoma"/>
            <family val="2"/>
          </rPr>
          <t>bruneau.melier:</t>
        </r>
        <r>
          <rPr>
            <sz val="8"/>
            <color indexed="81"/>
            <rFont val="Tahoma"/>
            <family val="2"/>
          </rPr>
          <t xml:space="preserve">
indicate the status of the test script </t>
        </r>
      </text>
    </comment>
    <comment ref="F8" authorId="0" shapeId="0" xr:uid="{D5890F1A-A4DF-41A0-B0D1-681EDB107457}">
      <text>
        <r>
          <rPr>
            <b/>
            <sz val="8"/>
            <color indexed="81"/>
            <rFont val="Tahoma"/>
            <family val="2"/>
          </rPr>
          <t>bruneau.melier:</t>
        </r>
        <r>
          <rPr>
            <sz val="8"/>
            <color indexed="81"/>
            <rFont val="Tahoma"/>
            <family val="2"/>
          </rPr>
          <t xml:space="preserve">
store the date when the test script was executed by the developer/tester</t>
        </r>
      </text>
    </comment>
    <comment ref="H8" authorId="0" shapeId="0" xr:uid="{2EBC7020-7C19-466C-8866-AED8905F9935}">
      <text>
        <r>
          <rPr>
            <b/>
            <sz val="8"/>
            <color indexed="81"/>
            <rFont val="Tahoma"/>
            <family val="2"/>
          </rPr>
          <t>bruneau.melier:</t>
        </r>
        <r>
          <rPr>
            <sz val="8"/>
            <color indexed="81"/>
            <rFont val="Tahoma"/>
            <family val="2"/>
          </rPr>
          <t xml:space="preserve">
give the name of the reviewer of the test script </t>
        </r>
      </text>
    </comment>
    <comment ref="B9" authorId="0" shapeId="0" xr:uid="{E3059413-1080-479B-9E73-C2605C22B8DF}">
      <text>
        <r>
          <rPr>
            <b/>
            <sz val="8"/>
            <color indexed="81"/>
            <rFont val="Tahoma"/>
            <family val="2"/>
          </rPr>
          <t>bruneau.melier:</t>
        </r>
        <r>
          <rPr>
            <sz val="8"/>
            <color indexed="81"/>
            <rFont val="Tahoma"/>
            <family val="2"/>
          </rPr>
          <t xml:space="preserve">
give a description of the purpose of the test script </t>
        </r>
      </text>
    </comment>
    <comment ref="A10"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10"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10"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10"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10"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10"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10"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10"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J10" authorId="0" shapeId="0" xr:uid="{00000000-0006-0000-0200-000012000000}">
      <text>
        <r>
          <rPr>
            <b/>
            <sz val="8"/>
            <color indexed="81"/>
            <rFont val="Tahoma"/>
            <family val="2"/>
          </rPr>
          <t>bruneau.melier:</t>
        </r>
        <r>
          <rPr>
            <sz val="8"/>
            <color indexed="81"/>
            <rFont val="Tahoma"/>
            <family val="2"/>
          </rPr>
          <t xml:space="preserve">
Comments related to the status of the Test Status (used for justifying a particular test status)</t>
        </r>
      </text>
    </comment>
    <comment ref="K10"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L10"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 ref="M10" authorId="0" shapeId="0" xr:uid="{00000000-0006-0000-0200-000015000000}">
      <text>
        <r>
          <rPr>
            <b/>
            <sz val="8"/>
            <color indexed="81"/>
            <rFont val="Tahoma"/>
            <family val="2"/>
          </rPr>
          <t>bruneau.melier:</t>
        </r>
        <r>
          <rPr>
            <sz val="8"/>
            <color indexed="81"/>
            <rFont val="Tahoma"/>
            <family val="2"/>
          </rPr>
          <t xml:space="preserve">
This should be filled in by the Reviewer for filling in the actual result being observed by the reviewer on executing the test step</t>
        </r>
      </text>
    </comment>
  </commentList>
</comments>
</file>

<file path=xl/sharedStrings.xml><?xml version="1.0" encoding="utf-8"?>
<sst xmlns="http://schemas.openxmlformats.org/spreadsheetml/2006/main" count="335" uniqueCount="165">
  <si>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</si>
  <si>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</si>
  <si>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</si>
  <si>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</si>
  <si>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</si>
  <si>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</si>
  <si>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</si>
  <si>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</si>
  <si>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</si>
  <si>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</si>
  <si>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</si>
  <si>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</si>
  <si>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</si>
  <si>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</si>
  <si>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</si>
  <si>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</si>
  <si>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</si>
  <si>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</si>
  <si>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</si>
  <si>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</si>
  <si>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</si>
  <si>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</si>
  <si>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</si>
  <si>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</si>
  <si>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</si>
  <si>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</si>
  <si>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</si>
  <si>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</si>
  <si>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</si>
  <si>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</si>
  <si>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Issue Log correctly Updated</t>
  </si>
  <si>
    <t>Stored Procedures on SVN</t>
  </si>
  <si>
    <t>PRE_EIM_TABLES on SVN if any</t>
  </si>
  <si>
    <t xml:space="preserve">PHP/IFB Update on SVN </t>
  </si>
  <si>
    <t>Data Update Incident Template if any</t>
  </si>
  <si>
    <t>Data Impacted Objects Document Update</t>
  </si>
  <si>
    <t>Technical Solution, Data Update Flag &amp; Target Release on Scopesheet</t>
  </si>
  <si>
    <t>Test Script Passed</t>
  </si>
  <si>
    <t>Screenshots available</t>
  </si>
  <si>
    <t>End User Test Script completed (Integration Test Script)</t>
  </si>
  <si>
    <t>Sharepoint Update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</si>
  <si>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</si>
  <si>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</si>
  <si>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</si>
  <si>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</si>
  <si>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</si>
  <si>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</si>
  <si>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</si>
  <si>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</si>
  <si>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</si>
  <si>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</si>
  <si>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</si>
  <si>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</si>
  <si>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</si>
  <si>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</si>
  <si>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</si>
  <si>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</si>
  <si>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</si>
  <si>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</si>
  <si>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</si>
  <si>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</si>
  <si>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</si>
  <si>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</si>
  <si>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</si>
  <si>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</si>
  <si>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</si>
  <si>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</si>
  <si>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</si>
  <si>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</si>
  <si>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</si>
  <si>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</si>
  <si>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</si>
  <si>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</si>
  <si>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</si>
  <si>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</si>
  <si>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</si>
  <si>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</si>
  <si>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</si>
  <si>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</si>
  <si>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</si>
  <si>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</si>
  <si>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Test Status</t>
  </si>
  <si>
    <t>Test Status Comments</t>
  </si>
  <si>
    <t>Reviewer’s Actual Result Observed</t>
  </si>
  <si>
    <t>N/A</t>
  </si>
  <si>
    <t>Sales Application</t>
  </si>
  <si>
    <t>Y</t>
  </si>
  <si>
    <t>Misa</t>
  </si>
  <si>
    <t>Reset test data</t>
  </si>
  <si>
    <t>Summer_2019_Data_Impacted_Objects.xlsx</t>
  </si>
  <si>
    <t>Locate test data</t>
  </si>
  <si>
    <t>Run following script</t>
  </si>
  <si>
    <t>OLTP DB</t>
  </si>
  <si>
    <t>Record updated</t>
  </si>
  <si>
    <t>Run the workflow</t>
  </si>
  <si>
    <t>Workflow run successfully.</t>
  </si>
  <si>
    <t>Check outbound field</t>
  </si>
  <si>
    <t>Server</t>
  </si>
  <si>
    <t>Check if new entry is inserted on the WC_ETL_FILES_G table.</t>
  </si>
  <si>
    <t>OLAP DB</t>
  </si>
  <si>
    <t>SELECT *
FROM WC_ETL_FILES_G
WHERE  SUBSTRING(FILENAME,3,2)='PM'
AND ETL_PROC_WID IN (select ETL_PROC_WID FROM W_PARAM_G)</t>
  </si>
  <si>
    <t>Run the worklet 'JTI_DWH_ETLComplete_Incremental.Load_EIM'</t>
  </si>
  <si>
    <t>Worklet run successfully.</t>
  </si>
  <si>
    <t>Repeat step 4 and 5</t>
  </si>
  <si>
    <t>Check if the outbound file is populated by the S_CONTACT_X.ATTRIB_38 value.</t>
  </si>
  <si>
    <t>FDE_INT_BANK_CARD_OUTBOUND_V2, FDE_INT_PAYMENT_EXPORT_V4_KZ, FDE_INT_POINT_TRANS_PB_EXPORT_V2</t>
  </si>
  <si>
    <t>FDE_INT_BANK_CARD_OUTBOUND_V2, RUN_OUTBOUND_PM_KZ, RUN_OUTBOUND_PB_KZ, JTI_DWH_ETLComplete_Incremental, JTI_OLTP_EIM</t>
  </si>
  <si>
    <t>PM/PB, BC Outbound</t>
  </si>
  <si>
    <t>UPDATE CX_AGR_PL_ITEM
SET X_PAID_TYPE_CD='To be Paid'
WHERE ROW_ID IN ('1-165KQV','1-165KQW','1-165KQX','1-165KQY')</t>
  </si>
  <si>
    <t>SELECT ACC.NAME,D.ROW_ID,ITM.ROW_ID,ITM.X_PAID_TYPE_CD,C.ROW_ID,
--CHG161158
C.CELL_PH_NUM,
C.X_ATTRIB_14_CD,
CON_X.ATTRIB_37
FROM  S_DOC_AGREE D 
LEFT OUTER JOIN S_ORG_EXT ACC ON D.TARGET_OU_ID = ACC.PAR_ROW_ID 
LEFT OUTER JOIN S_PAYMENT_PLAN TMPL ON D.X_PAYMENT_PLAN_TEMP_ID = TMPL.ROW_ID 
LEFT OUTER JOIN CX_AGR_PL_ITEM ITM ON ITM.PAR_ROW_ID = D.ROW_ID 
LEFT OUTER JOIN S_CONTACT C ON ACC.PR_CON_ID = C.ROW_ID 
LEFT OUTER JOIN S_CONTACT_X CON_X ON C.ROW_ID = CON_X.ROW_ID --INC2226195
LEFT OUTER JOIN S_BU B ON B.ROW_ID = ACC.BU_ID
LEFT OUTER JOIN S_BU B1 ON B1.ROW_ID=D.BU_ID
LEFT OUTER JOIN S_PTY_PAY_PRFL PRFL   ON PRFL.ROW_ID = C.PR_PER_PAY_PRFL_ID
WHERE ITM.X_PAID_TYPE_CD='To be Paid'
AND B.NAME ='Kazakhstan, KZ'
ORDER BY C.CREATED DESC</t>
  </si>
  <si>
    <t xml:space="preserve">4 records are retrieved. </t>
  </si>
  <si>
    <t xml:space="preserve">Screenshot 1: </t>
  </si>
  <si>
    <t>Run the workflow 'RUN_OUTBOUND_PM_KZ'</t>
  </si>
  <si>
    <t>1 file KZPM0401_20190712_xx.txt should be generated.</t>
  </si>
  <si>
    <t>Check if CELL_PH_NUM,X_ATTRIB_14_CD,ATTRIB_37 value are correctly exported on the outbound file.</t>
  </si>
  <si>
    <t>Refer to screenshot 2</t>
  </si>
  <si>
    <t>Go to the server \\MRUINFO961\Interfaces_IP14\Kazakhstan\OUNP</t>
  </si>
  <si>
    <t>1 record should be inserted</t>
  </si>
  <si>
    <r>
      <t xml:space="preserve">1 record is inserted
</t>
    </r>
    <r>
      <rPr>
        <sz val="11"/>
        <color rgb="FFFF0000"/>
        <rFont val="Book Antiqua"/>
        <family val="1"/>
      </rPr>
      <t>Refer to screenshot 4</t>
    </r>
  </si>
  <si>
    <t xml:space="preserve">Screenshot 2: </t>
  </si>
  <si>
    <t xml:space="preserve">Screenshot 3: </t>
  </si>
  <si>
    <t xml:space="preserve">Screenshot 4: </t>
  </si>
  <si>
    <t>Repeat step 1</t>
  </si>
  <si>
    <t>PM</t>
  </si>
  <si>
    <t>PB</t>
  </si>
  <si>
    <t>BC</t>
  </si>
  <si>
    <t xml:space="preserve">Screenshot 5: </t>
  </si>
  <si>
    <t>UPDATE S_DOC_AGREE
SET STAT_CD = 'Approved by Specialist'
WHERE ROW_ID = '1-3QVH4B'</t>
  </si>
  <si>
    <t>SELECT  ACC.NAME, DOC.ROW_ID, C.ROW_ID 
       ,AGREE_NUM 
	   --CHG161158
	   ,C.PERSON_UID AS CONTACT_UID
	   ,C.CELL_PH_NUM
	   ,C.X_ATTRIB_14_CD
	   ,CON_X.ATTRIB_37
FROM   S_DOC_AGREE DOC 
       INNER JOIN S_BU ON S_BU.ROW_ID = DOC.BU_ID 
       LEFT OUTER JOIN S_ORG_EXT ACC ON ACC.PAR_ROW_ID = DOC.TARGET_OU_ID 
       LEFT OUTER JOIN S_POSTN P ON ACC.PR_POSTN_ID = P.PAR_ROW_ID 
       INNER JOIN S_CONTACT C ON ACC.PR_CON_ID = C.ROW_ID 
	   INNER JOIN S_CONTACT_X CON_X ON C.ROW_ID = CON_X.ROW_ID --INC2226195
       LEFT OUTER JOIN S_ADDR_PER ADR ON ACC.PR_ADDR_ID = ADR.ROW_ID 
       --LEFT OUTER JOIN S_PER_PAY_PRFL PRFL ON PRFL.ROW_ID=C.PR_PER_PAY_PRFL_ID 
       LEFT OUTER JOIN S_PTY_PAY_PRFL PRFL ON PRFL.ROW_ID = C.PR_PER_PAY_PRFL_ID 
       LEFT OUTER JOIN S_AGREE_POSTN POS ON POS.AGREE_ID = DOC.ROW_ID 
       LEFT OUTER JOIN S_POSTN P1 ON POS.POSTN_ID = P1.ROW_ID 
       LEFT OUTER JOIN S_ORG_EXT DIVN ON P1.OU_ID = DIVN.ROW_ID 
       LEFT OUTER JOIN S_BU B1 ON B1.ROW_ID = DIVN.BU_ID    
WHERE DOC.STAT_CD = 'Approved by Specialist' 
       AND S_BU.NAME = 'Kazakhstan, KZ'</t>
  </si>
  <si>
    <t xml:space="preserve">1 record is retrieved with CONTACT_UID contains cyrillic characters. </t>
  </si>
  <si>
    <t>Refer to screenshot 3.</t>
  </si>
  <si>
    <t xml:space="preserve">Screenshot 6: </t>
  </si>
  <si>
    <t xml:space="preserve">Screenshot 7: </t>
  </si>
  <si>
    <t xml:space="preserve">Screenshot 8: </t>
  </si>
  <si>
    <t>Refer to screenshot 6</t>
  </si>
  <si>
    <t>Refer to screenshot 7.</t>
  </si>
  <si>
    <t>SELECT *
FROM WC_ETL_FILES_G
WHERE  SUBSTRING(FILENAME,3,2)='BC'
AND ETL_PROC_WID IN (select ETL_PROC_WID FROM W_PARAM_G)</t>
  </si>
  <si>
    <r>
      <t xml:space="preserve">1 record is inserted
</t>
    </r>
    <r>
      <rPr>
        <sz val="11"/>
        <color rgb="FFFF0000"/>
        <rFont val="Book Antiqua"/>
        <family val="1"/>
      </rPr>
      <t>Refer to screenshot 8</t>
    </r>
  </si>
  <si>
    <t>1 file KZBC0201_20190712_xx.txt should be generated.</t>
  </si>
  <si>
    <t>Check if CONTACT_UID,CELL_PH_NUM,X_ATTRIB_14_CD,ATTRIB_37 value are correctly exported on the outbound file. And CONTACT_UID with cyrillic characers.</t>
  </si>
  <si>
    <t>Run the workflow 'RUN_OUTBOUND_PB_KZ'</t>
  </si>
  <si>
    <t>UPDATE CX_PTS_TXN
SET X_TXN_STAT_CD = 'To be Paid'
WHERE ROW_ID = '1-42972H'</t>
  </si>
  <si>
    <t xml:space="preserve">SELECT 
TXN.ROW_ID,
CON.ROW_ID,
--CHG161158
CON.X_ATTRIB_3,
CON.X_ATTRIB_4,
CON.X_ATTRIB_7,
CON.X_ATTRIB_8,
CON.X_ATTRIB_10,
CON.X_ATTRIB_14_CD,
CON_X.ATTRIB_37,
CON.X_ATTRIB_1,
CON.X_ATTRIB_5,
CON.X_ATTRIB_6,
CON.X_ATTRIB_9,
CON.MID_NAME
FROM CX_PTS_TXN TXN
 LEFT OUTER JOIN S_DOC_AGREE AGR ON AGR.ROW_ID =  TXN.X_AGREE_ID
 LEFT OUTER JOIN S_BU AGR_BU ON AGR_BU.ROW_ID = AGR.BU_ID
 LEFT OUTER JOIN S_ORG_EXT ACNT_AGR ON ACNT_AGR.ROW_ID = AGR.TARGET_OU_ID
 LEFT OUTER JOIN S_BU ACNT_AGR_BU ON ACNT_AGR_BU.ROW_ID = ACNT_AGR.BU_ID
 LEFT OUTER JOIN S_ORG_EXT ACNT ON ACNT.ROW_ID = TXN.X_ACCNT_ID
 LEFT OUTER JOIN S_BU ACNT_BU ON ACNT_BU.ROW_ID = ACNT.BU_ID
 LEFT OUTER JOIN S_PROD_INT PROD ON PROD.ROW_ID = TXN.X_TXN_PROD_ID
 LEFT OUTER JOIN S_BU PROD_BU ON PROD_BU.ROW_ID = PROD.BU_ID
 LEFT OUTER JOIN S_USER CREATED ON CREATED.ROW_ID = TXN.CREATED_BY
 LEFT OUTER JOIN S_USER APPROVED ON APPROVED.ROW_ID = TXN.X_APPROVED_BY_ID
 LEFT OUTER JOIN S_CONTACT CON ON CON.ROW_ID = TXN.X_CONTACT_ID
 LEFT OUTER JOIN S_CONTACT_X CON_X ON CON.ROW_ID = CON_X.ROW_ID
 LEFT OUTER JOIN S_AGREE_ITEM AGR_ITE ON AGR_ITE.ROW_ID = TXN.X_AGREE_ITEM_ID 
 LEFT OUTER JOIN S_BU CON_BU ON CON_BU.ROW_ID=CON.BU_ID  
WHERE  (ACNT_BU.NAME ='Kazakhstan, KZ' OR ACNT_AGR_BU.NAME ='Kazakhstan, KZ' OR CON_BU.NAME='Kazakhstan, KZ' or AGR_BU.NAME='Kazakhstan, KZ' ) 
AND TXN.X_TXN_STAT_CD IN ('To be Paid','Update') </t>
  </si>
  <si>
    <t xml:space="preserve">1 record is retrieved </t>
  </si>
  <si>
    <t xml:space="preserve">Screenshot 9: </t>
  </si>
  <si>
    <r>
      <t xml:space="preserve">Log on Sales Application CSTADMKZ:
1) Go to Contacts Tab &gt; Query [Id]='1-43XLZF'
3) Check value </t>
    </r>
    <r>
      <rPr>
        <b/>
        <sz val="11"/>
        <rFont val="Book Antiqua"/>
        <family val="1"/>
      </rPr>
      <t>Mobile Phone #</t>
    </r>
    <r>
      <rPr>
        <sz val="11"/>
        <rFont val="Book Antiqua"/>
        <family val="1"/>
      </rPr>
      <t xml:space="preserve">
4) Drill down the Contact and go to the more info and check the  fields value of </t>
    </r>
    <r>
      <rPr>
        <b/>
        <sz val="11"/>
        <rFont val="Book Antiqua"/>
        <family val="1"/>
      </rPr>
      <t xml:space="preserve">Attribute 14 </t>
    </r>
    <r>
      <rPr>
        <sz val="11"/>
        <rFont val="Book Antiqua"/>
        <family val="1"/>
      </rPr>
      <t>and</t>
    </r>
    <r>
      <rPr>
        <b/>
        <sz val="11"/>
        <rFont val="Book Antiqua"/>
        <family val="1"/>
      </rPr>
      <t xml:space="preserve"> Attribute 18
</t>
    </r>
    <r>
      <rPr>
        <sz val="11"/>
        <color rgb="FFFF0000"/>
        <rFont val="Book Antiqua"/>
        <family val="1"/>
      </rPr>
      <t>Refer to the screenshot 1</t>
    </r>
  </si>
  <si>
    <r>
      <t xml:space="preserve">Log on Sales Application CSTADMKZ:
1) Go to Contacts Tab &gt; Query [Id]='1-3RTTN5'
3) Check value </t>
    </r>
    <r>
      <rPr>
        <b/>
        <sz val="11"/>
        <rFont val="Book Antiqua"/>
        <family val="1"/>
      </rPr>
      <t>Mobile Phone #</t>
    </r>
    <r>
      <rPr>
        <sz val="11"/>
        <rFont val="Book Antiqua"/>
        <family val="1"/>
      </rPr>
      <t xml:space="preserve">
4) Drill down the Contact and go to the More Info and check the  fields value of </t>
    </r>
    <r>
      <rPr>
        <b/>
        <sz val="11"/>
        <rFont val="Book Antiqua"/>
        <family val="1"/>
      </rPr>
      <t xml:space="preserve">Attribute 14 </t>
    </r>
    <r>
      <rPr>
        <sz val="11"/>
        <rFont val="Book Antiqua"/>
        <family val="1"/>
      </rPr>
      <t>and</t>
    </r>
    <r>
      <rPr>
        <b/>
        <sz val="11"/>
        <rFont val="Book Antiqua"/>
        <family val="1"/>
      </rPr>
      <t xml:space="preserve"> Attribute 18
</t>
    </r>
    <r>
      <rPr>
        <sz val="11"/>
        <color rgb="FFFF0000"/>
        <rFont val="Book Antiqua"/>
        <family val="1"/>
      </rPr>
      <t>Refer to the screenshot 5</t>
    </r>
  </si>
  <si>
    <r>
      <t>Log on Sales Application CSTADMKZ:
1) Go to Contacts Tab &gt; Query [Id]='1-3ZRLZS'
2) Drill down the Contact and go to the More Info and check and Local fields below the value of Middle Initial</t>
    </r>
    <r>
      <rPr>
        <b/>
        <sz val="11"/>
        <rFont val="Book Antiqua"/>
        <family val="1"/>
      </rPr>
      <t xml:space="preserve">
</t>
    </r>
    <r>
      <rPr>
        <sz val="11"/>
        <color rgb="FFFF0000"/>
        <rFont val="Book Antiqua"/>
        <family val="1"/>
      </rPr>
      <t>Refer to the screenshot 9</t>
    </r>
  </si>
  <si>
    <t>1 file KZPB0201_20190716_xx.txt should be generated.</t>
  </si>
  <si>
    <t>Refer to screenshot 10</t>
  </si>
  <si>
    <t>Check if X_ATTRIB_3,X_ATTRIB_4,X_ATTRIB_7,X_ATTRIB_8,X_ATTRIB_10,X_ATTRIB_14_CD,ATTRIB_37,X_ATTRIB_1,X_ATTRIB_5,X_ATTRIB_6,X_ATTRIB_9,MID_NAME value are correctly exported on the outbound file. And ensure that X_ATTRIB_7 and X_ATTRIB_8 was exported in YYYY/MM/DD format.</t>
  </si>
  <si>
    <t>Refer to screenshot11.</t>
  </si>
  <si>
    <t>SELECT *
FROM WC_ETL_FILES_G
WHERE  SUBSTRING(FILENAME,3,2)='PB'
AND ETL_PROC_WID IN (select ETL_PROC_WID FROM W_PARAM_G)</t>
  </si>
  <si>
    <t xml:space="preserve">Screenshot 10: </t>
  </si>
  <si>
    <t xml:space="preserve">Screenshot 11: </t>
  </si>
  <si>
    <t xml:space="preserve">Screenshot 12: </t>
  </si>
  <si>
    <r>
      <t xml:space="preserve">1 record is inserted
</t>
    </r>
    <r>
      <rPr>
        <sz val="11"/>
        <color rgb="FFFF0000"/>
        <rFont val="Book Antiqua"/>
        <family val="1"/>
      </rPr>
      <t>Refer to screenshot 12</t>
    </r>
  </si>
  <si>
    <t>CHG161158</t>
  </si>
  <si>
    <t>Inbound and outbound interfaces additional columns</t>
  </si>
  <si>
    <t>KZ</t>
  </si>
  <si>
    <t>Oct, 2019</t>
  </si>
  <si>
    <t>CHG161158 Detail Functional and Technical Design Data Part v4.xlsm</t>
  </si>
  <si>
    <t>Add new fields on the PM, PB and BC Outbound</t>
  </si>
  <si>
    <t>Anju</t>
  </si>
  <si>
    <t>Run the workflow 'FDE_INT_BANK_CARD_OUTBOUND_V1'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</si>
</sst>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u/>
      <sz val="10"/>
      <color theme="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u/>
      <sz val="20"/>
      <color indexed="10"/>
      <name val="Book Antiqua"/>
      <family val="1"/>
    </font>
    <font>
      <b/>
      <sz val="11"/>
      <color indexed="9"/>
      <name val="Book Antiqua"/>
      <family val="1"/>
    </font>
    <font>
      <b/>
      <sz val="12"/>
      <name val="Book Antiqua"/>
      <family val="1"/>
    </font>
    <font>
      <sz val="10"/>
      <color theme="10"/>
      <name val="Arial"/>
      <family val="2"/>
    </font>
    <font>
      <b/>
      <sz val="10"/>
      <color theme="0"/>
      <name val="Arial"/>
      <family val="2"/>
    </font>
    <font>
      <b/>
      <sz val="9"/>
      <color indexed="81"/>
      <name val="Tahoma"/>
      <family val="2"/>
    </font>
    <font>
      <sz val="9"/>
      <color indexed="81"/>
      <name val="Tahoma"/>
      <family val="2"/>
    </font>
    <font>
      <sz val="11"/>
      <name val="Calibri"/>
      <family val="2"/>
    </font>
    <font>
      <sz val="10"/>
      <color rgb="FFFF0000"/>
      <name val="Arial"/>
      <family val="2"/>
    </font>
    <font>
      <sz val="11"/>
      <color rgb="FFFF0000"/>
      <name val="Book Antiqua"/>
      <family val="1"/>
    </font>
    <font>
      <b/>
      <sz val="11"/>
      <name val="Book Antiqua"/>
      <family val="1"/>
    </font>
  </fonts>
  <fills count="31">
    <fill>
      <patternFill patternType="none"/>
    </fill>
    <fill>
      <patternFill patternType="gray125"/>
    </fill>
    <fill>
      <patternFill patternType="solid">
        <fgColor indexed="22"/>
        <bgColor indexed="64"/>
      </patternFill>
    </fill>
    <fill>
      <patternFill patternType="solid">
        <fgColor rgb="FF00B0F0"/>
        <bgColor indexed="64"/>
      </patternFill>
    </fill>
    <fill>
      <patternFill patternType="solid">
        <fgColor indexed="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17"/>
        <bgColor indexed="64"/>
      </patternFill>
    </fill>
    <fill>
      <patternFill patternType="solid">
        <fgColor rgb="FF99FFCC"/>
        <bgColor indexed="64"/>
      </patternFill>
    </fill>
    <fill>
      <patternFill patternType="solid">
        <fgColor theme="0"/>
        <bgColor indexed="64"/>
      </patternFill>
    </fill>
    <fill>
      <patternFill patternType="solid">
        <fgColor theme="9" tint="-0.249977111117893"/>
        <bgColor indexed="64"/>
      </patternFill>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ck">
        <color indexed="17"/>
      </bottom>
      <diagonal/>
    </border>
    <border>
      <left/>
      <right/>
      <top/>
      <bottom style="thin">
        <color indexed="64"/>
      </bottom>
      <diagonal/>
    </border>
    <border>
      <left style="thin">
        <color indexed="64"/>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51">
    <xf numFmtId="0" fontId="0" fillId="0" borderId="0"/>
    <xf numFmtId="0" fontId="7" fillId="0" borderId="0" applyNumberFormat="0" applyFill="0" applyBorder="0" applyAlignment="0" applyProtection="0">
      <alignment vertical="top"/>
      <protection locked="0"/>
    </xf>
    <xf numFmtId="0" fontId="5" fillId="0" borderId="0" applyFont="0" applyFill="0" applyBorder="0" applyAlignment="0" applyProtection="0"/>
    <xf numFmtId="0" fontId="5" fillId="0" borderId="0"/>
    <xf numFmtId="0" fontId="3" fillId="0" borderId="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3"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4" borderId="0" applyNumberFormat="0" applyBorder="0" applyAlignment="0" applyProtection="0"/>
    <xf numFmtId="0" fontId="12" fillId="15"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22" borderId="0" applyNumberFormat="0" applyBorder="0" applyAlignment="0" applyProtection="0"/>
    <xf numFmtId="0" fontId="13" fillId="23" borderId="5" applyNumberFormat="0" applyAlignment="0" applyProtection="0"/>
    <xf numFmtId="0" fontId="14" fillId="23" borderId="6" applyNumberFormat="0" applyAlignment="0" applyProtection="0"/>
    <xf numFmtId="0" fontId="15" fillId="10" borderId="6" applyNumberFormat="0" applyAlignment="0" applyProtection="0"/>
    <xf numFmtId="0" fontId="9" fillId="0" borderId="7" applyNumberFormat="0" applyFill="0" applyAlignment="0" applyProtection="0"/>
    <xf numFmtId="0" fontId="16" fillId="0" borderId="0" applyNumberFormat="0" applyFill="0" applyBorder="0" applyAlignment="0" applyProtection="0"/>
    <xf numFmtId="0" fontId="17" fillId="7" borderId="0" applyNumberFormat="0" applyBorder="0" applyAlignment="0" applyProtection="0"/>
    <xf numFmtId="0" fontId="5" fillId="24" borderId="8" applyNumberFormat="0" applyFont="0" applyAlignment="0" applyProtection="0"/>
    <xf numFmtId="0" fontId="18" fillId="6" borderId="0" applyNumberFormat="0" applyBorder="0" applyAlignment="0" applyProtection="0"/>
    <xf numFmtId="0" fontId="5" fillId="0" borderId="0"/>
    <xf numFmtId="0" fontId="19" fillId="0" borderId="0"/>
    <xf numFmtId="0" fontId="20" fillId="0" borderId="0" applyNumberFormat="0" applyFill="0" applyBorder="0" applyAlignment="0" applyProtection="0"/>
    <xf numFmtId="0" fontId="21" fillId="0" borderId="9" applyNumberFormat="0" applyFill="0" applyAlignment="0" applyProtection="0"/>
    <xf numFmtId="0" fontId="22" fillId="0" borderId="10" applyNumberFormat="0" applyFill="0" applyAlignment="0" applyProtection="0"/>
    <xf numFmtId="0" fontId="23" fillId="0" borderId="11" applyNumberFormat="0" applyFill="0" applyAlignment="0" applyProtection="0"/>
    <xf numFmtId="0" fontId="23" fillId="0" borderId="0" applyNumberFormat="0" applyFill="0" applyBorder="0" applyAlignment="0" applyProtection="0"/>
    <xf numFmtId="0" fontId="24" fillId="0" borderId="12" applyNumberFormat="0" applyFill="0" applyAlignment="0" applyProtection="0"/>
    <xf numFmtId="0" fontId="25" fillId="0" borderId="0" applyNumberFormat="0" applyFill="0" applyBorder="0" applyAlignment="0" applyProtection="0"/>
    <xf numFmtId="0" fontId="26" fillId="25" borderId="13" applyNumberFormat="0" applyAlignment="0" applyProtection="0"/>
    <xf numFmtId="0" fontId="5" fillId="0" borderId="0"/>
    <xf numFmtId="0" fontId="2" fillId="0" borderId="0"/>
    <xf numFmtId="0" fontId="1" fillId="0" borderId="0"/>
    <xf numFmtId="0" fontId="41" fillId="0" borderId="0"/>
  </cellStyleXfs>
  <cellXfs count="119">
    <xf numFmtId="0" fontId="0" fillId="0" borderId="0" xfId="0"/>
    <xf numFmtId="0" fontId="6" fillId="0" borderId="0" xfId="3" applyFont="1" applyAlignment="1">
      <alignment vertical="center"/>
    </xf>
    <xf numFmtId="0" fontId="5" fillId="0" borderId="0" xfId="3" applyAlignment="1">
      <alignment vertical="center"/>
    </xf>
    <xf numFmtId="0" fontId="5" fillId="0" borderId="0" xfId="3" applyFont="1" applyAlignment="1">
      <alignment vertical="center"/>
    </xf>
    <xf numFmtId="0" fontId="5" fillId="4" borderId="0" xfId="3" applyFill="1" applyAlignment="1">
      <alignment vertical="center"/>
    </xf>
    <xf numFmtId="0" fontId="6" fillId="4" borderId="0" xfId="3" applyFont="1" applyFill="1" applyAlignment="1">
      <alignment vertical="center"/>
    </xf>
    <xf numFmtId="0" fontId="29" fillId="0" borderId="0" xfId="2" applyFont="1" applyAlignment="1">
      <alignment vertical="center"/>
    </xf>
    <xf numFmtId="0" fontId="30" fillId="0" borderId="0" xfId="2" applyFont="1" applyAlignment="1">
      <alignment vertical="center"/>
    </xf>
    <xf numFmtId="0" fontId="32" fillId="0" borderId="0" xfId="2" applyFont="1" applyAlignment="1">
      <alignment vertical="center"/>
    </xf>
    <xf numFmtId="164" fontId="33" fillId="4" borderId="0" xfId="2" applyNumberFormat="1" applyFont="1" applyFill="1" applyAlignment="1">
      <alignment vertical="center"/>
    </xf>
    <xf numFmtId="164" fontId="5" fillId="4" borderId="0" xfId="2" applyNumberFormat="1" applyFill="1" applyAlignment="1">
      <alignment vertical="center"/>
    </xf>
    <xf numFmtId="0" fontId="4" fillId="0" borderId="0" xfId="47" applyFont="1" applyAlignment="1">
      <alignment vertical="center"/>
    </xf>
    <xf numFmtId="0" fontId="5" fillId="0" borderId="0" xfId="47" applyAlignment="1">
      <alignment vertical="center"/>
    </xf>
    <xf numFmtId="164" fontId="5" fillId="4" borderId="0" xfId="2" applyNumberFormat="1" applyFill="1" applyBorder="1" applyAlignment="1">
      <alignment vertical="center"/>
    </xf>
    <xf numFmtId="164" fontId="33" fillId="4" borderId="0" xfId="2" applyNumberFormat="1" applyFont="1" applyFill="1" applyBorder="1" applyAlignment="1">
      <alignment vertical="center"/>
    </xf>
    <xf numFmtId="0" fontId="5" fillId="0" borderId="0" xfId="2" applyFont="1" applyAlignment="1">
      <alignment vertical="center"/>
    </xf>
    <xf numFmtId="0" fontId="33" fillId="0" borderId="0" xfId="2" applyFont="1" applyAlignment="1">
      <alignment vertical="center"/>
    </xf>
    <xf numFmtId="0" fontId="34" fillId="0" borderId="0" xfId="2" applyFont="1" applyAlignment="1">
      <alignment vertical="center"/>
    </xf>
    <xf numFmtId="0" fontId="27" fillId="0" borderId="0" xfId="2" applyFont="1" applyAlignment="1">
      <alignment vertical="center"/>
    </xf>
    <xf numFmtId="0" fontId="35" fillId="0" borderId="0" xfId="2" applyFont="1" applyAlignment="1">
      <alignment vertical="center"/>
    </xf>
    <xf numFmtId="165" fontId="35" fillId="0" borderId="0" xfId="2" applyNumberFormat="1" applyFont="1" applyAlignment="1">
      <alignment horizontal="left" vertical="center"/>
    </xf>
    <xf numFmtId="0" fontId="36" fillId="4" borderId="0" xfId="3" applyFont="1" applyFill="1" applyAlignment="1">
      <alignment vertical="center" wrapText="1"/>
    </xf>
    <xf numFmtId="0" fontId="6" fillId="4" borderId="0" xfId="3" applyFont="1" applyFill="1" applyAlignment="1">
      <alignment horizontal="center" vertical="center" wrapText="1"/>
    </xf>
    <xf numFmtId="0" fontId="6" fillId="2" borderId="1" xfId="3" applyFont="1" applyFill="1" applyBorder="1" applyAlignment="1">
      <alignment horizontal="center" vertical="center" wrapText="1"/>
    </xf>
    <xf numFmtId="0" fontId="37" fillId="0" borderId="1" xfId="3" applyFont="1" applyBorder="1" applyAlignment="1">
      <alignment vertical="center" wrapText="1"/>
    </xf>
    <xf numFmtId="0" fontId="6" fillId="4" borderId="0" xfId="3" applyFont="1" applyFill="1" applyAlignment="1">
      <alignment vertical="center" wrapText="1"/>
    </xf>
    <xf numFmtId="0" fontId="6" fillId="2" borderId="1" xfId="3" applyFont="1" applyFill="1" applyBorder="1" applyAlignment="1">
      <alignment vertical="center"/>
    </xf>
    <xf numFmtId="0" fontId="37" fillId="0" borderId="1" xfId="3" applyFont="1" applyBorder="1" applyAlignment="1">
      <alignment horizontal="left" vertical="center" wrapText="1"/>
    </xf>
    <xf numFmtId="0" fontId="6" fillId="2" borderId="1" xfId="3" applyFont="1" applyFill="1" applyBorder="1" applyAlignment="1">
      <alignment vertical="center" wrapText="1"/>
    </xf>
    <xf numFmtId="0" fontId="39" fillId="4" borderId="3" xfId="3" applyFont="1" applyFill="1" applyBorder="1" applyAlignment="1">
      <alignment horizontal="right" vertical="center"/>
    </xf>
    <xf numFmtId="0" fontId="5" fillId="4" borderId="0" xfId="3" applyFont="1" applyFill="1" applyAlignment="1">
      <alignment vertical="center"/>
    </xf>
    <xf numFmtId="0" fontId="6" fillId="2" borderId="4" xfId="3" applyFont="1" applyFill="1" applyBorder="1" applyAlignment="1">
      <alignment vertical="center"/>
    </xf>
    <xf numFmtId="0" fontId="41" fillId="0" borderId="0" xfId="50" applyBorder="1" applyAlignment="1"/>
    <xf numFmtId="0" fontId="41" fillId="0" borderId="0" xfId="50" applyBorder="1"/>
    <xf numFmtId="0" fontId="41" fillId="0" borderId="0" xfId="50"/>
    <xf numFmtId="0" fontId="5" fillId="0" borderId="0" xfId="50" applyFont="1"/>
    <xf numFmtId="0" fontId="42" fillId="0" borderId="0" xfId="50" applyFont="1" applyBorder="1"/>
    <xf numFmtId="0" fontId="43" fillId="26" borderId="1" xfId="50" applyFont="1" applyFill="1" applyBorder="1" applyAlignment="1">
      <alignment horizontal="right" wrapText="1"/>
    </xf>
    <xf numFmtId="0" fontId="41" fillId="0" borderId="1" xfId="50" applyBorder="1" applyAlignment="1">
      <alignment wrapText="1"/>
    </xf>
    <xf numFmtId="0" fontId="41" fillId="0" borderId="1" xfId="50" applyBorder="1"/>
    <xf numFmtId="14" fontId="41" fillId="0" borderId="1" xfId="50" applyNumberFormat="1" applyBorder="1" applyAlignment="1">
      <alignment horizontal="right" wrapText="1"/>
    </xf>
    <xf numFmtId="0" fontId="41" fillId="0" borderId="1" xfId="50" applyFont="1" applyBorder="1" applyAlignment="1">
      <alignment wrapText="1"/>
    </xf>
    <xf numFmtId="0" fontId="6" fillId="2" borderId="15" xfId="3" applyFont="1" applyFill="1" applyBorder="1" applyAlignment="1">
      <alignment vertical="center"/>
    </xf>
    <xf numFmtId="0" fontId="5" fillId="4" borderId="0" xfId="3" applyFont="1" applyFill="1" applyBorder="1" applyAlignment="1">
      <alignment vertical="center"/>
    </xf>
    <xf numFmtId="0" fontId="5" fillId="0" borderId="0" xfId="3" applyBorder="1" applyAlignment="1">
      <alignment vertical="center"/>
    </xf>
    <xf numFmtId="0" fontId="33" fillId="0" borderId="1" xfId="50" applyFont="1" applyFill="1" applyBorder="1" applyAlignment="1">
      <alignment vertical="top"/>
    </xf>
    <xf numFmtId="0" fontId="33" fillId="0" borderId="1" xfId="50" applyFont="1" applyBorder="1" applyAlignment="1">
      <alignment vertical="top"/>
    </xf>
    <xf numFmtId="0" fontId="5" fillId="0" borderId="0" xfId="3" applyAlignment="1">
      <alignment vertical="center" wrapText="1"/>
    </xf>
    <xf numFmtId="0" fontId="5" fillId="0" borderId="0" xfId="3" applyFont="1" applyAlignment="1">
      <alignment vertical="center" wrapText="1"/>
    </xf>
    <xf numFmtId="0" fontId="5" fillId="4" borderId="0" xfId="3" applyFill="1" applyAlignment="1">
      <alignment vertical="center" wrapText="1"/>
    </xf>
    <xf numFmtId="0" fontId="5" fillId="4" borderId="0" xfId="3" applyNumberFormat="1" applyFill="1" applyAlignment="1">
      <alignment vertical="center" wrapText="1"/>
    </xf>
    <xf numFmtId="15" fontId="37" fillId="0" borderId="1" xfId="3" applyNumberFormat="1" applyFont="1" applyBorder="1" applyAlignment="1">
      <alignment horizontal="left" vertical="center" wrapText="1"/>
    </xf>
    <xf numFmtId="0" fontId="5" fillId="4" borderId="0" xfId="3" applyFill="1" applyBorder="1" applyAlignment="1">
      <alignment vertical="center" wrapText="1"/>
    </xf>
    <xf numFmtId="0" fontId="5" fillId="0" borderId="0" xfId="3" applyBorder="1" applyAlignment="1">
      <alignment vertical="center" wrapText="1"/>
    </xf>
    <xf numFmtId="15" fontId="45" fillId="0" borderId="1" xfId="1" applyNumberFormat="1" applyFont="1" applyBorder="1" applyAlignment="1" applyProtection="1">
      <alignment horizontal="left" vertical="center" wrapText="1"/>
    </xf>
    <xf numFmtId="0" fontId="41" fillId="0" borderId="0" xfId="50" applyBorder="1" applyAlignment="1">
      <alignment horizontal="left" vertical="top"/>
    </xf>
    <xf numFmtId="0" fontId="41" fillId="0" borderId="0" xfId="50" applyAlignment="1">
      <alignment horizontal="left" vertical="top"/>
    </xf>
    <xf numFmtId="0" fontId="0" fillId="0" borderId="0" xfId="0" applyAlignment="1">
      <alignment horizontal="center"/>
    </xf>
    <xf numFmtId="0" fontId="46" fillId="3" borderId="0" xfId="0" applyFont="1" applyFill="1"/>
    <xf numFmtId="0" fontId="46" fillId="3" borderId="0" xfId="0" applyFont="1" applyFill="1" applyAlignment="1">
      <alignment horizontal="center"/>
    </xf>
    <xf numFmtId="0" fontId="6" fillId="27" borderId="1" xfId="0" applyFont="1" applyFill="1" applyBorder="1"/>
    <xf numFmtId="0" fontId="0" fillId="27" borderId="1" xfId="0" applyFill="1" applyBorder="1" applyAlignment="1">
      <alignment horizontal="center"/>
    </xf>
    <xf numFmtId="14" fontId="0" fillId="27" borderId="1" xfId="0" applyNumberFormat="1" applyFill="1" applyBorder="1" applyAlignment="1">
      <alignment horizontal="center"/>
    </xf>
    <xf numFmtId="14" fontId="5" fillId="27" borderId="1" xfId="0" quotePrefix="1" applyNumberFormat="1" applyFont="1" applyFill="1" applyBorder="1" applyAlignment="1">
      <alignment horizontal="center"/>
    </xf>
    <xf numFmtId="0" fontId="5" fillId="27" borderId="1" xfId="0" applyFont="1" applyFill="1" applyBorder="1" applyAlignment="1">
      <alignment horizontal="center"/>
    </xf>
    <xf numFmtId="166" fontId="0" fillId="27" borderId="1" xfId="0" applyNumberFormat="1" applyFill="1" applyBorder="1" applyAlignment="1">
      <alignment horizontal="center"/>
    </xf>
    <xf numFmtId="22" fontId="41" fillId="0" borderId="0" xfId="50" applyNumberFormat="1" applyBorder="1"/>
    <xf numFmtId="49" fontId="6" fillId="2" borderId="1" xfId="50" applyNumberFormat="1" applyFont="1" applyFill="1" applyBorder="1" applyAlignment="1">
      <alignment horizontal="center" vertical="top"/>
    </xf>
    <xf numFmtId="0" fontId="43" fillId="26" borderId="1" xfId="50" applyFont="1" applyFill="1" applyBorder="1" applyAlignment="1">
      <alignment horizontal="right" vertical="top" wrapText="1"/>
    </xf>
    <xf numFmtId="0" fontId="33" fillId="0" borderId="1" xfId="50" applyFont="1" applyFill="1" applyBorder="1" applyAlignment="1">
      <alignment vertical="top" wrapText="1"/>
    </xf>
    <xf numFmtId="0" fontId="33" fillId="0" borderId="1" xfId="50" applyFont="1" applyFill="1" applyBorder="1" applyAlignment="1">
      <alignment horizontal="left" vertical="top" wrapText="1"/>
    </xf>
    <xf numFmtId="0" fontId="0" fillId="0" borderId="1" xfId="0" applyBorder="1" applyAlignment="1">
      <alignment vertical="top" wrapText="1"/>
    </xf>
    <xf numFmtId="0" fontId="49" fillId="0" borderId="1" xfId="50" applyFont="1" applyBorder="1" applyAlignment="1">
      <alignment vertical="top"/>
    </xf>
    <xf numFmtId="0" fontId="41" fillId="0" borderId="0" xfId="50" applyAlignment="1">
      <alignment vertical="top"/>
    </xf>
    <xf numFmtId="0" fontId="0" fillId="0" borderId="1" xfId="0" applyBorder="1" applyAlignment="1">
      <alignment horizontal="left" vertical="top" wrapText="1"/>
    </xf>
    <xf numFmtId="0" fontId="33" fillId="0" borderId="1" xfId="50" applyFont="1" applyBorder="1" applyAlignment="1">
      <alignment horizontal="left" vertical="top"/>
    </xf>
    <xf numFmtId="0" fontId="0" fillId="0" borderId="1" xfId="0" applyFill="1" applyBorder="1" applyAlignment="1">
      <alignment vertical="top" wrapText="1"/>
    </xf>
    <xf numFmtId="0" fontId="41" fillId="0" borderId="0" xfId="50" applyFill="1" applyAlignment="1">
      <alignment vertical="top"/>
    </xf>
    <xf numFmtId="0" fontId="41" fillId="0" borderId="1" xfId="50" applyFill="1" applyBorder="1" applyAlignment="1">
      <alignment vertical="top" wrapText="1"/>
    </xf>
    <xf numFmtId="0" fontId="41" fillId="0" borderId="1" xfId="50" applyBorder="1" applyAlignment="1">
      <alignment vertical="top"/>
    </xf>
    <xf numFmtId="0" fontId="0" fillId="0" borderId="1" xfId="0" applyFill="1" applyBorder="1" applyAlignment="1">
      <alignment horizontal="left" vertical="top" wrapText="1"/>
    </xf>
    <xf numFmtId="0" fontId="41" fillId="0" borderId="0" xfId="50" applyBorder="1" applyAlignment="1">
      <alignment vertical="top"/>
    </xf>
    <xf numFmtId="0" fontId="0" fillId="0" borderId="1" xfId="0" applyBorder="1" applyAlignment="1">
      <alignment vertical="top"/>
    </xf>
    <xf numFmtId="0" fontId="37" fillId="0" borderId="1" xfId="3" applyFont="1" applyBorder="1" applyAlignment="1">
      <alignment horizontal="left" vertical="top" wrapText="1"/>
    </xf>
    <xf numFmtId="0" fontId="33" fillId="28" borderId="1" xfId="50" applyFont="1" applyFill="1" applyBorder="1" applyAlignment="1">
      <alignment vertical="top"/>
    </xf>
    <xf numFmtId="0" fontId="41" fillId="28" borderId="1" xfId="50" applyFill="1" applyBorder="1" applyAlignment="1">
      <alignment vertical="top" wrapText="1"/>
    </xf>
    <xf numFmtId="0" fontId="41" fillId="28" borderId="1" xfId="50" applyFill="1" applyBorder="1" applyAlignment="1">
      <alignment horizontal="left" vertical="top" wrapText="1"/>
    </xf>
    <xf numFmtId="0" fontId="5" fillId="0" borderId="1" xfId="0" applyFont="1" applyBorder="1" applyAlignment="1">
      <alignment vertical="top"/>
    </xf>
    <xf numFmtId="0" fontId="50" fillId="0" borderId="1" xfId="0" applyFont="1" applyBorder="1" applyAlignment="1">
      <alignment vertical="top" wrapText="1"/>
    </xf>
    <xf numFmtId="0" fontId="0" fillId="28" borderId="1" xfId="0" applyFill="1" applyBorder="1" applyAlignment="1">
      <alignment vertical="top"/>
    </xf>
    <xf numFmtId="0" fontId="5" fillId="28" borderId="1" xfId="0" applyFont="1" applyFill="1" applyBorder="1" applyAlignment="1">
      <alignment vertical="top" wrapText="1"/>
    </xf>
    <xf numFmtId="0" fontId="41" fillId="0" borderId="1" xfId="0" applyFont="1" applyFill="1" applyBorder="1" applyAlignment="1">
      <alignment vertical="top"/>
    </xf>
    <xf numFmtId="0" fontId="5" fillId="0" borderId="1" xfId="0" applyFont="1" applyBorder="1" applyAlignment="1">
      <alignment vertical="top" wrapText="1"/>
    </xf>
    <xf numFmtId="0" fontId="41" fillId="0" borderId="1" xfId="50" applyBorder="1" applyAlignment="1">
      <alignment horizontal="left" vertical="top" wrapText="1"/>
    </xf>
    <xf numFmtId="14" fontId="41" fillId="0" borderId="1" xfId="50" applyNumberFormat="1" applyBorder="1" applyAlignment="1">
      <alignment horizontal="right" vertical="top" wrapText="1"/>
    </xf>
    <xf numFmtId="0" fontId="0" fillId="29" borderId="0" xfId="0" applyFill="1"/>
    <xf numFmtId="0" fontId="5" fillId="29" borderId="0" xfId="0" applyFont="1" applyFill="1"/>
    <xf numFmtId="164" fontId="10" fillId="4" borderId="2" xfId="2" applyNumberFormat="1" applyFont="1" applyFill="1" applyBorder="1" applyAlignment="1">
      <alignment horizontal="center" vertical="center"/>
    </xf>
    <xf numFmtId="0" fontId="27" fillId="0" borderId="0" xfId="2" applyFont="1" applyAlignment="1">
      <alignment horizontal="center" vertical="center"/>
    </xf>
    <xf numFmtId="0" fontId="28" fillId="0" borderId="0" xfId="2" applyFont="1" applyAlignment="1">
      <alignment horizontal="center" vertical="center"/>
    </xf>
    <xf numFmtId="0" fontId="29" fillId="0" borderId="0" xfId="2" applyFont="1" applyAlignment="1">
      <alignment horizontal="right" vertical="center"/>
    </xf>
    <xf numFmtId="0" fontId="29" fillId="0" borderId="0" xfId="2" applyFont="1" applyAlignment="1">
      <alignment horizontal="left" vertical="center"/>
    </xf>
    <xf numFmtId="0" fontId="32" fillId="0" borderId="0" xfId="2" applyFont="1" applyAlignment="1">
      <alignment horizontal="right" vertical="center"/>
    </xf>
    <xf numFmtId="0" fontId="34" fillId="0" borderId="0" xfId="2" applyFont="1" applyAlignment="1">
      <alignment horizontal="left" vertical="center"/>
    </xf>
    <xf numFmtId="0" fontId="30" fillId="0" borderId="0" xfId="2" applyFont="1" applyAlignment="1">
      <alignment horizontal="right" vertical="center"/>
    </xf>
    <xf numFmtId="0" fontId="30" fillId="0" borderId="0" xfId="2" applyFont="1" applyAlignment="1">
      <alignment horizontal="left" vertical="center" wrapText="1"/>
    </xf>
    <xf numFmtId="0" fontId="31" fillId="0" borderId="0" xfId="2" applyFont="1" applyAlignment="1">
      <alignment horizontal="right" vertical="center"/>
    </xf>
    <xf numFmtId="0" fontId="31" fillId="0" borderId="0" xfId="2" applyFont="1" applyAlignment="1">
      <alignment horizontal="left" vertical="center" wrapText="1"/>
    </xf>
    <xf numFmtId="0" fontId="38" fillId="4" borderId="3" xfId="3" applyFont="1" applyFill="1" applyBorder="1" applyAlignment="1">
      <alignment horizontal="left" vertical="center"/>
    </xf>
    <xf numFmtId="0" fontId="36" fillId="4" borderId="0" xfId="3" applyFont="1" applyFill="1" applyAlignment="1">
      <alignment vertical="center"/>
    </xf>
    <xf numFmtId="0" fontId="36" fillId="2" borderId="14" xfId="3" applyFont="1" applyFill="1" applyBorder="1" applyAlignment="1">
      <alignment horizontal="center" vertical="center" wrapText="1"/>
    </xf>
    <xf numFmtId="0" fontId="1" fillId="0" borderId="14" xfId="49" applyBorder="1"/>
    <xf numFmtId="49" fontId="6" fillId="30" borderId="4" xfId="50" applyNumberFormat="1" applyFont="1" applyFill="1" applyBorder="1" applyAlignment="1">
      <alignment horizontal="left" vertical="top"/>
    </xf>
    <xf numFmtId="49" fontId="6" fillId="30" borderId="14" xfId="50" applyNumberFormat="1" applyFont="1" applyFill="1" applyBorder="1" applyAlignment="1">
      <alignment horizontal="left" vertical="top"/>
    </xf>
    <xf numFmtId="49" fontId="6" fillId="30" borderId="16" xfId="50" applyNumberFormat="1" applyFont="1" applyFill="1" applyBorder="1" applyAlignment="1">
      <alignment horizontal="left" vertical="top"/>
    </xf>
    <xf numFmtId="0" fontId="41" fillId="0" borderId="1" xfId="50" applyFont="1" applyBorder="1" applyAlignment="1">
      <alignment horizontal="left" wrapText="1"/>
    </xf>
    <xf numFmtId="0" fontId="41" fillId="0" borderId="1" xfId="50" applyBorder="1" applyAlignment="1">
      <alignment horizontal="left" wrapText="1"/>
    </xf>
    <xf numFmtId="0" fontId="44" fillId="0" borderId="1" xfId="50" applyFont="1" applyBorder="1" applyAlignment="1">
      <alignment horizontal="left" wrapText="1"/>
    </xf>
    <xf numFmtId="0" fontId="6" fillId="30" borderId="0" xfId="0" applyFont="1" applyFill="1" applyAlignment="1">
      <alignment horizontal="left"/>
    </xf>
  </cellXfs>
  <cellStyles count="51">
    <cellStyle name="20% - Akzent1" xfId="5" xr:uid="{00000000-0005-0000-0000-000000000000}"/>
    <cellStyle name="20% - Akzent2" xfId="6" xr:uid="{00000000-0005-0000-0000-000001000000}"/>
    <cellStyle name="20% - Akzent3" xfId="7" xr:uid="{00000000-0005-0000-0000-000002000000}"/>
    <cellStyle name="20% - Akzent4" xfId="8" xr:uid="{00000000-0005-0000-0000-000003000000}"/>
    <cellStyle name="20% - Akzent5" xfId="9" xr:uid="{00000000-0005-0000-0000-000004000000}"/>
    <cellStyle name="20% - Akzent6" xfId="10" xr:uid="{00000000-0005-0000-0000-000005000000}"/>
    <cellStyle name="40% - Akzent1" xfId="11" xr:uid="{00000000-0005-0000-0000-000006000000}"/>
    <cellStyle name="40% - Akzent2" xfId="12" xr:uid="{00000000-0005-0000-0000-000007000000}"/>
    <cellStyle name="40% - Akzent3" xfId="13" xr:uid="{00000000-0005-0000-0000-000008000000}"/>
    <cellStyle name="40% - Akzent4" xfId="14" xr:uid="{00000000-0005-0000-0000-000009000000}"/>
    <cellStyle name="40% - Akzent5" xfId="15" xr:uid="{00000000-0005-0000-0000-00000A000000}"/>
    <cellStyle name="40% - Akzent6" xfId="16" xr:uid="{00000000-0005-0000-0000-00000B000000}"/>
    <cellStyle name="60% - Akzent1" xfId="17" xr:uid="{00000000-0005-0000-0000-00000C000000}"/>
    <cellStyle name="60% - Akzent2" xfId="18" xr:uid="{00000000-0005-0000-0000-00000D000000}"/>
    <cellStyle name="60% - Akzent3" xfId="19" xr:uid="{00000000-0005-0000-0000-00000E000000}"/>
    <cellStyle name="60% - Akzent4" xfId="20" xr:uid="{00000000-0005-0000-0000-00000F000000}"/>
    <cellStyle name="60% - Akzent5" xfId="21" xr:uid="{00000000-0005-0000-0000-000010000000}"/>
    <cellStyle name="60% - Akzent6" xfId="22" xr:uid="{00000000-0005-0000-0000-000011000000}"/>
    <cellStyle name="Akzent1" xfId="23" xr:uid="{00000000-0005-0000-0000-000012000000}"/>
    <cellStyle name="Akzent2" xfId="24" xr:uid="{00000000-0005-0000-0000-000013000000}"/>
    <cellStyle name="Akzent3" xfId="25" xr:uid="{00000000-0005-0000-0000-000014000000}"/>
    <cellStyle name="Akzent4" xfId="26" xr:uid="{00000000-0005-0000-0000-000015000000}"/>
    <cellStyle name="Akzent5" xfId="27" xr:uid="{00000000-0005-0000-0000-000016000000}"/>
    <cellStyle name="Akzent6" xfId="28" xr:uid="{00000000-0005-0000-0000-000017000000}"/>
    <cellStyle name="Ausgabe" xfId="29" xr:uid="{00000000-0005-0000-0000-000018000000}"/>
    <cellStyle name="Berechnung" xfId="30" xr:uid="{00000000-0005-0000-0000-000019000000}"/>
    <cellStyle name="Comma_template landscape1" xfId="2" xr:uid="{00000000-0005-0000-0000-00001A000000}"/>
    <cellStyle name="Eingabe" xfId="31" xr:uid="{00000000-0005-0000-0000-00001B000000}"/>
    <cellStyle name="Ergebnis" xfId="32" xr:uid="{00000000-0005-0000-0000-00001C000000}"/>
    <cellStyle name="Erklärender Text" xfId="33" xr:uid="{00000000-0005-0000-0000-00001D000000}"/>
    <cellStyle name="Gut" xfId="34" xr:uid="{00000000-0005-0000-0000-00001E000000}"/>
    <cellStyle name="Hyperlink" xfId="1" builtinId="8"/>
    <cellStyle name="Normal" xfId="0" builtinId="0"/>
    <cellStyle name="Normal 2" xfId="4" xr:uid="{00000000-0005-0000-0000-000021000000}"/>
    <cellStyle name="Normal 2 2" xfId="47" xr:uid="{00000000-0005-0000-0000-000022000000}"/>
    <cellStyle name="Normal 3" xfId="48" xr:uid="{00000000-0005-0000-0000-000023000000}"/>
    <cellStyle name="Normal 3 2" xfId="49" xr:uid="{00000000-0005-0000-0000-000024000000}"/>
    <cellStyle name="Normal 4" xfId="50" xr:uid="{00000000-0005-0000-0000-000025000000}"/>
    <cellStyle name="Normal_Analytics_Test Script_CR_XXXX_Template" xfId="3" xr:uid="{00000000-0005-0000-0000-000026000000}"/>
    <cellStyle name="Notiz" xfId="35" xr:uid="{00000000-0005-0000-0000-000027000000}"/>
    <cellStyle name="Schlecht" xfId="36" xr:uid="{00000000-0005-0000-0000-000028000000}"/>
    <cellStyle name="Standard 2" xfId="37" xr:uid="{00000000-0005-0000-0000-000029000000}"/>
    <cellStyle name="Style 1" xfId="38" xr:uid="{00000000-0005-0000-0000-00002A000000}"/>
    <cellStyle name="Überschrift" xfId="39" xr:uid="{00000000-0005-0000-0000-00002B000000}"/>
    <cellStyle name="Überschrift 1" xfId="40" xr:uid="{00000000-0005-0000-0000-00002C000000}"/>
    <cellStyle name="Überschrift 2" xfId="41" xr:uid="{00000000-0005-0000-0000-00002D000000}"/>
    <cellStyle name="Überschrift 3" xfId="42" xr:uid="{00000000-0005-0000-0000-00002E000000}"/>
    <cellStyle name="Überschrift 4" xfId="43" xr:uid="{00000000-0005-0000-0000-00002F000000}"/>
    <cellStyle name="Verknüpfte Zelle" xfId="44" xr:uid="{00000000-0005-0000-0000-000030000000}"/>
    <cellStyle name="Warnender Text" xfId="45" xr:uid="{00000000-0005-0000-0000-000031000000}"/>
    <cellStyle name="Zelle überprüfen" xfId="46" xr:uid="{00000000-0005-0000-0000-000032000000}"/>
  </cellStyles>
  <dxfs count="0"/>
  <tableStyles count="0" defaultTableStyle="TableStyleMedium9" defaultPivotStyle="PivotStyleLight16"/>
  <colors>
    <mruColors>
      <color rgb="FF99FFCC"/>
      <color rgb="FFFF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5</xdr:col>
      <xdr:colOff>485775</xdr:colOff>
      <xdr:row>6</xdr:row>
      <xdr:rowOff>114300</xdr:rowOff>
    </xdr:from>
    <xdr:to>
      <xdr:col>5</xdr:col>
      <xdr:colOff>657225</xdr:colOff>
      <xdr:row>12</xdr:row>
      <xdr:rowOff>85724</xdr:rowOff>
    </xdr:to>
    <xdr:sp macro="" textlink="">
      <xdr:nvSpPr>
        <xdr:cNvPr id="2" name="Rectangle 7">
          <a:extLst>
            <a:ext uri="{FF2B5EF4-FFF2-40B4-BE49-F238E27FC236}">
              <a16:creationId xmlns:a16="http://schemas.microsoft.com/office/drawing/2014/main" id="{00000000-0008-0000-0000-000002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3" name="Rectangle 10">
          <a:extLst>
            <a:ext uri="{FF2B5EF4-FFF2-40B4-BE49-F238E27FC236}">
              <a16:creationId xmlns:a16="http://schemas.microsoft.com/office/drawing/2014/main" id="{00000000-0008-0000-0000-000003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4" name="Rectangle 13">
          <a:extLst>
            <a:ext uri="{FF2B5EF4-FFF2-40B4-BE49-F238E27FC236}">
              <a16:creationId xmlns:a16="http://schemas.microsoft.com/office/drawing/2014/main" id="{00000000-0008-0000-0000-000004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5" name="Rectangle 16">
          <a:extLst>
            <a:ext uri="{FF2B5EF4-FFF2-40B4-BE49-F238E27FC236}">
              <a16:creationId xmlns:a16="http://schemas.microsoft.com/office/drawing/2014/main" id="{00000000-0008-0000-0000-000005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5</xdr:col>
      <xdr:colOff>485775</xdr:colOff>
      <xdr:row>6</xdr:row>
      <xdr:rowOff>114300</xdr:rowOff>
    </xdr:from>
    <xdr:to>
      <xdr:col>5</xdr:col>
      <xdr:colOff>657225</xdr:colOff>
      <xdr:row>12</xdr:row>
      <xdr:rowOff>85724</xdr:rowOff>
    </xdr:to>
    <xdr:sp macro="" textlink="">
      <xdr:nvSpPr>
        <xdr:cNvPr id="6" name="Rectangle 19">
          <a:extLst>
            <a:ext uri="{FF2B5EF4-FFF2-40B4-BE49-F238E27FC236}">
              <a16:creationId xmlns:a16="http://schemas.microsoft.com/office/drawing/2014/main" id="{00000000-0008-0000-0000-000006000000}"/>
            </a:ext>
          </a:extLst>
        </xdr:cNvPr>
        <xdr:cNvSpPr>
          <a:spLocks noChangeArrowheads="1"/>
        </xdr:cNvSpPr>
      </xdr:nvSpPr>
      <xdr:spPr bwMode="auto">
        <a:xfrm>
          <a:off x="3609975" y="1323975"/>
          <a:ext cx="171450" cy="933450"/>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18</xdr:col>
      <xdr:colOff>178666</xdr:colOff>
      <xdr:row>10</xdr:row>
      <xdr:rowOff>46182</xdr:rowOff>
    </xdr:to>
    <xdr:pic>
      <xdr:nvPicPr>
        <xdr:cNvPr id="7" name="Picture 9">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2534900" cy="1657350"/>
        </a:xfrm>
        <a:prstGeom prst="rect">
          <a:avLst/>
        </a:prstGeom>
        <a:noFill/>
        <a:ln w="1">
          <a:noFill/>
          <a:miter lim="800000"/>
          <a:headEnd/>
          <a:tailEn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590550</xdr:colOff>
      <xdr:row>3</xdr:row>
      <xdr:rowOff>142875</xdr:rowOff>
    </xdr:to>
    <xdr:pic>
      <xdr:nvPicPr>
        <xdr:cNvPr id="2" name="Picture 1" descr="JTI_TMELogo_S">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3476625" cy="1019175"/>
        </a:xfrm>
        <a:prstGeom prst="rect">
          <a:avLst/>
        </a:prstGeom>
        <a:noFill/>
        <a:ln w="9525">
          <a:noFill/>
          <a:miter lim="800000"/>
          <a:headEnd/>
          <a:tailEnd/>
        </a:ln>
      </xdr:spPr>
    </xdr:pic>
    <xdr:clientData/>
  </xdr:twoCellAnchor>
  <xdr:twoCellAnchor>
    <xdr:from>
      <xdr:col>7</xdr:col>
      <xdr:colOff>895350</xdr:colOff>
      <xdr:row>0</xdr:row>
      <xdr:rowOff>0</xdr:rowOff>
    </xdr:from>
    <xdr:to>
      <xdr:col>8</xdr:col>
      <xdr:colOff>0</xdr:colOff>
      <xdr:row>3</xdr:row>
      <xdr:rowOff>142875</xdr:rowOff>
    </xdr:to>
    <xdr:pic>
      <xdr:nvPicPr>
        <xdr:cNvPr id="3" name="Picture 2" descr="JTI Logo">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582650" y="0"/>
          <a:ext cx="1133475" cy="10191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107950</xdr:colOff>
      <xdr:row>26</xdr:row>
      <xdr:rowOff>65572</xdr:rowOff>
    </xdr:from>
    <xdr:to>
      <xdr:col>15</xdr:col>
      <xdr:colOff>7497</xdr:colOff>
      <xdr:row>40</xdr:row>
      <xdr:rowOff>145549</xdr:rowOff>
    </xdr:to>
    <xdr:pic>
      <xdr:nvPicPr>
        <xdr:cNvPr id="3" name="Picture 2">
          <a:extLst>
            <a:ext uri="{FF2B5EF4-FFF2-40B4-BE49-F238E27FC236}">
              <a16:creationId xmlns:a16="http://schemas.microsoft.com/office/drawing/2014/main" id="{0F4A06D2-9688-41EE-BE65-5BA859D5A127}"/>
            </a:ext>
          </a:extLst>
        </xdr:cNvPr>
        <xdr:cNvPicPr>
          <a:picLocks noChangeAspect="1"/>
        </xdr:cNvPicPr>
      </xdr:nvPicPr>
      <xdr:blipFill>
        <a:blip xmlns:r="http://schemas.openxmlformats.org/officeDocument/2006/relationships" r:embed="rId1"/>
        <a:stretch>
          <a:fillRect/>
        </a:stretch>
      </xdr:blipFill>
      <xdr:spPr>
        <a:xfrm>
          <a:off x="107950" y="4034322"/>
          <a:ext cx="9310247" cy="2296127"/>
        </a:xfrm>
        <a:prstGeom prst="rect">
          <a:avLst/>
        </a:prstGeom>
      </xdr:spPr>
    </xdr:pic>
    <xdr:clientData/>
  </xdr:twoCellAnchor>
  <xdr:twoCellAnchor editAs="oneCell">
    <xdr:from>
      <xdr:col>0</xdr:col>
      <xdr:colOff>120650</xdr:colOff>
      <xdr:row>2</xdr:row>
      <xdr:rowOff>72177</xdr:rowOff>
    </xdr:from>
    <xdr:to>
      <xdr:col>15</xdr:col>
      <xdr:colOff>67021</xdr:colOff>
      <xdr:row>26</xdr:row>
      <xdr:rowOff>25400</xdr:rowOff>
    </xdr:to>
    <xdr:pic>
      <xdr:nvPicPr>
        <xdr:cNvPr id="4" name="Picture 3">
          <a:extLst>
            <a:ext uri="{FF2B5EF4-FFF2-40B4-BE49-F238E27FC236}">
              <a16:creationId xmlns:a16="http://schemas.microsoft.com/office/drawing/2014/main" id="{3219AB27-6F5A-4BE0-84F9-C9F819A228D7}"/>
            </a:ext>
          </a:extLst>
        </xdr:cNvPr>
        <xdr:cNvPicPr>
          <a:picLocks noChangeAspect="1"/>
        </xdr:cNvPicPr>
      </xdr:nvPicPr>
      <xdr:blipFill>
        <a:blip xmlns:r="http://schemas.openxmlformats.org/officeDocument/2006/relationships" r:embed="rId2"/>
        <a:stretch>
          <a:fillRect/>
        </a:stretch>
      </xdr:blipFill>
      <xdr:spPr>
        <a:xfrm>
          <a:off x="120650" y="230927"/>
          <a:ext cx="9344371" cy="3769573"/>
        </a:xfrm>
        <a:prstGeom prst="rect">
          <a:avLst/>
        </a:prstGeom>
      </xdr:spPr>
    </xdr:pic>
    <xdr:clientData/>
  </xdr:twoCellAnchor>
  <xdr:twoCellAnchor editAs="oneCell">
    <xdr:from>
      <xdr:col>0</xdr:col>
      <xdr:colOff>114300</xdr:colOff>
      <xdr:row>43</xdr:row>
      <xdr:rowOff>118486</xdr:rowOff>
    </xdr:from>
    <xdr:to>
      <xdr:col>9</xdr:col>
      <xdr:colOff>344859</xdr:colOff>
      <xdr:row>49</xdr:row>
      <xdr:rowOff>155374</xdr:rowOff>
    </xdr:to>
    <xdr:pic>
      <xdr:nvPicPr>
        <xdr:cNvPr id="2" name="Picture 1">
          <a:extLst>
            <a:ext uri="{FF2B5EF4-FFF2-40B4-BE49-F238E27FC236}">
              <a16:creationId xmlns:a16="http://schemas.microsoft.com/office/drawing/2014/main" id="{AF5D3EFB-257B-41BF-9E18-D2C02AC3EC30}"/>
            </a:ext>
          </a:extLst>
        </xdr:cNvPr>
        <xdr:cNvPicPr>
          <a:picLocks noChangeAspect="1"/>
        </xdr:cNvPicPr>
      </xdr:nvPicPr>
      <xdr:blipFill>
        <a:blip xmlns:r="http://schemas.openxmlformats.org/officeDocument/2006/relationships" r:embed="rId3"/>
        <a:stretch>
          <a:fillRect/>
        </a:stretch>
      </xdr:blipFill>
      <xdr:spPr>
        <a:xfrm>
          <a:off x="114300" y="6785986"/>
          <a:ext cx="5977309" cy="989388"/>
        </a:xfrm>
        <a:prstGeom prst="rect">
          <a:avLst/>
        </a:prstGeom>
      </xdr:spPr>
    </xdr:pic>
    <xdr:clientData/>
  </xdr:twoCellAnchor>
  <xdr:twoCellAnchor editAs="oneCell">
    <xdr:from>
      <xdr:col>0</xdr:col>
      <xdr:colOff>260350</xdr:colOff>
      <xdr:row>51</xdr:row>
      <xdr:rowOff>79313</xdr:rowOff>
    </xdr:from>
    <xdr:to>
      <xdr:col>18</xdr:col>
      <xdr:colOff>543978</xdr:colOff>
      <xdr:row>58</xdr:row>
      <xdr:rowOff>85518</xdr:rowOff>
    </xdr:to>
    <xdr:pic>
      <xdr:nvPicPr>
        <xdr:cNvPr id="6" name="Picture 5">
          <a:extLst>
            <a:ext uri="{FF2B5EF4-FFF2-40B4-BE49-F238E27FC236}">
              <a16:creationId xmlns:a16="http://schemas.microsoft.com/office/drawing/2014/main" id="{951B7BDA-8282-4114-9968-8075D836D481}"/>
            </a:ext>
          </a:extLst>
        </xdr:cNvPr>
        <xdr:cNvPicPr>
          <a:picLocks noChangeAspect="1"/>
        </xdr:cNvPicPr>
      </xdr:nvPicPr>
      <xdr:blipFill>
        <a:blip xmlns:r="http://schemas.openxmlformats.org/officeDocument/2006/relationships" r:embed="rId4"/>
        <a:stretch>
          <a:fillRect/>
        </a:stretch>
      </xdr:blipFill>
      <xdr:spPr>
        <a:xfrm>
          <a:off x="260350" y="8016813"/>
          <a:ext cx="11510428" cy="1117455"/>
        </a:xfrm>
        <a:prstGeom prst="rect">
          <a:avLst/>
        </a:prstGeom>
      </xdr:spPr>
    </xdr:pic>
    <xdr:clientData/>
  </xdr:twoCellAnchor>
  <xdr:twoCellAnchor editAs="oneCell">
    <xdr:from>
      <xdr:col>0</xdr:col>
      <xdr:colOff>254000</xdr:colOff>
      <xdr:row>60</xdr:row>
      <xdr:rowOff>141290</xdr:rowOff>
    </xdr:from>
    <xdr:to>
      <xdr:col>12</xdr:col>
      <xdr:colOff>430389</xdr:colOff>
      <xdr:row>71</xdr:row>
      <xdr:rowOff>69849</xdr:rowOff>
    </xdr:to>
    <xdr:pic>
      <xdr:nvPicPr>
        <xdr:cNvPr id="7" name="Picture 6">
          <a:extLst>
            <a:ext uri="{FF2B5EF4-FFF2-40B4-BE49-F238E27FC236}">
              <a16:creationId xmlns:a16="http://schemas.microsoft.com/office/drawing/2014/main" id="{7623D7F9-18E2-4F84-9644-FFB5D1A260DC}"/>
            </a:ext>
          </a:extLst>
        </xdr:cNvPr>
        <xdr:cNvPicPr>
          <a:picLocks noChangeAspect="1"/>
        </xdr:cNvPicPr>
      </xdr:nvPicPr>
      <xdr:blipFill>
        <a:blip xmlns:r="http://schemas.openxmlformats.org/officeDocument/2006/relationships" r:embed="rId5"/>
        <a:stretch>
          <a:fillRect/>
        </a:stretch>
      </xdr:blipFill>
      <xdr:spPr>
        <a:xfrm>
          <a:off x="254000" y="9507540"/>
          <a:ext cx="7745589" cy="1668459"/>
        </a:xfrm>
        <a:prstGeom prst="rect">
          <a:avLst/>
        </a:prstGeom>
      </xdr:spPr>
    </xdr:pic>
    <xdr:clientData/>
  </xdr:twoCellAnchor>
  <xdr:twoCellAnchor editAs="oneCell">
    <xdr:from>
      <xdr:col>0</xdr:col>
      <xdr:colOff>101600</xdr:colOff>
      <xdr:row>74</xdr:row>
      <xdr:rowOff>58449</xdr:rowOff>
    </xdr:from>
    <xdr:to>
      <xdr:col>14</xdr:col>
      <xdr:colOff>322149</xdr:colOff>
      <xdr:row>97</xdr:row>
      <xdr:rowOff>18369</xdr:rowOff>
    </xdr:to>
    <xdr:pic>
      <xdr:nvPicPr>
        <xdr:cNvPr id="8" name="Picture 7">
          <a:extLst>
            <a:ext uri="{FF2B5EF4-FFF2-40B4-BE49-F238E27FC236}">
              <a16:creationId xmlns:a16="http://schemas.microsoft.com/office/drawing/2014/main" id="{D3748506-371B-4137-8A06-1AB83582DA20}"/>
            </a:ext>
          </a:extLst>
        </xdr:cNvPr>
        <xdr:cNvPicPr>
          <a:picLocks noChangeAspect="1"/>
        </xdr:cNvPicPr>
      </xdr:nvPicPr>
      <xdr:blipFill>
        <a:blip xmlns:r="http://schemas.openxmlformats.org/officeDocument/2006/relationships" r:embed="rId6"/>
        <a:stretch>
          <a:fillRect/>
        </a:stretch>
      </xdr:blipFill>
      <xdr:spPr>
        <a:xfrm>
          <a:off x="101600" y="11488449"/>
          <a:ext cx="9015299" cy="3611170"/>
        </a:xfrm>
        <a:prstGeom prst="rect">
          <a:avLst/>
        </a:prstGeom>
      </xdr:spPr>
    </xdr:pic>
    <xdr:clientData/>
  </xdr:twoCellAnchor>
  <xdr:twoCellAnchor editAs="oneCell">
    <xdr:from>
      <xdr:col>0</xdr:col>
      <xdr:colOff>82259</xdr:colOff>
      <xdr:row>100</xdr:row>
      <xdr:rowOff>57151</xdr:rowOff>
    </xdr:from>
    <xdr:to>
      <xdr:col>9</xdr:col>
      <xdr:colOff>533401</xdr:colOff>
      <xdr:row>107</xdr:row>
      <xdr:rowOff>2017</xdr:rowOff>
    </xdr:to>
    <xdr:pic>
      <xdr:nvPicPr>
        <xdr:cNvPr id="9" name="Picture 8">
          <a:extLst>
            <a:ext uri="{FF2B5EF4-FFF2-40B4-BE49-F238E27FC236}">
              <a16:creationId xmlns:a16="http://schemas.microsoft.com/office/drawing/2014/main" id="{97E38660-A07B-48CE-8141-FEE77C0592F9}"/>
            </a:ext>
          </a:extLst>
        </xdr:cNvPr>
        <xdr:cNvPicPr>
          <a:picLocks noChangeAspect="1"/>
        </xdr:cNvPicPr>
      </xdr:nvPicPr>
      <xdr:blipFill>
        <a:blip xmlns:r="http://schemas.openxmlformats.org/officeDocument/2006/relationships" r:embed="rId7"/>
        <a:stretch>
          <a:fillRect/>
        </a:stretch>
      </xdr:blipFill>
      <xdr:spPr>
        <a:xfrm>
          <a:off x="82259" y="15614651"/>
          <a:ext cx="6197892" cy="1056116"/>
        </a:xfrm>
        <a:prstGeom prst="rect">
          <a:avLst/>
        </a:prstGeom>
      </xdr:spPr>
    </xdr:pic>
    <xdr:clientData/>
  </xdr:twoCellAnchor>
  <xdr:twoCellAnchor editAs="oneCell">
    <xdr:from>
      <xdr:col>0</xdr:col>
      <xdr:colOff>76200</xdr:colOff>
      <xdr:row>109</xdr:row>
      <xdr:rowOff>71239</xdr:rowOff>
    </xdr:from>
    <xdr:to>
      <xdr:col>21</xdr:col>
      <xdr:colOff>67564</xdr:colOff>
      <xdr:row>117</xdr:row>
      <xdr:rowOff>133117</xdr:rowOff>
    </xdr:to>
    <xdr:pic>
      <xdr:nvPicPr>
        <xdr:cNvPr id="10" name="Picture 9">
          <a:extLst>
            <a:ext uri="{FF2B5EF4-FFF2-40B4-BE49-F238E27FC236}">
              <a16:creationId xmlns:a16="http://schemas.microsoft.com/office/drawing/2014/main" id="{B62CF305-65DE-4C54-8523-A4D960DECA2A}"/>
            </a:ext>
          </a:extLst>
        </xdr:cNvPr>
        <xdr:cNvPicPr>
          <a:picLocks noChangeAspect="1"/>
        </xdr:cNvPicPr>
      </xdr:nvPicPr>
      <xdr:blipFill>
        <a:blip xmlns:r="http://schemas.openxmlformats.org/officeDocument/2006/relationships" r:embed="rId8"/>
        <a:stretch>
          <a:fillRect/>
        </a:stretch>
      </xdr:blipFill>
      <xdr:spPr>
        <a:xfrm>
          <a:off x="76200" y="17057489"/>
          <a:ext cx="13046964" cy="1331878"/>
        </a:xfrm>
        <a:prstGeom prst="rect">
          <a:avLst/>
        </a:prstGeom>
      </xdr:spPr>
    </xdr:pic>
    <xdr:clientData/>
  </xdr:twoCellAnchor>
  <xdr:twoCellAnchor editAs="oneCell">
    <xdr:from>
      <xdr:col>0</xdr:col>
      <xdr:colOff>88900</xdr:colOff>
      <xdr:row>120</xdr:row>
      <xdr:rowOff>85572</xdr:rowOff>
    </xdr:from>
    <xdr:to>
      <xdr:col>13</xdr:col>
      <xdr:colOff>196850</xdr:colOff>
      <xdr:row>132</xdr:row>
      <xdr:rowOff>25400</xdr:rowOff>
    </xdr:to>
    <xdr:pic>
      <xdr:nvPicPr>
        <xdr:cNvPr id="12" name="Picture 11">
          <a:extLst>
            <a:ext uri="{FF2B5EF4-FFF2-40B4-BE49-F238E27FC236}">
              <a16:creationId xmlns:a16="http://schemas.microsoft.com/office/drawing/2014/main" id="{50D3EF14-1F81-4389-9CC7-9F419EED05F2}"/>
            </a:ext>
          </a:extLst>
        </xdr:cNvPr>
        <xdr:cNvPicPr>
          <a:picLocks noChangeAspect="1"/>
        </xdr:cNvPicPr>
      </xdr:nvPicPr>
      <xdr:blipFill>
        <a:blip xmlns:r="http://schemas.openxmlformats.org/officeDocument/2006/relationships" r:embed="rId9"/>
        <a:stretch>
          <a:fillRect/>
        </a:stretch>
      </xdr:blipFill>
      <xdr:spPr>
        <a:xfrm>
          <a:off x="88900" y="18818072"/>
          <a:ext cx="8299450" cy="1851178"/>
        </a:xfrm>
        <a:prstGeom prst="rect">
          <a:avLst/>
        </a:prstGeom>
      </xdr:spPr>
    </xdr:pic>
    <xdr:clientData/>
  </xdr:twoCellAnchor>
  <xdr:twoCellAnchor editAs="oneCell">
    <xdr:from>
      <xdr:col>0</xdr:col>
      <xdr:colOff>95251</xdr:colOff>
      <xdr:row>136</xdr:row>
      <xdr:rowOff>57150</xdr:rowOff>
    </xdr:from>
    <xdr:to>
      <xdr:col>20</xdr:col>
      <xdr:colOff>445985</xdr:colOff>
      <xdr:row>177</xdr:row>
      <xdr:rowOff>28575</xdr:rowOff>
    </xdr:to>
    <xdr:pic>
      <xdr:nvPicPr>
        <xdr:cNvPr id="5" name="Picture 4">
          <a:extLst>
            <a:ext uri="{FF2B5EF4-FFF2-40B4-BE49-F238E27FC236}">
              <a16:creationId xmlns:a16="http://schemas.microsoft.com/office/drawing/2014/main" id="{A2A30678-8784-410C-9A23-4B3366800BD1}"/>
            </a:ext>
          </a:extLst>
        </xdr:cNvPr>
        <xdr:cNvPicPr>
          <a:picLocks noChangeAspect="1"/>
        </xdr:cNvPicPr>
      </xdr:nvPicPr>
      <xdr:blipFill>
        <a:blip xmlns:r="http://schemas.openxmlformats.org/officeDocument/2006/relationships" r:embed="rId10"/>
        <a:stretch>
          <a:fillRect/>
        </a:stretch>
      </xdr:blipFill>
      <xdr:spPr>
        <a:xfrm>
          <a:off x="95251" y="21593175"/>
          <a:ext cx="12799909" cy="6610350"/>
        </a:xfrm>
        <a:prstGeom prst="rect">
          <a:avLst/>
        </a:prstGeom>
      </xdr:spPr>
    </xdr:pic>
    <xdr:clientData/>
  </xdr:twoCellAnchor>
  <xdr:twoCellAnchor editAs="oneCell">
    <xdr:from>
      <xdr:col>0</xdr:col>
      <xdr:colOff>82550</xdr:colOff>
      <xdr:row>180</xdr:row>
      <xdr:rowOff>76200</xdr:rowOff>
    </xdr:from>
    <xdr:to>
      <xdr:col>9</xdr:col>
      <xdr:colOff>314325</xdr:colOff>
      <xdr:row>186</xdr:row>
      <xdr:rowOff>38100</xdr:rowOff>
    </xdr:to>
    <xdr:pic>
      <xdr:nvPicPr>
        <xdr:cNvPr id="13" name="Picture 12">
          <a:extLst>
            <a:ext uri="{FF2B5EF4-FFF2-40B4-BE49-F238E27FC236}">
              <a16:creationId xmlns:a16="http://schemas.microsoft.com/office/drawing/2014/main" id="{58AB8EE1-58F6-4367-AE21-83C273D7B888}"/>
            </a:ext>
          </a:extLst>
        </xdr:cNvPr>
        <xdr:cNvPicPr/>
      </xdr:nvPicPr>
      <xdr:blipFill>
        <a:blip xmlns:r="http://schemas.openxmlformats.org/officeDocument/2006/relationships" r:embed="rId11"/>
        <a:stretch>
          <a:fillRect/>
        </a:stretch>
      </xdr:blipFill>
      <xdr:spPr>
        <a:xfrm>
          <a:off x="82550" y="29222700"/>
          <a:ext cx="5975350" cy="933450"/>
        </a:xfrm>
        <a:prstGeom prst="rect">
          <a:avLst/>
        </a:prstGeom>
      </xdr:spPr>
    </xdr:pic>
    <xdr:clientData/>
  </xdr:twoCellAnchor>
  <xdr:twoCellAnchor editAs="oneCell">
    <xdr:from>
      <xdr:col>0</xdr:col>
      <xdr:colOff>161925</xdr:colOff>
      <xdr:row>188</xdr:row>
      <xdr:rowOff>95250</xdr:rowOff>
    </xdr:from>
    <xdr:to>
      <xdr:col>16</xdr:col>
      <xdr:colOff>322580</xdr:colOff>
      <xdr:row>195</xdr:row>
      <xdr:rowOff>78740</xdr:rowOff>
    </xdr:to>
    <xdr:pic>
      <xdr:nvPicPr>
        <xdr:cNvPr id="14" name="Picture 13">
          <a:extLst>
            <a:ext uri="{FF2B5EF4-FFF2-40B4-BE49-F238E27FC236}">
              <a16:creationId xmlns:a16="http://schemas.microsoft.com/office/drawing/2014/main" id="{2CE24BD9-48EC-4B2A-B43F-95F29914C2C1}"/>
            </a:ext>
          </a:extLst>
        </xdr:cNvPr>
        <xdr:cNvPicPr/>
      </xdr:nvPicPr>
      <xdr:blipFill>
        <a:blip xmlns:r="http://schemas.openxmlformats.org/officeDocument/2006/relationships" r:embed="rId12"/>
        <a:stretch>
          <a:fillRect/>
        </a:stretch>
      </xdr:blipFill>
      <xdr:spPr>
        <a:xfrm>
          <a:off x="161925" y="30537150"/>
          <a:ext cx="10171430" cy="1116965"/>
        </a:xfrm>
        <a:prstGeom prst="rect">
          <a:avLst/>
        </a:prstGeom>
      </xdr:spPr>
    </xdr:pic>
    <xdr:clientData/>
  </xdr:twoCellAnchor>
  <xdr:twoCellAnchor editAs="oneCell">
    <xdr:from>
      <xdr:col>0</xdr:col>
      <xdr:colOff>171450</xdr:colOff>
      <xdr:row>198</xdr:row>
      <xdr:rowOff>133350</xdr:rowOff>
    </xdr:from>
    <xdr:to>
      <xdr:col>12</xdr:col>
      <xdr:colOff>406698</xdr:colOff>
      <xdr:row>208</xdr:row>
      <xdr:rowOff>142875</xdr:rowOff>
    </xdr:to>
    <xdr:pic>
      <xdr:nvPicPr>
        <xdr:cNvPr id="11" name="Picture 10">
          <a:extLst>
            <a:ext uri="{FF2B5EF4-FFF2-40B4-BE49-F238E27FC236}">
              <a16:creationId xmlns:a16="http://schemas.microsoft.com/office/drawing/2014/main" id="{45C725ED-2B86-4107-A9B9-C1F3A7E7687B}"/>
            </a:ext>
          </a:extLst>
        </xdr:cNvPr>
        <xdr:cNvPicPr>
          <a:picLocks noChangeAspect="1"/>
        </xdr:cNvPicPr>
      </xdr:nvPicPr>
      <xdr:blipFill>
        <a:blip xmlns:r="http://schemas.openxmlformats.org/officeDocument/2006/relationships" r:embed="rId13"/>
        <a:stretch>
          <a:fillRect/>
        </a:stretch>
      </xdr:blipFill>
      <xdr:spPr>
        <a:xfrm>
          <a:off x="171450" y="32194500"/>
          <a:ext cx="7807623" cy="16287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abSelected="1" topLeftCell="A16" zoomScale="66" workbookViewId="0">
      <selection activeCell="P28" sqref="P28"/>
    </sheetView>
  </sheetViews>
  <sheetFormatPr defaultColWidth="9.28515625" defaultRowHeight="12.75" x14ac:dyDescent="0.2"/>
  <cols>
    <col min="1" max="9" width="10.7109375" style="12" customWidth="1"/>
    <col min="10" max="10" width="2.7109375" style="12" customWidth="1"/>
    <col min="11" max="19" width="10.7109375" style="12" customWidth="1"/>
    <col min="20" max="16384" width="9.28515625" style="12"/>
  </cols>
  <sheetData>
    <row r="1" spans="1:19" s="11" customFormat="1" ht="13.5" x14ac:dyDescent="0.2">
      <c r="A1" s="9"/>
      <c r="B1" s="10"/>
      <c r="C1" s="10"/>
      <c r="D1" s="10"/>
      <c r="E1" s="10"/>
      <c r="F1" s="10"/>
      <c r="G1" s="10"/>
      <c r="H1" s="10"/>
      <c r="I1" s="10"/>
      <c r="J1" s="10"/>
      <c r="K1" s="10"/>
      <c r="L1" s="10"/>
      <c r="M1" s="10"/>
      <c r="N1" s="10"/>
      <c r="O1" s="10"/>
      <c r="P1" s="10"/>
      <c r="Q1" s="10"/>
      <c r="R1" s="10"/>
      <c r="S1" s="10"/>
    </row>
    <row r="2" spans="1:19" s="11" customFormat="1" x14ac:dyDescent="0.2">
      <c r="A2" s="10"/>
      <c r="B2" s="10"/>
      <c r="C2" s="10"/>
      <c r="D2" s="10"/>
      <c r="E2" s="10"/>
      <c r="F2" s="10"/>
      <c r="G2" s="10"/>
      <c r="H2" s="10"/>
      <c r="I2" s="10"/>
      <c r="J2" s="10"/>
      <c r="K2" s="10"/>
      <c r="L2" s="10"/>
      <c r="M2" s="10"/>
      <c r="N2" s="10"/>
      <c r="O2" s="10"/>
      <c r="P2" s="10"/>
      <c r="Q2" s="10"/>
      <c r="R2" s="10"/>
      <c r="S2" s="10"/>
    </row>
    <row r="3" spans="1:19" s="11" customFormat="1" x14ac:dyDescent="0.2">
      <c r="A3" s="10"/>
      <c r="B3" s="10"/>
      <c r="C3" s="10"/>
      <c r="D3" s="10"/>
      <c r="E3" s="10"/>
      <c r="F3" s="10"/>
      <c r="G3" s="10"/>
      <c r="H3" s="10"/>
      <c r="I3" s="10"/>
      <c r="J3" s="10"/>
      <c r="K3" s="10"/>
      <c r="L3" s="10"/>
      <c r="M3" s="10"/>
      <c r="N3" s="10"/>
      <c r="O3" s="10"/>
      <c r="P3" s="10"/>
      <c r="Q3" s="10"/>
      <c r="R3" s="10"/>
      <c r="S3" s="10"/>
    </row>
    <row r="4" spans="1:19" s="11" customFormat="1" x14ac:dyDescent="0.2">
      <c r="A4" s="10"/>
      <c r="B4" s="10"/>
      <c r="C4" s="10"/>
      <c r="D4" s="10"/>
      <c r="E4" s="10"/>
      <c r="F4" s="10"/>
      <c r="G4" s="10"/>
      <c r="H4" s="10"/>
      <c r="I4" s="10"/>
      <c r="J4" s="10"/>
      <c r="K4" s="10"/>
      <c r="L4" s="10"/>
      <c r="M4" s="10"/>
      <c r="N4" s="10"/>
      <c r="O4" s="10"/>
      <c r="P4" s="10"/>
      <c r="Q4" s="10"/>
      <c r="R4" s="10"/>
      <c r="S4" s="10"/>
    </row>
    <row r="5" spans="1:19" s="11" customFormat="1" x14ac:dyDescent="0.2">
      <c r="A5" s="10"/>
      <c r="B5" s="10"/>
      <c r="C5" s="10"/>
      <c r="D5" s="10"/>
      <c r="E5" s="10"/>
      <c r="F5" s="10"/>
      <c r="G5" s="10"/>
      <c r="H5" s="10"/>
      <c r="I5" s="10"/>
      <c r="J5" s="10"/>
      <c r="K5" s="10"/>
      <c r="L5" s="10"/>
      <c r="M5" s="10"/>
      <c r="N5" s="10"/>
      <c r="O5" s="10"/>
      <c r="P5" s="10"/>
      <c r="Q5" s="10"/>
      <c r="R5" s="10"/>
      <c r="S5" s="10"/>
    </row>
    <row r="6" spans="1:19" x14ac:dyDescent="0.2">
      <c r="A6" s="10"/>
      <c r="B6" s="10"/>
      <c r="C6" s="10"/>
      <c r="D6" s="10"/>
      <c r="E6" s="10"/>
      <c r="F6" s="10"/>
      <c r="G6" s="10"/>
      <c r="H6" s="10"/>
      <c r="I6" s="10"/>
      <c r="J6" s="10"/>
      <c r="K6" s="10"/>
      <c r="L6" s="10"/>
      <c r="M6" s="10"/>
      <c r="N6" s="10"/>
      <c r="O6" s="10"/>
      <c r="P6" s="10"/>
      <c r="Q6" s="10"/>
      <c r="R6" s="10"/>
      <c r="S6" s="10"/>
    </row>
    <row r="7" spans="1:19" ht="12.75" customHeight="1" x14ac:dyDescent="0.2">
      <c r="A7" s="10"/>
      <c r="B7" s="10"/>
      <c r="C7" s="10"/>
      <c r="D7" s="10"/>
      <c r="E7" s="10"/>
      <c r="F7" s="10"/>
      <c r="G7" s="10"/>
      <c r="H7" s="10"/>
      <c r="I7" s="10"/>
      <c r="J7" s="10"/>
      <c r="K7" s="10"/>
      <c r="L7" s="10"/>
      <c r="M7" s="10"/>
      <c r="N7" s="10"/>
      <c r="O7" s="10"/>
      <c r="P7" s="10"/>
      <c r="Q7" s="10"/>
      <c r="R7" s="10"/>
      <c r="S7" s="10"/>
    </row>
    <row r="8" spans="1:19" ht="9.75" customHeight="1" x14ac:dyDescent="0.2">
      <c r="A8" s="10"/>
      <c r="B8" s="10"/>
      <c r="C8" s="10"/>
      <c r="D8" s="10"/>
      <c r="E8" s="10"/>
      <c r="F8" s="10"/>
      <c r="G8" s="10"/>
      <c r="H8" s="10"/>
      <c r="I8" s="10"/>
      <c r="J8" s="10"/>
      <c r="K8" s="10"/>
      <c r="L8" s="10"/>
      <c r="M8" s="10"/>
      <c r="N8" s="10"/>
      <c r="O8" s="10"/>
      <c r="P8" s="10"/>
      <c r="Q8" s="10"/>
      <c r="R8" s="10"/>
      <c r="S8" s="10"/>
    </row>
    <row r="9" spans="1:19" x14ac:dyDescent="0.2">
      <c r="A9" s="10"/>
      <c r="B9" s="10"/>
      <c r="C9" s="10"/>
      <c r="D9" s="10"/>
      <c r="E9" s="10"/>
      <c r="F9" s="10"/>
      <c r="G9" s="10"/>
      <c r="H9" s="10"/>
      <c r="I9" s="10"/>
      <c r="J9" s="10"/>
      <c r="K9" s="10"/>
      <c r="L9" s="10"/>
      <c r="M9" s="10"/>
      <c r="N9" s="10"/>
      <c r="O9" s="10"/>
      <c r="P9" s="10"/>
      <c r="Q9" s="10"/>
      <c r="R9" s="10"/>
      <c r="S9" s="10"/>
    </row>
    <row r="10" spans="1:19" ht="13.5" x14ac:dyDescent="0.2">
      <c r="A10" s="9"/>
      <c r="B10" s="9"/>
      <c r="C10" s="9"/>
      <c r="D10" s="9"/>
      <c r="E10" s="9"/>
      <c r="F10" s="9"/>
      <c r="G10" s="9"/>
      <c r="H10" s="9"/>
      <c r="I10" s="9"/>
      <c r="J10" s="9"/>
      <c r="K10" s="9"/>
      <c r="L10" s="9"/>
      <c r="M10" s="10"/>
      <c r="N10" s="10"/>
      <c r="O10" s="10"/>
      <c r="P10" s="10"/>
      <c r="Q10" s="10"/>
      <c r="R10" s="10"/>
      <c r="S10" s="10"/>
    </row>
    <row r="11" spans="1:19" ht="13.5" x14ac:dyDescent="0.2">
      <c r="A11" s="9"/>
      <c r="B11" s="9"/>
      <c r="C11" s="9"/>
      <c r="D11" s="9"/>
      <c r="E11" s="9"/>
      <c r="F11" s="9"/>
      <c r="G11" s="9"/>
      <c r="H11" s="9"/>
      <c r="I11" s="9"/>
      <c r="J11" s="9"/>
      <c r="K11" s="9"/>
      <c r="L11" s="9"/>
      <c r="M11" s="10"/>
      <c r="N11" s="10"/>
      <c r="O11" s="10"/>
      <c r="P11" s="10"/>
      <c r="Q11" s="10"/>
      <c r="R11" s="10"/>
      <c r="S11" s="10"/>
    </row>
    <row r="12" spans="1:19" ht="13.5" x14ac:dyDescent="0.2">
      <c r="A12" s="9"/>
      <c r="B12" s="9"/>
      <c r="C12" s="9"/>
      <c r="D12" s="9"/>
      <c r="E12" s="9"/>
      <c r="F12" s="9"/>
      <c r="G12" s="9"/>
      <c r="H12" s="9"/>
      <c r="I12" s="9"/>
      <c r="J12" s="9"/>
      <c r="K12" s="9"/>
      <c r="L12" s="9"/>
      <c r="M12" s="10"/>
      <c r="N12" s="10"/>
      <c r="O12" s="10"/>
      <c r="P12" s="10"/>
      <c r="Q12" s="10"/>
      <c r="R12" s="10"/>
      <c r="S12" s="10"/>
    </row>
    <row r="13" spans="1:19" ht="30.75" thickBot="1" x14ac:dyDescent="0.25">
      <c r="A13" s="97" t="s">
        <v>2</v>
      </c>
      <c r="B13" s="97"/>
      <c r="C13" s="97"/>
      <c r="D13" s="97"/>
      <c r="E13" s="97"/>
      <c r="F13" s="97"/>
      <c r="G13" s="97"/>
      <c r="H13" s="97"/>
      <c r="I13" s="97"/>
      <c r="J13" s="97"/>
      <c r="K13" s="97"/>
      <c r="L13" s="97"/>
      <c r="M13" s="97"/>
      <c r="N13" s="97"/>
      <c r="O13" s="97"/>
      <c r="P13" s="97"/>
      <c r="Q13" s="97"/>
      <c r="R13" s="97"/>
      <c r="S13" s="97"/>
    </row>
    <row r="14" spans="1:19" ht="14.25" thickTop="1" x14ac:dyDescent="0.2">
      <c r="A14" s="9"/>
      <c r="B14" s="9"/>
      <c r="C14" s="9"/>
      <c r="D14" s="9"/>
      <c r="E14" s="9"/>
      <c r="F14" s="9"/>
      <c r="G14" s="9"/>
      <c r="H14" s="9"/>
      <c r="I14" s="9"/>
      <c r="J14" s="9"/>
      <c r="K14" s="9"/>
      <c r="L14" s="9"/>
      <c r="M14" s="10"/>
      <c r="N14" s="10"/>
      <c r="O14" s="10"/>
      <c r="P14" s="10"/>
      <c r="Q14" s="10"/>
      <c r="R14" s="10"/>
      <c r="S14" s="10"/>
    </row>
    <row r="15" spans="1:19" ht="13.5" x14ac:dyDescent="0.2">
      <c r="A15" s="9"/>
      <c r="B15" s="9"/>
      <c r="C15" s="9"/>
      <c r="D15" s="9"/>
      <c r="E15" s="9"/>
      <c r="F15" s="9"/>
      <c r="G15" s="9"/>
      <c r="H15" s="9"/>
      <c r="I15" s="9"/>
      <c r="J15" s="9"/>
      <c r="K15" s="9"/>
      <c r="L15" s="9"/>
      <c r="M15" s="10"/>
      <c r="N15" s="10"/>
      <c r="O15" s="10"/>
      <c r="P15" s="10"/>
      <c r="Q15" s="10"/>
      <c r="R15" s="13"/>
      <c r="S15" s="13"/>
    </row>
    <row r="16" spans="1:19" ht="13.5" x14ac:dyDescent="0.2">
      <c r="A16" s="14"/>
      <c r="B16" s="14"/>
      <c r="C16" s="14"/>
      <c r="D16" s="14"/>
      <c r="E16" s="14"/>
      <c r="F16" s="14"/>
      <c r="G16" s="14"/>
      <c r="H16" s="14"/>
      <c r="I16" s="14"/>
      <c r="J16" s="14"/>
      <c r="K16" s="14"/>
      <c r="L16" s="14"/>
      <c r="M16" s="13"/>
      <c r="N16" s="13"/>
      <c r="O16" s="13"/>
      <c r="P16" s="13"/>
      <c r="Q16" s="13"/>
      <c r="R16" s="13"/>
      <c r="S16" s="13"/>
    </row>
    <row r="17" spans="1:19" ht="13.5" x14ac:dyDescent="0.2">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
      <c r="A18" s="98" t="s">
        <v>17</v>
      </c>
      <c r="B18" s="98"/>
      <c r="C18" s="98"/>
      <c r="D18" s="98"/>
      <c r="E18" s="98"/>
      <c r="F18" s="98"/>
      <c r="G18" s="98"/>
      <c r="H18" s="98"/>
      <c r="I18" s="98"/>
      <c r="J18" s="98"/>
      <c r="K18" s="98"/>
      <c r="L18" s="98"/>
      <c r="M18" s="98"/>
      <c r="N18" s="98"/>
      <c r="O18" s="98"/>
      <c r="P18" s="98"/>
      <c r="Q18" s="98"/>
      <c r="R18" s="98"/>
      <c r="S18" s="98"/>
    </row>
    <row r="19" spans="1:19" s="15" customFormat="1" ht="40.5" customHeight="1" x14ac:dyDescent="0.2">
      <c r="A19" s="99" t="s">
        <v>1</v>
      </c>
      <c r="B19" s="99"/>
      <c r="C19" s="99"/>
      <c r="D19" s="99"/>
      <c r="E19" s="99"/>
      <c r="F19" s="99"/>
      <c r="G19" s="99"/>
      <c r="H19" s="99"/>
      <c r="I19" s="99"/>
      <c r="J19" s="99"/>
      <c r="K19" s="99"/>
      <c r="L19" s="99"/>
      <c r="M19" s="99"/>
      <c r="N19" s="99"/>
      <c r="O19" s="99"/>
      <c r="P19" s="99"/>
      <c r="Q19" s="99"/>
      <c r="R19" s="99"/>
      <c r="S19" s="99"/>
    </row>
    <row r="20" spans="1:19" s="15" customFormat="1" ht="13.5" x14ac:dyDescent="0.2">
      <c r="A20" s="16"/>
      <c r="B20" s="16"/>
      <c r="C20" s="16"/>
      <c r="D20" s="16"/>
      <c r="E20" s="16"/>
      <c r="F20" s="16"/>
      <c r="G20" s="16"/>
      <c r="H20" s="16"/>
      <c r="I20" s="16"/>
      <c r="J20" s="16"/>
    </row>
    <row r="21" spans="1:19" s="15" customFormat="1" ht="58.5" customHeight="1" x14ac:dyDescent="0.2">
      <c r="A21" s="100" t="s">
        <v>18</v>
      </c>
      <c r="B21" s="100"/>
      <c r="C21" s="100"/>
      <c r="D21" s="100"/>
      <c r="E21" s="100"/>
      <c r="F21" s="100"/>
      <c r="G21" s="100"/>
      <c r="H21" s="100"/>
      <c r="I21" s="100"/>
      <c r="J21" s="6"/>
      <c r="K21" s="101" t="s">
        <v>157</v>
      </c>
      <c r="L21" s="101"/>
      <c r="M21" s="101"/>
      <c r="N21" s="101"/>
      <c r="O21" s="101"/>
      <c r="P21" s="101"/>
      <c r="Q21" s="101"/>
      <c r="R21" s="101"/>
      <c r="S21" s="101"/>
    </row>
    <row r="22" spans="1:19" s="15" customFormat="1" ht="13.5" x14ac:dyDescent="0.2">
      <c r="A22" s="16"/>
      <c r="B22" s="16"/>
      <c r="C22" s="16"/>
      <c r="D22" s="16"/>
      <c r="E22" s="16"/>
      <c r="F22" s="16"/>
      <c r="G22" s="16"/>
      <c r="H22" s="16"/>
      <c r="I22" s="16"/>
      <c r="J22" s="16"/>
    </row>
    <row r="23" spans="1:19" s="15" customFormat="1" ht="70.150000000000006" customHeight="1" x14ac:dyDescent="0.2">
      <c r="A23" s="104" t="s">
        <v>19</v>
      </c>
      <c r="B23" s="104"/>
      <c r="C23" s="104"/>
      <c r="D23" s="104"/>
      <c r="E23" s="104"/>
      <c r="F23" s="104"/>
      <c r="G23" s="104"/>
      <c r="H23" s="104"/>
      <c r="I23" s="104"/>
      <c r="J23" s="7"/>
      <c r="K23" s="105" t="s">
        <v>158</v>
      </c>
      <c r="L23" s="105"/>
      <c r="M23" s="105"/>
      <c r="N23" s="105"/>
      <c r="O23" s="105"/>
      <c r="P23" s="105"/>
      <c r="Q23" s="105"/>
      <c r="R23" s="105"/>
      <c r="S23" s="105"/>
    </row>
    <row r="24" spans="1:19" s="15" customFormat="1" ht="13.5" x14ac:dyDescent="0.2">
      <c r="A24" s="16"/>
      <c r="B24" s="16"/>
      <c r="C24" s="16"/>
      <c r="D24" s="16"/>
      <c r="E24" s="16"/>
      <c r="F24" s="16"/>
      <c r="G24" s="16"/>
      <c r="H24" s="16"/>
      <c r="I24" s="16"/>
      <c r="J24" s="16"/>
    </row>
    <row r="25" spans="1:19" s="15" customFormat="1" ht="70.150000000000006" customHeight="1" x14ac:dyDescent="0.2">
      <c r="A25" s="106" t="s">
        <v>3</v>
      </c>
      <c r="B25" s="106"/>
      <c r="C25" s="106"/>
      <c r="D25" s="106"/>
      <c r="E25" s="106"/>
      <c r="F25" s="106"/>
      <c r="G25" s="106"/>
      <c r="H25" s="106"/>
      <c r="I25" s="106"/>
      <c r="J25" s="7"/>
      <c r="K25" s="107" t="s">
        <v>159</v>
      </c>
      <c r="L25" s="107"/>
      <c r="M25" s="107"/>
      <c r="N25" s="107"/>
      <c r="O25" s="107"/>
      <c r="P25" s="107"/>
      <c r="Q25" s="107"/>
      <c r="R25" s="107"/>
      <c r="S25" s="107"/>
    </row>
    <row r="26" spans="1:19" s="15" customFormat="1" ht="13.5" x14ac:dyDescent="0.2">
      <c r="A26" s="16"/>
      <c r="B26" s="16"/>
      <c r="C26" s="16"/>
      <c r="D26" s="16"/>
      <c r="E26" s="16"/>
      <c r="F26" s="16"/>
      <c r="G26" s="16"/>
      <c r="H26" s="16"/>
      <c r="I26" s="16"/>
      <c r="J26" s="16"/>
    </row>
    <row r="27" spans="1:19" ht="27" customHeight="1" x14ac:dyDescent="0.2">
      <c r="A27" s="102" t="s">
        <v>13</v>
      </c>
      <c r="B27" s="102"/>
      <c r="C27" s="102"/>
      <c r="D27" s="102"/>
      <c r="E27" s="102"/>
      <c r="F27" s="102"/>
      <c r="G27" s="102"/>
      <c r="H27" s="102"/>
      <c r="I27" s="102"/>
      <c r="K27" s="103" t="s">
        <v>20</v>
      </c>
      <c r="L27" s="103"/>
      <c r="M27" s="103"/>
      <c r="N27" s="103"/>
      <c r="O27" s="103"/>
      <c r="P27" s="103"/>
      <c r="Q27" s="103"/>
      <c r="R27" s="103"/>
      <c r="S27" s="103"/>
    </row>
    <row r="28" spans="1:19" ht="27" customHeight="1" x14ac:dyDescent="0.2">
      <c r="A28" s="102"/>
      <c r="B28" s="102"/>
      <c r="C28" s="102"/>
      <c r="D28" s="102"/>
      <c r="E28" s="102"/>
      <c r="F28" s="102"/>
      <c r="G28" s="102"/>
      <c r="H28" s="102"/>
      <c r="I28" s="102"/>
      <c r="K28" s="103"/>
      <c r="L28" s="103"/>
      <c r="M28" s="103"/>
      <c r="N28" s="103"/>
      <c r="O28" s="17"/>
      <c r="P28" s="17"/>
      <c r="Q28" s="17"/>
      <c r="R28" s="17"/>
      <c r="S28" s="17"/>
    </row>
    <row r="29" spans="1:19" ht="27" customHeight="1" x14ac:dyDescent="0.2">
      <c r="A29" s="102"/>
      <c r="B29" s="102"/>
      <c r="C29" s="102"/>
      <c r="D29" s="102"/>
      <c r="E29" s="102"/>
      <c r="F29" s="102"/>
      <c r="G29" s="102"/>
      <c r="H29" s="102"/>
      <c r="I29" s="102"/>
      <c r="K29" s="103"/>
      <c r="L29" s="103"/>
      <c r="M29" s="103"/>
      <c r="N29" s="103"/>
      <c r="O29" s="103"/>
      <c r="P29" s="103"/>
      <c r="Q29" s="103"/>
      <c r="R29" s="103"/>
      <c r="S29" s="103"/>
    </row>
    <row r="30" spans="1:19" s="15" customFormat="1" ht="30.75" x14ac:dyDescent="0.2">
      <c r="A30" s="8"/>
      <c r="B30" s="18"/>
      <c r="C30" s="18"/>
      <c r="D30" s="18"/>
      <c r="E30" s="18"/>
      <c r="F30" s="18"/>
      <c r="G30" s="18"/>
      <c r="H30" s="18"/>
      <c r="I30" s="18"/>
      <c r="J30" s="18"/>
      <c r="K30" s="18"/>
      <c r="L30" s="18"/>
      <c r="M30" s="18"/>
      <c r="N30" s="18"/>
      <c r="O30" s="18"/>
      <c r="P30" s="18"/>
      <c r="Q30" s="18"/>
    </row>
    <row r="31" spans="1:19" x14ac:dyDescent="0.2">
      <c r="A31" s="10"/>
      <c r="B31" s="10"/>
      <c r="C31" s="10"/>
      <c r="D31" s="10"/>
      <c r="E31" s="10"/>
      <c r="F31" s="10"/>
      <c r="G31" s="10"/>
      <c r="H31" s="10"/>
      <c r="I31" s="10"/>
      <c r="J31" s="10"/>
      <c r="K31" s="10"/>
      <c r="L31" s="10"/>
      <c r="M31" s="10"/>
      <c r="N31" s="10"/>
      <c r="O31" s="10"/>
      <c r="P31" s="10"/>
      <c r="Q31" s="10"/>
      <c r="R31" s="10"/>
      <c r="S31" s="10"/>
    </row>
    <row r="32" spans="1:19" x14ac:dyDescent="0.2">
      <c r="A32" s="10"/>
      <c r="B32" s="10"/>
      <c r="C32" s="10"/>
      <c r="D32" s="10"/>
      <c r="E32" s="10"/>
      <c r="F32" s="10"/>
      <c r="G32" s="10"/>
      <c r="H32" s="10"/>
      <c r="I32" s="10"/>
      <c r="J32" s="10"/>
      <c r="K32" s="10"/>
      <c r="L32" s="10"/>
      <c r="M32" s="10"/>
      <c r="N32" s="10"/>
      <c r="O32" s="10"/>
      <c r="P32" s="10"/>
      <c r="Q32" s="10"/>
      <c r="R32" s="10"/>
      <c r="S32" s="10"/>
    </row>
    <row r="33" spans="1:19" x14ac:dyDescent="0.2">
      <c r="A33" s="10"/>
      <c r="B33" s="10"/>
      <c r="C33" s="10"/>
      <c r="D33" s="10"/>
      <c r="E33" s="10"/>
      <c r="F33" s="10"/>
      <c r="G33" s="10"/>
      <c r="H33" s="10"/>
      <c r="I33" s="10"/>
      <c r="J33" s="10"/>
      <c r="K33" s="10"/>
      <c r="L33" s="10"/>
      <c r="M33" s="10"/>
      <c r="N33" s="10"/>
      <c r="O33" s="10"/>
      <c r="P33" s="10"/>
      <c r="Q33" s="10"/>
      <c r="R33" s="10"/>
      <c r="S33" s="10"/>
    </row>
    <row r="34" spans="1:19" x14ac:dyDescent="0.2">
      <c r="A34" s="10"/>
      <c r="B34" s="10"/>
      <c r="C34" s="10"/>
      <c r="D34" s="10"/>
      <c r="E34" s="10"/>
      <c r="F34" s="10"/>
      <c r="G34" s="10"/>
      <c r="H34" s="10"/>
      <c r="I34" s="10"/>
      <c r="J34" s="10"/>
      <c r="K34" s="10"/>
      <c r="L34" s="10"/>
      <c r="M34" s="10"/>
      <c r="N34" s="10"/>
      <c r="O34" s="10"/>
      <c r="P34" s="10"/>
      <c r="Q34" s="10"/>
      <c r="R34" s="10"/>
      <c r="S34" s="10"/>
    </row>
    <row r="35" spans="1:19" x14ac:dyDescent="0.2">
      <c r="A35" s="10"/>
      <c r="B35" s="10"/>
      <c r="C35" s="10"/>
      <c r="D35" s="10"/>
      <c r="E35" s="10"/>
      <c r="F35" s="10"/>
      <c r="G35" s="10"/>
      <c r="H35" s="10"/>
      <c r="I35" s="10"/>
      <c r="J35" s="10"/>
      <c r="K35" s="10"/>
      <c r="L35" s="10"/>
      <c r="M35" s="10"/>
      <c r="N35" s="10"/>
      <c r="O35" s="10"/>
      <c r="P35" s="10"/>
      <c r="Q35" s="10"/>
      <c r="R35" s="10"/>
      <c r="S35" s="10"/>
    </row>
    <row r="36" spans="1:19" x14ac:dyDescent="0.2">
      <c r="A36" s="10"/>
      <c r="B36" s="10"/>
      <c r="C36" s="10"/>
      <c r="D36" s="10"/>
      <c r="E36" s="10"/>
      <c r="F36" s="10"/>
      <c r="G36" s="10"/>
      <c r="H36" s="10"/>
      <c r="I36" s="10"/>
      <c r="J36" s="10"/>
      <c r="K36" s="10"/>
      <c r="L36" s="10"/>
      <c r="M36" s="10"/>
      <c r="N36" s="10"/>
      <c r="O36" s="10"/>
      <c r="P36" s="10"/>
      <c r="Q36" s="10"/>
      <c r="R36" s="10"/>
      <c r="S36" s="10"/>
    </row>
    <row r="37" spans="1:19" s="15" customFormat="1" ht="15.75" x14ac:dyDescent="0.2">
      <c r="A37" s="19" t="s">
        <v>4</v>
      </c>
      <c r="C37" s="20">
        <f ca="1">TODAY()</f>
        <v>44071</v>
      </c>
      <c r="D37" s="16"/>
      <c r="E37" s="16"/>
      <c r="F37" s="16"/>
      <c r="G37" s="16"/>
      <c r="H37" s="16"/>
      <c r="I37" s="16"/>
      <c r="J37" s="16"/>
    </row>
  </sheetData>
  <customSheetViews>
    <customSheetView guid="{21B0CAD9-87FB-46D4-A84D-3F27BF1AB225}" scale="66" showGridLines="0" fitToPage="1">
      <pageMargins left="0.75" right="0.75" top="1" bottom="1" header="0.5" footer="0.5"/>
      <printOptions horizontalCentered="1" verticalCentered="1"/>
      <pageSetup paperSize="9" scale="60" orientation="landscape" r:id="rId1"/>
      <headerFooter alignWithMargins="0"/>
    </customSheetView>
    <customSheetView guid="{91C06B70-6585-464B-BF53-C51BA7FBAF02}" scale="66" showGridLines="0" fitToPage="1">
      <pageMargins left="0.75" right="0.75" top="1" bottom="1" header="0.5" footer="0.5"/>
      <printOptions horizontalCentered="1" verticalCentered="1"/>
      <pageSetup paperSize="9" scale="60" orientation="landscape" r:id="rId2"/>
      <headerFooter alignWithMargins="0"/>
    </customSheetView>
  </customSheetViews>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0" orientation="landscape" r:id="rId3"/>
  <headerFooter alignWithMargins="0"/>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7"/>
  <sheetViews>
    <sheetView topLeftCell="A18" workbookViewId="0">
      <selection activeCell="D37" sqref="D37"/>
    </sheetView>
  </sheetViews>
  <sheetFormatPr defaultColWidth="8" defaultRowHeight="12.75" x14ac:dyDescent="0.2"/>
  <cols>
    <col min="1" max="1" width="59" style="2" customWidth="1"/>
    <col min="2" max="2" width="86.42578125" style="47" customWidth="1"/>
    <col min="3" max="3" width="25.28515625" style="2" bestFit="1" customWidth="1"/>
    <col min="4" max="16384" width="8" style="2"/>
  </cols>
  <sheetData>
    <row r="1" spans="1:3" hidden="1" x14ac:dyDescent="0.2">
      <c r="A1" s="1" t="s">
        <v>5</v>
      </c>
    </row>
    <row r="2" spans="1:3" hidden="1" x14ac:dyDescent="0.2">
      <c r="A2" s="3" t="s">
        <v>21</v>
      </c>
      <c r="B2" s="48" t="s">
        <v>6</v>
      </c>
    </row>
    <row r="3" spans="1:3" hidden="1" x14ac:dyDescent="0.2">
      <c r="A3" s="3" t="s">
        <v>21</v>
      </c>
      <c r="B3" s="48" t="s">
        <v>6</v>
      </c>
    </row>
    <row r="4" spans="1:3" hidden="1" x14ac:dyDescent="0.2">
      <c r="A4" s="3" t="s">
        <v>22</v>
      </c>
      <c r="B4" s="48" t="s">
        <v>7</v>
      </c>
    </row>
    <row r="5" spans="1:3" hidden="1" x14ac:dyDescent="0.2">
      <c r="A5" s="3" t="s">
        <v>23</v>
      </c>
      <c r="B5" s="48" t="s">
        <v>7</v>
      </c>
    </row>
    <row r="6" spans="1:3" x14ac:dyDescent="0.2">
      <c r="A6" s="5"/>
      <c r="B6" s="49"/>
      <c r="C6" s="4"/>
    </row>
    <row r="7" spans="1:3" x14ac:dyDescent="0.2">
      <c r="A7" s="30"/>
      <c r="B7" s="49"/>
      <c r="C7" s="4"/>
    </row>
    <row r="8" spans="1:3" ht="27.75" x14ac:dyDescent="0.2">
      <c r="A8" s="108" t="s">
        <v>1</v>
      </c>
      <c r="B8" s="108"/>
      <c r="C8" s="29" t="s">
        <v>8</v>
      </c>
    </row>
    <row r="9" spans="1:3" x14ac:dyDescent="0.2">
      <c r="A9" s="4"/>
      <c r="B9" s="49"/>
      <c r="C9" s="4"/>
    </row>
    <row r="10" spans="1:3" x14ac:dyDescent="0.2">
      <c r="A10" s="5" t="s">
        <v>9</v>
      </c>
      <c r="B10" s="109" t="s">
        <v>10</v>
      </c>
      <c r="C10" s="109"/>
    </row>
    <row r="11" spans="1:3" x14ac:dyDescent="0.2">
      <c r="A11" s="25" t="s">
        <v>11</v>
      </c>
      <c r="B11" s="21" t="s">
        <v>160</v>
      </c>
      <c r="C11" s="22"/>
    </row>
    <row r="12" spans="1:3" x14ac:dyDescent="0.2">
      <c r="A12" s="30"/>
      <c r="B12" s="49"/>
      <c r="C12" s="4"/>
    </row>
    <row r="13" spans="1:3" x14ac:dyDescent="0.2">
      <c r="A13" s="30"/>
      <c r="B13" s="49"/>
      <c r="C13" s="4"/>
    </row>
    <row r="14" spans="1:3" ht="19.5" customHeight="1" x14ac:dyDescent="0.2">
      <c r="A14" s="26" t="str">
        <f>CONCATENATE("To be Performed by Tester : ",'Test Cycle 1'!H7)</f>
        <v>To be Performed by Tester : Misa</v>
      </c>
      <c r="B14" s="50"/>
      <c r="C14" s="4"/>
    </row>
    <row r="15" spans="1:3" ht="22.15" customHeight="1" x14ac:dyDescent="0.25">
      <c r="A15" s="31" t="s">
        <v>24</v>
      </c>
      <c r="B15" s="110"/>
      <c r="C15" s="111"/>
    </row>
    <row r="16" spans="1:3" ht="39.75" customHeight="1" x14ac:dyDescent="0.2">
      <c r="A16" s="28" t="s">
        <v>25</v>
      </c>
      <c r="B16" s="28" t="s">
        <v>12</v>
      </c>
      <c r="C16" s="23" t="s">
        <v>26</v>
      </c>
    </row>
    <row r="17" spans="1:3" x14ac:dyDescent="0.2">
      <c r="A17" s="24" t="s">
        <v>27</v>
      </c>
      <c r="B17" s="51"/>
      <c r="C17" s="27" t="s">
        <v>84</v>
      </c>
    </row>
    <row r="18" spans="1:3" x14ac:dyDescent="0.2">
      <c r="A18" s="24" t="s">
        <v>28</v>
      </c>
      <c r="B18" s="51" t="s">
        <v>161</v>
      </c>
      <c r="C18" s="83" t="s">
        <v>86</v>
      </c>
    </row>
    <row r="19" spans="1:3" x14ac:dyDescent="0.2">
      <c r="A19" s="24" t="s">
        <v>29</v>
      </c>
      <c r="B19" s="51"/>
      <c r="C19" s="27" t="s">
        <v>84</v>
      </c>
    </row>
    <row r="20" spans="1:3" x14ac:dyDescent="0.2">
      <c r="A20" s="24" t="s">
        <v>30</v>
      </c>
      <c r="B20" s="51"/>
      <c r="C20" s="27" t="s">
        <v>84</v>
      </c>
    </row>
    <row r="21" spans="1:3" x14ac:dyDescent="0.2">
      <c r="A21" s="24" t="s">
        <v>31</v>
      </c>
      <c r="B21" s="51"/>
      <c r="C21" s="27" t="s">
        <v>84</v>
      </c>
    </row>
    <row r="22" spans="1:3" x14ac:dyDescent="0.2">
      <c r="A22" s="24" t="s">
        <v>32</v>
      </c>
      <c r="B22" s="51"/>
      <c r="C22" s="27" t="s">
        <v>84</v>
      </c>
    </row>
    <row r="23" spans="1:3" x14ac:dyDescent="0.2">
      <c r="A23" s="24" t="s">
        <v>33</v>
      </c>
      <c r="B23" s="54"/>
      <c r="C23" s="27" t="s">
        <v>86</v>
      </c>
    </row>
    <row r="24" spans="1:3" x14ac:dyDescent="0.2">
      <c r="A24" s="24" t="s">
        <v>34</v>
      </c>
      <c r="B24" s="51"/>
      <c r="C24" s="27" t="s">
        <v>84</v>
      </c>
    </row>
    <row r="25" spans="1:3" x14ac:dyDescent="0.2">
      <c r="A25" s="24" t="s">
        <v>35</v>
      </c>
      <c r="B25" s="51" t="s">
        <v>89</v>
      </c>
      <c r="C25" s="27" t="s">
        <v>86</v>
      </c>
    </row>
    <row r="26" spans="1:3" ht="16.5" customHeight="1" x14ac:dyDescent="0.2">
      <c r="A26" s="24" t="s">
        <v>36</v>
      </c>
      <c r="B26" s="27" t="s">
        <v>162</v>
      </c>
      <c r="C26" s="27" t="s">
        <v>86</v>
      </c>
    </row>
    <row r="27" spans="1:3" x14ac:dyDescent="0.2">
      <c r="A27" s="24" t="s">
        <v>62</v>
      </c>
      <c r="B27" s="27"/>
      <c r="C27" s="27" t="s">
        <v>84</v>
      </c>
    </row>
    <row r="28" spans="1:3" x14ac:dyDescent="0.2">
      <c r="A28" s="43"/>
      <c r="B28" s="52"/>
    </row>
    <row r="29" spans="1:3" x14ac:dyDescent="0.2">
      <c r="A29" s="44"/>
      <c r="B29" s="53"/>
      <c r="C29" s="44"/>
    </row>
    <row r="30" spans="1:3" x14ac:dyDescent="0.2">
      <c r="A30" s="42" t="str">
        <f>CONCATENATE("To be Performed by Reviewer : ",'Test Cycle 1'!H8)</f>
        <v>To be Performed by Reviewer : Anju</v>
      </c>
      <c r="B30" s="50"/>
      <c r="C30" s="4"/>
    </row>
    <row r="31" spans="1:3" ht="15" x14ac:dyDescent="0.25">
      <c r="A31" s="31" t="s">
        <v>24</v>
      </c>
      <c r="B31" s="110"/>
      <c r="C31" s="111"/>
    </row>
    <row r="32" spans="1:3" ht="25.5" x14ac:dyDescent="0.2">
      <c r="A32" s="28" t="s">
        <v>25</v>
      </c>
      <c r="B32" s="28"/>
      <c r="C32" s="23" t="s">
        <v>26</v>
      </c>
    </row>
    <row r="33" spans="1:3" x14ac:dyDescent="0.2">
      <c r="A33" s="24" t="s">
        <v>37</v>
      </c>
      <c r="B33" s="51"/>
      <c r="C33" s="27" t="s">
        <v>86</v>
      </c>
    </row>
    <row r="34" spans="1:3" x14ac:dyDescent="0.2">
      <c r="A34" s="24" t="s">
        <v>38</v>
      </c>
      <c r="B34" s="51"/>
      <c r="C34" s="27" t="s">
        <v>86</v>
      </c>
    </row>
    <row r="35" spans="1:3" x14ac:dyDescent="0.2">
      <c r="A35" s="24" t="s">
        <v>39</v>
      </c>
      <c r="B35" s="51"/>
      <c r="C35" s="27" t="s">
        <v>86</v>
      </c>
    </row>
    <row r="36" spans="1:3" x14ac:dyDescent="0.2">
      <c r="A36" s="24" t="s">
        <v>40</v>
      </c>
      <c r="B36" s="51"/>
      <c r="C36" s="27" t="s">
        <v>86</v>
      </c>
    </row>
    <row r="37" spans="1:3" x14ac:dyDescent="0.2">
      <c r="A37" s="24" t="s">
        <v>41</v>
      </c>
      <c r="B37" s="51"/>
      <c r="C37" s="27" t="s">
        <v>86</v>
      </c>
    </row>
  </sheetData>
  <customSheetViews>
    <customSheetView guid="{21B0CAD9-87FB-46D4-A84D-3F27BF1AB225}" fitToPage="1" hiddenRows="1" topLeftCell="A6">
      <selection activeCell="B11" sqref="B11"/>
      <pageMargins left="0.75" right="0.75" top="0.55000000000000004" bottom="0.6" header="0.23" footer="0.28000000000000003"/>
      <printOptions horizontalCentered="1"/>
      <pageSetup scale="82" orientation="portrait" r:id="rId1"/>
      <headerFooter alignWithMargins="0">
        <oddFooter>&amp;L&amp;8© Accenture 2008 All rights reserved.&amp;C&amp;8&amp;P / &amp;N&amp;R&amp;8&amp;F</oddFooter>
      </headerFooter>
    </customSheetView>
    <customSheetView guid="{91C06B70-6585-464B-BF53-C51BA7FBAF02}" scale="85" fitToPage="1" hiddenRows="1" topLeftCell="A24">
      <selection activeCell="I20" sqref="I20"/>
      <pageMargins left="0.75" right="0.75" top="0.55000000000000004" bottom="0.6" header="0.23" footer="0.28000000000000003"/>
      <printOptions horizontalCentered="1"/>
      <pageSetup scale="82" orientation="portrait" r:id="rId2"/>
      <headerFooter alignWithMargins="0">
        <oddFooter>&amp;L&amp;8© Accenture 2008 All rights reserved.&amp;C&amp;8&amp;P / &amp;N&amp;R&amp;8&amp;F</oddFooter>
      </headerFooter>
    </customSheetView>
  </customSheetViews>
  <mergeCells count="4">
    <mergeCell ref="A8:B8"/>
    <mergeCell ref="B10:C10"/>
    <mergeCell ref="B15:C15"/>
    <mergeCell ref="B31:C31"/>
  </mergeCells>
  <printOptions horizontalCentered="1"/>
  <pageMargins left="0.75" right="0.75" top="0.55000000000000004" bottom="0.6" header="0.23" footer="0.28000000000000003"/>
  <pageSetup scale="82" orientation="portrait" r:id="rId3"/>
  <headerFooter alignWithMargins="0">
    <oddFooter>&amp;L&amp;8© Accenture 2008 All rights reserved.&amp;C&amp;8&amp;P / &amp;N&amp;R&amp;8&amp;F</oddFooter>
  </headerFooter>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D34"/>
  <sheetViews>
    <sheetView topLeftCell="F28" zoomScale="70" zoomScaleNormal="70" workbookViewId="0">
      <selection activeCell="I39" sqref="I39"/>
    </sheetView>
  </sheetViews>
  <sheetFormatPr defaultColWidth="9.28515625" defaultRowHeight="16.5" x14ac:dyDescent="0.3"/>
  <cols>
    <col min="1" max="1" width="34.7109375" style="34" customWidth="1"/>
    <col min="2" max="2" width="37.28515625" style="34" customWidth="1"/>
    <col min="3" max="3" width="64.140625" style="34" customWidth="1"/>
    <col min="4" max="4" width="23.42578125" style="34" bestFit="1" customWidth="1"/>
    <col min="5" max="5" width="41.42578125" style="56" customWidth="1"/>
    <col min="6" max="6" width="36.7109375" style="34" customWidth="1"/>
    <col min="7" max="7" width="39.5703125" style="34" customWidth="1"/>
    <col min="8" max="8" width="36.7109375" style="34" customWidth="1"/>
    <col min="9" max="9" width="25" style="34" customWidth="1"/>
    <col min="10" max="10" width="23.5703125" style="34" customWidth="1"/>
    <col min="11" max="11" width="32" style="34" customWidth="1"/>
    <col min="12" max="12" width="30.7109375" style="34" customWidth="1"/>
    <col min="13" max="13" width="36.7109375" style="34" bestFit="1" customWidth="1"/>
    <col min="14" max="23" width="9.28515625" style="33"/>
    <col min="24" max="24" width="17.28515625" style="33" bestFit="1" customWidth="1"/>
    <col min="25" max="25" width="9.28515625" style="33"/>
    <col min="26" max="26" width="14.28515625" style="33" bestFit="1" customWidth="1"/>
    <col min="27" max="49" width="9.28515625" style="33"/>
    <col min="50" max="50" width="9" style="33" customWidth="1"/>
    <col min="51" max="53" width="9.28515625" style="33" hidden="1" customWidth="1"/>
    <col min="54" max="54" width="27.7109375" style="33" customWidth="1"/>
    <col min="55" max="16384" width="9.28515625" style="33"/>
  </cols>
  <sheetData>
    <row r="1" spans="1:56" s="34" customFormat="1" x14ac:dyDescent="0.3">
      <c r="A1" s="32"/>
      <c r="B1" s="32"/>
      <c r="C1" s="32"/>
      <c r="D1" s="33"/>
      <c r="E1" s="55"/>
      <c r="F1" s="33"/>
      <c r="G1" s="33"/>
      <c r="H1" s="33"/>
      <c r="I1" s="33"/>
      <c r="J1" s="33"/>
      <c r="K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5" t="s">
        <v>42</v>
      </c>
      <c r="BC1" s="35" t="s">
        <v>42</v>
      </c>
      <c r="BD1" s="34" t="s">
        <v>43</v>
      </c>
    </row>
    <row r="2" spans="1:56" s="34" customFormat="1" ht="26.25" x14ac:dyDescent="0.4">
      <c r="A2" s="32"/>
      <c r="B2" s="32"/>
      <c r="C2" s="32"/>
      <c r="D2" s="36"/>
      <c r="E2" s="55"/>
      <c r="F2" s="33"/>
      <c r="G2" s="66"/>
      <c r="H2" s="33"/>
      <c r="I2" s="33"/>
      <c r="J2" s="33"/>
      <c r="K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5" t="s">
        <v>44</v>
      </c>
      <c r="BC2" s="35" t="s">
        <v>44</v>
      </c>
      <c r="BD2" s="34" t="s">
        <v>45</v>
      </c>
    </row>
    <row r="3" spans="1:56" s="34" customFormat="1" x14ac:dyDescent="0.3">
      <c r="A3" s="32"/>
      <c r="B3" s="32"/>
      <c r="C3" s="32"/>
      <c r="D3" s="33"/>
      <c r="E3" s="55"/>
      <c r="F3" s="33"/>
      <c r="G3" s="33"/>
      <c r="H3" s="33"/>
      <c r="I3" s="33"/>
      <c r="K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5" t="s">
        <v>46</v>
      </c>
      <c r="BC3" s="35" t="s">
        <v>47</v>
      </c>
      <c r="BD3" s="34" t="s">
        <v>15</v>
      </c>
    </row>
    <row r="4" spans="1:56" s="34" customFormat="1" x14ac:dyDescent="0.3">
      <c r="A4" s="32"/>
      <c r="B4" s="32"/>
      <c r="C4" s="32"/>
      <c r="D4" s="33"/>
      <c r="E4" s="55"/>
      <c r="F4" s="33"/>
      <c r="G4" s="33"/>
      <c r="H4" s="33"/>
      <c r="I4" s="33"/>
      <c r="K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5" t="s">
        <v>48</v>
      </c>
      <c r="BC4" s="35" t="s">
        <v>15</v>
      </c>
      <c r="BD4" s="34" t="s">
        <v>16</v>
      </c>
    </row>
    <row r="5" spans="1:56" s="34" customFormat="1" x14ac:dyDescent="0.3">
      <c r="A5" s="33"/>
      <c r="B5" s="33"/>
      <c r="C5" s="33"/>
      <c r="D5" s="33"/>
      <c r="E5" s="55"/>
      <c r="F5" s="33"/>
      <c r="G5" s="33"/>
      <c r="H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5" t="s">
        <v>49</v>
      </c>
      <c r="BC5" s="35" t="s">
        <v>16</v>
      </c>
    </row>
    <row r="6" spans="1:56" s="34" customFormat="1" x14ac:dyDescent="0.3">
      <c r="A6" s="37" t="s">
        <v>50</v>
      </c>
      <c r="B6" s="115" t="s">
        <v>105</v>
      </c>
      <c r="C6" s="116"/>
      <c r="D6" s="116"/>
      <c r="E6" s="68" t="s">
        <v>51</v>
      </c>
      <c r="F6" s="38" t="s">
        <v>107</v>
      </c>
      <c r="G6" s="39"/>
      <c r="H6" s="39"/>
      <c r="BB6" s="35" t="s">
        <v>52</v>
      </c>
    </row>
    <row r="7" spans="1:56" s="34" customFormat="1" x14ac:dyDescent="0.3">
      <c r="A7" s="37" t="s">
        <v>53</v>
      </c>
      <c r="B7" s="115" t="s">
        <v>106</v>
      </c>
      <c r="C7" s="116"/>
      <c r="D7" s="116"/>
      <c r="E7" s="68" t="s">
        <v>54</v>
      </c>
      <c r="F7" s="94">
        <v>43776</v>
      </c>
      <c r="G7" s="37" t="s">
        <v>55</v>
      </c>
      <c r="H7" s="41" t="s">
        <v>87</v>
      </c>
      <c r="BB7" s="35" t="s">
        <v>56</v>
      </c>
    </row>
    <row r="8" spans="1:56" s="34" customFormat="1" x14ac:dyDescent="0.3">
      <c r="A8" s="37" t="s">
        <v>57</v>
      </c>
      <c r="B8" s="117" t="s">
        <v>56</v>
      </c>
      <c r="C8" s="117"/>
      <c r="D8" s="117"/>
      <c r="E8" s="68" t="s">
        <v>58</v>
      </c>
      <c r="F8" s="40"/>
      <c r="G8" s="37" t="s">
        <v>59</v>
      </c>
      <c r="H8" s="38" t="s">
        <v>163</v>
      </c>
      <c r="BB8" s="35" t="s">
        <v>60</v>
      </c>
    </row>
    <row r="9" spans="1:56" s="34" customFormat="1" x14ac:dyDescent="0.3">
      <c r="A9" s="68" t="s">
        <v>61</v>
      </c>
      <c r="B9" s="115" t="s">
        <v>104</v>
      </c>
      <c r="C9" s="116"/>
      <c r="D9" s="116"/>
      <c r="E9" s="116"/>
      <c r="F9" s="116"/>
      <c r="G9" s="116"/>
      <c r="H9" s="116"/>
      <c r="X9" s="33"/>
    </row>
    <row r="10" spans="1:56" s="34" customFormat="1" x14ac:dyDescent="0.3">
      <c r="A10" s="67" t="s">
        <v>73</v>
      </c>
      <c r="B10" s="67" t="s">
        <v>74</v>
      </c>
      <c r="C10" s="67" t="s">
        <v>75</v>
      </c>
      <c r="D10" s="67" t="s">
        <v>76</v>
      </c>
      <c r="E10" s="67" t="s">
        <v>77</v>
      </c>
      <c r="F10" s="67" t="s">
        <v>78</v>
      </c>
      <c r="G10" s="67" t="s">
        <v>79</v>
      </c>
      <c r="H10" s="67" t="s">
        <v>80</v>
      </c>
      <c r="I10" s="67" t="s">
        <v>81</v>
      </c>
      <c r="J10" s="67" t="s">
        <v>82</v>
      </c>
      <c r="K10" s="67" t="s">
        <v>71</v>
      </c>
      <c r="L10" s="67" t="s">
        <v>72</v>
      </c>
      <c r="M10" s="67" t="s">
        <v>83</v>
      </c>
    </row>
    <row r="11" spans="1:56" s="34" customFormat="1" x14ac:dyDescent="0.3">
      <c r="A11" s="112" t="s">
        <v>123</v>
      </c>
      <c r="B11" s="113"/>
      <c r="C11" s="113"/>
      <c r="D11" s="113"/>
      <c r="E11" s="113"/>
      <c r="F11" s="113"/>
      <c r="G11" s="113"/>
      <c r="H11" s="113"/>
      <c r="I11" s="113"/>
      <c r="J11" s="113"/>
      <c r="K11" s="113"/>
      <c r="L11" s="113"/>
      <c r="M11" s="114"/>
    </row>
    <row r="12" spans="1:56" s="73" customFormat="1" ht="106.9" customHeight="1" x14ac:dyDescent="0.2">
      <c r="A12" s="84">
        <v>1</v>
      </c>
      <c r="B12" s="85" t="s">
        <v>88</v>
      </c>
      <c r="C12" s="85" t="s">
        <v>91</v>
      </c>
      <c r="D12" s="86" t="s">
        <v>92</v>
      </c>
      <c r="E12" s="86" t="s">
        <v>108</v>
      </c>
      <c r="F12" s="86" t="s">
        <v>93</v>
      </c>
      <c r="G12" s="90" t="s">
        <v>109</v>
      </c>
      <c r="H12" s="86" t="s">
        <v>110</v>
      </c>
      <c r="I12" s="89" t="s">
        <v>15</v>
      </c>
      <c r="J12" s="76"/>
      <c r="K12" s="89" t="s">
        <v>15</v>
      </c>
      <c r="L12" s="78"/>
      <c r="M12" s="79"/>
    </row>
    <row r="13" spans="1:56" s="73" customFormat="1" ht="99" x14ac:dyDescent="0.2">
      <c r="A13" s="84">
        <v>2</v>
      </c>
      <c r="B13" s="85" t="s">
        <v>90</v>
      </c>
      <c r="C13" s="85" t="s">
        <v>145</v>
      </c>
      <c r="D13" s="86" t="s">
        <v>85</v>
      </c>
      <c r="E13" s="87" t="s">
        <v>84</v>
      </c>
      <c r="F13" s="87" t="s">
        <v>84</v>
      </c>
      <c r="G13" s="87" t="s">
        <v>84</v>
      </c>
      <c r="H13" s="87" t="s">
        <v>84</v>
      </c>
      <c r="I13" s="89" t="s">
        <v>15</v>
      </c>
      <c r="J13" s="76"/>
      <c r="K13" s="89" t="s">
        <v>15</v>
      </c>
      <c r="L13" s="78"/>
      <c r="M13" s="79"/>
    </row>
    <row r="14" spans="1:56" s="73" customFormat="1" x14ac:dyDescent="0.2">
      <c r="A14" s="84">
        <v>3</v>
      </c>
      <c r="B14" s="91" t="s">
        <v>94</v>
      </c>
      <c r="C14" s="92" t="s">
        <v>112</v>
      </c>
      <c r="D14" s="87" t="s">
        <v>84</v>
      </c>
      <c r="E14" s="87" t="s">
        <v>84</v>
      </c>
      <c r="F14" s="87" t="s">
        <v>84</v>
      </c>
      <c r="G14" s="87" t="s">
        <v>84</v>
      </c>
      <c r="H14" s="92" t="s">
        <v>95</v>
      </c>
      <c r="I14" s="82" t="s">
        <v>15</v>
      </c>
      <c r="J14" s="71"/>
      <c r="K14" s="89" t="s">
        <v>15</v>
      </c>
      <c r="L14" s="69"/>
      <c r="M14" s="46"/>
    </row>
    <row r="15" spans="1:56" s="56" customFormat="1" ht="51" x14ac:dyDescent="0.2">
      <c r="A15" s="84">
        <v>4</v>
      </c>
      <c r="B15" s="91" t="s">
        <v>96</v>
      </c>
      <c r="C15" s="92" t="s">
        <v>116</v>
      </c>
      <c r="D15" s="92" t="s">
        <v>97</v>
      </c>
      <c r="E15" s="92" t="s">
        <v>113</v>
      </c>
      <c r="F15" s="88" t="s">
        <v>115</v>
      </c>
      <c r="G15" s="92" t="s">
        <v>114</v>
      </c>
      <c r="H15" s="88" t="s">
        <v>130</v>
      </c>
      <c r="I15" s="82" t="s">
        <v>15</v>
      </c>
      <c r="J15" s="74"/>
      <c r="K15" s="89" t="s">
        <v>15</v>
      </c>
      <c r="L15" s="70"/>
      <c r="M15" s="75"/>
    </row>
    <row r="16" spans="1:56" s="73" customFormat="1" ht="115.5" x14ac:dyDescent="0.2">
      <c r="A16" s="84">
        <v>5</v>
      </c>
      <c r="B16" s="79" t="s">
        <v>98</v>
      </c>
      <c r="C16" s="85" t="s">
        <v>91</v>
      </c>
      <c r="D16" s="79" t="s">
        <v>99</v>
      </c>
      <c r="E16" s="93" t="s">
        <v>100</v>
      </c>
      <c r="F16" s="93" t="s">
        <v>117</v>
      </c>
      <c r="G16" s="93" t="s">
        <v>100</v>
      </c>
      <c r="H16" s="93" t="s">
        <v>118</v>
      </c>
      <c r="I16" s="82" t="s">
        <v>15</v>
      </c>
      <c r="J16" s="76"/>
      <c r="K16" s="89" t="s">
        <v>15</v>
      </c>
      <c r="L16" s="69"/>
      <c r="M16" s="46"/>
    </row>
    <row r="17" spans="1:13" s="77" customFormat="1" x14ac:dyDescent="0.2">
      <c r="A17" s="84">
        <v>6</v>
      </c>
      <c r="B17" s="79" t="s">
        <v>122</v>
      </c>
      <c r="C17" s="87" t="s">
        <v>84</v>
      </c>
      <c r="D17" s="87" t="s">
        <v>84</v>
      </c>
      <c r="E17" s="87" t="s">
        <v>84</v>
      </c>
      <c r="F17" s="87" t="s">
        <v>84</v>
      </c>
      <c r="G17" s="87" t="s">
        <v>84</v>
      </c>
      <c r="H17" s="87" t="s">
        <v>84</v>
      </c>
      <c r="I17" s="82" t="s">
        <v>15</v>
      </c>
      <c r="J17" s="76"/>
      <c r="K17" s="89" t="s">
        <v>15</v>
      </c>
      <c r="L17" s="69"/>
      <c r="M17" s="45"/>
    </row>
    <row r="18" spans="1:13" s="77" customFormat="1" x14ac:dyDescent="0.2">
      <c r="A18" s="84">
        <v>7</v>
      </c>
      <c r="B18" s="79" t="s">
        <v>101</v>
      </c>
      <c r="C18" s="87" t="s">
        <v>84</v>
      </c>
      <c r="D18" s="87" t="s">
        <v>84</v>
      </c>
      <c r="E18" s="87" t="s">
        <v>84</v>
      </c>
      <c r="F18" s="87" t="s">
        <v>84</v>
      </c>
      <c r="G18" s="87" t="s">
        <v>84</v>
      </c>
      <c r="H18" s="92" t="s">
        <v>102</v>
      </c>
      <c r="I18" s="82" t="s">
        <v>15</v>
      </c>
      <c r="J18" s="76"/>
      <c r="K18" s="72" t="s">
        <v>15</v>
      </c>
      <c r="L18" s="69"/>
      <c r="M18" s="45"/>
    </row>
    <row r="19" spans="1:13" s="56" customFormat="1" x14ac:dyDescent="0.2">
      <c r="A19" s="84">
        <v>8</v>
      </c>
      <c r="B19" s="79" t="s">
        <v>103</v>
      </c>
      <c r="C19" s="87" t="s">
        <v>84</v>
      </c>
      <c r="D19" s="87" t="s">
        <v>84</v>
      </c>
      <c r="E19" s="87" t="s">
        <v>84</v>
      </c>
      <c r="F19" s="87" t="s">
        <v>84</v>
      </c>
      <c r="G19" s="87" t="s">
        <v>84</v>
      </c>
      <c r="H19" s="87" t="s">
        <v>84</v>
      </c>
      <c r="I19" s="82" t="s">
        <v>15</v>
      </c>
      <c r="J19" s="80"/>
      <c r="K19" s="89" t="s">
        <v>15</v>
      </c>
      <c r="L19" s="70"/>
      <c r="M19" s="75"/>
    </row>
    <row r="20" spans="1:13" s="56" customFormat="1" x14ac:dyDescent="0.2">
      <c r="A20" s="112" t="s">
        <v>125</v>
      </c>
      <c r="B20" s="113"/>
      <c r="C20" s="113"/>
      <c r="D20" s="113"/>
      <c r="E20" s="113"/>
      <c r="F20" s="113"/>
      <c r="G20" s="113"/>
      <c r="H20" s="113"/>
      <c r="I20" s="113"/>
      <c r="J20" s="113"/>
      <c r="K20" s="113"/>
      <c r="L20" s="113"/>
      <c r="M20" s="114"/>
    </row>
    <row r="21" spans="1:13" s="56" customFormat="1" ht="159.4" customHeight="1" x14ac:dyDescent="0.2">
      <c r="A21" s="84">
        <v>1</v>
      </c>
      <c r="B21" s="85" t="s">
        <v>88</v>
      </c>
      <c r="C21" s="85" t="s">
        <v>91</v>
      </c>
      <c r="D21" s="86" t="s">
        <v>92</v>
      </c>
      <c r="E21" s="86" t="s">
        <v>127</v>
      </c>
      <c r="F21" s="86" t="s">
        <v>93</v>
      </c>
      <c r="G21" s="90" t="s">
        <v>128</v>
      </c>
      <c r="H21" s="86" t="s">
        <v>129</v>
      </c>
      <c r="I21" s="89" t="s">
        <v>15</v>
      </c>
      <c r="J21" s="76"/>
      <c r="K21" s="89" t="s">
        <v>15</v>
      </c>
      <c r="L21" s="78"/>
      <c r="M21" s="79"/>
    </row>
    <row r="22" spans="1:13" s="34" customFormat="1" ht="99" x14ac:dyDescent="0.3">
      <c r="A22" s="84">
        <v>2</v>
      </c>
      <c r="B22" s="85" t="s">
        <v>90</v>
      </c>
      <c r="C22" s="85" t="s">
        <v>146</v>
      </c>
      <c r="D22" s="86" t="s">
        <v>85</v>
      </c>
      <c r="E22" s="87" t="s">
        <v>84</v>
      </c>
      <c r="F22" s="87" t="s">
        <v>84</v>
      </c>
      <c r="G22" s="87" t="s">
        <v>84</v>
      </c>
      <c r="H22" s="87" t="s">
        <v>84</v>
      </c>
      <c r="I22" s="89" t="s">
        <v>15</v>
      </c>
      <c r="J22" s="76"/>
      <c r="K22" s="89" t="s">
        <v>15</v>
      </c>
      <c r="L22" s="78"/>
      <c r="M22" s="79"/>
    </row>
    <row r="23" spans="1:13" s="81" customFormat="1" x14ac:dyDescent="0.2">
      <c r="A23" s="84">
        <v>3</v>
      </c>
      <c r="B23" s="91" t="s">
        <v>94</v>
      </c>
      <c r="C23" s="92" t="s">
        <v>164</v>
      </c>
      <c r="D23" s="87" t="s">
        <v>84</v>
      </c>
      <c r="E23" s="87" t="s">
        <v>84</v>
      </c>
      <c r="F23" s="87" t="s">
        <v>84</v>
      </c>
      <c r="G23" s="87" t="s">
        <v>84</v>
      </c>
      <c r="H23" s="92" t="s">
        <v>95</v>
      </c>
      <c r="I23" s="82" t="s">
        <v>15</v>
      </c>
      <c r="J23" s="71"/>
      <c r="K23" s="89" t="s">
        <v>15</v>
      </c>
      <c r="L23" s="69"/>
      <c r="M23" s="46"/>
    </row>
    <row r="24" spans="1:13" s="81" customFormat="1" ht="63.75" x14ac:dyDescent="0.2">
      <c r="A24" s="84">
        <v>4</v>
      </c>
      <c r="B24" s="91" t="s">
        <v>96</v>
      </c>
      <c r="C24" s="92" t="s">
        <v>116</v>
      </c>
      <c r="D24" s="92" t="s">
        <v>97</v>
      </c>
      <c r="E24" s="92" t="s">
        <v>138</v>
      </c>
      <c r="F24" s="88" t="s">
        <v>134</v>
      </c>
      <c r="G24" s="92" t="s">
        <v>139</v>
      </c>
      <c r="H24" s="88" t="s">
        <v>135</v>
      </c>
      <c r="I24" s="82" t="s">
        <v>15</v>
      </c>
      <c r="J24" s="74"/>
      <c r="K24" s="89" t="s">
        <v>15</v>
      </c>
      <c r="L24" s="70"/>
      <c r="M24" s="75"/>
    </row>
    <row r="25" spans="1:13" s="73" customFormat="1" ht="115.5" x14ac:dyDescent="0.2">
      <c r="A25" s="84">
        <v>5</v>
      </c>
      <c r="B25" s="79" t="s">
        <v>98</v>
      </c>
      <c r="C25" s="85" t="s">
        <v>91</v>
      </c>
      <c r="D25" s="79" t="s">
        <v>99</v>
      </c>
      <c r="E25" s="93" t="s">
        <v>136</v>
      </c>
      <c r="F25" s="93" t="s">
        <v>117</v>
      </c>
      <c r="G25" s="93" t="s">
        <v>136</v>
      </c>
      <c r="H25" s="93" t="s">
        <v>137</v>
      </c>
      <c r="I25" s="82" t="s">
        <v>15</v>
      </c>
      <c r="J25" s="76"/>
      <c r="K25" s="89" t="s">
        <v>15</v>
      </c>
      <c r="L25" s="69"/>
      <c r="M25" s="46"/>
    </row>
    <row r="26" spans="1:13" s="81" customFormat="1" x14ac:dyDescent="0.2">
      <c r="A26" s="84">
        <v>6</v>
      </c>
      <c r="B26" s="79" t="s">
        <v>122</v>
      </c>
      <c r="C26" s="87" t="s">
        <v>84</v>
      </c>
      <c r="D26" s="87" t="s">
        <v>84</v>
      </c>
      <c r="E26" s="87" t="s">
        <v>84</v>
      </c>
      <c r="F26" s="87" t="s">
        <v>84</v>
      </c>
      <c r="G26" s="87" t="s">
        <v>84</v>
      </c>
      <c r="H26" s="87" t="s">
        <v>84</v>
      </c>
      <c r="I26" s="82" t="s">
        <v>15</v>
      </c>
      <c r="J26" s="76"/>
      <c r="K26" s="89" t="s">
        <v>15</v>
      </c>
      <c r="L26" s="69"/>
      <c r="M26" s="45"/>
    </row>
    <row r="27" spans="1:13" x14ac:dyDescent="0.3">
      <c r="A27" s="84">
        <v>7</v>
      </c>
      <c r="B27" s="79" t="s">
        <v>101</v>
      </c>
      <c r="C27" s="87" t="s">
        <v>84</v>
      </c>
      <c r="D27" s="87" t="s">
        <v>84</v>
      </c>
      <c r="E27" s="87" t="s">
        <v>84</v>
      </c>
      <c r="F27" s="87" t="s">
        <v>84</v>
      </c>
      <c r="G27" s="87" t="s">
        <v>84</v>
      </c>
      <c r="H27" s="92" t="s">
        <v>102</v>
      </c>
      <c r="I27" s="82" t="s">
        <v>15</v>
      </c>
      <c r="J27" s="76"/>
      <c r="K27" s="89" t="s">
        <v>15</v>
      </c>
      <c r="L27" s="69"/>
      <c r="M27" s="45"/>
    </row>
    <row r="28" spans="1:13" x14ac:dyDescent="0.3">
      <c r="A28" s="84">
        <v>8</v>
      </c>
      <c r="B28" s="79" t="s">
        <v>103</v>
      </c>
      <c r="C28" s="87" t="s">
        <v>84</v>
      </c>
      <c r="D28" s="87" t="s">
        <v>84</v>
      </c>
      <c r="E28" s="87" t="s">
        <v>84</v>
      </c>
      <c r="F28" s="87" t="s">
        <v>84</v>
      </c>
      <c r="G28" s="87" t="s">
        <v>84</v>
      </c>
      <c r="H28" s="87" t="s">
        <v>84</v>
      </c>
      <c r="I28" s="82" t="s">
        <v>15</v>
      </c>
      <c r="J28" s="80"/>
      <c r="K28" s="89" t="s">
        <v>15</v>
      </c>
      <c r="L28" s="70"/>
      <c r="M28" s="75"/>
    </row>
    <row r="29" spans="1:13" x14ac:dyDescent="0.3">
      <c r="A29" s="112" t="s">
        <v>124</v>
      </c>
      <c r="B29" s="113"/>
      <c r="C29" s="113"/>
      <c r="D29" s="113"/>
      <c r="E29" s="113"/>
      <c r="F29" s="113"/>
      <c r="G29" s="113"/>
      <c r="H29" s="113"/>
      <c r="I29" s="113"/>
      <c r="J29" s="113"/>
      <c r="K29" s="113"/>
      <c r="L29" s="113"/>
      <c r="M29" s="114"/>
    </row>
    <row r="30" spans="1:13" ht="207.4" customHeight="1" x14ac:dyDescent="0.3">
      <c r="A30" s="84">
        <v>1</v>
      </c>
      <c r="B30" s="85" t="s">
        <v>88</v>
      </c>
      <c r="C30" s="85" t="s">
        <v>91</v>
      </c>
      <c r="D30" s="86" t="s">
        <v>92</v>
      </c>
      <c r="E30" s="86" t="s">
        <v>141</v>
      </c>
      <c r="F30" s="86" t="s">
        <v>93</v>
      </c>
      <c r="G30" s="90" t="s">
        <v>142</v>
      </c>
      <c r="H30" s="86" t="s">
        <v>143</v>
      </c>
      <c r="I30" s="89" t="s">
        <v>15</v>
      </c>
      <c r="J30" s="76"/>
      <c r="K30" s="89" t="s">
        <v>15</v>
      </c>
      <c r="L30" s="78"/>
      <c r="M30" s="79"/>
    </row>
    <row r="31" spans="1:13" ht="82.5" x14ac:dyDescent="0.3">
      <c r="A31" s="84">
        <v>2</v>
      </c>
      <c r="B31" s="85" t="s">
        <v>90</v>
      </c>
      <c r="C31" s="85" t="s">
        <v>147</v>
      </c>
      <c r="D31" s="86" t="s">
        <v>85</v>
      </c>
      <c r="E31" s="87" t="s">
        <v>84</v>
      </c>
      <c r="F31" s="87" t="s">
        <v>84</v>
      </c>
      <c r="G31" s="87" t="s">
        <v>84</v>
      </c>
      <c r="H31" s="87" t="s">
        <v>84</v>
      </c>
      <c r="I31" s="89" t="s">
        <v>15</v>
      </c>
      <c r="J31" s="76"/>
      <c r="K31" s="89" t="s">
        <v>15</v>
      </c>
      <c r="L31" s="78"/>
      <c r="M31" s="79"/>
    </row>
    <row r="32" spans="1:13" x14ac:dyDescent="0.3">
      <c r="A32" s="84">
        <v>3</v>
      </c>
      <c r="B32" s="91" t="s">
        <v>94</v>
      </c>
      <c r="C32" s="92" t="s">
        <v>140</v>
      </c>
      <c r="D32" s="87" t="s">
        <v>84</v>
      </c>
      <c r="E32" s="87" t="s">
        <v>84</v>
      </c>
      <c r="F32" s="87" t="s">
        <v>84</v>
      </c>
      <c r="G32" s="87" t="s">
        <v>84</v>
      </c>
      <c r="H32" s="92" t="s">
        <v>95</v>
      </c>
      <c r="I32" s="82" t="s">
        <v>15</v>
      </c>
      <c r="J32" s="71"/>
      <c r="K32" s="89" t="s">
        <v>15</v>
      </c>
      <c r="L32" s="69"/>
      <c r="M32" s="46"/>
    </row>
    <row r="33" spans="1:13" ht="102" x14ac:dyDescent="0.3">
      <c r="A33" s="84">
        <v>4</v>
      </c>
      <c r="B33" s="91" t="s">
        <v>96</v>
      </c>
      <c r="C33" s="92" t="s">
        <v>116</v>
      </c>
      <c r="D33" s="92" t="s">
        <v>97</v>
      </c>
      <c r="E33" s="92" t="s">
        <v>148</v>
      </c>
      <c r="F33" s="88" t="s">
        <v>149</v>
      </c>
      <c r="G33" s="92" t="s">
        <v>150</v>
      </c>
      <c r="H33" s="88" t="s">
        <v>151</v>
      </c>
      <c r="I33" s="82" t="s">
        <v>15</v>
      </c>
      <c r="J33" s="74"/>
      <c r="K33" s="89" t="s">
        <v>15</v>
      </c>
      <c r="L33" s="70"/>
      <c r="M33" s="75"/>
    </row>
    <row r="34" spans="1:13" ht="115.5" x14ac:dyDescent="0.3">
      <c r="A34" s="84">
        <v>5</v>
      </c>
      <c r="B34" s="79" t="s">
        <v>98</v>
      </c>
      <c r="C34" s="85" t="s">
        <v>91</v>
      </c>
      <c r="D34" s="79" t="s">
        <v>99</v>
      </c>
      <c r="E34" s="93" t="s">
        <v>152</v>
      </c>
      <c r="F34" s="93" t="s">
        <v>117</v>
      </c>
      <c r="G34" s="93" t="s">
        <v>152</v>
      </c>
      <c r="H34" s="93" t="s">
        <v>156</v>
      </c>
      <c r="I34" s="82" t="s">
        <v>15</v>
      </c>
      <c r="J34" s="76"/>
      <c r="K34" s="89" t="s">
        <v>15</v>
      </c>
      <c r="L34" s="69"/>
      <c r="M34" s="46"/>
    </row>
  </sheetData>
  <customSheetViews>
    <customSheetView guid="{21B0CAD9-87FB-46D4-A84D-3F27BF1AB225}" scale="90" fitToPage="1" hiddenColumns="1" topLeftCell="F29">
      <selection activeCell="I33" sqref="I33"/>
      <pageMargins left="0.75" right="0.75" top="1" bottom="1" header="0.5" footer="0.5"/>
      <pageSetup paperSize="9" scale="13" orientation="landscape" r:id="rId1"/>
      <headerFooter alignWithMargins="0"/>
    </customSheetView>
    <customSheetView guid="{91C06B70-6585-464B-BF53-C51BA7FBAF02}" scale="90" fitToPage="1" hiddenColumns="1" topLeftCell="A16">
      <selection activeCell="C17" sqref="C17"/>
      <pageMargins left="0.75" right="0.75" top="1" bottom="1" header="0.5" footer="0.5"/>
      <pageSetup paperSize="9" scale="13" orientation="landscape" r:id="rId2"/>
      <headerFooter alignWithMargins="0"/>
    </customSheetView>
  </customSheetViews>
  <mergeCells count="7">
    <mergeCell ref="A20:M20"/>
    <mergeCell ref="A29:M29"/>
    <mergeCell ref="B6:D6"/>
    <mergeCell ref="B7:D7"/>
    <mergeCell ref="B8:D8"/>
    <mergeCell ref="B9:H9"/>
    <mergeCell ref="A11:M11"/>
  </mergeCells>
  <dataValidations count="2">
    <dataValidation type="list" allowBlank="1" showInputMessage="1" showErrorMessage="1" sqref="WVJ8:WVL8 IX8:IZ8 ST8:SV8 ACP8:ACR8 AML8:AMN8 AWH8:AWJ8 BGD8:BGF8 BPZ8:BQB8 BZV8:BZX8 CJR8:CJT8 CTN8:CTP8 DDJ8:DDL8 DNF8:DNH8 DXB8:DXD8 EGX8:EGZ8 EQT8:EQV8 FAP8:FAR8 FKL8:FKN8 FUH8:FUJ8 GED8:GEF8 GNZ8:GOB8 GXV8:GXX8 HHR8:HHT8 HRN8:HRP8 IBJ8:IBL8 ILF8:ILH8 IVB8:IVD8 JEX8:JEZ8 JOT8:JOV8 JYP8:JYR8 KIL8:KIN8 KSH8:KSJ8 LCD8:LCF8 LLZ8:LMB8 LVV8:LVX8 MFR8:MFT8 MPN8:MPP8 MZJ8:MZL8 NJF8:NJH8 NTB8:NTD8 OCX8:OCZ8 OMT8:OMV8 OWP8:OWR8 PGL8:PGN8 PQH8:PQJ8 QAD8:QAF8 QJZ8:QKB8 QTV8:QTX8 RDR8:RDT8 RNN8:RNP8 RXJ8:RXL8 SHF8:SHH8 SRB8:SRD8 TAX8:TAZ8 TKT8:TKV8 TUP8:TUR8 UEL8:UEN8 UOH8:UOJ8 UYD8:UYF8 VHZ8:VIB8 VRV8:VRX8 WBR8:WBT8 WLN8:WLP8 B8:D8" xr:uid="{00000000-0002-0000-0200-000000000000}">
      <formula1>$BB$1:$BB$8</formula1>
    </dataValidation>
    <dataValidation type="list" allowBlank="1" showInputMessage="1" showErrorMessage="1" sqref="WVS25 JE25 TA25 ACW25 AMS25 AWO25 BGK25 BQG25 CAC25 CJY25 CTU25 DDQ25 DNM25 DXI25 EHE25 ERA25 FAW25 FKS25 FUO25 GEK25 GOG25 GYC25 HHY25 HRU25 IBQ25 ILM25 IVI25 JFE25 JPA25 JYW25 KIS25 KSO25 LCK25 LMG25 LWC25 MFY25 MPU25 MZQ25 NJM25 NTI25 ODE25 ONA25 OWW25 PGS25 PQO25 QAK25 QKG25 QUC25 RDY25 RNU25 RXQ25 SHM25 SRI25 TBE25 TLA25 TUW25 UES25 UOO25 UYK25 VIG25 VSC25 WBY25 WLU25 WVQ25 JG25 TC25 ACY25 AMU25 AWQ25 BGM25 BQI25 CAE25 CKA25 CTW25 DDS25 DNO25 DXK25 EHG25 ERC25 FAY25 FKU25 FUQ25 GEM25 GOI25 GYE25 HIA25 HRW25 IBS25 ILO25 IVK25 JFG25 JPC25 JYY25 KIU25 KSQ25 LCM25 LMI25 LWE25 MGA25 MPW25 MZS25 NJO25 NTK25 ODG25 ONC25 OWY25 PGU25 PQQ25 QAM25 QKI25 QUE25 REA25 RNW25 RXS25 SHO25 SRK25 TBG25 TLC25 TUY25 UEU25 UOQ25 UYM25 VII25 VSE25 WCA25 WLW25 I30:I34 WVS12:WVS14 WLW12:WLW14 WCA12:WCA14 VSE12:VSE14 VII12:VII14 UYM12:UYM14 UOQ12:UOQ14 UEU12:UEU14 TUY12:TUY14 TLC12:TLC14 TBG12:TBG14 SRK12:SRK14 SHO12:SHO14 RXS12:RXS14 RNW12:RNW14 REA12:REA14 QUE12:QUE14 QKI12:QKI14 QAM12:QAM14 PQQ12:PQQ14 PGU12:PGU14 OWY12:OWY14 ONC12:ONC14 ODG12:ODG14 NTK12:NTK14 NJO12:NJO14 MZS12:MZS14 MPW12:MPW14 MGA12:MGA14 LWE12:LWE14 LMI12:LMI14 LCM12:LCM14 KSQ12:KSQ14 KIU12:KIU14 JYY12:JYY14 JPC12:JPC14 JFG12:JFG14 IVK12:IVK14 ILO12:ILO14 IBS12:IBS14 HRW12:HRW14 HIA12:HIA14 GYE12:GYE14 GOI12:GOI14 GEM12:GEM14 FUQ12:FUQ14 FKU12:FKU14 FAY12:FAY14 ERC12:ERC14 EHG12:EHG14 DXK12:DXK14 DNO12:DNO14 DDS12:DDS14 CTW12:CTW14 CKA12:CKA14 CAE12:CAE14 BQI12:BQI14 BGM12:BGM14 AWQ12:AWQ14 AMU12:AMU14 ACY12:ACY14 TC12:TC14 JG12:JG14 WVQ12:WVQ14 WLU12:WLU14 WBY12:WBY14 VSC12:VSC14 VIG12:VIG14 UYK12:UYK14 UOO12:UOO14 UES12:UES14 TUW12:TUW14 TLA12:TLA14 TBE12:TBE14 SRI12:SRI14 SHM12:SHM14 RXQ12:RXQ14 RNU12:RNU14 RDY12:RDY14 QUC12:QUC14 QKG12:QKG14 QAK12:QAK14 PQO12:PQO14 PGS12:PGS14 OWW12:OWW14 ONA12:ONA14 ODE12:ODE14 NTI12:NTI14 NJM12:NJM14 MZQ12:MZQ14 MPU12:MPU14 MFY12:MFY14 LWC12:LWC14 LMG12:LMG14 LCK12:LCK14 KSO12:KSO14 KIS12:KIS14 JYW12:JYW14 JPA12:JPA14 JFE12:JFE14 IVI12:IVI14 ILM12:ILM14 IBQ12:IBQ14 HRU12:HRU14 HHY12:HHY14 GYC12:GYC14 GOG12:GOG14 GEK12:GEK14 FUO12:FUO14 FKS12:FKS14 FAW12:FAW14 ERA12:ERA14 EHE12:EHE14 DXI12:DXI14 DNM12:DNM14 DDQ12:DDQ14 CTU12:CTU14 CJY12:CJY14 CAC12:CAC14 BQG12:BQG14 BGK12:BGK14 AWO12:AWO14 AMS12:AMS14 ACW12:ACW14 TA12:TA14 JE12:JE14 I12:I19 K12:K19 I21:I28 K21:K28 K30:K34" xr:uid="{00000000-0002-0000-0200-000001000000}">
      <formula1>$BC$1:$BC$5</formula1>
    </dataValidation>
  </dataValidations>
  <pageMargins left="0.75" right="0.75" top="1" bottom="1" header="0.5" footer="0.5"/>
  <pageSetup paperSize="9" scale="13" orientation="landscape" r:id="rId3"/>
  <headerFooter alignWithMargins="0"/>
  <drawing r:id="rId4"/>
  <legacy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election activeCell="A8" sqref="A8"/>
    </sheetView>
  </sheetViews>
  <sheetFormatPr defaultRowHeight="12.75" outlineLevelRow="1" x14ac:dyDescent="0.2"/>
  <cols>
    <col min="1" max="1" width="27.28515625" customWidth="1"/>
    <col min="2" max="2" width="59.7109375" style="57" customWidth="1"/>
    <col min="3" max="3" width="24.42578125" customWidth="1"/>
  </cols>
  <sheetData>
    <row r="1" spans="1:2" x14ac:dyDescent="0.2">
      <c r="A1" s="58" t="s">
        <v>69</v>
      </c>
      <c r="B1" s="59" t="s">
        <v>0</v>
      </c>
    </row>
    <row r="2" spans="1:2" outlineLevel="1" x14ac:dyDescent="0.2">
      <c r="A2" s="60" t="s">
        <v>63</v>
      </c>
      <c r="B2" s="65" t="str">
        <f>PPRD</f>
        <v>Oct, 2019</v>
      </c>
    </row>
    <row r="3" spans="1:2" x14ac:dyDescent="0.2">
      <c r="A3" s="60" t="s">
        <v>66</v>
      </c>
      <c r="B3" s="61" t="str">
        <f>CRN</f>
        <v>CHG161158</v>
      </c>
    </row>
    <row r="4" spans="1:2" x14ac:dyDescent="0.2">
      <c r="A4" s="60" t="s">
        <v>67</v>
      </c>
      <c r="B4" s="61" t="str">
        <f>MA</f>
        <v>KZ</v>
      </c>
    </row>
    <row r="5" spans="1:2" x14ac:dyDescent="0.2">
      <c r="A5" s="60" t="s">
        <v>68</v>
      </c>
      <c r="B5" s="61" t="str">
        <f>Area</f>
        <v>Data</v>
      </c>
    </row>
    <row r="6" spans="1:2" x14ac:dyDescent="0.2">
      <c r="A6" s="60" t="s">
        <v>51</v>
      </c>
      <c r="B6" s="61" t="str">
        <f>Entity</f>
        <v>PM/PB, BC Outbound</v>
      </c>
    </row>
    <row r="7" spans="1:2" x14ac:dyDescent="0.2">
      <c r="A7" s="60" t="s">
        <v>64</v>
      </c>
      <c r="B7" s="62">
        <f>DTested</f>
        <v>43776</v>
      </c>
    </row>
    <row r="8" spans="1:2" x14ac:dyDescent="0.2">
      <c r="A8" s="60" t="s">
        <v>65</v>
      </c>
      <c r="B8" s="63">
        <f>DReviewed</f>
        <v>0</v>
      </c>
    </row>
    <row r="9" spans="1:2" x14ac:dyDescent="0.2">
      <c r="A9" s="60" t="s">
        <v>55</v>
      </c>
      <c r="B9" s="61" t="str">
        <f>TestedBy</f>
        <v>Misa</v>
      </c>
    </row>
    <row r="10" spans="1:2" x14ac:dyDescent="0.2">
      <c r="A10" s="60" t="s">
        <v>59</v>
      </c>
      <c r="B10" s="61" t="str">
        <f>ReviewedBy</f>
        <v>Anju</v>
      </c>
    </row>
    <row r="12" spans="1:2" x14ac:dyDescent="0.2">
      <c r="A12" s="60" t="s">
        <v>70</v>
      </c>
      <c r="B12" s="64" t="s">
        <v>14</v>
      </c>
    </row>
  </sheetData>
  <customSheetViews>
    <customSheetView guid="{21B0CAD9-87FB-46D4-A84D-3F27BF1AB225}" state="hidden">
      <selection activeCell="A8" sqref="A8"/>
      <pageMargins left="0.7" right="0.7" top="0.75" bottom="0.75" header="0.3" footer="0.3"/>
      <pageSetup orientation="portrait" r:id="rId1"/>
    </customSheetView>
    <customSheetView guid="{91C06B70-6585-464B-BF53-C51BA7FBAF02}" state="hidden">
      <selection activeCell="A8" sqref="A8"/>
      <pageMargins left="0.7" right="0.7" top="0.75" bottom="0.75" header="0.3" footer="0.3"/>
      <pageSetup orientation="portrait" r:id="rId2"/>
    </customSheetView>
  </customSheetView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885A5-3373-4FC7-92D4-BEE933220E6A}">
  <dimension ref="A1:A198"/>
  <sheetViews>
    <sheetView topLeftCell="A202" workbookViewId="0">
      <selection sqref="A1:XFD1"/>
    </sheetView>
  </sheetViews>
  <sheetFormatPr defaultRowHeight="12.75" x14ac:dyDescent="0.2"/>
  <cols>
    <col min="1" max="1" width="12.42578125" bestFit="1" customWidth="1"/>
  </cols>
  <sheetData>
    <row r="1" spans="1:1" s="118" customFormat="1" x14ac:dyDescent="0.2">
      <c r="A1" s="118" t="s">
        <v>123</v>
      </c>
    </row>
    <row r="2" spans="1:1" x14ac:dyDescent="0.2">
      <c r="A2" s="95" t="s">
        <v>111</v>
      </c>
    </row>
    <row r="43" spans="1:1" x14ac:dyDescent="0.2">
      <c r="A43" s="95" t="s">
        <v>119</v>
      </c>
    </row>
    <row r="51" spans="1:1" x14ac:dyDescent="0.2">
      <c r="A51" s="95" t="s">
        <v>120</v>
      </c>
    </row>
    <row r="60" spans="1:1" x14ac:dyDescent="0.2">
      <c r="A60" s="95" t="s">
        <v>121</v>
      </c>
    </row>
    <row r="73" spans="1:1" s="118" customFormat="1" x14ac:dyDescent="0.2">
      <c r="A73" s="118" t="s">
        <v>125</v>
      </c>
    </row>
    <row r="74" spans="1:1" x14ac:dyDescent="0.2">
      <c r="A74" s="95" t="s">
        <v>126</v>
      </c>
    </row>
    <row r="100" spans="1:1" x14ac:dyDescent="0.2">
      <c r="A100" s="95" t="s">
        <v>131</v>
      </c>
    </row>
    <row r="109" spans="1:1" x14ac:dyDescent="0.2">
      <c r="A109" s="95" t="s">
        <v>132</v>
      </c>
    </row>
    <row r="120" spans="1:1" x14ac:dyDescent="0.2">
      <c r="A120" s="95" t="s">
        <v>133</v>
      </c>
    </row>
    <row r="135" spans="1:1" s="118" customFormat="1" x14ac:dyDescent="0.2">
      <c r="A135" s="118" t="s">
        <v>124</v>
      </c>
    </row>
    <row r="136" spans="1:1" x14ac:dyDescent="0.2">
      <c r="A136" s="95" t="s">
        <v>144</v>
      </c>
    </row>
    <row r="180" spans="1:1" x14ac:dyDescent="0.2">
      <c r="A180" s="96" t="s">
        <v>153</v>
      </c>
    </row>
    <row r="188" spans="1:1" x14ac:dyDescent="0.2">
      <c r="A188" s="96" t="s">
        <v>154</v>
      </c>
    </row>
    <row r="198" spans="1:1" x14ac:dyDescent="0.2">
      <c r="A198" s="96" t="s">
        <v>155</v>
      </c>
    </row>
  </sheetData>
  <mergeCells count="3">
    <mergeCell ref="A1:XFD1"/>
    <mergeCell ref="A73:XFD73"/>
    <mergeCell ref="A135:XFD135"/>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Rammondhur, Kreshta</cp:lastModifiedBy>
  <cp:lastPrinted>2013-10-17T06:50:38Z</cp:lastPrinted>
  <dcterms:created xsi:type="dcterms:W3CDTF">2006-03-30T08:28:02Z</dcterms:created>
  <dcterms:modified xsi:type="dcterms:W3CDTF">2020-08-28T08:33:33Z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