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J:\General\04_RELEASE_MANAGEMENT\2019-07-Release PROD JUL19\02_Development\Data\D_CHG161158\02-Design\"/>
    </mc:Choice>
  </mc:AlternateContent>
  <xr:revisionPtr revIDLastSave="0" documentId="13_ncr:1_{CCE564FA-C429-4716-9F01-FB40FBDF1486}" xr6:coauthVersionLast="36" xr6:coauthVersionMax="43" xr10:uidLastSave="{00000000-0000-0000-0000-000000000000}"/>
  <bookViews>
    <workbookView xWindow="0" yWindow="0" windowWidth="19200" windowHeight="6490" tabRatio="893"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Control'!$L$5</definedName>
    <definedName name="DevDReviewed">'Version Control'!$L$4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4" i="3" l="1"/>
  <c r="E23" i="12" l="1"/>
  <c r="E24" i="12"/>
  <c r="E25" i="12"/>
  <c r="E27" i="12"/>
  <c r="E28" i="12"/>
  <c r="B8" i="21" l="1"/>
  <c r="B7" i="21"/>
  <c r="B3" i="21"/>
  <c r="B9" i="21"/>
  <c r="B10" i="21"/>
  <c r="C17" i="21"/>
  <c r="C26" i="12" l="1"/>
  <c r="E26" i="12" l="1"/>
  <c r="C29" i="12"/>
  <c r="D8" i="1"/>
  <c r="D7" i="1"/>
  <c r="D6" i="1"/>
  <c r="D5" i="1"/>
  <c r="D4" i="1"/>
  <c r="D3" i="1"/>
  <c r="B38" i="11"/>
  <c r="E29" i="12" l="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5"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<sst xmlns="http://schemas.openxmlformats.org/spreadsheetml/2006/main" count="2070" uniqueCount="467">
  <si>
    <t>Trade Marketing Excellence Programme</t>
  </si>
  <si>
    <t>DATA</t>
  </si>
  <si>
    <t>Technical Design Mapping, Workflow &amp; Stored Procedure</t>
  </si>
  <si>
    <t>CHG/INC:</t>
  </si>
  <si>
    <t xml:space="preserve">        Title:</t>
  </si>
  <si>
    <t>Planned Prod Release Date:</t>
  </si>
  <si>
    <t>Jul, 2019</t>
  </si>
  <si>
    <t xml:space="preserve">  Market Affected:</t>
  </si>
  <si>
    <t>Date:</t>
  </si>
  <si>
    <t>Status:</t>
  </si>
  <si>
    <t xml:space="preserve">Draft </t>
  </si>
  <si>
    <t>Reviewer Control Section</t>
  </si>
  <si>
    <t>Name</t>
  </si>
  <si>
    <t>First Name</t>
  </si>
  <si>
    <t>Function</t>
  </si>
  <si>
    <t>Document Version</t>
  </si>
  <si>
    <t>Date</t>
  </si>
  <si>
    <t>Comments</t>
  </si>
  <si>
    <t>Developer</t>
  </si>
  <si>
    <t>Sign-off Control Section (a CoE and GDC sign-off names are required)</t>
  </si>
  <si>
    <t>Signature</t>
  </si>
  <si>
    <t>Estimation</t>
  </si>
  <si>
    <t>Manday</t>
  </si>
  <si>
    <t>Hours</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</si>
  <si>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</si>
  <si>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</si>
  <si>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</si>
  <si>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</si>
  <si>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</si>
  <si>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</si>
  <si>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</si>
  <si>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</si>
  <si>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</si>
  <si>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</si>
  <si>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</si>
  <si>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</si>
  <si>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</si>
  <si>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</si>
  <si>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</si>
  <si>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</si>
  <si>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</si>
  <si>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</si>
  <si>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</si>
  <si>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</si>
  <si>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</si>
  <si>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</si>
  <si>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</si>
  <si>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DTD Review CheckList</t>
  </si>
  <si>
    <t xml:space="preserve">This is a checklist that is manage by Accenture to ensure that </t>
  </si>
  <si>
    <t>all coding and guideline provided by GDC has been followed as per</t>
  </si>
  <si>
    <t>Checklist</t>
  </si>
  <si>
    <t>the document</t>
  </si>
  <si>
    <t>Validation</t>
  </si>
  <si>
    <t>Details</t>
  </si>
  <si>
    <t>Status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</si>
  <si>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</si>
  <si>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</si>
  <si>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</si>
  <si>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</si>
  <si>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NA</t>
  </si>
  <si>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</si>
  <si>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</si>
  <si>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</si>
  <si>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</si>
  <si>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</si>
  <si>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</si>
  <si>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</si>
  <si>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</si>
  <si>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</si>
  <si>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</si>
  <si>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</si>
  <si>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</si>
  <si>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</si>
  <si>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</si>
  <si>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</si>
  <si>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</si>
  <si>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</si>
  <si>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</si>
  <si>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</si>
  <si>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</si>
  <si>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</si>
  <si>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</si>
  <si>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</si>
  <si>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</si>
  <si>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</si>
  <si>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</si>
  <si>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</si>
  <si>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</si>
  <si>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</si>
  <si>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</si>
  <si>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</si>
  <si>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</si>
  <si>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</si>
  <si>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</si>
  <si>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</si>
  <si>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</si>
  <si>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</si>
  <si>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</si>
  <si>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</si>
  <si>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</si>
  <si>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</si>
  <si>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</si>
  <si>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</si>
  <si>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</si>
  <si>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</si>
  <si>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</si>
  <si>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</si>
  <si>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</si>
  <si>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</si>
  <si>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</si>
  <si>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</si>
  <si>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</si>
  <si>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</si>
  <si>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</si>
  <si>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</si>
  <si>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</si>
  <si>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</si>
  <si>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</si>
  <si>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</si>
  <si>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</si>
  <si>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</si>
  <si>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</si>
  <si>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</si>
  <si>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</si>
  <si>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</si>
  <si>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</si>
  <si>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</si>
  <si>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</si>
  <si>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</si>
  <si>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</si>
  <si>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</si>
  <si>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</si>
  <si>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</si>
  <si>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</si>
  <si>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</si>
  <si>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</si>
  <si>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</si>
  <si>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</si>
  <si>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</si>
  <si>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</si>
  <si>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</si>
  <si>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</si>
  <si>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</si>
  <si>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</si>
  <si>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</si>
  <si>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</si>
  <si>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</si>
  <si>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</si>
  <si>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</si>
  <si>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</si>
  <si>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</si>
  <si>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</si>
  <si>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</si>
  <si>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</si>
  <si>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</si>
  <si>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</si>
  <si>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</si>
  <si>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</si>
  <si>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</si>
  <si>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</si>
  <si>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</si>
  <si>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OLTP</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</si>
  <si>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</si>
  <si>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</si>
  <si>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</si>
  <si>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</si>
  <si>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</si>
  <si>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</si>
  <si>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</si>
  <si>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</si>
  <si>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</si>
  <si>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</si>
  <si>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</si>
  <si>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</si>
  <si>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</si>
  <si>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</si>
  <si>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</si>
  <si>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</si>
  <si>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</si>
  <si>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</si>
  <si>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</si>
  <si>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</si>
  <si>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</si>
  <si>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</si>
  <si>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</si>
  <si>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</si>
  <si>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</si>
  <si>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EIM_INTERFACE</t>
  </si>
  <si>
    <t>Modify mapping</t>
  </si>
  <si>
    <t>EC4U</t>
  </si>
  <si>
    <t>No Impact</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</si>
  <si>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</si>
  <si>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</si>
  <si>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</si>
  <si>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</si>
  <si>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</si>
  <si>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</si>
  <si>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</si>
  <si>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</si>
  <si>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</si>
  <si>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</si>
  <si>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</si>
  <si>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</si>
  <si>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Impacted</t>
  </si>
  <si>
    <t>RUN_EIM_PROCESS_GENERIC</t>
  </si>
  <si>
    <t>Worklet</t>
  </si>
  <si>
    <t>Worklet Name</t>
  </si>
  <si>
    <t>JTI_DWH_ETLComplete_Incremental
JTI_OLTP_EIM</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</si>
  <si>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</si>
  <si>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</si>
  <si>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</si>
  <si>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</si>
  <si>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</si>
  <si>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</si>
  <si>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</si>
  <si>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</si>
  <si>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</si>
  <si>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</si>
  <si>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</si>
  <si>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</si>
  <si>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</si>
  <si>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</si>
  <si>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</si>
  <si>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</si>
  <si>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</si>
  <si>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</si>
  <si>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</si>
  <si>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</si>
  <si>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</si>
  <si>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</si>
  <si>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</si>
  <si>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JTI_DWH_ETLComplete_Incremental,
JTI_OLTP_EIM</t>
  </si>
  <si>
    <t>n/a</t>
  </si>
  <si>
    <t>Validate</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</si>
  <si>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</si>
  <si>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</si>
  <si>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</si>
  <si>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</si>
  <si>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</si>
  <si>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</si>
  <si>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</si>
  <si>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</si>
  <si>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</si>
  <si>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</si>
  <si>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</si>
  <si>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</si>
  <si>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</si>
  <si>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</si>
  <si>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</si>
  <si>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</si>
  <si>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</si>
  <si>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</si>
  <si>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</si>
  <si>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</si>
  <si>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</si>
  <si>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</si>
  <si>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</si>
  <si>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</si>
  <si>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</si>
  <si>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Rakotoasimbahoaka</t>
  </si>
  <si>
    <t>Misa</t>
  </si>
  <si>
    <t>26/06/2019</t>
  </si>
  <si>
    <t>Inbound and outbound interfaces additional columns</t>
  </si>
  <si>
    <t>PRE_EIM_AGREEMENT</t>
  </si>
  <si>
    <t>Informatica</t>
  </si>
  <si>
    <t>Add new fields</t>
  </si>
  <si>
    <t>CONTACT_UID</t>
  </si>
  <si>
    <t>CELL_PH_NUM</t>
  </si>
  <si>
    <t>X_ATTRIB_3</t>
  </si>
  <si>
    <t>X_ATTRIB_4</t>
  </si>
  <si>
    <t>X_ATTRIB_14</t>
  </si>
  <si>
    <t>X_ATTRIB_18</t>
  </si>
  <si>
    <t>X_ATTRIB_38</t>
  </si>
  <si>
    <t>nvarchar(100)</t>
  </si>
  <si>
    <t>nvarchar(50)</t>
  </si>
  <si>
    <t>nvarchar(40)</t>
  </si>
  <si>
    <t>nvarchar(30)</t>
  </si>
  <si>
    <t>FDE_INT_CONTRACT_GENERIC</t>
  </si>
  <si>
    <t>Shortcut_to_FDE_INT_CONTRACT_GENERIC</t>
  </si>
  <si>
    <t>Load_EIM/wrk_Contract_Interface_Generic</t>
  </si>
  <si>
    <t>FDE_INT_CONTRACT_PRE_GENERIC</t>
  </si>
  <si>
    <t>Shortcut_to_FDE_INT_CONTRACT_PRE_GENERIC</t>
  </si>
  <si>
    <t>CONTRACT_GENERIC</t>
  </si>
  <si>
    <t>nstring(500)</t>
  </si>
  <si>
    <t>- Add and map the new field 'CONTACT_UID' on the SQ_PRE_CONTRACT_GENERIC.
- Add new output column 'FIELD_NAME82' with value 'CONTACT_UID' on the EXP_SET_VALUES.
- Map EXP_CHECK_STRING1.IN_STRING_24 from SQ_PRE_CONTRACT_GENERIC.CONTACT_UID
- Map EXP_CHECK_STRING1.IN_LENGTH_024 from EXP_FIELD_LENGTHS.FIELD_LENGTH_100
- Map EXP_CHECK_STRING1.IN_FIELDNAME_024 from EXP_SET_VALUES.FIELD_NAME82
- Add new field IN_FIELDNAME_0241 on the 'FILTRANS_LENGTH_ERROR'
- Add new field CONTACT_UID on the 'FILTRANS_LENGTH_ERROR' and mapped it from EXP_SET_VALUES.OUT_STRING_024
- Add new field CONTACT_UID on the 'FILTRANS_TYPECHECK_ERROR' and mapped it from FILTRANS_LENGTH_ERROR.CONTACT_UID
- Map PRE_EIM_AGREEMENT.CONTACT_UID from FILTRANS_TYPECHECK_ERROR.CONTACT_UID</t>
  </si>
  <si>
    <t xml:space="preserve">- Add and map the new field 'X_ATTRIB_38' on the SQ_PRE_CONTRACT_GENERIC.
- Add new output column 'FIELD_NAME88' with value 'X_ATTRIB_38' on the EXP_SET_VALUES.
- Map EXP_CHECK_STRING1.IN_STRING_30 from SQ_PRE_CONTRACT_GENERIC.X_ATTRIB_38
- Map EXP_CHECK_STRING1.IN_LENGTH_030 from EXP_FIELD_LENGTHS.FIELD_LENGTH_50
- Map EXP_CHECK_STRING1.IN_FIELDNAME_030 from EXP_SET_VALUES.FIELD_NAME82
- Add new field IN_FIELDNAME_0301 on the 'FILTRANS_LENGTH_ERROR'
- Add new field X_ATTRIB_38 on the 'FILTRANS_LENGTH_ERROR' and mapped it from EXP_SET_VALUES.OUT_STRING_030
- Add new field X_ATTRIB_38 on the 'FILTRANS_TYPECHECK_ERROR' and mapped it from FILTRANS_LENGTH_ERROR.X_ATTRIB_38
- Map PRE_EIM_AGREEMENT.X_ATTRIB_38 from FILTRANS_TYPECHECK_ERROR.X_ATTRIB_38"
</t>
  </si>
  <si>
    <t xml:space="preserve">- Add and map the new field 'X_ATTRIB_18' on the SQ_PRE_CONTRACT_GENERIC.
- Add new output column 'FIELD_NAME87' with value 'X_ATTRIB_18' on the EXP_SET_VALUES.
- Map EXP_CHECK_STRING1.IN_STRING_29 from SQ_PRE_CONTRACT_GENERIC.X_ATTRIB_18
- Map EXP_CHECK_STRING1.IN_LENGTH_029 from EXP_FIELD_LENGTHS.FIELD_LENGTH_50
- Map EXP_CHECK_STRING1.IN_FIELDNAME_029 from EXP_SET_VALUES.FIELD_NAME82
- Add new field IN_FIELDNAME_0291 on the 'FILTRANS_LENGTH_ERROR'
- Add new field X_ATTRIB_18 on the 'FILTRANS_LENGTH_ERROR' and mapped it from EXP_SET_VALUES.OUT_STRING_029
- Add new field X_ATTRIB_18 on the 'FILTRANS_TYPECHECK_ERROR' and mapped it from FILTRANS_LENGTH_ERROR.X_ATTRIB_18
- Map PRE_EIM_AGREEMENT.X_ATTRIB_18 from FILTRANS_TYPECHECK_ERROR.X_ATTRIB_18"
</t>
  </si>
  <si>
    <t xml:space="preserve">- Add and map the new field 'X_ATTRIB_14' on the SQ_PRE_CONTRACT_GENERIC.
- Add new output column 'FIELD_NAME86' with value 'X_ATTRIB_14' on the EXP_SET_VALUES.
- Map EXP_CHECK_STRING1.IN_STRING_28 from SQ_PRE_CONTRACT_GENERIC.X_ATTRIB_14
- Map EXP_CHECK_STRING1.IN_LENGTH_028 from EXP_FIELD_LENGTHS.FIELD_LENGTH_30
- Map EXP_CHECK_STRING1.IN_FIELDNAME_028 from EXP_SET_VALUES.FIELD_NAME82
- Add new field IN_FIELDNAME_0281 on the 'FILTRANS_LENGTH_ERROR'
- Add new field X_ATTRIB_14 on the 'FILTRANS_LENGTH_ERROR' and mapped it from EXP_SET_VALUES.OUT_STRING_028
- Add new field X_ATTRIB_14 on the 'FILTRANS_TYPECHECK_ERROR' and mapped it from FILTRANS_LENGTH_ERROR.X_ATTRIB_14
- Map PRE_EIM_AGREEMENT.X_ATTRIB_14 from FILTRANS_TYPECHECK_ERROR.X_ATTRIB_14"
</t>
  </si>
  <si>
    <t xml:space="preserve">- Add and map the new field 'X_ATTRIB_4' on the SQ_PRE_CONTRACT_GENERIC.
- Add new output column 'FIELD_NAME85' with value 'X_ATTRIB_4' on the EXP_SET_VALUES.
- Map EXP_CHECK_STRING1.IN_STRING_27 from SQ_PRE_CONTRACT_GENERIC.X_ATTRIB_4
- Map EXP_CHECK_STRING1.IN_LENGTH_027 from EXP_FIELD_LENGTHS.FIELD_LENGTH_40
- Map EXP_CHECK_STRING1.IN_FIELDNAME_027 from EXP_SET_VALUES.FIELD_NAME82
- Add new field IN_FIELDNAME_0271 on the 'FILTRANS_LENGTH_ERROR'
- Add new field X_ATTRIB_4 on the 'FILTRANS_LENGTH_ERROR' and mapped it from EXP_SET_VALUES.OUT_STRING_027
- Add new field X_ATTRIB_4 on the 'FILTRANS_TYPECHECK_ERROR' and mapped it from FILTRANS_LENGTH_ERROR.X_ATTRIB_4
- Map PRE_EIM_AGREEMENT.X_ATTRIB_4 from FILTRANS_TYPECHECK_ERROR.X_ATTRIB_4"
</t>
  </si>
  <si>
    <t>- Add and map the new field 'X_ATTRIB_3' on the SQ_PRE_CONTRACT_GENERIC.
- Add new output column 'FIELD_NAME84' with value 'X_ATTRIB_3' on the EXP_SET_VALUES.
- Map EXP_CHECK_STRING1.IN_STRING_26 from SQ_PRE_CONTRACT_GENERIC.X_ATTRIB_3
- Map EXP_CHECK_STRING1.IN_LENGTH_026 from EXP_FIELD_LENGTHS.FIELD_LENGTH_40
- Map EXP_CHECK_STRING1.IN_FIELDNAME_026 from EXP_SET_VALUES.FIELD_NAME82
- Add new field IN_FIELDNAME_0261 on the 'FILTRANS_LENGTH_ERROR'
- Add new field X_ATTRIB_3 on the 'FILTRANS_LENGTH_ERROR' and mapped it from EXP_SET_VALUES.OUT_STRING_026
- Add new field X_ATTRIB_3 on the 'FILTRANS_TYPECHECK_ERROR' and mapped it from FILTRANS_LENGTH_ERROR.X_ATTRIB_3
- Map PRE_EIM_AGREEMENT.X_ATTRIB_3 from FILTRANS_TYPECHECK_ERROR.X_ATTRIB_3"</t>
  </si>
  <si>
    <t>- Add and map the new field 'CELL_PH_NUM' on the SQ_PRE_CONTRACT_GENERIC.
- Add new output column 'FIELD_NAME83' with value 'CELL_PH_NUM' on the EXP_SET_VALUES.
- Map EXP_CHECK_STRING1.IN_STRING_25 from SQ_PRE_CONTRACT_GENERIC.CELL_PH_NUM
- Map EXP_CHECK_STRING1.IN_LENGTH_025 from EXP_FIELD_LENGTHS.FIELD_LENGTH_40
- Map EXP_CHECK_STRING1.IN_FIELDNAME_025 from EXP_SET_VALUES.FIELD_NAME82
- Add new field IN_FIELDNAME_0251 on the 'FILTRANS_LENGTH_ERROR'
- Add new field CELL_PH_NUM on the 'FILTRANS_LENGTH_ERROR' and mapped it from EXP_SET_VALUES.OUT_STRING_025
- Add new field CELL_PH_NUM on the 'FILTRANS_TYPECHECK_ERROR' and mapped it from FILTRANS_LENGTH_ERROR.CELL_PH_NUM
- Map PRE_EIM_AGREEMENT.CELL_PH_NUM from FILTRANS_TYPECHECK_ERROR.CELL_PH_NUM"</t>
  </si>
  <si>
    <t>Import the target PRE_EIM_AGREEMENT</t>
  </si>
  <si>
    <t>Import the source PRE_EIM_AGREEMENT</t>
  </si>
  <si>
    <t>EIM_CONTACT</t>
  </si>
  <si>
    <t>EIM_COND_DTL</t>
  </si>
  <si>
    <t>PERSON_UID</t>
  </si>
  <si>
    <t>X_ATTRIB_14_CD</t>
  </si>
  <si>
    <t>ATTRIB_37</t>
  </si>
  <si>
    <t>ATTRIB_38</t>
  </si>
  <si>
    <t>wrk_Contract_Interface_Generic</t>
  </si>
  <si>
    <t>CON_CELL_PH_NUM</t>
  </si>
  <si>
    <t>IFA_ENU_CO_Contract.ifb</t>
  </si>
  <si>
    <t>1) Add a new variable on [Import All]
INCLUDE = "UPDATE CONTACT"
INCLUDE = "UPDATE CONTACT_X"
2) Add the new sections below at the end:
[UPDATE CONTACT]
	TYPE = IMPORT
	;&lt;REQUEST Import S_CONTACT&gt;SELECT (COUNT (DISTINCT IF_ROW_BATCH_NUM) + 100000000) FROM EIM_CONTACT (NOLOCK) WHERE IF_ROW_BATCH_NUM BETWEEN 100000000 AND 100000999&lt;/REQUEST&gt;
	;&lt;BATCH Import S_CONTACT&gt;
		BATCH = 100000000-100000999
	;&lt;/BATCH&gt;
	TABLE = EIM_CONTACT
	ONLY BASE TABLES = S_PARTY,S_CONTACT
	NETCHANGE = FALSE
	INSERT ROWS= S_PARTY, FALSE
	UPDATE ROWS= S_PARTY, FALSE
	INSERT ROWS= S_CONTACT,FALSE
	UPDATE ROWS= S_CONTACT,TRUE
	ONLY BASE COLUMNS=S_PARTY.PARTY_UID,\
			S_PARTY.PARTY_TYPE_CD,\
			S_CONTACT.PERSON_UID,\
			S_CONTACT.BU_ID,\
			S_CONTACT.CELL_PH_NUM,\
			S_CONTACT.X_ATTRIB_3,\
			S_CONTACT.X_ATTRIB_4,\
			S_CONTACT.X_ATTRIB_14_CD
[IMPORT CONTACT_X]
	TYPE = IMPORT
	;&lt;REQUEST Import S_CONTACT_X&gt;SELECT (COUNT (DISTINCT IF_ROW_BATCH_NUM) + 100000000) FROM EIM_CON_DTL (NOLOCK) WHERE IF_ROW_BATCH_NUM BETWEEN 100000000 AND 100000999&lt;/REQUEST&gt;
	;&lt;BATCH Import S_CONTACT_X&gt;
		BATCH = 100000000-100000999
	;&lt;/BATCH&gt;
	TABLE = EIM_CON_DTL
	ONLY BASE TABLES = S_PARTY, S_CONTACT_X
	NETCHANGE = FALSE
	INSERT ROWS= S_PARTY, FALSE
	UPDATE ROWS= S_PARTY, FALSE
	INSERT ROWS= S_CONTACT_X, FALSE
	UPDATE ROWS= S_CONTACT_X, TRUE
	ONLY BASE COLUMNS=S_PARTY.PARTY_UID,\
			S_PARTY.PARTY_TYPE_CD,\
			S_CONTACT_X.PAR_ROW_ID,\
			S_CONTACT_X.ATTRIB_37,\
			S_CONTACT_X.ATTRIB_38</t>
  </si>
  <si>
    <t>Map first from the source table and create a new field with a same name from the source on the following transformation SQ_PRE_EIM_AGREEMENT &gt; SOR_PRIMARY &gt; FIL_DUPLICATES &gt; FILTRANS &gt; EXP_CHK_PRIMARY_ACCNT_FLG then FIL_PRIMARY_ACCNT_FLG_Y</t>
  </si>
  <si>
    <r>
      <t xml:space="preserve">Import a new target EIM_CONTACT and EIM_COND_DTL
</t>
    </r>
    <r>
      <rPr>
        <b/>
        <u/>
        <sz val="10"/>
        <rFont val="Tahoma"/>
        <family val="2"/>
      </rPr>
      <t>Note</t>
    </r>
    <r>
      <rPr>
        <b/>
        <sz val="10"/>
        <rFont val="Tahoma"/>
        <family val="2"/>
      </rPr>
      <t>:</t>
    </r>
    <r>
      <rPr>
        <sz val="10"/>
        <rFont val="Tahoma"/>
        <family val="2"/>
      </rPr>
      <t xml:space="preserve"> Ensure that all field is set to nstring instead of string.</t>
    </r>
  </si>
  <si>
    <t>s_FDE_INT_CONTRACT_PRE_GENERIC</t>
  </si>
  <si>
    <t>- Regression test without contact i.e. all new fields are null.</t>
  </si>
  <si>
    <t>- Testing with contact provided and exist on the DB:</t>
  </si>
  <si>
    <t xml:space="preserve">  &gt; fill all fields with null value to check if the field is nullified</t>
  </si>
  <si>
    <t xml:space="preserve">  &gt; fill the X_ATTRIB_14_CD with wrong LOV and check if record is rejected</t>
  </si>
  <si>
    <t xml:space="preserve">  &gt; fill all fields to check if update is OK </t>
  </si>
  <si>
    <t>- Testing with contact provided but not exist on the DB: record should be rejected</t>
  </si>
  <si>
    <t xml:space="preserve">  &gt; Populate the CONTACT_UID with a cyrillyc characters</t>
  </si>
  <si>
    <t>DELETE EIM_CONTACT WHERE IF_ROW_BATCH_NUM BETWEEN 100000000AND 100000999;
DELETE EIM_CON_DTL WHERE IF_ROW_BATCH_NUM BETWEEN 100000000AND 100000999;</t>
  </si>
  <si>
    <t>s_FDE_INT_CONTRACT_GENERIC</t>
  </si>
  <si>
    <t>- Add $Target connection for the LKP_CONTACT_UID and  MPLT_LOV_LKP_VALUE_X_ATTRIB_14_CD.VAL
- Add the EIM deletion statement on the PreSQL Source 
- Set the connection for the 2 news EIM Tables
- Validate</t>
  </si>
  <si>
    <t>FDE_INT_POINT_TRANS_PRE_GENERIC</t>
  </si>
  <si>
    <t>FDE_INT_POINT_TRANS_GENERIC</t>
  </si>
  <si>
    <t>Shortcut_to_FDE_INT_POINT_TRANS_PRE_GENERIC</t>
  </si>
  <si>
    <t>Shortcut_to_FDE_INT_POINT_TRANS_GENERIC</t>
  </si>
  <si>
    <t>POINT_TRANS_TXT_GENERIC</t>
  </si>
  <si>
    <t>- Add and map the new field 'CELL_PH_NUM' on the SQ_POINT_TRANS_TXT_V4.
- Add new output column 'CELL_PH_NUM_FIELDNAME' with value 'CELL_PH_NUM' on the EXP_SET_VALUES.
- Map EXP_CHECK_STRING.IN_STRING_25 from SQ_POINT_TRANS_TXT_V4.CELL_PH_NUM
- Map EXP_CHECK_STRING.IN_LENGTH_025 from EXP_FIELD_LENGTHS.FIELD_LENGTH_40
- Map EXP_CHECK_STRING.IN_FIELDNAME_025 from EXP_SET_VALUES.CELL_PH_NUM_FIELDNAME
- Transfert the field CELL_PH_NUM from the EXP_SET_VALUES.OUT_STRING_025 to the 'FIL_CHECK_STRING', 'FIL_MANDATORY' then 'FIL_NUM_DATE_CHK'
- Map PRE_EIM_AGR_POINT_TRANSACTION.CELL_PH_NUM from FIL_NUM_DATE_CHK.CELL_PH_NUM</t>
  </si>
  <si>
    <t>- Add and map the new field 'X_ATTRIB_3' on the SQ_POINT_TRANS_TXT_V4.
- Add new output column 'X_ATTRIB_3_FIELDNAME' with value 'X_ATTRIB_3' on the EXP_SET_VALUES.
- Map EXP_CHECK_STRING.IN_STRING_26 from SQ_POINT_TRANS_TXT_V4.X_ATTRIB_3
- Map EXP_CHECK_STRING.IN_LENGTH_026 from EXP_FIELD_LENGTHS.FIELD_LENGTH_40
- Map EXP_CHECK_STRING.IN_FIELDNAME_026 from EXP_SET_VALUES.X_ATTRIB_3_FIELDNAME
- Transfert the field X_ATTRIB_3 from the EXP_SET_VALUES.OUT_STRING_026 to the 'FIL_CHECK_STRING', 'FIL_MANDATORY' then 'FIL_NUM_DATE_CHK'
- Map PRE_EIM_AGR_POINT_TRANSACTION.X_ATTRIB_3 from FIL_NUM_DATE_CHK.X_ATTRIB_3</t>
  </si>
  <si>
    <t>- Add and map the new field 'X_ATTRIB_18' on the SQ_POINT_TRANS_TXT_V4.
- Add new output column 'X_ATTRIB_18_FIELDNAME' with value 'X_ATTRIB_18' on the EXP_SET_VALUES.
- Map EXP_CHECK_STRING.IN_STRING_28 from SQ_POINT_TRANS_TXT_V4.X_ATTRIB_18
- Map EXP_CHECK_STRING.IN_LENGTH_028 from EXP_FIELD_LENGTHS.FIELD_LENGTH_50
- Map EXP_CHECK_STRING.IN_FIELDNAME_028 from EXP_SET_VALUES.X_ATTRIB_18_FIELDNAME
- Transfert the field X_ATTRIB_18 from the EXP_SET_VALUES.OUT_STRING_028 to the 'FIL_CHECK_STRING', 'FIL_MANDATORY' then 'FIL_NUM_DATE_CHK'
- Map PRE_EIM_AGR_POINT_TRANSACTION.X_ATTRIB_18 from FIL_NUM_DATE_CHK.X_ATTRIB_18</t>
  </si>
  <si>
    <t>- Add and map the new field 'X_ATTRIB_14' on the SQ_POINT_TRANS_TXT_V4.
- Add new output column 'X_ATTRIB_14_FIELDNAME' with value 'X_ATTRIB_14' on the EXP_SET_VALUES.
- Map EXP_CHECK_STRING.IN_STRING_27 from SQ_POINT_TRANS_TXT_V4.X_ATTRIB_14
- Map EXP_CHECK_STRING.IN_LENGTH_027 from EXP_FIELD_LENGTHS.FIELD_LENGTH_30
- Map EXP_CHECK_STRING.IN_FIELDNAME_027 from EXP_SET_VALUES.X_ATTRIB_14_FIELDNAME
- Transfert the field X_ATTRIB_14 from the EXP_SET_VALUES.OUT_STRING_027 to the 'FIL_CHECK_STRING', 'FIL_MANDATORY' then 'FIL_NUM_DATE_CHK'
- Map PRE_EIM_AGR_POINT_TRANSACTION.X_ATTRIB_14 from FIL_NUM_DATE_CHK.X_ATTRIB_14</t>
  </si>
  <si>
    <t>Import the target PRE_EIM_AGR_POINT_TRANSACTION</t>
  </si>
  <si>
    <t>Import the source PRE_EIM_AGR_POINT_TRANSACTION</t>
  </si>
  <si>
    <t>PRE_EIM_AGR_POINT_TRANSACTION</t>
  </si>
  <si>
    <t>Map first from the source table and create a new field with a same name from the source on the following transformation SQ_PRE_EIM_AGR_POINT_TRANSACTION &gt; FIL_DUPP &gt; EXP_TRANS &gt;FIL_LOV_FOREIGN_KEYS &gt; SRT_UK &gt; JNR_MERGE_DATAFLOW then FIL_TRANSACT_QTY.</t>
  </si>
  <si>
    <t>- Drag the new column on the SQ_PRE_EIM_AGREEMENT, SOR_PRIMARY, FIL_DUPLICATES.
- Add a new Lookup 'LKP_CONTACT_UID' before the EXP_FOREIGN_KEY_CHECK with following 
Input Port: CONTACT_UID FROM FIL_DUPLICATES.CONTACT_UID, IN_BU_NAME FROM FIL_DUPLICATES.BU_NAME_FF
Output Port: PERSON_UID, CONTACT_ID, PAR_PARTY_UID, PAR_PARTY_TYPE_CD, IN_BU_NAME
Lookup Condition: CONTACT_UID = PERSON_UID, IN_BU_NAME = BU_NAME_FF
Lookup Table: S_CONTACT
SQL override:
SELECT
CON.ROW_ID AS CONTACT_ID,
CON.PERSON_UID AS PERSON_UID,
PAR.PARTY_UID AS PAR_PARTY_UID,
PAR.PARTY_TYPE_CD AS PAR_PARTY_TYPE_CD
FROM S_CONTACT CON (NOLOCK)
INNER JOIN S_PARTY PAR (NOLOCK) ON PAR.ROW_ID=CON.PAR_ROW_ID
INNER JOIN S_CONTACT_X CON_X (NOLOCK) ON CON_X.ROW_ID=CON.ROW_ID
- Drag the field LKP_CONTACT_UID.PERSON_UID to EXP_FOREIGN_KEY_CHECK.
- Rename the field PERSON_UID to CONTACT_UID on the EXP_FOREIGN_KEY_CHECK.
- Drag the field LKP_CONTACT_UID.CONTACT_ID to EXP_FOREIGN_KEY_CHECK.
- Drag the field LKP_CONTACT_UID.CONTACT_UID to EXP_FOREIGN_KEY_CHECK.
- Create a new output field CONTACT_UID_CHK with the below value on the EXP_FOREIGN_KEY_CHECK:
IIF(ISNULL(CONTACT_UID)),
	IIF(
			:SP.SP_INSERT_ERR_LINE(
			MAPPING_NAME,
			E_LINE_NUMBER,
			ETL_PROC_WID,
			E_FILE_NAME,
			IIF(IS_DATE(E_FILE_DATE,'YYYYMMDD')=1,
			TO_DATE(E_FILE_DATE,'YYYYMMDD'),NULL),
			TARGET_TABLE,
			SYSDATE,
			E_EXTRACTION_DATA,
		    'CONTACT_UID',
			CONTACT_UID,
	:LKP.LKP_FAILURE_DESCRIPTIONS('FOREIGN_KEY'))=0,'ERROR','ERROR'),'GOOD')
- Drag the field CONTACT_UID_CHK  on the FILTRANS and modify the filter condition by adding "AND (CONTACT_UID_CHK != 'ERROR')"
- Drag the field CONTACT_ID from the EXP_FOREIGN_KEY_CHECK on the FILTRANS.
- Drag the field PAR_PARTY_UID, PAR_PARTY_TYPE_CD, CONTACT_UID, IN_BU_NAME from the LKP_CONTACT_UID on the FILTRANS.
- Drag the field CONTACT_ID,PAR_PARTY_UID, PAR_PARTY_TYPE_CD, CONTACT_UID, IN_BU_NAME from the FILTRANS to the EXP_CHK_PRIMARY_ACCNT_FLG then FIL_PRIMARY_ACCNT_FLG_Y.
- Map the EIM_CONTACT.ROW_ID from  FIL_PRIMARY_ACCNT_FLG_Y.CONTACT_ID
- Map the EIM_CONTACT.IF_ROW_BATCH_NUM from FIL_PRIMARY_ACCNT_FLG_Y.IF_ROW_BATCH_NUM_PARENT
- Map the EIM_CONTACT.IF_ROW_STAT from FIL_PRIMARY_ACCNT_FLG_Y.IF_ROW_STAT
- Map the EIM_CONTACT.PARTY_UID from  FIL_PRIMARY_ACCNT_FLG_Y.PAR_PARTY_UID
- Map the EIM_CONTACT.PARTY_TYPE_CD from  FIL_PRIMARY_ACCNT_FLG_Y.PAR_PARTY_TYPE_CD
- Map the EIM_CONTACT.CON_PERSON_UID from  FIL_PRIMARY_ACCNT_FLG_Y.CONTACT_UID
- Map the EIM_CONTACT.CON_BU from  FIL_PRIMARY_ACCNT_FLG_Y.IN_BU_NAME
- Map the EIM_CON_DTL.ROW_ID from  FIL_PRIMARY_ACCNT_FLG_Y.CONTACT_ID
- Map the EIM_CON_DTL.IF_ROW_BATCH_NUM from FIL_PRIMARY_ACCNT_FLG_Y.IF_ROW_BATCH_NUM_PARENT
- Map the EIM_CON_DTL.IF_ROW_STAT from FIL_PRIMARY_ACCNT_FLG_Y.IF_ROW_STAT
- Map the EIM_CON_DTL.PARTY_UID from  FIL_PRIMARY_ACCNT_FLG_Y.PAR_PARTY_UID
- Map the EIM_CON_DTL.PARTY_TYPE_CD from  FIL_PRIMARY_ACCNT_FLG_Y.PAR_PARTY_TYPE_CD</t>
  </si>
  <si>
    <t>- Drag the new column on the SQ_PRE_EIM_AGR_POINT_TRANSACTION and FIL_DUPP.
- Add a new Lookup 'LKP_CONTACT_UID' before the EXP_FOREIGN_KEY_CHECK with following 
Input Port: CONTACT_UID FROM FIL_DUPLICATES.CONTACT_UID, IN_BU_NAME FROM FIL_DUPLICATES.BU_NAME_FF
Output Port: PERSON_UID, CONTACT_ID, PAR_PARTY_UID, PAR_PARTY_TYPE_CD, IN_BU_NAME
Lookup Condition: CONTACT_UID = PERSON_UID, IN_BU_NAME = BU_NAME_FF
Lookup Table: S_CONTACT
SQL override:
SELECT
CON.ROW_ID AS CONTACT_ID,
CON.PERSON_UID AS PERSON_UID,
PAR.PARTY_UID AS PAR_PARTY_UID,
PAR.PARTY_TYPE_CD AS PAR_PARTY_TYPE_CD
FROM S_CONTACT CON (NOLOCK)
INNER JOIN S_PARTY PAR (NOLOCK) ON PAR.ROW_ID=CON.PAR_ROW_ID
INNER JOIN S_CONTACT_X CON_X (NOLOCK) ON CON_X.ROW_ID=CON.ROW_ID
- Drag the field LKP_CONTACT_UID.PERSON_UID to EXP_TRANS.
- Rename the field PERSON_UID to CONTACT_UID on the EXP_TRANS.
- Drag the field LKP_CONTACT_UID.CONTACT_ID to EXP_TRANS.
- Drag the field LKP_CONTACT_UID.CONTACT_UID to EXP_TRANS.
- Create a new output field CONTACT_UID_CHK with the below value on the EXP_TRANS:
IIF(ISNULL(CONTACT_UID)),
	IIF(
			:SP.SP_INSERT_ERR_LINE(
			MAPPING_NAME,
			E_LINE_NUMBER,
			ETL_PROC_WID,
			E_FILE_NAME,
			IIF(IS_DATE(E_FILE_DATE,'YYYYMMDD')=1,
			TO_DATE(E_FILE_DATE,'YYYYMMDD'),NULL),
			TARGET_TABLE,
			SYSDATE,
			E_EXTRACTION_DATA,
		    'CONTACT_UID',
			CONTACT_UID,
	:LKP.LKP_FAILURE_DESCRIPTIONS('FOREIGN_KEY'))=0,'ERROR','ERROR'),'GOOD')
- Drag the field CONTACT_UID_CHK  on the FIL_LOV_FOREIGN_KEYS and modify the filter condition by adding "AND (CONTACT_UID_CHK != 'ERROR')"
- Drag the field CONTACT_ID from the EXP_TRANS on the FIL_LOV_FOREIGN_KEYS.
- Drag the field PAR_PARTY_UID, PAR_PARTY_TYPE_CD, CONTACT_UID, IN_BU_NAME from the LKP_CONTACT_UID on the FIL_LOV_FOREIGN_KEYS.
- Drag the field CONTACT_ID,PAR_PARTY_UID, PAR_PARTY_TYPE_CD, CONTACT_UID, IN_BU_NAME from the FIL_LOV_FOREIGN_KEYS to the SRT_UK, JNR_MERGE_DATAFLOW and FIL_TRANSACT_QTY.
- Map the EIM_CONTACT.ROW_ID from  FIL_TRANSACT_QTY.CONTACT_ID
- Map the EIM_CONTACT.IF_ROW_BATCH_NUM from EXP_BATCH_NUM_NEW_GLOBAL.IF_ROW_BATCH_NUM
- Map the EIM_CONTACT.IF_ROW_STAT from EXP_BATCH_NUM_NEW_GLOBALY.IF_ROW_STAT
- Map the EIM_CONTACT.PARTY_UID from  FIL_TRANSACT_QTY.PAR_PARTY_UID
- Map the EIM_CONTACT.PARTY_TYPE_CD from  FIL_TRANSACT_QTY.PAR_PARTY_TYPE_CD
- Map the EIM_CONTACT.CON_PERSON_UID from  FIL_TRANSACT_QTY.CONTACT_UID
- Map the EIM_CONTACT.CON_BU from  FIL_TRANSACT_QTY.IN_BU_NAME
- Map the EIM_CON_DTL.ROW_ID from  FIL_TRANSACT_QTY.CONTACT_ID
- Map the EIM_CON_DTL.IF_ROW_BATCH_NUM from EXP_BATCH_NUM_NEW_GLOBAL.IF_ROW_BATCH_NUM
- Map the EIM_CON_DTL.IF_ROW_STAT from EXP_BATCH_NUM_NEW_GLOBAL.IF_ROW_STAT
- Map the EIM_CON_DTL.PARTY_UID from  FIL_PRIMARY_ACCNT_FLG_Y.PAR_PARTY_UID
- Map the EIM_CON_DTL.PARTY_TYPE_CD from  FIL_PRIMARY_ACCNT_FLG_Y.PAR_PARTY_TYPE_CD</t>
  </si>
  <si>
    <t>- Map first from the source table and create a new field with a same name from the source on the following transformation SQ_PRE_EIM_AGR_POINT_TRANSACTION then FIL_DUPP. 
- Add a new output field X_ATTRIB_14_CD_FIELD_NAME with value 'X_ATTRIB_14_CD' on the EXP_SET_VALUES.
- Transfer the field EXP_SET_VALUES.X_ATTRIB_14_CD_FIELD_NAME to the FIL_DUPP.
- Add a new output field 'X_ATTRIB_14_CD_LOV' with value 'JTI_CONTACT_ATT_14' on the EXPTRANS.
- Copy and paste the mapplet MPLT_LOV_LKP_VALUE_LocLang2ENULang_NOSALE_RES_CD  and rename it to MPLT_LOV_LKP_VALUE_LocLang2ENULang_X_ATTRIB_14_CD
- Map all input fields of the new mapplet MPLT_LOV_LKP_VALUE_LocLang2ENULang_X_ATTRIB_14_CD from the respective field on the FIL_DUPLICATES (refer to the MPLT_LOV_LKP_VALUE_LocLang2ENULang_NOSALE_RES_CD and IN_VAL=X_ATTRIB_14_CD_FIELD_NAME and IN_TYPE=X_ATTRIB_14_CD_LOV)
- Add a new field X_ATTRIB_14_CD on the EXP_TRANS that mapped from MPLT_LOV_LKP_VALUE_LocLang2ENULang_X_ATTRIB_14_CD.VAL 
- Transfer the field EXP_TRANS. X_ATTRIB_14_CD to the FIL_LOV_FOREIGN_KEYS.
- Modify the filter condition of the FIL_LOV_FOREIGN_KEYS by adding AND (X_ATTRIB_14_CD !='ERROR' OR ISNULL(X_ATTRIB_14_CD)) 
- Transfer the field to the SRT_UK &gt; JNR_MERGE_DATAFLOW then FIL_TRANSACT_QTY
- Map the EIM_CONTACT.X_ATTRIB_14_CD</t>
  </si>
  <si>
    <t>- Map first from the source table and create a new field with a same name from the source on the following transformation SQ_PRE_EIM_AGREEMENT then SOR_PRIMARY &gt; EXP_SET_VALUES. 
- Add a new output field FIELD_NAME18 with value 'X_ATTRIB_14_CD' on the EXP_SET_VALUES.
- Add a new output field 'X_ATTRIB_14_CD_LOV' with value 'JTI_CONTACT_ATT_14' on the EXP_SET_VALUES. 
- Drag X_ATTRIB_14_CD, FIELD_NAME18, X_ATTRIB_14_CD_LOV from the EXP_SET_VALUES to the FIL_DUPLICATES.
- Copy and paste the mapplet MPLT_LOV_LKP_VALUE_X_ADMIN_LOV_ATTRIBUTE1  and rename it to MPLT_LOV_LKP_VALUE_X_ATTRIB_14_CD
- Map all input fields of the new mapplet MPLT_LOV_LKP_VALUE_X_ATTRIB_14_CD from the respective field on the FIL_DUPLICATES (refer to the MPLT_LOV_LKP_VALUE_X_ADMIN_LOV_ATTRIBUTE1 and IN_VAL=FIELD_NAME18 and IN_TYPE=X_ATTRIB_14_CD_LOV)
- Add a new field X_ATTRIB_14_CD on the FILTRANS that mapped from MPLT_LOV_LKP_VALUE_X_ATTRIB_14_CD.VAL 
- Modify the filter condition of the FILTRANS by adding AND (X_ATTRIB_14_CD !='ERROR' OR ISNULL(X_ATTRIB_14_CD)) 
- Transfer the field to the EXP_CHK_PRIMARY_ACCNT_FLG then FIL_PRIMARY_ACCNT_FLG_Y
- Map the EIM_CONTACT.X_ATTRIB_14_CD</t>
  </si>
  <si>
    <t>FDE_INT_PAYMENT_PLAN_PRE_GENERIC</t>
  </si>
  <si>
    <t>FDE_INT_PAYMENT_PLAN_GENERIC</t>
  </si>
  <si>
    <t>Import the target PRE_PAYMENT_PLAN_TXT_GENERIC</t>
  </si>
  <si>
    <t>- Add and map the new field 'CONTACT_UID' on the SQ_POINT_TRANS_TXT_V4.
- Add new output column 'CONTACT_UID_FIELDNAME' with value 'CONTACT_UID' on the EXP_SET_VALUES.
- Map EXP_CHECK_STRING.IN_STRING_24 from SQ_POINT_TRANS_TXT_V4.CONTACT_UID
- Map EXP_CHECK_STRING.IN_LENGTH_024 from EXP_FIELD_LENGTHS.FIELD_LENGTH_100
- Map EXP_CHECK_STRING.IN_FIELDNAME_024 from EXP_SET_VALUES.CONTACT_UID_FIELDNAME
- Transfert the field CONTACT_UID from the EXP_SET_VALUES.OUT_STRING_024 to the 'FIL_CHECK_STRING', 'FIL_MANDATORY' then 'FIL_NUM_DATE_CHK'
- Map PRE_EIM_AGR_POINT_TRANSACTION.CONTACT_UID from FIL_NUM_DATE_CHK.CONTACT_UID</t>
  </si>
  <si>
    <t>- Add and map the new field 'CONTACT_UID' on the SQ_PRE_PAYMENT_PLAN_TXT_V2.
- Add new output column 'FIELDNAME_CONTACT_UID' with value 'CONTACT_UID' on the EXP_SET_FIELD_NAME.
- Map EXP_CHECK_STRING.IN_STRING_34 from SQ_PRE_PAYMENT_PLAN_TXT_V2.CONTACT_UID
- Map EXP_CHECK_STRING.IN_LENGTH_034 from EXP_FIELD_LENGTHS.FIELD_LENGTH_100
- Map EXP_CHECK_STRING.IN_FIELDNAME_034 from EXP_SET_FIELD_NAME.FIELDNAME_CONTACT_UID
- Transfert the field CONTACT_UID from the EXP_CHECK_STRING.OUT_STRING_034 to the 'EXP_LENGTH_CHK' &gt; 'FIL_LENGTH_CHECK' &gt; 'FIL_NULL_CHECK' &gt; 'FIL_TYPE_CHECK' then 'EXP_INIT'
- Transfer to the PRE_EIM_PAYMENT_PLAN.CONTACT_UID the field EXP_INIT.CONTACT_UID</t>
  </si>
  <si>
    <t>- Add and map the new field 'CELL_PH_NUM' on the SQ_PRE_PAYMENT_PLAN_TXT_V2.
- Add new output column 'FIELDNAME_CELL_PH_NUM' with value 'CELL_PH_NUM' on the EXP_SET_FIELD_NAME.
- Map EXP_CHECK_STRING.IN_STRING_35 from SQ_PRE_PAYMENT_PLAN_TXT_V2.CELL_PH_NUM
- Map EXP_CHECK_STRING.IN_LENGTH_035 from EXP_FIELD_LENGTHS.FIELD_LENGTH_40
- Map EXP_CHECK_STRING.IN_FIELDNAME_035 from EXP_SET_FIELD_NAME.FIELDNAME_CELL_PH_NUM
- Transfert the field CELL_PH_NUM from the EXP_CHECK_STRING.OUT_STRING_035 to the 'EXP_LENGTH_CHK' &gt; 'FIL_LENGTH_CHECK' &gt; 'FIL_NULL_CHECK' &gt; 'FIL_TYPE_CHECK' then 'EXP_INIT'
- Transfer to the PRE_EIM_PAYMENT_PLAN.CELL_PH_NUM the field EXP_INIT.CELL_PH_NUM</t>
  </si>
  <si>
    <t>- Add and map the new field 'X_ATTRIB_14' on the SQ_PRE_PAYMENT_PLAN_TXT_V2.
- Add new output column 'FIELDNAME_X_ATTRIB_14' with value 'X_ATTRIB_14' on the EXP_SET_FIELD_NAME.
- Map EXP_CHECK_STRING.IN_STRING_36 from SQ_PRE_PAYMENT_PLAN_TXT_V2.X_ATTRIB_14
- Map EXP_CHECK_STRING.IN_LENGTH_036 from EXP_FIELD_LENGTHS.FIELD_LENGTH_30
- Map EXP_CHECK_STRING.IN_FIELDNAME_036 from EXP_SET_FIELD_NAME.FIELDNAME_X_ATTRIB_14
- Transfert the field X_ATTRIB_14 from the EXP_CHECK_STRING.OUT_STRING_036 to the 'EXP_LENGTH_CHK' &gt; 'FIL_LENGTH_CHECK' &gt; 'FIL_NULL_CHECK' &gt; 'FIL_TYPE_CHECK' then 'EXP_INIT'
- Transfer to the PRE_EIM_PAYMENT_PLAN.X_ATTRIB_14 the field EXP_INIT.X_ATTRIB_14</t>
  </si>
  <si>
    <t>- Add and map the new field 'X_ATTRIB_18' on the SQ_PRE_PAYMENT_PLAN_TXT_V2.
- Add new output column 'FIELDNAME_X_ATTRIB_18' with value 'X_ATTRIB_18' on the EXP_SET_FIELD_NAME.
- Map EXP_CHECK_STRING.IN_STRING_37 from SQ_PRE_PAYMENT_PLAN_TXT_V2.X_ATTRIB_18
- Map EXP_CHECK_STRING.IN_LENGTH_037 from EXP_FIELD_LENGTHS.FIELD_LENGTH_50
- Map EXP_CHECK_STRING.IN_FIELDNAME_037 from EXP_SET_FIELD_NAME.FIELDNAME_X_ATTRIB_18
- Transfert the field X_ATTRIB_18 from the EXP_CHECK_STRING.OUT_STRING_037 to the 'EXP_LENGTH_CHK' &gt; 'FIL_LENGTH_CHECK' &gt; 'FIL_NULL_CHECK' &gt; 'FIL_TYPE_CHECK' then 'EXP_INIT'
- Transfer to the PRE_EIM_PAYMENT_PLAN.X_ATTRIB_18 the field EXP_INIT.X_ATTRIB_18</t>
  </si>
  <si>
    <t>PRE_EIM_PAYMENT_PLAN</t>
  </si>
  <si>
    <t>Import the source PRE_EIM_PAYMENT_PLAN</t>
  </si>
  <si>
    <t>- Drag the new column to the SQ_PRE_EIM_PAYMENT_PLAN and EXP_INIT_VAL.
- Add a new Lookup 'LKP_CONTACT_UID' before the EXP_FOREIGN_KEY_CHK with following 
Input Port: CONTACT_UID FROM FIL_DUPLICATES.CONTACT_UID, IN_BU_NAME FROM FIL_DUPLICATES.BU_NAME_FF
Output Port: PERSON_UID, CONTACT_ID, PAR_PARTY_UID, PAR_PARTY_TYPE_CD, IN_BU_NAME
Lookup Condition: CONTACT_UID = PERSON_UID, IN_BU_NAME = BU_NAME_FF
Lookup Table: S_CONTACT
SQL override:
SELECT
CON.ROW_ID AS CONTACT_ID,
CON.PERSON_UID AS PERSON_UID,
PAR.PARTY_UID AS PAR_PARTY_UID,
PAR.PARTY_TYPE_CD AS PAR_PARTY_TYPE_CD
FROM S_CONTACT CON (NOLOCK)
INNER JOIN S_PARTY PAR (NOLOCK) ON PAR.ROW_ID=CON.PAR_ROW_ID
INNER JOIN S_CONTACT_X CON_X (NOLOCK) ON CON_X.ROW_ID=CON.ROW_ID
- Drag the field LKP_CONTACT_UID.PERSON_UID to EXP_TRANS.
- Rename the field PERSON_UID to CONTACT_UID on the EXP_TRANS.
- Drag the field LKP_CONTACT_UID.CONTACT_ID to EXP_TRANS.
- Drag the field LKP_CONTACT_UID.CONTACT_UID to EXP_TRANS.
- Create a new output field CONTACT_UID_CHK with the below value on the EXP_FOREIGN_KEY_CHK:
IIF(ISNULL(CONTACT_UID)),
	IIF(
			:SP.SP_INSERT_ERR_LINE(
			MAPPING_NAME,
			E_LINE_NUMBER,
			ETL_PROC_WID,
			E_FILE_NAME,
			IIF(IS_DATE(E_FILE_DATE,'YYYYMMDD')=1,
			TO_DATE(E_FILE_DATE,'YYYYMMDD'),NULL),
			TARGET_TABLE,
			SYSDATE,
			E_EXTRACTION_DATA,
		    'CONTACT_UID',
			CONTACT_UID,
	:LKP.LKP_FAILURE_DESCRIPTIONS('FOREIGN_KEY'))=0,'ERROR','ERROR'),'GOOD')
- Drag the field EXP_FOREIGN_KEY_CHK.CONTACT_UID_CHK  on the FIL_FOREIGN_KEY and modify the filter condition by adding "AND (CONTACT_UID_CHK != 'ERROR')"
- Drag the field EXP_FOREIGN_KEY_CHK.CONTACT_ID to the FIL_FOREIGN_KEY.
- Drag the field PAR_PARTY_UID, PAR_PARTY_TYPE_CD, CONTACT_UID, IN_BU_NAME from the LKP_CONTACT_UID on the FIL_FOREIGN_KEY.
- Drag the field CONTACT_ID,PAR_PARTY_UID, PAR_PARTY_TYPE_CD, CONTACT_UID, IN_BU_NAME from the FIL_FOREIGN_KEY to the FIL_DUPLICATES and FIL_LOV_ERROR.
- Map the EIM_CONTACT.ROW_ID from  FIL_LOV_ERROR.CONTACT_ID
- Map the EIM_CONTACT.IF_ROW_BATCH_NUM from FIL_LOV_ERROR.IF_ROW_BATCH_NUM
- Map the EIM_CONTACT.IF_ROW_STAT from FIL_LOV_ERROR.IF_ROW_STAT
- Map the EIM_CONTACT.PARTY_UID from  FIL_LOV_ERROR.PAR_PARTY_UID
- Map the EIM_CONTACT.PARTY_TYPE_CD from  FIL_LOV_ERROR.PAR_PARTY_TYPE_CD
- Map the EIM_CONTACT.CON_PERSON_UID from  FIL_LOV_ERROR.CONTACT_UID
- Map the EIM_CONTACT.CON_BU from  FIL_LOV_ERROR.IN_BU_NAME
- Map the EIM_CON_DTL.ROW_ID from  FIL_LOV_ERROR.CONTACT_ID
- Map the EIM_CON_DTL.IF_ROW_BATCH_NUM from FIL_LOV_ERROR.IF_ROW_BATCH_NUM
- Map the EIM_CON_DTL.IF_ROW_STAT from FIL_LOV_ERROR.IF_ROW_STAT
- Map the EIM_CON_DTL.PARTY_UID from  FIL_LOV_ERROR.PAR_PARTY_UID
- Map the EIM_CON_DTL.PARTY_TYPE_CD from  FIL_LOV_ERROR.PAR_PARTY_TYPE_CD</t>
  </si>
  <si>
    <t>Map first from the source table and create a new field with a same name from the source on the following transformation SQ_PRE_EIM_PAYMENT_PLAN &gt; EXP_INIT_VAL &gt; EXP_FOREIGN_KEY_CHK &gt; FIL_FOREIGN_KEY &gt; FIL_DUPLICATES then FIL_LOV_ERROR.</t>
  </si>
  <si>
    <t>- Map first from the source table and create a new field with a same name from the source on the following transformation SQ_PRE_EIM_PAYMENT_PLAN &gt; EXP_INIT_VAL &gt; EXP_FOREIGN_KEY_CHK &gt; FIL_FOREIGN_KEY &gt; FIL_DUPLICATES then EXP_X_PAYMENT_TYPE_CD.
- Rename the Expression EXP_X_PAYMENT_TYPE_CD to EXP_SET_VALUES
- Add a new output field X_ATTRIB_14_CD_NAME with value 'X_ATTRIB_14_CD' on the EXP_SET_VALUES.
- Add a new output field 'X_ATTRIB_14_CD_LOVTYPE' with value 'JTI_CONTACT_ATT_14' on the EXP_SET_VALUES.
- Copy and paste the mapplet MPLT_LOV_LKP_VALUE_LocLang2ENULang_X_PAYMENT_TYPE_CD  and rename it to MPLT_LOV_LKP_VALUE_LocLang2ENULang_X_ATTRIB_14_CD
- Map all input fields of the new mapplet MPLT_LOV_LKP_VALUE_LocLang2ENULang_X_ATTRIB_14_CD from the respective field on the FIL_DUPLICATES and EXP_X_PAYMENT_TYPE_CD (refer to the MPLT_LOV_LKP_VALUE_LocLang2ENULang_X_PAYMENT_TYPE_CD and IN_VAL=X_ATTRIB_14_CD_NAME and IN_TYPE=X_ATTRIB_14_CD_LOVTYPE)
- Add a new field X_ATTRIB_14_CD on the FIL_LOV_ERROR that mapped from MPLT_LOV_LKP_VALUE_LocLang2ENULang_X_ATTRIB_14_CD.VAL 
- Modify the filter condition of the FIL_LOV_ERROR by adding AND (X_ATTRIB_14_CD !='ERROR' OR ISNULL(X_ATTRIB_14_CD)) 
- Map the EIM_CONTACT.X_ATTRIB_14_CD</t>
  </si>
  <si>
    <t>PRE_PAYMENT_PLAN_TXT_GENERIC</t>
  </si>
  <si>
    <t>IFA_ENU_PA_PaymentPlans.ifb</t>
  </si>
  <si>
    <t>IFA_ENU_PT_ContractAwardProduct.ifb</t>
  </si>
  <si>
    <t>Load_EIM/wrk_Payment_Plan_Generic</t>
  </si>
  <si>
    <t>wrk_Payment_Plan_Generic</t>
  </si>
  <si>
    <t>Load_EIM/Wrk_Point_Transactions_Generic</t>
  </si>
  <si>
    <t>Wrk_Point_Transactions_Generic</t>
  </si>
  <si>
    <t>Shortcut_to_FDE_INT_PAYMENT_PLAN_PRE_GENERIC</t>
  </si>
  <si>
    <t>Shortcut_to_FDE_INT_PAYMENT_PLAN_GENERIC</t>
  </si>
  <si>
    <t>s_FDE_INT_POINT_TRANS_PRE_GENERIC</t>
  </si>
  <si>
    <t>- Add $Target connection for the LKP_CONTACT_UID and MPLT_LOV_LKP_VALUE_LocLang2ENULang_X_ATTRIB_14_CD
- Set the connection for the 2 news EIM Tables
- Add the EIM deletion statement on the PreSQL Target for each new EIM Tables
- Validate</t>
  </si>
  <si>
    <t>s_FDE_INT_PAYMENT_PLAN_PRE_GENERIC</t>
  </si>
  <si>
    <t>s_FDE_INT_PAYMENT_PLAN_GENERIC</t>
  </si>
  <si>
    <t>- Add $Target connection for the LKP_CONTACT_UID and  MPLT_LOV_LKP_VALUE_LocLang2ENULang_X_ATTRIB_14_CD
- Add the EIM deletion statement on the PreSQL Source 
- Set the connection for the 2 news EIM Tables
- Validate</t>
  </si>
  <si>
    <t>- Add $Target connection for the LKP_CONTACT_UID and MPLT_LOV_LKP_VALUE_LocLang2ENULang_X_ATTRIB_14_CD
- Add the EIM deletion statement on the PreSQL Source 
- Set the connection for the 2 news EIM Tables
- Validate</t>
  </si>
  <si>
    <t>s_Check_EIM_Batch</t>
  </si>
  <si>
    <t>Shortcut_to_DUMMY_BATCH</t>
  </si>
  <si>
    <t>SELECT TOP 1 1 
FROM EIM_AGREEMENT(NOLOCK)
WHERE IF_ROW_BATCH_NUM BETWEEN 100000000 AND 100000999
AND IF_ROW_STAT NOT IN (SELECT IF_ROW_STATS FROM WC_EIM_VALID_BATCH_STATUS_PARAM)
UNION
SELECT TOP 1 1 
FROM EIM_ACCNT_UT(NOLOCK)
WHERE IF_ROW_BATCH_NUM BETWEEN 100000000 AND 100000999
AND IF_ROW_STAT NOT IN (SELECT IF_ROW_STATS FROM WC_EIM_VALID_BATCH_STATUS_PARAM)
UNION
SELECT TOP 1 1 
FROM EIM_PAYMENT(NOLOCK)
WHERE IF_ROW_BATCH_NUM BETWEEN 100000000 AND 100000999
AND IF_ROW_STAT NOT IN (SELECT IF_ROW_STATS FROM WC_EIM_VALID_BATCH_STATUS_PARAM)
UNION
SELECT TOP 1 1 
FROM EIM_PAYMENT(NOLOCK)
WHERE IF_ROW_BATCH_NUM BETWEEN 100100000 AND 100100999
AND IF_ROW_STAT NOT IN (SELECT IF_ROW_STATS FROM WC_EIM_VALID_BATCH_STATUS_PARAM)
UNION
SELECT TOP 1 1 
FROM EIM_CONTACT(NOLOCK)
WHERE IF_ROW_BATCH_NUM BETWEEN 100000000 AND 100000999
AND IF_ROW_STAT NOT IN (SELECT IF_ROW_STATS FROM WC_EIM_VALID_BATCH_STATUS_PARAM)
UNION
SELECT TOP 1 1 
FROM EIM_CON_DTL(NOLOCK)
WHERE IF_ROW_BATCH_NUM BETWEEN 100000000 AND 100000999
AND IF_ROW_STAT NOT IN (SELECT IF_ROW_STATS FROM WC_EIM_VALID_BATCH_STATUS_PARAM)</t>
  </si>
  <si>
    <t>Modify the source SQL Query.</t>
  </si>
  <si>
    <t xml:space="preserve">SELECT TOP 1 1 
FROM EIM_CX_PTS_TXN(NOLOCK)
WHERE IF_ROW_BATCH_NUM BETWEEN 100000000 AND 100000999
AND IF_ROW_STAT NOT IN (SELECT IF_ROW_STATS FROM WC_EIM_VALID_BATCH_STATUS_PARAM)
UNION
SELECT TOP 1 1 
FROM EIM_CONTACT(NOLOCK)
WHERE IF_ROW_BATCH_NUM BETWEEN 100000000 AND 100000999
AND IF_ROW_STAT NOT IN (SELECT IF_ROW_STATS FROM WC_EIM_VALID_BATCH_STATUS_PARAM)
UNION
SELECT TOP 1 1 
FROM EIM_CON_DTL(NOLOCK)
WHERE IF_ROW_BATCH_NUM BETWEEN 100000000 AND 100000999
AND IF_ROW_STAT NOT IN (SELECT IF_ROW_STATS FROM WC_EIM_VALID_BATCH_STATUS_PARAM)
</t>
  </si>
  <si>
    <t xml:space="preserve">SELECT TOP 1 1 
FROM EIM_AGREEMENT(NOLOCK)
WHERE IF_ROW_BATCH_NUM BETWEEN  100000000 AND 100000999
AND IF_ROW_STAT NOT IN (SELECT IF_ROW_STATS FROM WC_EIM_VALID_BATCH_STATUS_PARAM)
UNION
SELECT TOP 1 1 
FROM EIM_CONTACT(NOLOCK)
WHERE IF_ROW_BATCH_NUM BETWEEN 100000000 AND 100000999
AND IF_ROW_STAT NOT IN (SELECT IF_ROW_STATS FROM WC_EIM_VALID_BATCH_STATUS_PARAM)
UNION
SELECT TOP 1 1 
FROM EIM_CON_DTL(NOLOCK)
WHERE IF_ROW_BATCH_NUM BETWEEN 100000000 AND 100000999
AND IF_ROW_STAT NOT IN (SELECT IF_ROW_STATS FROM WC_EIM_VALID_BATCH_STATUS_PARAM)
</t>
  </si>
  <si>
    <t>- Regression EC4U</t>
  </si>
  <si>
    <t>- Test Ibot Email</t>
  </si>
  <si>
    <t>CHG161158</t>
  </si>
  <si>
    <t>KZ</t>
  </si>
  <si>
    <t>Jeetun</t>
  </si>
  <si>
    <t>Jhanvi</t>
  </si>
  <si>
    <t>Inbound: Created based on the FD.</t>
  </si>
  <si>
    <t>Reviewer</t>
  </si>
  <si>
    <t>BANK_CARD_OUTBOUND_V2_TXT</t>
  </si>
  <si>
    <t>INFA</t>
  </si>
  <si>
    <t>PAYMENT_EXPORT_V4_TXT</t>
  </si>
  <si>
    <t>POINT_TRANS_PB_FF_V2</t>
  </si>
  <si>
    <t>NVARCHAR (40) NULL</t>
  </si>
  <si>
    <t>NVARCHAR (30) NULL</t>
  </si>
  <si>
    <t>NVARCHAR (50) NULL</t>
  </si>
  <si>
    <t>X_ATTRIB_7</t>
  </si>
  <si>
    <t>DATETIME NULL</t>
  </si>
  <si>
    <t>X_ATTRIB_8</t>
  </si>
  <si>
    <t>X_ATTRIB_10</t>
  </si>
  <si>
    <t>X_ATTRIB_1</t>
  </si>
  <si>
    <t>X_ATTRIB_5</t>
  </si>
  <si>
    <t>X_ATTRIB_6</t>
  </si>
  <si>
    <t>X_ATTRIB_9</t>
  </si>
  <si>
    <t>MID_NAME</t>
  </si>
  <si>
    <t>datetime</t>
  </si>
  <si>
    <t>TME Phase 2 - HLFD Interface Contracts Version 11.0.doc</t>
  </si>
  <si>
    <t>TME Phase 2 - HLFD Interface Payment Plan Version 7.0.docx</t>
  </si>
  <si>
    <t>TME_Phase 2 - HLFD Interface New Point Transactions PT Version 8.0.docx</t>
  </si>
  <si>
    <t>FDE_INT_BANK_CARD_OUTBOUND_V2</t>
  </si>
  <si>
    <t>Import Target</t>
  </si>
  <si>
    <t>S_CONTACT</t>
  </si>
  <si>
    <t>NVARCHAR (100) NULL</t>
  </si>
  <si>
    <t>Transfer the column to the AGGTRANS then the target.</t>
  </si>
  <si>
    <t>S_CONTACT_X</t>
  </si>
  <si>
    <t>ATTRIBUTE_37</t>
  </si>
  <si>
    <t>FDE_INT_PAYMENT_EXPORT_V4_KZ</t>
  </si>
  <si>
    <t>Modify the SQ_S_DOC_AGREE by adding the below fields:
'--CHG161158
C.PERSON_UID AS CONTACT_UID,
C.CELL_PH_NUM,
C.X_ATTRIB_14_CD,
CON_X.ATTRIB_37</t>
  </si>
  <si>
    <t>Map fields to Target</t>
  </si>
  <si>
    <t>FDE_INT_POINT_TRANS_PB_EXPORT_V2</t>
  </si>
  <si>
    <t>Modify the SQ_S_DOC_AGREE by adding the below fields:
'--CHG161158
CON.PERSON_UID AS CONTACT_UID,
CON.X_ATTRIB_3,
CON.X_ATTRIB_4,
CONVERT(NVARCHAR(10),CON.X_ATTRIB_7,111) AS X_ATTRIB_7,
CONVERT(NVARCHAR(10),CON.X_ATTRIB_8,111) AS X_ATTRIB_8,
CON.X_ATTRIB_10,
CON.X_ATTRIB_14_CD,
CON_X.ATTRIB_37,
CON.X_ATTRIB_1,
CON.X_ATTRIB_5,
CON.X_ATTRIB_6,
CON.X_ATTRIB_9,
CON.MID_NAME</t>
  </si>
  <si>
    <t>Transfer the column to the EXP_GATHER then the target.</t>
  </si>
  <si>
    <t>X_ATTRIB_37</t>
  </si>
  <si>
    <t>Copy FDE_INT_POINT_TRANS_PB_EXPORT_V1 and rename it to FDE_INT_POINT_TRANS_PB_EXPORT_V2 &amp; add new columns</t>
  </si>
  <si>
    <t>FDE_INT_BANK_CARD_OUTBOUND_V1</t>
  </si>
  <si>
    <t>RUN_OUTBOUND_PM_KZ</t>
  </si>
  <si>
    <t>RUN_OUTBOUND_PB_KZ</t>
  </si>
  <si>
    <t>RUN_OUTBOUND_PB_TJ</t>
  </si>
  <si>
    <t>wrk_Bank_Card_Outbound_V1_KZ</t>
  </si>
  <si>
    <t>Load_EIM -&gt; wrk_Bank_Card_Outbound_V1_KZ</t>
  </si>
  <si>
    <t>wrk_Bank_Card_Outbound_V2_KZ</t>
  </si>
  <si>
    <t>Load_EIM -&gt; wrk_Bank_Card_Outbound_V2_KZ</t>
  </si>
  <si>
    <t>Shortcut_to_FDE_INT_BANK_CARD_OUTBOUND_V2</t>
  </si>
  <si>
    <t>Shortcut_to_FDE_INT_PAYMENT_EXPORT_V4_KZ</t>
  </si>
  <si>
    <t>Shortcut_to_FDE_INT_POINT_TRANS_PB_EXPORT_V2</t>
  </si>
  <si>
    <t>Rename FDE_INT_BANK_CARD_OUTBOUND_V1 to FDE_INT_BANK_CARD_OUTBOUND_V2 &amp; add new columns</t>
  </si>
  <si>
    <t>Rename FDE_INT_PAYMENT_EXPORT_V3_KZ to FDE_INT_PAYMENT_EXPORT_V4_KZ &amp; add new columns</t>
  </si>
  <si>
    <t>Check and rename it if needed</t>
  </si>
  <si>
    <t>Pre_Insert</t>
  </si>
  <si>
    <t>DummyMap</t>
  </si>
  <si>
    <t>INSERT INTO WC_ETL_FILES_G SELECT ETL_PROC_WID,'KZBC0201.TXT',0,0,GETDATE(),GETDATE(),NULL FROM W_PARAM_G</t>
  </si>
  <si>
    <t>- Rename the session to FDE_INT_BANK_CARD_OUTBOUND_v2_KZ
- Choose the mapping FDE_INT_BANK_CARD_OUTBOUND_V2
- Rename the log to wrk_Bank_Card_Outbound_V2_KZ_FDE_INT_BANK_CARD_OUTBOUND_v2_KZ.log
- Validate</t>
  </si>
  <si>
    <t>Modify the SQ_S_CONTACT1 to: 
SELECT  ACC.NAME 
       ,AGREE_NUM 
       ,X_NAME 
       ,AGREE_CD 
       ,ACTL_COST_AMT 
       ,CONVERT(NVARCHAR, EFF_START_DT, 111)  AS EFF_START_DT 
       ,CONVERT(NVARCHAR, EFF_END_DT, 111)    AS EFF_END_DT 
       ,CNTR_SRV_TYPE_CD 
       ,P.NAME 
       ,STAT_CD 
       ,X_GIFT_CARD_NUM 
       ,--'Dummy', 
       FST_NAME 
       ,LAST_NAME 
       ,C.X_ATTRIB_3 
       ,CON_X.ATTRIB_38 --C.X_ATTRIB_2 Changed as per INC2226195
       ,C.X_ATTRIB_4 
       ,C.X_ATTRIB_5 
       ,CONVERT(NVARCHAR, C.X_ATTRIB_7, 111)  AS X_ATTRIB_7 
       ,CONVERT(NVARCHAR, C.X_ATTRIB_8, 111)  AS X_ATTRIB_8 
       ,C.X_ATTRIB_6 
       ,ADDR 
       ,C.X_ATTRIB_9 
       ,CONVERT(NVARCHAR, C.X_ATTRIB_10, 111) AS X_ATTRIB_10 
       ,SEX_MF 
       ,C.X_ATTRIB_1 
       ,PRFL.X_BILLING_CITY_CD --CHG038219
       ,X_QUALIFICATION 
       ,DOC.NAME 
       ,DOC.REV_NUM 
       ,DOC.BU_ID 
       ,DOC.ACTIVE_FLG 
       ,DOC.CONTRACT_FLG 
       ,S_BU.NAME 
       ,ACC.LOC 
       ,RIGHT(S_BU.NAME, 2)+'BC0201' 
       ,'KZA' AS LANG_ID 
       ,P1.NAME AS PSTN_POSTN_NAME 
       ,DIVN.NAME AS PSTN_POSTN_DIVN 
       ,DIVN.LOC AS PSTN_POSTN_LOC 
       ,B1.NAME  AS PSTN_POSTN_BU 
       ,C.MID_NAME AS MID_NAME
	   --CHG161158
	   ,C.PERSON_UID AS CONTACT_UID
	   ,C.CELL_PH_NUM
	   ,C.X_ATTRIB_14_CD
	   ,CON_X.ATTRIB_37
FROM   S_DOC_AGREE DOC 
       INNER JOIN S_BU ON S_BU.ROW_ID = DOC.BU_ID 
       LEFT OUTER JOIN S_ORG_EXT ACC ON ACC.PAR_ROW_ID = DOC.TARGET_OU_ID 
       LEFT OUTER JOIN S_POSTN P ON ACC.PR_POSTN_ID = P.PAR_ROW_ID 
       LEFT OUTER JOIN S_CONTACT C ON ACC.PR_CON_ID = C.ROW_ID 
	   LEFT OUTER JOIN S_CONTACT_X CON_X ON C.ROW_ID = CON_X.ROW_ID --INC2226195
       LEFT OUTER JOIN S_ADDR_PER ADR ON ACC.PR_ADDR_ID = ADR.ROW_ID 
       --LEFT OUTER JOIN S_PER_PAY_PRFL PRFL ON PRFL.ROW_ID=C.PR_PER_PAY_PRFL_ID 
       LEFT OUTER JOIN S_PTY_PAY_PRFL PRFL ON PRFL.ROW_ID = C.PR_PER_PAY_PRFL_ID 
       LEFT OUTER JOIN S_AGREE_POSTN POS ON POS.AGREE_ID = DOC.ROW_ID 
       LEFT OUTER JOIN S_POSTN P1 ON POS.POSTN_ID = P1.ROW_ID 
       LEFT OUTER JOIN S_ORG_EXT DIVN ON P1.OU_ID = DIVN.ROW_ID 
       LEFT OUTER JOIN S_BU B1 ON B1.ROW_ID = DIVN.BU_ID    
WHERE  DOC.STAT_CD = 'Approved by Specialist' 
       AND S_BU.NAME = 'Kazakhstan, KZ'</t>
  </si>
  <si>
    <t>Rename_KZ</t>
  </si>
  <si>
    <t>$PMSourceFileDir\Scripts\renamefile.bat "$$STAGINGPATH\\KZBC0201.txt" "$$INTERFACESPATH\\Kazakhstan\\OUNP" "KZ" "BC" "02" "01" "10"</t>
  </si>
  <si>
    <t>Shortcut_to_DummyMap</t>
  </si>
  <si>
    <t>- Rename the session to FDE_INT_BANK_CARD_OUTBOUND_v2_KZ
- Choose the mapping Shortcut_to_FDE_INT_BANK_CARD_OUTBOUND_V2
- Rename the log to wrk_Bank_Card_Outbound_V1_KZ_FDE_INT_BANK_CARD_OUTBOUND_v1_KZ.log
- Validate</t>
  </si>
  <si>
    <t>- Rename the log to wrk_Bank_Card_Outbound_V2_KZ_Pre_Insert.log
- Validate</t>
  </si>
  <si>
    <t>- Rename the log to wrk_Bank_Card_Outbound_V2_KZ_Rename_KZ.log
- Validate</t>
  </si>
  <si>
    <t>wrk_Payment_Outbound_KZ</t>
  </si>
  <si>
    <t xml:space="preserve">Load_EIM -&gt; wrk_Payment_Outbound_KZ </t>
  </si>
  <si>
    <t>- Rename all sessions log name.</t>
  </si>
  <si>
    <t>- Rename the workflow FDE_INT_BANK_CARD_OUTBOUND_V2 to and the worklet to wrk_Bank_Card_Outbound_V2_KZ
- Rename all sessions log name.</t>
  </si>
  <si>
    <t>s_FDE_INT_PAYMENT_EXPORT_V4_KZ</t>
  </si>
  <si>
    <t>- Rename the session to s_FDE_INT_PAYMENT_EXPORT_V4_KZ
- Choose the mapping FDE_INT_PAYMENT_EXPORT_V4
- Rename the log to wrk_Payment_Outbound_KZ_s_FDE_INT_PAYMENT_EXPORT_V4_KZ.log
- Validate</t>
  </si>
  <si>
    <t>INSERT INTO WC_ETL_FILES_G SELECT ETL_PROC_WID,'KZPM0401.TXT',0,0,GETDATE(),GETDATE(),NULL FROM W_PARAM_G</t>
  </si>
  <si>
    <t>- Validate</t>
  </si>
  <si>
    <t>$PMSourceFileDir\Scripts\renamefile.bat "$$STAGINGPATH\\KZPM0401.TXT" "$$INTERFACESPATH\\Kazakhstan\\OUNP" "KZ" "PM" "04" "01" "10"</t>
  </si>
  <si>
    <t>-  Validate</t>
  </si>
  <si>
    <t>Create a shortcut of FDE_INT_POINT_TRANS_PB_EXPORT_V2</t>
  </si>
  <si>
    <t>wrk_Point_Transactions_Outbound_PB</t>
  </si>
  <si>
    <t>INSERT INTO WC_ETL_FILES_G SELECT ETL_PROC_WID,'KZPB0201.txt',0,0,GETDATE(),GETDATE(),NULL FROM W_PARAM_G</t>
  </si>
  <si>
    <t>- Rename the session to s_FDE_INT_POINT_TRANS_PB_EXPORT_V2_KZ
- Choose the mapping FDE_INT_POINT_TRANS_PB_EXPORT_V2
- Rename the log to wrk_Point_Transactions_Outbound_PB_s_FDE_INT_POINT_TRANS_PB_EXPORT_V1_KZ.log
- Validate</t>
  </si>
  <si>
    <t>s_FDE_INT_POINT_TRANS_PB_EXPORT_V2_KZ</t>
  </si>
  <si>
    <t>FDE_INT_BANK_CARD_OUTBOUND_v2_KZ</t>
  </si>
  <si>
    <t>$PMSourceFileDir\Scripts\renamefile.bat "$$STAGINGPATH\\KZPB0201.txt" "$$INTERFACESPATH\\Kazakhstan\\OUNP" "$$COUNTRY_CODE" "$$ENTITY" "$$VERSION" "$$SYSTEM_ID" "$$GROUP_NUMBER"</t>
  </si>
  <si>
    <t>Inbound</t>
  </si>
  <si>
    <t>Outbound</t>
  </si>
  <si>
    <t>Rename BANK_CARD_OUTBOUND_TXT to V2 &amp; Add 4 new fields to BC interface</t>
  </si>
  <si>
    <t>Rename PAYMENT_EXPORT_V3_TXT to V4 &amp; Add 3 new fields to PM interface</t>
  </si>
  <si>
    <t>Rename POINT_TRANS_PB_FF_V1 to V2 &amp; Add 12 new fields to PB interface</t>
  </si>
  <si>
    <t>Outbound: Reviewed</t>
  </si>
  <si>
    <t>Outbound: Created based on the FD.</t>
  </si>
  <si>
    <t>1) Testing scenario for each Interfaces</t>
  </si>
  <si>
    <t>- Use the CONTACT_UID with a cyrillyc characters
- Regression EC4U</t>
  </si>
  <si>
    <t>CO(6hr)/ PT(5hr)/ PA(5hr)</t>
  </si>
  <si>
    <t>2) Testing Outbound
BC(2.5hr)/ PM(2.5hr)/ PB(3hr)</t>
  </si>
  <si>
    <t>TME Phase 2 - HLFD Interface Bank Card - Outbound Version 2.0.doc</t>
  </si>
  <si>
    <t>TME Phase 2 - HLFD Interface Payment - Outbound Version 4.0.doc</t>
  </si>
  <si>
    <t>TME Phase 2 - HLFD Interface Points Transactions – Outbound PB Version 2.0.docx</t>
  </si>
  <si>
    <t>- Ensure that X_ATTRIB_7 and X_ATTRIB_8 is exported in YYYY/MM/DD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</si>
</sst>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51"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name val="Tahoma"/>
      <family val="2"/>
    </font>
    <font>
      <sz val="9"/>
      <name val="Tahoma"/>
      <family val="2"/>
    </font>
    <font>
      <sz val="10"/>
      <name val="Times New Roman"/>
      <family val="1"/>
    </font>
    <font>
      <b/>
      <u/>
      <sz val="10"/>
      <name val="Tahoma"/>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theme="0" tint="-0.249977111117893"/>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212">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47" fillId="0" borderId="10" xfId="0" applyFont="1" applyBorder="1"/>
    <xf numFmtId="0" fontId="47" fillId="0" borderId="10" xfId="0" applyFont="1" applyBorder="1" applyAlignment="1">
      <alignment wrapText="1"/>
    </xf>
    <xf numFmtId="0" fontId="47" fillId="0" borderId="0" xfId="0" applyFont="1"/>
    <xf numFmtId="0" fontId="47" fillId="0" borderId="0" xfId="0" applyFont="1" applyAlignment="1">
      <alignment wrapText="1"/>
    </xf>
    <xf numFmtId="0" fontId="47" fillId="0" borderId="0" xfId="0" applyFont="1" applyFill="1"/>
    <xf numFmtId="0" fontId="47" fillId="0" borderId="0" xfId="0" applyFont="1" applyBorder="1"/>
    <xf numFmtId="0" fontId="48" fillId="0" borderId="10" xfId="0" applyFont="1" applyBorder="1"/>
    <xf numFmtId="0" fontId="4" fillId="0" borderId="0" xfId="34" applyFont="1" applyAlignment="1">
      <alignment vertical="top" wrapText="1"/>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11" fillId="24" borderId="10" xfId="34" applyFont="1" applyFill="1" applyBorder="1" applyAlignment="1">
      <alignment horizontal="left" vertical="top"/>
    </xf>
    <xf numFmtId="0" fontId="1" fillId="0" borderId="0" xfId="34" applyFont="1" applyFill="1" applyBorder="1" applyAlignment="1">
      <alignment horizontal="left"/>
    </xf>
    <xf numFmtId="0" fontId="1" fillId="0" borderId="0" xfId="0" applyFont="1" applyBorder="1"/>
    <xf numFmtId="0" fontId="1" fillId="0" borderId="10" xfId="0" applyFont="1" applyBorder="1" applyAlignment="1">
      <alignment vertical="top"/>
    </xf>
    <xf numFmtId="0" fontId="0" fillId="0" borderId="10" xfId="0" applyBorder="1" applyAlignment="1">
      <alignment vertical="top"/>
    </xf>
    <xf numFmtId="0" fontId="0" fillId="0" borderId="10" xfId="0" applyBorder="1" applyAlignment="1">
      <alignment vertical="top" wrapText="1"/>
    </xf>
    <xf numFmtId="0" fontId="1" fillId="0" borderId="10" xfId="0" applyFont="1" applyBorder="1" applyAlignment="1">
      <alignment vertical="top" wrapText="1"/>
    </xf>
    <xf numFmtId="0" fontId="4" fillId="0" borderId="0" xfId="34" applyFont="1" applyFill="1" applyBorder="1" applyAlignment="1">
      <alignment horizontal="left" vertical="top"/>
    </xf>
    <xf numFmtId="166" fontId="4" fillId="0" borderId="0" xfId="34" applyNumberFormat="1" applyFont="1" applyBorder="1" applyAlignment="1">
      <alignment horizontal="left" vertical="top"/>
    </xf>
    <xf numFmtId="0" fontId="4" fillId="0" borderId="0" xfId="34" applyFont="1" applyBorder="1" applyAlignment="1">
      <alignment horizontal="left" vertical="top"/>
    </xf>
    <xf numFmtId="167" fontId="4" fillId="0" borderId="0" xfId="34" applyNumberFormat="1" applyFont="1" applyBorder="1" applyAlignment="1">
      <alignment horizontal="left" vertical="top"/>
    </xf>
    <xf numFmtId="0" fontId="49" fillId="0" borderId="10" xfId="0" applyFont="1" applyBorder="1" applyAlignment="1">
      <alignment vertical="center" wrapText="1"/>
    </xf>
    <xf numFmtId="0" fontId="47" fillId="0" borderId="10" xfId="0" applyFont="1" applyBorder="1" applyAlignment="1">
      <alignment vertical="top"/>
    </xf>
    <xf numFmtId="0" fontId="47" fillId="0" borderId="10" xfId="0" applyFont="1" applyBorder="1" applyAlignment="1">
      <alignment vertical="top" wrapText="1"/>
    </xf>
    <xf numFmtId="0" fontId="47" fillId="0" borderId="0" xfId="0" applyFont="1" applyFill="1" applyBorder="1" applyAlignment="1">
      <alignment vertical="top"/>
    </xf>
    <xf numFmtId="0" fontId="47" fillId="0" borderId="0" xfId="0" applyFont="1" applyAlignment="1">
      <alignment vertical="top" wrapText="1"/>
    </xf>
    <xf numFmtId="0" fontId="47" fillId="0" borderId="0" xfId="0" applyFont="1" applyAlignment="1">
      <alignment vertical="top"/>
    </xf>
    <xf numFmtId="0" fontId="1" fillId="0" borderId="0" xfId="0" applyFont="1" applyBorder="1" applyAlignment="1">
      <alignment vertical="top"/>
    </xf>
    <xf numFmtId="0" fontId="49" fillId="0" borderId="0" xfId="0" applyFont="1" applyBorder="1" applyAlignment="1">
      <alignment vertical="center" wrapText="1"/>
    </xf>
    <xf numFmtId="0" fontId="1" fillId="0" borderId="10" xfId="0" applyFont="1" applyBorder="1" applyAlignment="1">
      <alignment horizontal="left" vertical="top"/>
    </xf>
    <xf numFmtId="0" fontId="49" fillId="0" borderId="10" xfId="0" applyFont="1" applyBorder="1" applyAlignment="1">
      <alignment horizontal="left" vertical="top" wrapText="1"/>
    </xf>
    <xf numFmtId="0" fontId="0" fillId="0" borderId="0" xfId="0" applyAlignment="1">
      <alignment vertical="top"/>
    </xf>
    <xf numFmtId="0" fontId="33" fillId="26" borderId="10" xfId="0" applyFont="1" applyFill="1" applyBorder="1" applyAlignment="1">
      <alignment vertical="top"/>
    </xf>
    <xf numFmtId="0" fontId="1" fillId="0" borderId="10" xfId="0" quotePrefix="1" applyFont="1" applyBorder="1" applyAlignment="1">
      <alignment vertical="top" wrapText="1"/>
    </xf>
    <xf numFmtId="0" fontId="33" fillId="0" borderId="10" xfId="0" applyFont="1" applyFill="1" applyBorder="1"/>
    <xf numFmtId="0" fontId="49" fillId="0" borderId="10" xfId="0" applyFont="1" applyBorder="1" applyAlignment="1">
      <alignment vertical="top" wrapText="1"/>
    </xf>
    <xf numFmtId="0" fontId="47" fillId="0" borderId="10" xfId="0" applyFont="1" applyFill="1" applyBorder="1"/>
    <xf numFmtId="0" fontId="47" fillId="0" borderId="10" xfId="0" applyFont="1" applyFill="1" applyBorder="1" applyAlignment="1">
      <alignment vertical="top"/>
    </xf>
    <xf numFmtId="0" fontId="34" fillId="0" borderId="0" xfId="0" applyFont="1" applyAlignment="1">
      <alignment vertical="top"/>
    </xf>
    <xf numFmtId="0" fontId="47" fillId="0" borderId="10" xfId="0" applyFont="1" applyFill="1" applyBorder="1" applyAlignment="1">
      <alignment vertical="top" wrapText="1"/>
    </xf>
    <xf numFmtId="0" fontId="0" fillId="0" borderId="0" xfId="0" applyAlignment="1">
      <alignment horizontal="left"/>
    </xf>
    <xf numFmtId="0" fontId="0" fillId="0" borderId="10" xfId="0" applyBorder="1" applyAlignment="1">
      <alignment horizontal="left" vertical="top"/>
    </xf>
    <xf numFmtId="0" fontId="1" fillId="0" borderId="10" xfId="0" applyFont="1" applyBorder="1" applyAlignment="1">
      <alignment horizontal="left" vertical="top" wrapText="1"/>
    </xf>
    <xf numFmtId="0" fontId="0" fillId="0" borderId="10" xfId="0" applyBorder="1" applyAlignment="1">
      <alignment horizontal="left" vertical="top" wrapText="1"/>
    </xf>
    <xf numFmtId="0" fontId="0" fillId="0" borderId="0" xfId="0" applyAlignment="1">
      <alignment horizontal="left" vertical="top"/>
    </xf>
    <xf numFmtId="0" fontId="1" fillId="0" borderId="10" xfId="0" quotePrefix="1" applyFont="1" applyBorder="1" applyAlignment="1">
      <alignment horizontal="left" vertical="top" wrapText="1"/>
    </xf>
    <xf numFmtId="0" fontId="4" fillId="0" borderId="0" xfId="34" quotePrefix="1" applyFont="1" applyAlignment="1">
      <alignment vertical="top"/>
    </xf>
    <xf numFmtId="0" fontId="4" fillId="0" borderId="0" xfId="34" applyFont="1" applyAlignment="1">
      <alignment horizontal="left" vertical="top"/>
    </xf>
    <xf numFmtId="0" fontId="47" fillId="0" borderId="0" xfId="0" applyFont="1" applyBorder="1" applyAlignment="1">
      <alignment wrapText="1"/>
    </xf>
    <xf numFmtId="0" fontId="1" fillId="0" borderId="10" xfId="0" applyFont="1" applyFill="1" applyBorder="1" applyAlignment="1">
      <alignment horizontal="left" vertical="top"/>
    </xf>
    <xf numFmtId="0" fontId="1" fillId="0" borderId="10" xfId="0" applyFont="1" applyFill="1" applyBorder="1" applyAlignment="1">
      <alignment horizontal="left" vertical="top" wrapText="1"/>
    </xf>
    <xf numFmtId="0" fontId="0" fillId="0" borderId="10" xfId="0" applyFill="1" applyBorder="1" applyAlignment="1">
      <alignment horizontal="left" vertical="top"/>
    </xf>
    <xf numFmtId="0" fontId="0" fillId="0" borderId="10" xfId="0" applyFill="1" applyBorder="1" applyAlignment="1">
      <alignment horizontal="left" vertical="top" wrapText="1"/>
    </xf>
    <xf numFmtId="0" fontId="1" fillId="0" borderId="10" xfId="0" quotePrefix="1" applyFont="1" applyFill="1" applyBorder="1" applyAlignment="1">
      <alignment horizontal="left" vertical="top" wrapText="1"/>
    </xf>
    <xf numFmtId="0" fontId="4" fillId="0" borderId="0" xfId="34" quotePrefix="1" applyFont="1" applyAlignment="1">
      <alignment horizontal="left" vertical="top" wrapText="1"/>
    </xf>
    <xf numFmtId="0" fontId="1" fillId="0" borderId="19" xfId="0" applyFont="1" applyBorder="1"/>
    <xf numFmtId="0" fontId="1" fillId="0" borderId="10" xfId="0" applyFont="1" applyBorder="1" applyAlignment="1"/>
    <xf numFmtId="0" fontId="1" fillId="0" borderId="19" xfId="0" applyFont="1" applyBorder="1" applyAlignment="1">
      <alignment horizontal="left" vertical="top" wrapText="1"/>
    </xf>
    <xf numFmtId="0" fontId="1" fillId="0" borderId="10" xfId="0" applyFont="1" applyBorder="1" applyAlignment="1">
      <alignment vertical="center"/>
    </xf>
    <xf numFmtId="0" fontId="0" fillId="0" borderId="10" xfId="0" applyBorder="1" applyAlignment="1"/>
    <xf numFmtId="0" fontId="34" fillId="0" borderId="0" xfId="0" applyFont="1" applyBorder="1"/>
    <xf numFmtId="0" fontId="1" fillId="0" borderId="0" xfId="0" applyFont="1" applyBorder="1" applyAlignment="1">
      <alignment vertical="center"/>
    </xf>
    <xf numFmtId="0" fontId="0" fillId="0" borderId="0" xfId="0" applyBorder="1" applyAlignment="1"/>
    <xf numFmtId="0" fontId="0" fillId="0" borderId="10" xfId="0" applyFill="1" applyBorder="1"/>
    <xf numFmtId="0" fontId="34" fillId="0" borderId="10" xfId="0" applyFont="1" applyFill="1" applyBorder="1"/>
    <xf numFmtId="0" fontId="47" fillId="0" borderId="0" xfId="0" applyFont="1" applyBorder="1" applyAlignment="1">
      <alignment vertical="top"/>
    </xf>
    <xf numFmtId="0" fontId="35" fillId="26" borderId="10" xfId="0" applyFont="1" applyFill="1" applyBorder="1" applyAlignment="1">
      <alignment vertical="top"/>
    </xf>
    <xf numFmtId="0" fontId="35" fillId="26" borderId="10" xfId="0" applyFont="1" applyFill="1" applyBorder="1" applyAlignment="1">
      <alignment vertical="top" wrapText="1"/>
    </xf>
    <xf numFmtId="0" fontId="35" fillId="26" borderId="11" xfId="0" applyFont="1" applyFill="1" applyBorder="1" applyAlignment="1">
      <alignment vertical="top" wrapText="1"/>
    </xf>
    <xf numFmtId="0" fontId="35" fillId="26" borderId="11" xfId="0" applyFont="1" applyFill="1" applyBorder="1" applyAlignment="1">
      <alignment vertical="top"/>
    </xf>
    <xf numFmtId="0" fontId="47" fillId="0" borderId="10" xfId="0" applyFont="1" applyBorder="1" applyAlignment="1">
      <alignment horizontal="left" vertical="top" wrapText="1"/>
    </xf>
    <xf numFmtId="0" fontId="0" fillId="0" borderId="10" xfId="0" quotePrefix="1" applyBorder="1" applyAlignment="1">
      <alignment vertical="top" wrapText="1"/>
    </xf>
    <xf numFmtId="0" fontId="34" fillId="0" borderId="0" xfId="0" applyFont="1" applyAlignment="1">
      <alignment horizontal="left" vertical="top"/>
    </xf>
    <xf numFmtId="0" fontId="4" fillId="0" borderId="0" xfId="34" quotePrefix="1" applyFont="1" applyAlignment="1">
      <alignment vertical="top" wrapText="1"/>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4" fillId="0" borderId="10" xfId="34" applyFont="1" applyBorder="1" applyAlignment="1">
      <alignment horizontal="center"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2" fillId="27" borderId="10" xfId="34" applyFont="1" applyFill="1" applyBorder="1" applyAlignment="1">
      <alignment horizontal="center" vertical="top"/>
    </xf>
    <xf numFmtId="0" fontId="32" fillId="27" borderId="17" xfId="34" applyFont="1" applyFill="1" applyBorder="1" applyAlignment="1">
      <alignment horizontal="center" vertical="top"/>
    </xf>
    <xf numFmtId="0" fontId="32" fillId="27" borderId="19" xfId="34" applyFont="1" applyFill="1" applyBorder="1" applyAlignment="1">
      <alignment horizontal="center"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2" fillId="27" borderId="10" xfId="34" applyFont="1" applyFill="1" applyBorder="1" applyAlignment="1">
      <alignment horizontal="left" vertical="top"/>
    </xf>
    <xf numFmtId="0" fontId="11" fillId="24" borderId="17" xfId="34" applyFont="1" applyFill="1" applyBorder="1" applyAlignment="1">
      <alignment horizontal="left" vertical="top"/>
    </xf>
    <xf numFmtId="0" fontId="1" fillId="0" borderId="19" xfId="34" applyBorder="1" applyAlignment="1">
      <alignment vertical="top"/>
    </xf>
    <xf numFmtId="0" fontId="32" fillId="27" borderId="10" xfId="34" applyFont="1" applyFill="1" applyBorder="1" applyAlignment="1">
      <alignment horizontal="center" vertical="center"/>
    </xf>
    <xf numFmtId="0" fontId="11" fillId="24" borderId="18" xfId="34" applyFont="1" applyFill="1" applyBorder="1" applyAlignment="1">
      <alignment horizontal="left" vertical="top"/>
    </xf>
    <xf numFmtId="0" fontId="1" fillId="0" borderId="18" xfId="34" applyBorder="1" applyAlignment="1">
      <alignment vertical="top"/>
    </xf>
    <xf numFmtId="0" fontId="11" fillId="24" borderId="17" xfId="34" applyFont="1" applyFill="1" applyBorder="1" applyAlignment="1">
      <alignment horizontal="left" vertical="top" wrapText="1"/>
    </xf>
    <xf numFmtId="166" fontId="4" fillId="0" borderId="17" xfId="34" applyNumberFormat="1" applyFont="1" applyBorder="1" applyAlignment="1">
      <alignment horizontal="left" vertical="top"/>
    </xf>
    <xf numFmtId="166" fontId="4" fillId="0" borderId="18" xfId="34" applyNumberFormat="1" applyFont="1" applyBorder="1" applyAlignment="1">
      <alignment horizontal="left" vertical="top"/>
    </xf>
    <xf numFmtId="166" fontId="4" fillId="0" borderId="19" xfId="34" applyNumberFormat="1" applyFont="1" applyBorder="1" applyAlignment="1">
      <alignment horizontal="left" vertical="top"/>
    </xf>
    <xf numFmtId="14" fontId="4" fillId="0" borderId="10" xfId="34" applyNumberFormat="1" applyFont="1" applyBorder="1" applyAlignment="1">
      <alignment horizontal="left" vertical="top"/>
    </xf>
    <xf numFmtId="0" fontId="4" fillId="0" borderId="17" xfId="34" applyFont="1" applyBorder="1" applyAlignment="1">
      <alignment horizontal="left" vertical="top"/>
    </xf>
    <xf numFmtId="0" fontId="4" fillId="0" borderId="19" xfId="34" applyFont="1" applyBorder="1" applyAlignment="1">
      <alignment horizontal="left" vertical="top"/>
    </xf>
    <xf numFmtId="0" fontId="37"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1" fillId="35" borderId="10" xfId="0" applyFont="1" applyFill="1" applyBorder="1" applyAlignment="1">
      <alignment horizontal="center"/>
    </xf>
    <xf numFmtId="0" fontId="1" fillId="35" borderId="10" xfId="0" applyFont="1" applyFill="1" applyBorder="1" applyAlignment="1">
      <alignment horizontal="center" vertical="top"/>
    </xf>
    <xf numFmtId="0" fontId="38" fillId="35" borderId="10" xfId="0" applyFont="1" applyFill="1" applyBorder="1" applyAlignment="1">
      <alignment horizontal="left" vertical="top"/>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abSelected="1" zoomScale="80" zoomScaleNormal="75" workbookViewId="0">
      <selection activeCell="A13" sqref="A13:O13"/>
    </sheetView>
  </sheetViews>
  <sheetFormatPr defaultColWidth="9.1796875" defaultRowHeight="12.5" x14ac:dyDescent="0.25"/>
  <cols>
    <col min="1" max="1" width="11.54296875" style="2" customWidth="1"/>
    <col min="2" max="2" width="12.81640625" style="2" bestFit="1" customWidth="1"/>
    <col min="3" max="6" width="9.1796875" style="2"/>
    <col min="7" max="7" width="13.453125" style="2" customWidth="1"/>
    <col min="8" max="8" width="9.81640625" style="2" customWidth="1"/>
    <col min="9" max="9" width="12.26953125" style="2" customWidth="1"/>
    <col min="10" max="10" width="9.1796875" style="2"/>
    <col min="11" max="11" width="7" style="2" customWidth="1"/>
    <col min="12" max="13" width="17.26953125" style="2" customWidth="1"/>
    <col min="14" max="16384" width="9.1796875" style="2"/>
  </cols>
  <sheetData>
    <row r="1" spans="1:15" ht="13" x14ac:dyDescent="0.3">
      <c r="A1" s="1"/>
    </row>
    <row r="10" spans="1:15" ht="13" x14ac:dyDescent="0.3">
      <c r="A10" s="1"/>
      <c r="B10" s="1"/>
      <c r="C10" s="1"/>
      <c r="D10" s="1"/>
      <c r="E10" s="1"/>
      <c r="F10" s="1"/>
      <c r="G10" s="1"/>
      <c r="H10" s="1"/>
      <c r="I10" s="1"/>
    </row>
    <row r="11" spans="1:15" ht="13" x14ac:dyDescent="0.3">
      <c r="A11" s="1"/>
      <c r="B11" s="1"/>
      <c r="C11" s="1"/>
      <c r="D11" s="1"/>
      <c r="E11" s="1"/>
      <c r="F11" s="1"/>
      <c r="G11" s="1"/>
      <c r="H11" s="1"/>
      <c r="I11" s="1"/>
    </row>
    <row r="12" spans="1:15" ht="13" x14ac:dyDescent="0.3">
      <c r="A12" s="1"/>
      <c r="B12" s="1"/>
      <c r="C12" s="1"/>
      <c r="D12" s="1"/>
      <c r="E12" s="1"/>
      <c r="F12" s="1"/>
      <c r="G12" s="1"/>
      <c r="H12" s="1"/>
      <c r="I12" s="1"/>
    </row>
    <row r="13" spans="1:15" ht="32.25" customHeight="1" thickBot="1" x14ac:dyDescent="0.6">
      <c r="A13" s="157" t="s">
        <v>0</v>
      </c>
      <c r="B13" s="157"/>
      <c r="C13" s="157"/>
      <c r="D13" s="157"/>
      <c r="E13" s="157"/>
      <c r="F13" s="157"/>
      <c r="G13" s="157"/>
      <c r="H13" s="157"/>
      <c r="I13" s="157"/>
      <c r="J13" s="157"/>
      <c r="K13" s="157"/>
      <c r="L13" s="157"/>
      <c r="M13" s="157"/>
      <c r="N13" s="157"/>
      <c r="O13" s="157"/>
    </row>
    <row r="14" spans="1:15" ht="13.5" thickTop="1" x14ac:dyDescent="0.3">
      <c r="A14" s="1"/>
      <c r="B14" s="1"/>
      <c r="C14" s="1"/>
      <c r="D14" s="1"/>
      <c r="E14" s="1"/>
      <c r="F14" s="1"/>
      <c r="G14" s="1"/>
      <c r="H14" s="1"/>
      <c r="I14" s="1"/>
    </row>
    <row r="15" spans="1:15" ht="13"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 x14ac:dyDescent="0.3">
      <c r="A18" s="1"/>
      <c r="B18" s="1"/>
      <c r="C18" s="1"/>
      <c r="D18" s="1"/>
      <c r="E18" s="1"/>
      <c r="F18" s="1"/>
      <c r="G18" s="1"/>
      <c r="H18" s="1"/>
      <c r="I18" s="1"/>
    </row>
    <row r="19" spans="1:15" ht="13" x14ac:dyDescent="0.3">
      <c r="A19" s="1"/>
      <c r="B19" s="1"/>
      <c r="C19" s="1"/>
      <c r="D19" s="1"/>
      <c r="E19" s="1"/>
      <c r="F19" s="1"/>
      <c r="G19" s="1"/>
      <c r="H19" s="1"/>
      <c r="I19" s="1"/>
    </row>
    <row r="20" spans="1:15" ht="30.5" x14ac:dyDescent="0.65">
      <c r="A20" s="158" t="s">
        <v>1</v>
      </c>
      <c r="B20" s="158"/>
      <c r="C20" s="158"/>
      <c r="D20" s="158"/>
      <c r="E20" s="158"/>
      <c r="F20" s="158"/>
      <c r="G20" s="158"/>
      <c r="H20" s="158"/>
      <c r="I20" s="158"/>
      <c r="J20" s="158"/>
      <c r="K20" s="158"/>
      <c r="L20" s="158"/>
      <c r="M20" s="158"/>
      <c r="N20" s="158"/>
      <c r="O20" s="158"/>
    </row>
    <row r="21" spans="1:15" ht="30.5" x14ac:dyDescent="0.65">
      <c r="A21" s="158" t="s">
        <v>2</v>
      </c>
      <c r="B21" s="158"/>
      <c r="C21" s="158"/>
      <c r="D21" s="158"/>
      <c r="E21" s="158"/>
      <c r="F21" s="158"/>
      <c r="G21" s="158"/>
      <c r="H21" s="158"/>
      <c r="I21" s="158"/>
      <c r="J21" s="158"/>
      <c r="K21" s="158"/>
      <c r="L21" s="158"/>
      <c r="M21" s="158"/>
      <c r="N21" s="158"/>
      <c r="O21" s="158"/>
    </row>
    <row r="22" spans="1:15" ht="13" x14ac:dyDescent="0.3">
      <c r="A22" s="1"/>
      <c r="B22" s="1"/>
      <c r="C22" s="1"/>
      <c r="D22" s="1"/>
      <c r="E22" s="1"/>
      <c r="F22" s="1"/>
      <c r="G22" s="1"/>
      <c r="H22" s="1"/>
      <c r="I22" s="1"/>
    </row>
    <row r="23" spans="1:15" ht="30.5" x14ac:dyDescent="0.65">
      <c r="A23" s="90"/>
      <c r="B23" s="90"/>
      <c r="C23" s="90"/>
      <c r="D23" s="90"/>
      <c r="E23" s="90"/>
      <c r="F23" s="91"/>
      <c r="G23" s="158" t="s">
        <v>3</v>
      </c>
      <c r="H23" s="161"/>
      <c r="I23" s="75" t="s">
        <v>369</v>
      </c>
      <c r="J23" s="91"/>
      <c r="L23" s="90"/>
      <c r="M23" s="90"/>
      <c r="N23" s="90"/>
      <c r="O23" s="90"/>
    </row>
    <row r="24" spans="1:15" s="6" customFormat="1" ht="27.75" customHeight="1" x14ac:dyDescent="0.65">
      <c r="A24" s="92"/>
      <c r="B24" s="92"/>
      <c r="C24" s="92"/>
      <c r="D24" s="92"/>
      <c r="F24" s="79"/>
      <c r="G24" s="158" t="s">
        <v>4</v>
      </c>
      <c r="H24" s="158"/>
      <c r="I24" s="75" t="s">
        <v>262</v>
      </c>
      <c r="J24" s="92"/>
      <c r="K24" s="92"/>
      <c r="L24" s="92"/>
      <c r="M24" s="92"/>
      <c r="N24" s="92"/>
      <c r="O24" s="92"/>
    </row>
    <row r="25" spans="1:15" ht="28" x14ac:dyDescent="0.6">
      <c r="F25" s="164" t="s">
        <v>5</v>
      </c>
      <c r="G25" s="164"/>
      <c r="H25" s="164"/>
      <c r="I25" s="164"/>
      <c r="J25" s="164"/>
      <c r="K25" s="164"/>
      <c r="L25" s="78" t="s">
        <v>6</v>
      </c>
    </row>
    <row r="26" spans="1:15" ht="28" x14ac:dyDescent="0.6">
      <c r="F26" s="165" t="s">
        <v>7</v>
      </c>
      <c r="G26" s="165"/>
      <c r="H26" s="165"/>
      <c r="I26" s="165"/>
      <c r="J26" s="162" t="s">
        <v>370</v>
      </c>
      <c r="K26" s="163"/>
    </row>
    <row r="27" spans="1:15" ht="15.5" x14ac:dyDescent="0.35">
      <c r="A27" s="160"/>
      <c r="B27" s="160"/>
      <c r="C27" s="160"/>
      <c r="D27" s="160"/>
      <c r="E27" s="160"/>
      <c r="F27" s="160"/>
      <c r="G27" s="160"/>
      <c r="H27" s="160"/>
      <c r="I27" s="160"/>
    </row>
    <row r="28" spans="1:15" ht="18" customHeight="1" x14ac:dyDescent="0.45">
      <c r="A28" s="159"/>
      <c r="B28" s="159"/>
      <c r="C28" s="159"/>
      <c r="D28" s="159"/>
      <c r="E28" s="159"/>
      <c r="F28" s="159"/>
      <c r="G28" s="159"/>
      <c r="H28" s="159"/>
      <c r="I28" s="159"/>
    </row>
    <row r="37" spans="1:9" ht="18" customHeight="1" x14ac:dyDescent="0.25"/>
    <row r="38" spans="1:9" ht="15.5" x14ac:dyDescent="0.35">
      <c r="A38" s="3" t="s">
        <v>8</v>
      </c>
      <c r="B38" s="4">
        <f ca="1">TODAY()</f>
        <v>43648</v>
      </c>
      <c r="C38" s="1"/>
      <c r="D38" s="1"/>
      <c r="E38" s="1"/>
      <c r="F38" s="1"/>
      <c r="G38" s="1"/>
      <c r="H38" s="1"/>
      <c r="I38" s="1"/>
    </row>
    <row r="39" spans="1:9" ht="15.5" x14ac:dyDescent="0.35">
      <c r="A39" s="3" t="s">
        <v>9</v>
      </c>
      <c r="B39" s="5" t="s">
        <v>10</v>
      </c>
      <c r="C39" s="1"/>
      <c r="D39" s="1"/>
      <c r="E39" s="1"/>
      <c r="F39" s="1"/>
      <c r="G39" s="1"/>
      <c r="H39" s="1"/>
      <c r="I39" s="1"/>
    </row>
    <row r="40" spans="1:9" ht="15.5" x14ac:dyDescent="0.3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39"/>
  <sheetViews>
    <sheetView showGridLines="0" zoomScaleNormal="100" workbookViewId="0">
      <selection activeCell="N36" sqref="N36"/>
    </sheetView>
  </sheetViews>
  <sheetFormatPr defaultColWidth="9.1796875" defaultRowHeight="13" x14ac:dyDescent="0.25"/>
  <cols>
    <col min="1" max="1" width="7.81640625" style="9" customWidth="1"/>
    <col min="2" max="2" width="22.1796875" style="9" customWidth="1"/>
    <col min="3" max="3" width="6.453125" style="9" customWidth="1"/>
    <col min="4" max="4" width="21.54296875" style="9" customWidth="1"/>
    <col min="5" max="5" width="9" style="9" customWidth="1"/>
    <col min="6" max="6" width="19.7265625" style="9" customWidth="1"/>
    <col min="7" max="7" width="5.7265625" style="9" customWidth="1"/>
    <col min="8" max="8" width="2.81640625" style="9" customWidth="1"/>
    <col min="9" max="9" width="11.1796875" style="9" customWidth="1"/>
    <col min="10" max="10" width="12.453125" style="9" customWidth="1"/>
    <col min="11" max="11" width="9.1796875" style="9" hidden="1" customWidth="1"/>
    <col min="12" max="13" width="14.08984375" style="9" customWidth="1"/>
    <col min="14" max="14" width="28.90625" style="9" customWidth="1"/>
    <col min="15" max="15" width="5.453125" style="9" customWidth="1"/>
    <col min="16" max="16" width="48.08984375" style="9" customWidth="1"/>
    <col min="17" max="16384" width="9.1796875" style="9"/>
  </cols>
  <sheetData>
    <row r="1" spans="1:20" ht="15.5" x14ac:dyDescent="0.25">
      <c r="A1" s="7" t="s">
        <v>11</v>
      </c>
      <c r="B1" s="8"/>
      <c r="C1" s="8"/>
      <c r="D1" s="8"/>
      <c r="E1" s="8"/>
      <c r="F1" s="8"/>
      <c r="G1" s="8"/>
      <c r="H1" s="8"/>
    </row>
    <row r="2" spans="1:20" x14ac:dyDescent="0.25">
      <c r="A2" s="10"/>
      <c r="B2" s="8"/>
      <c r="C2" s="8"/>
      <c r="D2" s="8"/>
      <c r="E2" s="8"/>
      <c r="F2" s="8"/>
      <c r="G2" s="8"/>
      <c r="H2" s="8"/>
    </row>
    <row r="3" spans="1:20" ht="13" customHeight="1" x14ac:dyDescent="0.25">
      <c r="A3" s="183" t="s">
        <v>12</v>
      </c>
      <c r="B3" s="184"/>
      <c r="C3" s="183" t="s">
        <v>13</v>
      </c>
      <c r="D3" s="184"/>
      <c r="E3" s="183" t="s">
        <v>14</v>
      </c>
      <c r="F3" s="184"/>
      <c r="G3" s="188" t="s">
        <v>15</v>
      </c>
      <c r="H3" s="187"/>
      <c r="I3" s="184"/>
      <c r="J3" s="183" t="s">
        <v>16</v>
      </c>
      <c r="K3" s="184"/>
      <c r="L3" s="183" t="s">
        <v>20</v>
      </c>
      <c r="M3" s="186"/>
      <c r="N3" s="187"/>
      <c r="O3" s="184"/>
      <c r="P3" s="93" t="s">
        <v>17</v>
      </c>
    </row>
    <row r="4" spans="1:20" s="130" customFormat="1" x14ac:dyDescent="0.25">
      <c r="A4" s="170" t="s">
        <v>259</v>
      </c>
      <c r="B4" s="170"/>
      <c r="C4" s="170" t="s">
        <v>260</v>
      </c>
      <c r="D4" s="170"/>
      <c r="E4" s="170" t="s">
        <v>18</v>
      </c>
      <c r="F4" s="170"/>
      <c r="G4" s="189">
        <v>1</v>
      </c>
      <c r="H4" s="190"/>
      <c r="I4" s="191"/>
      <c r="J4" s="170" t="s">
        <v>261</v>
      </c>
      <c r="K4" s="170"/>
      <c r="L4" s="170"/>
      <c r="M4" s="170"/>
      <c r="N4" s="170"/>
      <c r="O4" s="170"/>
      <c r="P4" s="11" t="s">
        <v>373</v>
      </c>
      <c r="T4" s="94"/>
    </row>
    <row r="5" spans="1:20" x14ac:dyDescent="0.25">
      <c r="A5" s="193" t="s">
        <v>371</v>
      </c>
      <c r="B5" s="194"/>
      <c r="C5" s="193" t="s">
        <v>372</v>
      </c>
      <c r="D5" s="194"/>
      <c r="E5" s="170" t="s">
        <v>18</v>
      </c>
      <c r="F5" s="170"/>
      <c r="G5" s="189">
        <v>1</v>
      </c>
      <c r="H5" s="190"/>
      <c r="I5" s="191"/>
      <c r="J5" s="170" t="s">
        <v>261</v>
      </c>
      <c r="K5" s="170"/>
      <c r="L5" s="170"/>
      <c r="M5" s="170"/>
      <c r="N5" s="170"/>
      <c r="O5" s="170"/>
      <c r="P5" s="11" t="s">
        <v>458</v>
      </c>
      <c r="T5" s="94"/>
    </row>
    <row r="6" spans="1:20" x14ac:dyDescent="0.25">
      <c r="A6" s="170" t="s">
        <v>259</v>
      </c>
      <c r="B6" s="170"/>
      <c r="C6" s="170" t="s">
        <v>260</v>
      </c>
      <c r="D6" s="170"/>
      <c r="E6" s="170" t="s">
        <v>374</v>
      </c>
      <c r="F6" s="170"/>
      <c r="G6" s="189">
        <v>1</v>
      </c>
      <c r="H6" s="190"/>
      <c r="I6" s="191"/>
      <c r="J6" s="192">
        <v>43472</v>
      </c>
      <c r="K6" s="170"/>
      <c r="L6" s="166"/>
      <c r="M6" s="166"/>
      <c r="N6" s="166"/>
      <c r="O6" s="166"/>
      <c r="P6" s="11" t="s">
        <v>457</v>
      </c>
    </row>
    <row r="7" spans="1:20" x14ac:dyDescent="0.25">
      <c r="A7" s="170"/>
      <c r="B7" s="170"/>
      <c r="C7" s="170"/>
      <c r="D7" s="170"/>
      <c r="E7" s="170"/>
      <c r="F7" s="170"/>
      <c r="G7" s="189"/>
      <c r="H7" s="190"/>
      <c r="I7" s="191"/>
      <c r="J7" s="192"/>
      <c r="K7" s="170"/>
      <c r="L7" s="166"/>
      <c r="M7" s="166"/>
      <c r="N7" s="166"/>
      <c r="O7" s="166"/>
      <c r="P7" s="11"/>
    </row>
    <row r="8" spans="1:20" x14ac:dyDescent="0.25">
      <c r="A8" s="100"/>
      <c r="B8" s="100"/>
      <c r="C8" s="100"/>
      <c r="D8" s="100"/>
      <c r="E8" s="100"/>
      <c r="F8" s="100"/>
      <c r="G8" s="100"/>
      <c r="H8" s="100"/>
      <c r="I8" s="101"/>
      <c r="J8" s="101"/>
      <c r="K8" s="102"/>
      <c r="L8" s="103"/>
      <c r="M8" s="103"/>
      <c r="N8" s="103"/>
      <c r="O8" s="103"/>
      <c r="P8" s="103"/>
    </row>
    <row r="9" spans="1:20" ht="15.5" x14ac:dyDescent="0.25">
      <c r="A9" s="7" t="s">
        <v>19</v>
      </c>
      <c r="B9" s="7"/>
      <c r="C9" s="7"/>
      <c r="D9" s="7"/>
      <c r="E9" s="8"/>
      <c r="F9" s="8"/>
      <c r="G9" s="8"/>
      <c r="H9" s="8"/>
    </row>
    <row r="10" spans="1:20" x14ac:dyDescent="0.25">
      <c r="A10" s="8"/>
      <c r="B10" s="8"/>
      <c r="C10" s="8"/>
      <c r="D10" s="8"/>
      <c r="E10" s="8"/>
      <c r="F10" s="8"/>
      <c r="G10" s="8"/>
      <c r="H10" s="8"/>
    </row>
    <row r="11" spans="1:20" ht="29.25" customHeight="1" x14ac:dyDescent="0.25">
      <c r="A11" s="183" t="s">
        <v>12</v>
      </c>
      <c r="B11" s="184"/>
      <c r="C11" s="183" t="s">
        <v>13</v>
      </c>
      <c r="D11" s="184"/>
      <c r="E11" s="183" t="s">
        <v>14</v>
      </c>
      <c r="F11" s="184"/>
      <c r="G11" s="188" t="s">
        <v>15</v>
      </c>
      <c r="H11" s="187"/>
      <c r="I11" s="184"/>
      <c r="J11" s="183" t="s">
        <v>16</v>
      </c>
      <c r="K11" s="184"/>
      <c r="L11" s="183" t="s">
        <v>20</v>
      </c>
      <c r="M11" s="186"/>
      <c r="N11" s="187"/>
      <c r="O11" s="184"/>
    </row>
    <row r="12" spans="1:20" x14ac:dyDescent="0.25">
      <c r="A12" s="166"/>
      <c r="B12" s="166"/>
      <c r="C12" s="166"/>
      <c r="D12" s="166"/>
      <c r="E12" s="166"/>
      <c r="F12" s="166"/>
      <c r="G12" s="166"/>
      <c r="H12" s="166"/>
      <c r="I12" s="166"/>
      <c r="J12" s="166"/>
      <c r="K12" s="166"/>
      <c r="L12" s="166"/>
      <c r="M12" s="166"/>
      <c r="N12" s="166"/>
      <c r="O12" s="166"/>
    </row>
    <row r="13" spans="1:20" x14ac:dyDescent="0.25">
      <c r="A13" s="166"/>
      <c r="B13" s="166"/>
      <c r="C13" s="166"/>
      <c r="D13" s="166"/>
      <c r="E13" s="166"/>
      <c r="F13" s="166"/>
      <c r="G13" s="166"/>
      <c r="H13" s="166"/>
      <c r="I13" s="166"/>
      <c r="J13" s="166"/>
      <c r="K13" s="166"/>
      <c r="L13" s="166"/>
      <c r="M13" s="166"/>
      <c r="N13" s="166"/>
      <c r="O13" s="166"/>
    </row>
    <row r="14" spans="1:20" x14ac:dyDescent="0.25">
      <c r="A14" s="166"/>
      <c r="B14" s="166"/>
      <c r="C14" s="166"/>
      <c r="D14" s="166"/>
      <c r="E14" s="166"/>
      <c r="F14" s="166"/>
      <c r="G14" s="166"/>
      <c r="H14" s="166"/>
      <c r="I14" s="166"/>
      <c r="J14" s="166"/>
      <c r="K14" s="166"/>
      <c r="L14" s="166"/>
      <c r="M14" s="166"/>
      <c r="N14" s="166"/>
      <c r="O14" s="166"/>
    </row>
    <row r="15" spans="1:20" x14ac:dyDescent="0.25">
      <c r="A15" s="166"/>
      <c r="B15" s="166"/>
      <c r="C15" s="166"/>
      <c r="D15" s="166"/>
      <c r="E15" s="166"/>
      <c r="F15" s="166"/>
      <c r="G15" s="166"/>
      <c r="H15" s="166"/>
      <c r="I15" s="166"/>
      <c r="J15" s="166"/>
      <c r="K15" s="166"/>
      <c r="L15" s="166"/>
      <c r="M15" s="166"/>
      <c r="N15" s="166"/>
      <c r="O15" s="166"/>
    </row>
    <row r="16" spans="1:20" x14ac:dyDescent="0.25">
      <c r="A16" s="166"/>
      <c r="B16" s="166"/>
      <c r="C16" s="166"/>
      <c r="D16" s="166"/>
      <c r="E16" s="166"/>
      <c r="F16" s="166"/>
      <c r="G16" s="166"/>
      <c r="H16" s="166"/>
      <c r="I16" s="166"/>
      <c r="J16" s="166"/>
      <c r="K16" s="166"/>
      <c r="L16" s="166"/>
      <c r="M16" s="166"/>
      <c r="N16" s="166"/>
      <c r="O16" s="166"/>
    </row>
    <row r="17" spans="1:16" x14ac:dyDescent="0.25">
      <c r="A17" s="166"/>
      <c r="B17" s="166"/>
      <c r="C17" s="166"/>
      <c r="D17" s="166"/>
      <c r="E17" s="166"/>
      <c r="F17" s="166"/>
      <c r="G17" s="166"/>
      <c r="H17" s="166"/>
      <c r="I17" s="166"/>
      <c r="J17" s="166"/>
      <c r="K17" s="166"/>
      <c r="L17" s="166"/>
      <c r="M17" s="166"/>
      <c r="N17" s="166"/>
      <c r="O17" s="166"/>
    </row>
    <row r="18" spans="1:16" x14ac:dyDescent="0.25">
      <c r="A18" s="166"/>
      <c r="B18" s="166"/>
      <c r="C18" s="166"/>
      <c r="D18" s="166"/>
      <c r="E18" s="166"/>
      <c r="F18" s="166"/>
      <c r="G18" s="166"/>
      <c r="H18" s="166"/>
      <c r="I18" s="166"/>
      <c r="J18" s="166"/>
      <c r="K18" s="166"/>
      <c r="L18" s="166"/>
      <c r="M18" s="166"/>
      <c r="N18" s="166"/>
      <c r="O18" s="166"/>
    </row>
    <row r="19" spans="1:16" x14ac:dyDescent="0.25">
      <c r="A19" s="166"/>
      <c r="B19" s="166"/>
      <c r="C19" s="166"/>
      <c r="D19" s="166"/>
      <c r="E19" s="166"/>
      <c r="F19" s="166"/>
      <c r="G19" s="166"/>
      <c r="H19" s="166"/>
      <c r="I19" s="166"/>
      <c r="J19" s="166"/>
      <c r="K19" s="166"/>
      <c r="L19" s="166"/>
      <c r="M19" s="166"/>
      <c r="N19" s="166"/>
      <c r="O19" s="166"/>
    </row>
    <row r="22" spans="1:16" ht="13" customHeight="1" x14ac:dyDescent="0.25">
      <c r="A22" s="173" t="s">
        <v>21</v>
      </c>
      <c r="B22" s="173"/>
      <c r="C22" s="173" t="s">
        <v>22</v>
      </c>
      <c r="D22" s="173"/>
      <c r="E22" s="185" t="s">
        <v>23</v>
      </c>
      <c r="F22" s="185"/>
      <c r="L22" s="89"/>
      <c r="M22" s="89"/>
      <c r="N22" s="89" t="s">
        <v>459</v>
      </c>
      <c r="O22" s="89"/>
      <c r="P22" s="89"/>
    </row>
    <row r="23" spans="1:16" ht="13" customHeight="1" x14ac:dyDescent="0.25">
      <c r="A23" s="170" t="s">
        <v>24</v>
      </c>
      <c r="B23" s="170"/>
      <c r="C23" s="166">
        <v>0</v>
      </c>
      <c r="D23" s="166"/>
      <c r="E23" s="166">
        <f t="shared" ref="E23:E29" si="0">C23*8</f>
        <v>0</v>
      </c>
      <c r="F23" s="166"/>
      <c r="J23" s="89"/>
      <c r="L23" s="137"/>
      <c r="M23" s="137"/>
      <c r="N23" s="137" t="s">
        <v>461</v>
      </c>
      <c r="O23" s="137"/>
      <c r="P23" s="137"/>
    </row>
    <row r="24" spans="1:16" ht="13" customHeight="1" x14ac:dyDescent="0.25">
      <c r="A24" s="170" t="s">
        <v>25</v>
      </c>
      <c r="B24" s="170"/>
      <c r="C24" s="166">
        <v>0</v>
      </c>
      <c r="D24" s="166"/>
      <c r="E24" s="171">
        <f t="shared" si="0"/>
        <v>0</v>
      </c>
      <c r="F24" s="172"/>
      <c r="L24" s="129"/>
      <c r="M24" s="129"/>
      <c r="N24" s="129" t="s">
        <v>306</v>
      </c>
    </row>
    <row r="25" spans="1:16" x14ac:dyDescent="0.25">
      <c r="A25" s="170" t="s">
        <v>26</v>
      </c>
      <c r="B25" s="170"/>
      <c r="C25" s="166">
        <v>0.1</v>
      </c>
      <c r="D25" s="166"/>
      <c r="E25" s="171">
        <f t="shared" si="0"/>
        <v>0.8</v>
      </c>
      <c r="F25" s="172"/>
      <c r="N25" s="9" t="s">
        <v>307</v>
      </c>
    </row>
    <row r="26" spans="1:16" x14ac:dyDescent="0.25">
      <c r="A26" s="170" t="s">
        <v>27</v>
      </c>
      <c r="B26" s="170"/>
      <c r="C26" s="166">
        <f>'1.0 DB Schema'!B81+'2.0 Ifb &amp; PHP'!B38+'3.0 Mapping'!B24+'4.0 Worklet &amp; workflow'!B38+'5.0 Stored Procedure'!B10+'4.1 Session Details'!B39</f>
        <v>2.4924999999999997</v>
      </c>
      <c r="D26" s="166"/>
      <c r="E26" s="171">
        <f t="shared" si="0"/>
        <v>19.939999999999998</v>
      </c>
      <c r="F26" s="172"/>
      <c r="N26" s="9" t="s">
        <v>310</v>
      </c>
    </row>
    <row r="27" spans="1:16" x14ac:dyDescent="0.25">
      <c r="A27" s="170" t="s">
        <v>28</v>
      </c>
      <c r="B27" s="170"/>
      <c r="C27" s="166">
        <v>3</v>
      </c>
      <c r="D27" s="166"/>
      <c r="E27" s="171">
        <f t="shared" si="0"/>
        <v>24</v>
      </c>
      <c r="F27" s="172"/>
      <c r="N27" s="9" t="s">
        <v>308</v>
      </c>
    </row>
    <row r="28" spans="1:16" x14ac:dyDescent="0.25">
      <c r="A28" s="170" t="s">
        <v>29</v>
      </c>
      <c r="B28" s="170"/>
      <c r="C28" s="171">
        <v>1</v>
      </c>
      <c r="D28" s="172"/>
      <c r="E28" s="171">
        <f t="shared" si="0"/>
        <v>8</v>
      </c>
      <c r="F28" s="172"/>
      <c r="N28" s="9" t="s">
        <v>309</v>
      </c>
    </row>
    <row r="29" spans="1:16" x14ac:dyDescent="0.25">
      <c r="A29" s="182" t="s">
        <v>30</v>
      </c>
      <c r="B29" s="182"/>
      <c r="C29" s="173">
        <f>SUM(C23:C28)</f>
        <v>6.5924999999999994</v>
      </c>
      <c r="D29" s="173"/>
      <c r="E29" s="174">
        <f t="shared" si="0"/>
        <v>52.739999999999995</v>
      </c>
      <c r="F29" s="175"/>
      <c r="L29" s="129"/>
      <c r="M29" s="129"/>
      <c r="N29" s="9" t="s">
        <v>312</v>
      </c>
    </row>
    <row r="30" spans="1:16" x14ac:dyDescent="0.25">
      <c r="L30" s="129"/>
      <c r="M30" s="129"/>
      <c r="N30" s="129" t="s">
        <v>311</v>
      </c>
    </row>
    <row r="31" spans="1:16" x14ac:dyDescent="0.25">
      <c r="L31" s="129"/>
      <c r="M31" s="129"/>
      <c r="N31" s="129" t="s">
        <v>367</v>
      </c>
    </row>
    <row r="32" spans="1:16" x14ac:dyDescent="0.3">
      <c r="B32" s="167" t="s">
        <v>31</v>
      </c>
      <c r="C32" s="168"/>
      <c r="D32" s="168"/>
      <c r="E32" s="168"/>
      <c r="F32" s="168"/>
      <c r="G32" s="168"/>
      <c r="H32" s="168"/>
      <c r="I32" s="168"/>
      <c r="J32" s="168"/>
      <c r="K32" s="168"/>
      <c r="L32" s="169"/>
      <c r="N32" s="129" t="s">
        <v>368</v>
      </c>
    </row>
    <row r="33" spans="2:14" ht="33.75" customHeight="1" x14ac:dyDescent="0.25">
      <c r="B33" s="180" t="s">
        <v>24</v>
      </c>
      <c r="C33" s="181"/>
      <c r="D33" s="176" t="s">
        <v>32</v>
      </c>
      <c r="E33" s="176"/>
      <c r="F33" s="176"/>
      <c r="G33" s="176"/>
      <c r="H33" s="176"/>
      <c r="I33" s="176"/>
      <c r="J33" s="176"/>
      <c r="K33" s="176"/>
      <c r="L33" s="176"/>
      <c r="N33" s="89" t="s">
        <v>462</v>
      </c>
    </row>
    <row r="34" spans="2:14" ht="39.75" customHeight="1" x14ac:dyDescent="0.25">
      <c r="B34" s="180" t="s">
        <v>25</v>
      </c>
      <c r="C34" s="181"/>
      <c r="D34" s="176" t="s">
        <v>33</v>
      </c>
      <c r="E34" s="176"/>
      <c r="F34" s="176"/>
      <c r="G34" s="176"/>
      <c r="H34" s="176"/>
      <c r="I34" s="176"/>
      <c r="J34" s="176"/>
      <c r="K34" s="176"/>
      <c r="L34" s="176"/>
      <c r="N34" s="156" t="s">
        <v>460</v>
      </c>
    </row>
    <row r="35" spans="2:14" ht="236.25" customHeight="1" x14ac:dyDescent="0.25">
      <c r="B35" s="180" t="s">
        <v>26</v>
      </c>
      <c r="C35" s="181"/>
      <c r="D35" s="176" t="s">
        <v>34</v>
      </c>
      <c r="E35" s="176"/>
      <c r="F35" s="176"/>
      <c r="G35" s="176"/>
      <c r="H35" s="176"/>
      <c r="I35" s="176"/>
      <c r="J35" s="176"/>
      <c r="K35" s="176"/>
      <c r="L35" s="176"/>
      <c r="N35" s="129" t="s">
        <v>466</v>
      </c>
    </row>
    <row r="36" spans="2:14" x14ac:dyDescent="0.25">
      <c r="B36" s="180" t="s">
        <v>27</v>
      </c>
      <c r="C36" s="181"/>
      <c r="D36" s="176" t="s">
        <v>35</v>
      </c>
      <c r="E36" s="176"/>
      <c r="F36" s="176"/>
      <c r="G36" s="176"/>
      <c r="H36" s="176"/>
      <c r="I36" s="176"/>
      <c r="J36" s="176"/>
      <c r="K36" s="176"/>
      <c r="L36" s="176"/>
    </row>
    <row r="37" spans="2:14" ht="52.5" customHeight="1" x14ac:dyDescent="0.25">
      <c r="B37" s="180" t="s">
        <v>28</v>
      </c>
      <c r="C37" s="181"/>
      <c r="D37" s="177" t="s">
        <v>36</v>
      </c>
      <c r="E37" s="178"/>
      <c r="F37" s="178"/>
      <c r="G37" s="178"/>
      <c r="H37" s="178"/>
      <c r="I37" s="178"/>
      <c r="J37" s="178"/>
      <c r="K37" s="178"/>
      <c r="L37" s="179"/>
    </row>
    <row r="38" spans="2:14" ht="34.5" customHeight="1" x14ac:dyDescent="0.25">
      <c r="B38" s="180" t="s">
        <v>29</v>
      </c>
      <c r="C38" s="181"/>
      <c r="D38" s="176" t="s">
        <v>37</v>
      </c>
      <c r="E38" s="176"/>
      <c r="F38" s="176"/>
      <c r="G38" s="176"/>
      <c r="H38" s="176"/>
      <c r="I38" s="176"/>
      <c r="J38" s="176"/>
      <c r="K38" s="176"/>
      <c r="L38" s="176"/>
    </row>
    <row r="39" spans="2:14" ht="29.25" customHeight="1" x14ac:dyDescent="0.25"/>
  </sheetData>
  <mergeCells count="121">
    <mergeCell ref="G6:I6"/>
    <mergeCell ref="J6:K6"/>
    <mergeCell ref="J18:K18"/>
    <mergeCell ref="J16:K16"/>
    <mergeCell ref="J17:K17"/>
    <mergeCell ref="G18:I18"/>
    <mergeCell ref="A16:B16"/>
    <mergeCell ref="E16:F16"/>
    <mergeCell ref="A3:B3"/>
    <mergeCell ref="A6:B6"/>
    <mergeCell ref="C6:D6"/>
    <mergeCell ref="C3:D3"/>
    <mergeCell ref="E3:F3"/>
    <mergeCell ref="G3:I3"/>
    <mergeCell ref="J3:K3"/>
    <mergeCell ref="A4:B4"/>
    <mergeCell ref="C4:D4"/>
    <mergeCell ref="E4:F4"/>
    <mergeCell ref="G4:I4"/>
    <mergeCell ref="J4:K4"/>
    <mergeCell ref="A5:B5"/>
    <mergeCell ref="C5:D5"/>
    <mergeCell ref="E5:F5"/>
    <mergeCell ref="G5:I5"/>
    <mergeCell ref="J14:K14"/>
    <mergeCell ref="J15:K15"/>
    <mergeCell ref="G17:I17"/>
    <mergeCell ref="G14:I14"/>
    <mergeCell ref="G15:I15"/>
    <mergeCell ref="G16:I16"/>
    <mergeCell ref="A7:B7"/>
    <mergeCell ref="C7:D7"/>
    <mergeCell ref="E7:F7"/>
    <mergeCell ref="G7:I7"/>
    <mergeCell ref="J7:K7"/>
    <mergeCell ref="E6:F6"/>
    <mergeCell ref="A12:B12"/>
    <mergeCell ref="C12:D12"/>
    <mergeCell ref="E12:F12"/>
    <mergeCell ref="A13:B13"/>
    <mergeCell ref="C13:D13"/>
    <mergeCell ref="E13:F13"/>
    <mergeCell ref="A18:B18"/>
    <mergeCell ref="C18:D18"/>
    <mergeCell ref="E18:F18"/>
    <mergeCell ref="E17:F17"/>
    <mergeCell ref="G19:I19"/>
    <mergeCell ref="C19:D19"/>
    <mergeCell ref="L3:O3"/>
    <mergeCell ref="L5:O5"/>
    <mergeCell ref="L4:O4"/>
    <mergeCell ref="L19:O19"/>
    <mergeCell ref="L18:O18"/>
    <mergeCell ref="L17:O17"/>
    <mergeCell ref="G11:I11"/>
    <mergeCell ref="J11:K11"/>
    <mergeCell ref="L13:O13"/>
    <mergeCell ref="G12:I12"/>
    <mergeCell ref="G13:I13"/>
    <mergeCell ref="L11:O11"/>
    <mergeCell ref="J12:K12"/>
    <mergeCell ref="L12:O12"/>
    <mergeCell ref="J13:K13"/>
    <mergeCell ref="L14:O14"/>
    <mergeCell ref="L15:O15"/>
    <mergeCell ref="L6:O6"/>
    <mergeCell ref="E14:F14"/>
    <mergeCell ref="J19:K19"/>
    <mergeCell ref="L16:O16"/>
    <mergeCell ref="J5:K5"/>
    <mergeCell ref="A11:B11"/>
    <mergeCell ref="C11:D11"/>
    <mergeCell ref="E11:F11"/>
    <mergeCell ref="A27:B27"/>
    <mergeCell ref="A14:B14"/>
    <mergeCell ref="C14:D14"/>
    <mergeCell ref="C15:D15"/>
    <mergeCell ref="C16:D16"/>
    <mergeCell ref="A19:B19"/>
    <mergeCell ref="A15:B15"/>
    <mergeCell ref="E15:F15"/>
    <mergeCell ref="E22:F22"/>
    <mergeCell ref="A17:B17"/>
    <mergeCell ref="C17:D17"/>
    <mergeCell ref="E19:F19"/>
    <mergeCell ref="D36:L36"/>
    <mergeCell ref="D37:L37"/>
    <mergeCell ref="D38:L38"/>
    <mergeCell ref="B38:C38"/>
    <mergeCell ref="B33:C33"/>
    <mergeCell ref="B34:C34"/>
    <mergeCell ref="B36:C36"/>
    <mergeCell ref="B37:C37"/>
    <mergeCell ref="B35:C35"/>
    <mergeCell ref="D35:L35"/>
    <mergeCell ref="D33:L33"/>
    <mergeCell ref="D34:L34"/>
    <mergeCell ref="L7:O7"/>
    <mergeCell ref="B32:L32"/>
    <mergeCell ref="A28:B28"/>
    <mergeCell ref="C28:D28"/>
    <mergeCell ref="C27:D27"/>
    <mergeCell ref="A22:B22"/>
    <mergeCell ref="C22:D22"/>
    <mergeCell ref="A26:B26"/>
    <mergeCell ref="C26:D26"/>
    <mergeCell ref="A23:B23"/>
    <mergeCell ref="C23:D23"/>
    <mergeCell ref="A24:B24"/>
    <mergeCell ref="C24:D24"/>
    <mergeCell ref="A25:B25"/>
    <mergeCell ref="C25:D25"/>
    <mergeCell ref="E23:F23"/>
    <mergeCell ref="E28:F28"/>
    <mergeCell ref="E29:F29"/>
    <mergeCell ref="E24:F24"/>
    <mergeCell ref="E25:F25"/>
    <mergeCell ref="E26:F26"/>
    <mergeCell ref="E27:F27"/>
    <mergeCell ref="A29:B29"/>
    <mergeCell ref="C29:D29"/>
  </mergeCells>
  <phoneticPr fontId="0" type="noConversion"/>
  <dataValidations count="1">
    <dataValidation type="list" allowBlank="1" showInputMessage="1" showErrorMessage="1" sqref="C25:D25" xr:uid="{00000000-0002-0000-0100-000000000000}">
      <formula1>"0, 0.04, 0.07 , 0.1"</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4"/>
  <sheetViews>
    <sheetView workbookViewId="0">
      <selection activeCell="C23" sqref="C23"/>
    </sheetView>
  </sheetViews>
  <sheetFormatPr defaultColWidth="11.453125" defaultRowHeight="12.5" x14ac:dyDescent="0.25"/>
  <cols>
    <col min="1" max="1" width="4.26953125" style="37" customWidth="1"/>
    <col min="2" max="2" width="87.453125" style="22" customWidth="1"/>
    <col min="3" max="3" width="10.7265625" style="22" customWidth="1"/>
    <col min="4" max="16384" width="11.453125" style="22"/>
  </cols>
  <sheetData>
    <row r="1" spans="1:2" ht="13" thickBot="1" x14ac:dyDescent="0.3">
      <c r="A1" s="195" t="s">
        <v>38</v>
      </c>
      <c r="B1" s="195"/>
    </row>
    <row r="2" spans="1:2" x14ac:dyDescent="0.25">
      <c r="A2" s="35"/>
      <c r="B2" s="26" t="s">
        <v>39</v>
      </c>
    </row>
    <row r="3" spans="1:2" x14ac:dyDescent="0.25">
      <c r="A3" s="36"/>
      <c r="B3" s="21"/>
    </row>
    <row r="4" spans="1:2" x14ac:dyDescent="0.25">
      <c r="B4" s="24"/>
    </row>
    <row r="5" spans="1:2" x14ac:dyDescent="0.25">
      <c r="A5" s="35" t="s">
        <v>40</v>
      </c>
      <c r="B5" s="25" t="s">
        <v>41</v>
      </c>
    </row>
    <row r="6" spans="1:2" x14ac:dyDescent="0.25">
      <c r="A6" s="36">
        <v>1</v>
      </c>
      <c r="B6" s="21"/>
    </row>
    <row r="7" spans="1:2" x14ac:dyDescent="0.25">
      <c r="A7" s="36">
        <v>2</v>
      </c>
      <c r="B7" s="21"/>
    </row>
    <row r="8" spans="1:2" x14ac:dyDescent="0.25">
      <c r="A8" s="36">
        <v>3</v>
      </c>
      <c r="B8" s="21"/>
    </row>
    <row r="9" spans="1:2" x14ac:dyDescent="0.25">
      <c r="A9" s="36" t="s">
        <v>42</v>
      </c>
      <c r="B9" s="21"/>
    </row>
    <row r="10" spans="1:2" x14ac:dyDescent="0.25">
      <c r="A10" s="36" t="s">
        <v>43</v>
      </c>
      <c r="B10" s="21"/>
    </row>
    <row r="12" spans="1:2" x14ac:dyDescent="0.25">
      <c r="A12" s="35" t="s">
        <v>40</v>
      </c>
      <c r="B12" s="25" t="s">
        <v>44</v>
      </c>
    </row>
    <row r="13" spans="1:2" x14ac:dyDescent="0.25">
      <c r="A13" s="36">
        <v>4</v>
      </c>
      <c r="B13" s="21"/>
    </row>
    <row r="15" spans="1:2" x14ac:dyDescent="0.25">
      <c r="A15" s="35" t="s">
        <v>40</v>
      </c>
      <c r="B15" s="25" t="s">
        <v>45</v>
      </c>
    </row>
    <row r="16" spans="1:2" x14ac:dyDescent="0.25">
      <c r="A16" s="36">
        <v>5</v>
      </c>
      <c r="B16" s="21"/>
    </row>
    <row r="17" spans="1:2" ht="13" thickBot="1" x14ac:dyDescent="0.3"/>
    <row r="18" spans="1:2" x14ac:dyDescent="0.25">
      <c r="A18" s="38" t="s">
        <v>40</v>
      </c>
      <c r="B18" s="23" t="s">
        <v>46</v>
      </c>
    </row>
    <row r="19" spans="1:2" x14ac:dyDescent="0.25">
      <c r="A19" s="36">
        <v>6</v>
      </c>
      <c r="B19" s="21" t="s">
        <v>392</v>
      </c>
    </row>
    <row r="20" spans="1:2" x14ac:dyDescent="0.25">
      <c r="A20" s="36">
        <v>7</v>
      </c>
      <c r="B20" s="21" t="s">
        <v>393</v>
      </c>
    </row>
    <row r="21" spans="1:2" x14ac:dyDescent="0.25">
      <c r="A21" s="36">
        <v>8</v>
      </c>
      <c r="B21" s="21" t="s">
        <v>394</v>
      </c>
    </row>
    <row r="22" spans="1:2" x14ac:dyDescent="0.25">
      <c r="A22" s="36">
        <v>9</v>
      </c>
      <c r="B22" s="21" t="s">
        <v>463</v>
      </c>
    </row>
    <row r="23" spans="1:2" x14ac:dyDescent="0.25">
      <c r="A23" s="36">
        <v>10</v>
      </c>
      <c r="B23" s="21" t="s">
        <v>464</v>
      </c>
    </row>
    <row r="24" spans="1:2" x14ac:dyDescent="0.25">
      <c r="A24" s="36">
        <v>11</v>
      </c>
      <c r="B24" s="21" t="s">
        <v>465</v>
      </c>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0" sqref="C10"/>
    </sheetView>
  </sheetViews>
  <sheetFormatPr defaultRowHeight="12.5" x14ac:dyDescent="0.25"/>
  <cols>
    <col min="1" max="1" width="43.81640625" bestFit="1" customWidth="1"/>
    <col min="2" max="2" width="99.81640625" bestFit="1" customWidth="1"/>
    <col min="3" max="3" width="20.453125" customWidth="1"/>
    <col min="4" max="4" width="25" customWidth="1"/>
    <col min="18" max="18" width="11" customWidth="1"/>
  </cols>
  <sheetData>
    <row r="1" spans="1:18" ht="13" thickBot="1" x14ac:dyDescent="0.3">
      <c r="A1" s="196" t="s">
        <v>47</v>
      </c>
      <c r="B1" s="197"/>
      <c r="C1" s="197"/>
      <c r="D1" s="198"/>
      <c r="M1" s="45" t="s">
        <v>48</v>
      </c>
      <c r="N1" s="46"/>
      <c r="O1" s="46"/>
      <c r="P1" s="46"/>
      <c r="Q1" s="46"/>
      <c r="R1" s="47"/>
    </row>
    <row r="2" spans="1:18" ht="13" thickBot="1" x14ac:dyDescent="0.3">
      <c r="C2" s="22"/>
      <c r="M2" s="48" t="s">
        <v>49</v>
      </c>
      <c r="N2" s="49"/>
      <c r="O2" s="49"/>
      <c r="P2" s="49"/>
      <c r="Q2" s="49"/>
      <c r="R2" s="50"/>
    </row>
    <row r="3" spans="1:18" x14ac:dyDescent="0.25">
      <c r="A3" s="55" t="s">
        <v>50</v>
      </c>
      <c r="B3" s="32"/>
      <c r="C3" s="32"/>
      <c r="M3" s="48" t="s">
        <v>51</v>
      </c>
      <c r="N3" s="49"/>
      <c r="O3" s="49"/>
      <c r="P3" s="49"/>
      <c r="Q3" s="49"/>
      <c r="R3" s="50"/>
    </row>
    <row r="4" spans="1:18" ht="25.5" customHeight="1" x14ac:dyDescent="0.3">
      <c r="A4" s="13" t="s">
        <v>52</v>
      </c>
      <c r="B4" s="13" t="s">
        <v>53</v>
      </c>
      <c r="C4" s="31" t="s">
        <v>54</v>
      </c>
      <c r="D4" s="31" t="s">
        <v>55</v>
      </c>
      <c r="M4" s="51" t="s">
        <v>56</v>
      </c>
      <c r="N4" s="49"/>
      <c r="O4" s="49"/>
      <c r="P4" s="49"/>
      <c r="Q4" s="49"/>
      <c r="R4" s="50"/>
    </row>
    <row r="5" spans="1:18" ht="130.5" thickBot="1" x14ac:dyDescent="0.35">
      <c r="A5" s="44" t="s">
        <v>57</v>
      </c>
      <c r="B5" s="27" t="s">
        <v>58</v>
      </c>
      <c r="C5" s="12" t="s">
        <v>59</v>
      </c>
      <c r="D5" s="12"/>
      <c r="M5" s="52"/>
      <c r="N5" s="53"/>
      <c r="O5" s="53"/>
      <c r="P5" s="53"/>
      <c r="Q5" s="53"/>
      <c r="R5" s="54"/>
    </row>
    <row r="6" spans="1:18" x14ac:dyDescent="0.25">
      <c r="A6" s="44" t="s">
        <v>60</v>
      </c>
      <c r="B6" s="44" t="s">
        <v>61</v>
      </c>
      <c r="C6" s="12" t="s">
        <v>59</v>
      </c>
      <c r="D6" s="12"/>
    </row>
    <row r="7" spans="1:18" x14ac:dyDescent="0.25">
      <c r="A7" s="44" t="s">
        <v>62</v>
      </c>
      <c r="B7" s="44" t="s">
        <v>63</v>
      </c>
      <c r="C7" s="12" t="s">
        <v>59</v>
      </c>
      <c r="D7" s="12"/>
    </row>
    <row r="8" spans="1:18" ht="91" x14ac:dyDescent="0.3">
      <c r="A8" s="44" t="s">
        <v>64</v>
      </c>
      <c r="B8" s="27" t="s">
        <v>65</v>
      </c>
      <c r="C8" s="12" t="s">
        <v>59</v>
      </c>
      <c r="D8" s="12"/>
    </row>
    <row r="9" spans="1:18" x14ac:dyDescent="0.25">
      <c r="A9" s="44" t="s">
        <v>66</v>
      </c>
      <c r="B9" s="44" t="s">
        <v>67</v>
      </c>
      <c r="C9" s="12" t="s">
        <v>59</v>
      </c>
      <c r="D9" s="12"/>
    </row>
    <row r="10" spans="1:18" x14ac:dyDescent="0.25">
      <c r="A10" s="44" t="s">
        <v>68</v>
      </c>
      <c r="B10" s="12"/>
      <c r="C10" s="12" t="s">
        <v>59</v>
      </c>
      <c r="D10" s="12"/>
    </row>
    <row r="11" spans="1:18" x14ac:dyDescent="0.25">
      <c r="A11" s="44" t="s">
        <v>69</v>
      </c>
      <c r="B11" s="44" t="s">
        <v>70</v>
      </c>
      <c r="C11" s="12" t="s">
        <v>59</v>
      </c>
      <c r="D11" s="12"/>
    </row>
    <row r="12" spans="1:18" x14ac:dyDescent="0.25">
      <c r="A12" s="44" t="s">
        <v>71</v>
      </c>
      <c r="B12" s="44" t="s">
        <v>72</v>
      </c>
      <c r="C12" s="12" t="s">
        <v>59</v>
      </c>
      <c r="D12" s="12"/>
    </row>
    <row r="13" spans="1:18" x14ac:dyDescent="0.25">
      <c r="A13" s="44" t="s">
        <v>73</v>
      </c>
      <c r="B13" s="44" t="s">
        <v>74</v>
      </c>
      <c r="C13" s="12" t="s">
        <v>59</v>
      </c>
      <c r="D13" s="12"/>
    </row>
    <row r="14" spans="1:18" x14ac:dyDescent="0.25">
      <c r="A14" s="44" t="s">
        <v>75</v>
      </c>
      <c r="B14" s="44" t="s">
        <v>76</v>
      </c>
      <c r="C14" s="12" t="s">
        <v>59</v>
      </c>
      <c r="D14" s="12"/>
    </row>
    <row r="15" spans="1:18" x14ac:dyDescent="0.25">
      <c r="A15" s="44" t="s">
        <v>77</v>
      </c>
      <c r="B15" s="44" t="s">
        <v>78</v>
      </c>
      <c r="C15" s="12" t="s">
        <v>59</v>
      </c>
      <c r="D15" s="12"/>
    </row>
    <row r="16" spans="1:18" ht="13" x14ac:dyDescent="0.3">
      <c r="A16" s="44" t="s">
        <v>79</v>
      </c>
      <c r="B16" s="44" t="s">
        <v>80</v>
      </c>
      <c r="C16" s="12" t="s">
        <v>59</v>
      </c>
      <c r="D16" s="12"/>
    </row>
    <row r="17" spans="1:4" x14ac:dyDescent="0.25">
      <c r="A17" s="44" t="s">
        <v>81</v>
      </c>
      <c r="B17" s="44" t="s">
        <v>82</v>
      </c>
      <c r="C17" s="12" t="s">
        <v>59</v>
      </c>
      <c r="D17" s="12"/>
    </row>
    <row r="18" spans="1:4" x14ac:dyDescent="0.25">
      <c r="A18" s="57" t="s">
        <v>83</v>
      </c>
      <c r="B18" s="57" t="s">
        <v>84</v>
      </c>
      <c r="C18" s="12" t="s">
        <v>59</v>
      </c>
      <c r="D18" s="12"/>
    </row>
    <row r="19" spans="1:4" x14ac:dyDescent="0.25">
      <c r="A19" s="57" t="s">
        <v>85</v>
      </c>
      <c r="B19" s="44" t="s">
        <v>86</v>
      </c>
      <c r="C19" s="12" t="s">
        <v>59</v>
      </c>
      <c r="D19" s="12"/>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5" x14ac:dyDescent="0.25"/>
  <cols>
    <col min="1" max="1" width="55.26953125" customWidth="1"/>
    <col min="2" max="2" width="70.7265625" customWidth="1"/>
    <col min="3" max="3" width="26.54296875" customWidth="1"/>
  </cols>
  <sheetData>
    <row r="1" spans="1:3" ht="13" x14ac:dyDescent="0.3">
      <c r="A1" s="67" t="s">
        <v>87</v>
      </c>
      <c r="B1" s="68" t="s">
        <v>88</v>
      </c>
    </row>
    <row r="2" spans="1:3" ht="13" x14ac:dyDescent="0.3">
      <c r="A2" s="69" t="s">
        <v>89</v>
      </c>
      <c r="B2" s="70" t="str">
        <f>PPRD</f>
        <v>Jul, 2019</v>
      </c>
      <c r="C2" s="56"/>
    </row>
    <row r="3" spans="1:3" ht="13" x14ac:dyDescent="0.3">
      <c r="A3" s="69" t="s">
        <v>90</v>
      </c>
      <c r="B3" s="71" t="str">
        <f>CRNIRN</f>
        <v>CHG161158</v>
      </c>
      <c r="C3" s="56"/>
    </row>
    <row r="4" spans="1:3" ht="13" x14ac:dyDescent="0.3">
      <c r="A4" s="69" t="s">
        <v>91</v>
      </c>
      <c r="B4" s="71" t="str">
        <f>MA</f>
        <v>KZ</v>
      </c>
      <c r="C4" s="56"/>
    </row>
    <row r="5" spans="1:3" ht="13" x14ac:dyDescent="0.3">
      <c r="A5" s="69" t="s">
        <v>92</v>
      </c>
      <c r="B5" s="71" t="s">
        <v>93</v>
      </c>
    </row>
    <row r="6" spans="1:3" ht="13" x14ac:dyDescent="0.3">
      <c r="A6" s="69" t="s">
        <v>94</v>
      </c>
      <c r="B6" s="73" t="s">
        <v>95</v>
      </c>
    </row>
    <row r="7" spans="1:3" ht="13" x14ac:dyDescent="0.3">
      <c r="A7" s="69" t="s">
        <v>96</v>
      </c>
      <c r="B7" s="74">
        <f>DevDReviewed</f>
        <v>0</v>
      </c>
      <c r="C7" s="56"/>
    </row>
    <row r="8" spans="1:3" ht="13" x14ac:dyDescent="0.3">
      <c r="A8" s="69" t="s">
        <v>97</v>
      </c>
      <c r="B8" s="73" t="str">
        <f>DevNameReviewed</f>
        <v>Rakotoasimbahoaka</v>
      </c>
      <c r="C8" s="56"/>
    </row>
    <row r="9" spans="1:3" ht="13" x14ac:dyDescent="0.3">
      <c r="A9" s="69" t="s">
        <v>98</v>
      </c>
      <c r="B9" s="72">
        <f>DateReviewed</f>
        <v>0</v>
      </c>
      <c r="C9" s="56"/>
    </row>
    <row r="10" spans="1:3" ht="13" x14ac:dyDescent="0.3">
      <c r="A10" s="69" t="s">
        <v>99</v>
      </c>
      <c r="B10" s="73" t="str">
        <f>ReviewedBy</f>
        <v>Jeetun</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C26" sqref="C26"/>
    </sheetView>
  </sheetViews>
  <sheetFormatPr defaultColWidth="9.1796875" defaultRowHeight="12.5" x14ac:dyDescent="0.25"/>
  <cols>
    <col min="1" max="1" width="19.453125" style="58" customWidth="1"/>
    <col min="2" max="2" width="42.54296875" style="58" customWidth="1"/>
    <col min="3" max="3" width="50.81640625" style="58" customWidth="1"/>
    <col min="4" max="4" width="27.453125" style="58" customWidth="1"/>
    <col min="5" max="5" width="32.26953125" style="58" customWidth="1"/>
    <col min="6" max="16384" width="9.1796875" style="58"/>
  </cols>
  <sheetData>
    <row r="1" spans="1:5" ht="13" thickBot="1" x14ac:dyDescent="0.3">
      <c r="A1" s="196" t="s">
        <v>100</v>
      </c>
      <c r="B1" s="197"/>
      <c r="C1" s="197"/>
      <c r="D1" s="199"/>
    </row>
    <row r="2" spans="1:5" ht="13" x14ac:dyDescent="0.3">
      <c r="B2" s="13" t="s">
        <v>101</v>
      </c>
      <c r="C2" s="13" t="s">
        <v>102</v>
      </c>
      <c r="D2" s="13" t="s">
        <v>103</v>
      </c>
      <c r="E2" s="59"/>
    </row>
    <row r="3" spans="1:5" ht="37.5" x14ac:dyDescent="0.25">
      <c r="B3" s="60" t="s">
        <v>104</v>
      </c>
      <c r="C3" s="61" t="s">
        <v>105</v>
      </c>
      <c r="D3" s="62" t="str">
        <f>IF(ISBLANK('1.0 DB Schema'!B81)=FALSE,"Impacted","Not Impacted")</f>
        <v>Impacted</v>
      </c>
      <c r="E3" s="63"/>
    </row>
    <row r="4" spans="1:5" ht="25" x14ac:dyDescent="0.25">
      <c r="B4" s="60" t="s">
        <v>106</v>
      </c>
      <c r="C4" s="61" t="s">
        <v>107</v>
      </c>
      <c r="D4" s="62" t="str">
        <f>IF(ISBLANK('2.0 Ifb &amp; PHP'!B38)=FALSE,"Impacted","Not Impacted")</f>
        <v>Impacted</v>
      </c>
      <c r="E4" s="63"/>
    </row>
    <row r="5" spans="1:5" ht="37.5" x14ac:dyDescent="0.25">
      <c r="B5" s="60" t="s">
        <v>108</v>
      </c>
      <c r="C5" s="61" t="s">
        <v>109</v>
      </c>
      <c r="D5" s="62" t="str">
        <f>IF(ISBLANK('3.0 Mapping'!B24)=FALSE,"Impacted","Not Impacted")</f>
        <v>Impacted</v>
      </c>
      <c r="E5" s="63"/>
    </row>
    <row r="6" spans="1:5" ht="25" x14ac:dyDescent="0.25">
      <c r="B6" s="60" t="s">
        <v>110</v>
      </c>
      <c r="C6" s="61" t="s">
        <v>111</v>
      </c>
      <c r="D6" s="62" t="str">
        <f>IF(ISBLANK('4.0 Worklet &amp; workflow'!B38)=FALSE,"Impacted","Not Impacted")</f>
        <v>Impacted</v>
      </c>
      <c r="E6" s="63"/>
    </row>
    <row r="7" spans="1:5" ht="25" x14ac:dyDescent="0.25">
      <c r="B7" s="60" t="s">
        <v>112</v>
      </c>
      <c r="C7" s="61" t="s">
        <v>113</v>
      </c>
      <c r="D7" s="62" t="str">
        <f>IF(ISBLANK('5.0 Stored Procedure'!B10)=FALSE,"Impacted","Not Impacted")</f>
        <v>Not Impacted</v>
      </c>
      <c r="E7" s="63"/>
    </row>
    <row r="8" spans="1:5" ht="25" x14ac:dyDescent="0.25">
      <c r="B8" s="60" t="s">
        <v>114</v>
      </c>
      <c r="C8" s="61" t="s">
        <v>115</v>
      </c>
      <c r="D8" s="62" t="str">
        <f>IF(ISBLANK('6.0 Data Update'!E5)=FALSE,"Impacted","Not Impacted")</f>
        <v>Not Impacted</v>
      </c>
      <c r="E8" s="63"/>
    </row>
    <row r="10" spans="1:5" ht="13" thickBot="1" x14ac:dyDescent="0.3"/>
    <row r="11" spans="1:5" ht="13" thickBot="1" x14ac:dyDescent="0.3">
      <c r="B11" s="16" t="s">
        <v>116</v>
      </c>
    </row>
    <row r="12" spans="1:5" x14ac:dyDescent="0.25">
      <c r="B12" s="13" t="s">
        <v>117</v>
      </c>
      <c r="C12" s="13" t="s">
        <v>118</v>
      </c>
      <c r="D12" s="13" t="s">
        <v>119</v>
      </c>
    </row>
    <row r="13" spans="1:5" x14ac:dyDescent="0.25">
      <c r="B13" s="62" t="s">
        <v>120</v>
      </c>
      <c r="C13" s="62" t="s">
        <v>121</v>
      </c>
      <c r="D13" s="64" t="s">
        <v>122</v>
      </c>
    </row>
    <row r="14" spans="1:5" x14ac:dyDescent="0.25">
      <c r="B14" s="62" t="s">
        <v>123</v>
      </c>
      <c r="C14" s="64" t="s">
        <v>124</v>
      </c>
      <c r="D14" s="62" t="s">
        <v>125</v>
      </c>
    </row>
    <row r="15" spans="1:5" x14ac:dyDescent="0.25">
      <c r="B15" s="62" t="s">
        <v>126</v>
      </c>
      <c r="C15" s="62" t="s">
        <v>127</v>
      </c>
      <c r="D15" s="62" t="s">
        <v>128</v>
      </c>
    </row>
    <row r="16" spans="1:5" x14ac:dyDescent="0.25">
      <c r="B16" s="62" t="s">
        <v>129</v>
      </c>
      <c r="C16" s="62" t="s">
        <v>130</v>
      </c>
      <c r="D16" s="62" t="s">
        <v>131</v>
      </c>
    </row>
    <row r="17" spans="2:4" x14ac:dyDescent="0.25">
      <c r="B17" s="62" t="s">
        <v>132</v>
      </c>
      <c r="C17" s="64" t="s">
        <v>133</v>
      </c>
      <c r="D17" s="62" t="s">
        <v>134</v>
      </c>
    </row>
    <row r="18" spans="2:4" x14ac:dyDescent="0.25">
      <c r="B18" s="62" t="s">
        <v>135</v>
      </c>
      <c r="C18" s="62" t="s">
        <v>136</v>
      </c>
      <c r="D18" s="62" t="s">
        <v>137</v>
      </c>
    </row>
    <row r="19" spans="2:4" x14ac:dyDescent="0.25">
      <c r="B19" s="62" t="s">
        <v>138</v>
      </c>
      <c r="C19" s="62" t="s">
        <v>139</v>
      </c>
      <c r="D19" s="62" t="s">
        <v>140</v>
      </c>
    </row>
    <row r="20" spans="2:4" x14ac:dyDescent="0.25">
      <c r="B20" s="62" t="s">
        <v>141</v>
      </c>
      <c r="C20" s="64" t="s">
        <v>142</v>
      </c>
      <c r="D20" s="62" t="s">
        <v>143</v>
      </c>
    </row>
    <row r="21" spans="2:4" x14ac:dyDescent="0.25">
      <c r="B21" s="62" t="s">
        <v>144</v>
      </c>
      <c r="C21" s="64" t="s">
        <v>145</v>
      </c>
      <c r="D21" s="62" t="s">
        <v>146</v>
      </c>
    </row>
    <row r="22" spans="2:4" x14ac:dyDescent="0.25">
      <c r="B22" s="62" t="s">
        <v>147</v>
      </c>
      <c r="C22" s="64" t="s">
        <v>148</v>
      </c>
      <c r="D22" s="62" t="s">
        <v>149</v>
      </c>
    </row>
    <row r="23" spans="2:4" x14ac:dyDescent="0.25">
      <c r="B23" s="62" t="s">
        <v>150</v>
      </c>
      <c r="C23" s="62" t="s">
        <v>151</v>
      </c>
      <c r="D23" s="62" t="s">
        <v>152</v>
      </c>
    </row>
    <row r="24" spans="2:4" x14ac:dyDescent="0.25">
      <c r="B24" s="62" t="s">
        <v>153</v>
      </c>
      <c r="C24" s="62"/>
      <c r="D24" s="62"/>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81"/>
  <sheetViews>
    <sheetView topLeftCell="A46" zoomScale="80" zoomScaleNormal="80" workbookViewId="0">
      <selection activeCell="C56" sqref="C56:C67"/>
    </sheetView>
  </sheetViews>
  <sheetFormatPr defaultRowHeight="12.5" x14ac:dyDescent="0.25"/>
  <cols>
    <col min="1" max="1" width="34.26953125" customWidth="1"/>
    <col min="2" max="2" width="25" bestFit="1" customWidth="1"/>
    <col min="3" max="3" width="70.7265625" bestFit="1" customWidth="1"/>
    <col min="4" max="4" width="25" bestFit="1" customWidth="1"/>
    <col min="5" max="5" width="20.54296875" bestFit="1" customWidth="1"/>
    <col min="6" max="6" width="14" customWidth="1"/>
    <col min="7" max="7" width="28.1796875" customWidth="1"/>
    <col min="10" max="10" width="18.81640625" bestFit="1" customWidth="1"/>
    <col min="11" max="11" width="26.54296875" bestFit="1" customWidth="1"/>
    <col min="25" max="25" width="20" customWidth="1"/>
  </cols>
  <sheetData>
    <row r="1" spans="1:24" ht="13" thickBot="1" x14ac:dyDescent="0.3">
      <c r="A1" s="196" t="s">
        <v>154</v>
      </c>
      <c r="B1" s="197"/>
      <c r="C1" s="198"/>
    </row>
    <row r="2" spans="1:24" ht="14.5" thickBot="1" x14ac:dyDescent="0.35">
      <c r="E2" s="77" t="s">
        <v>155</v>
      </c>
      <c r="F2" s="39"/>
      <c r="G2" s="39"/>
      <c r="H2" s="39"/>
      <c r="I2" s="39"/>
      <c r="J2" s="39"/>
      <c r="K2" s="39"/>
      <c r="W2" s="56"/>
    </row>
    <row r="3" spans="1:24" ht="13" thickBot="1" x14ac:dyDescent="0.3">
      <c r="A3" s="16" t="s">
        <v>156</v>
      </c>
      <c r="B3" s="14"/>
      <c r="C3" s="14"/>
      <c r="E3" s="40" t="s">
        <v>157</v>
      </c>
      <c r="F3" s="39"/>
      <c r="G3" s="39"/>
      <c r="H3" s="39"/>
      <c r="I3" s="39"/>
      <c r="J3" s="39"/>
      <c r="K3" s="39"/>
      <c r="X3" s="56"/>
    </row>
    <row r="4" spans="1:24" x14ac:dyDescent="0.25">
      <c r="A4" s="15" t="s">
        <v>158</v>
      </c>
      <c r="B4" s="13" t="s">
        <v>159</v>
      </c>
      <c r="C4" s="13" t="s">
        <v>55</v>
      </c>
      <c r="E4" s="40" t="s">
        <v>160</v>
      </c>
      <c r="F4" s="40"/>
      <c r="G4" s="40"/>
      <c r="H4" s="40"/>
      <c r="I4" s="40"/>
      <c r="J4" s="39"/>
      <c r="K4" s="39"/>
    </row>
    <row r="5" spans="1:24" ht="14.5" customHeight="1" x14ac:dyDescent="0.25">
      <c r="A5" s="96" t="s">
        <v>282</v>
      </c>
      <c r="B5" s="97" t="s">
        <v>264</v>
      </c>
      <c r="C5" s="98" t="s">
        <v>265</v>
      </c>
      <c r="E5" s="40" t="s">
        <v>162</v>
      </c>
      <c r="F5" s="40"/>
      <c r="G5" s="40"/>
      <c r="H5" s="40"/>
      <c r="I5" s="40"/>
      <c r="J5" s="39"/>
      <c r="K5" s="39"/>
    </row>
    <row r="6" spans="1:24" ht="13" x14ac:dyDescent="0.3">
      <c r="A6" s="44" t="s">
        <v>263</v>
      </c>
      <c r="B6" s="44" t="s">
        <v>161</v>
      </c>
      <c r="C6" s="99" t="s">
        <v>265</v>
      </c>
      <c r="D6" s="123">
        <v>0.04</v>
      </c>
      <c r="E6" s="76" t="s">
        <v>163</v>
      </c>
      <c r="F6" s="39"/>
      <c r="G6" s="39"/>
      <c r="H6" s="39"/>
      <c r="I6" s="39"/>
      <c r="J6" s="39"/>
      <c r="K6" s="39"/>
      <c r="X6" s="56"/>
    </row>
    <row r="7" spans="1:24" x14ac:dyDescent="0.25">
      <c r="A7" s="96" t="s">
        <v>320</v>
      </c>
      <c r="B7" s="97" t="s">
        <v>264</v>
      </c>
      <c r="C7" s="98" t="s">
        <v>265</v>
      </c>
      <c r="D7" s="123"/>
      <c r="X7" s="56"/>
    </row>
    <row r="8" spans="1:24" x14ac:dyDescent="0.25">
      <c r="A8" s="44" t="s">
        <v>327</v>
      </c>
      <c r="B8" s="44" t="s">
        <v>161</v>
      </c>
      <c r="C8" s="99" t="s">
        <v>265</v>
      </c>
      <c r="D8" s="123">
        <v>0.04</v>
      </c>
    </row>
    <row r="9" spans="1:24" x14ac:dyDescent="0.25">
      <c r="A9" s="96" t="s">
        <v>346</v>
      </c>
      <c r="B9" s="97" t="s">
        <v>264</v>
      </c>
      <c r="C9" s="98" t="s">
        <v>265</v>
      </c>
      <c r="D9" s="123"/>
    </row>
    <row r="10" spans="1:24" x14ac:dyDescent="0.25">
      <c r="A10" s="44" t="s">
        <v>341</v>
      </c>
      <c r="B10" s="44" t="s">
        <v>161</v>
      </c>
      <c r="C10" s="99" t="s">
        <v>265</v>
      </c>
      <c r="D10" s="123">
        <v>0.04</v>
      </c>
    </row>
    <row r="11" spans="1:24" x14ac:dyDescent="0.25">
      <c r="A11" s="56" t="s">
        <v>375</v>
      </c>
      <c r="B11" s="97" t="s">
        <v>264</v>
      </c>
      <c r="C11" s="44" t="s">
        <v>454</v>
      </c>
      <c r="D11" s="123"/>
    </row>
    <row r="12" spans="1:24" x14ac:dyDescent="0.25">
      <c r="A12" s="12" t="s">
        <v>377</v>
      </c>
      <c r="B12" s="97" t="s">
        <v>264</v>
      </c>
      <c r="C12" s="44" t="s">
        <v>455</v>
      </c>
      <c r="D12" s="123"/>
    </row>
    <row r="13" spans="1:24" x14ac:dyDescent="0.25">
      <c r="A13" s="12" t="s">
        <v>378</v>
      </c>
      <c r="B13" s="97" t="s">
        <v>264</v>
      </c>
      <c r="C13" s="44" t="s">
        <v>456</v>
      </c>
      <c r="D13" s="123"/>
    </row>
    <row r="14" spans="1:24" ht="13" thickBot="1" x14ac:dyDescent="0.3">
      <c r="X14" s="56"/>
    </row>
    <row r="15" spans="1:24" ht="13" thickBot="1" x14ac:dyDescent="0.3">
      <c r="A15" s="16" t="s">
        <v>164</v>
      </c>
      <c r="X15" s="56"/>
    </row>
    <row r="16" spans="1:24" x14ac:dyDescent="0.25">
      <c r="A16" s="15" t="s">
        <v>158</v>
      </c>
      <c r="B16" s="13" t="s">
        <v>165</v>
      </c>
      <c r="C16" s="13" t="s">
        <v>166</v>
      </c>
      <c r="D16" s="13" t="s">
        <v>159</v>
      </c>
      <c r="E16" s="13" t="s">
        <v>167</v>
      </c>
      <c r="F16" s="13" t="s">
        <v>55</v>
      </c>
      <c r="X16" s="56"/>
    </row>
    <row r="17" spans="1:6" ht="13" x14ac:dyDescent="0.25">
      <c r="A17" s="96" t="s">
        <v>282</v>
      </c>
      <c r="B17" s="104" t="s">
        <v>266</v>
      </c>
      <c r="C17" s="104" t="s">
        <v>283</v>
      </c>
      <c r="D17" s="44" t="s">
        <v>376</v>
      </c>
      <c r="E17" s="104"/>
      <c r="F17" s="104"/>
    </row>
    <row r="18" spans="1:6" ht="13" x14ac:dyDescent="0.25">
      <c r="A18" s="96" t="s">
        <v>282</v>
      </c>
      <c r="B18" s="104" t="s">
        <v>267</v>
      </c>
      <c r="C18" s="104" t="s">
        <v>283</v>
      </c>
      <c r="D18" s="44" t="s">
        <v>376</v>
      </c>
      <c r="E18" s="104"/>
      <c r="F18" s="104"/>
    </row>
    <row r="19" spans="1:6" ht="13" x14ac:dyDescent="0.25">
      <c r="A19" s="96" t="s">
        <v>282</v>
      </c>
      <c r="B19" s="104" t="s">
        <v>268</v>
      </c>
      <c r="C19" s="104" t="s">
        <v>283</v>
      </c>
      <c r="D19" s="44" t="s">
        <v>376</v>
      </c>
      <c r="E19" s="104"/>
      <c r="F19" s="104"/>
    </row>
    <row r="20" spans="1:6" ht="13" x14ac:dyDescent="0.25">
      <c r="A20" s="96" t="s">
        <v>282</v>
      </c>
      <c r="B20" s="104" t="s">
        <v>269</v>
      </c>
      <c r="C20" s="104" t="s">
        <v>283</v>
      </c>
      <c r="D20" s="44" t="s">
        <v>376</v>
      </c>
      <c r="E20" s="104"/>
      <c r="F20" s="104"/>
    </row>
    <row r="21" spans="1:6" ht="13" x14ac:dyDescent="0.25">
      <c r="A21" s="96" t="s">
        <v>282</v>
      </c>
      <c r="B21" s="104" t="s">
        <v>270</v>
      </c>
      <c r="C21" s="104" t="s">
        <v>283</v>
      </c>
      <c r="D21" s="44" t="s">
        <v>376</v>
      </c>
      <c r="E21" s="104"/>
      <c r="F21" s="104"/>
    </row>
    <row r="22" spans="1:6" ht="13" x14ac:dyDescent="0.25">
      <c r="A22" s="96" t="s">
        <v>282</v>
      </c>
      <c r="B22" s="104" t="s">
        <v>271</v>
      </c>
      <c r="C22" s="104" t="s">
        <v>283</v>
      </c>
      <c r="D22" s="44" t="s">
        <v>376</v>
      </c>
      <c r="E22" s="104"/>
      <c r="F22" s="104"/>
    </row>
    <row r="23" spans="1:6" ht="13" x14ac:dyDescent="0.25">
      <c r="A23" s="96" t="s">
        <v>282</v>
      </c>
      <c r="B23" s="104" t="s">
        <v>272</v>
      </c>
      <c r="C23" s="104" t="s">
        <v>283</v>
      </c>
      <c r="D23" s="44" t="s">
        <v>376</v>
      </c>
      <c r="E23" s="104"/>
      <c r="F23" s="104"/>
    </row>
    <row r="24" spans="1:6" ht="13" x14ac:dyDescent="0.25">
      <c r="A24" s="44" t="s">
        <v>263</v>
      </c>
      <c r="B24" s="104" t="s">
        <v>266</v>
      </c>
      <c r="C24" s="104" t="s">
        <v>273</v>
      </c>
      <c r="D24" s="104" t="s">
        <v>161</v>
      </c>
      <c r="E24" s="104"/>
      <c r="F24" s="104"/>
    </row>
    <row r="25" spans="1:6" ht="13" x14ac:dyDescent="0.25">
      <c r="A25" s="44" t="s">
        <v>263</v>
      </c>
      <c r="B25" s="104" t="s">
        <v>267</v>
      </c>
      <c r="C25" s="104" t="s">
        <v>275</v>
      </c>
      <c r="D25" s="104" t="s">
        <v>161</v>
      </c>
      <c r="E25" s="104"/>
      <c r="F25" s="104"/>
    </row>
    <row r="26" spans="1:6" ht="13" x14ac:dyDescent="0.25">
      <c r="A26" s="44" t="s">
        <v>263</v>
      </c>
      <c r="B26" s="104" t="s">
        <v>268</v>
      </c>
      <c r="C26" s="104" t="s">
        <v>275</v>
      </c>
      <c r="D26" s="104" t="s">
        <v>161</v>
      </c>
      <c r="E26" s="104"/>
      <c r="F26" s="104"/>
    </row>
    <row r="27" spans="1:6" ht="13" x14ac:dyDescent="0.25">
      <c r="A27" s="44" t="s">
        <v>263</v>
      </c>
      <c r="B27" s="104" t="s">
        <v>269</v>
      </c>
      <c r="C27" s="104" t="s">
        <v>275</v>
      </c>
      <c r="D27" s="104" t="s">
        <v>161</v>
      </c>
      <c r="E27" s="104"/>
      <c r="F27" s="104"/>
    </row>
    <row r="28" spans="1:6" ht="13" x14ac:dyDescent="0.25">
      <c r="A28" s="44" t="s">
        <v>263</v>
      </c>
      <c r="B28" s="104" t="s">
        <v>270</v>
      </c>
      <c r="C28" s="104" t="s">
        <v>276</v>
      </c>
      <c r="D28" s="104" t="s">
        <v>161</v>
      </c>
      <c r="E28" s="104"/>
      <c r="F28" s="104"/>
    </row>
    <row r="29" spans="1:6" ht="13" x14ac:dyDescent="0.25">
      <c r="A29" s="44" t="s">
        <v>263</v>
      </c>
      <c r="B29" s="104" t="s">
        <v>271</v>
      </c>
      <c r="C29" s="104" t="s">
        <v>274</v>
      </c>
      <c r="D29" s="104" t="s">
        <v>161</v>
      </c>
      <c r="E29" s="104"/>
      <c r="F29" s="104"/>
    </row>
    <row r="30" spans="1:6" ht="13" x14ac:dyDescent="0.25">
      <c r="A30" s="44" t="s">
        <v>263</v>
      </c>
      <c r="B30" s="104" t="s">
        <v>272</v>
      </c>
      <c r="C30" s="104" t="s">
        <v>274</v>
      </c>
      <c r="D30" s="104" t="s">
        <v>161</v>
      </c>
      <c r="E30" s="104"/>
      <c r="F30" s="104"/>
    </row>
    <row r="31" spans="1:6" ht="13" x14ac:dyDescent="0.25">
      <c r="A31" s="96" t="s">
        <v>320</v>
      </c>
      <c r="B31" s="104" t="s">
        <v>266</v>
      </c>
      <c r="C31" s="104" t="s">
        <v>283</v>
      </c>
      <c r="D31" s="44" t="s">
        <v>376</v>
      </c>
      <c r="E31" s="104"/>
      <c r="F31" s="104"/>
    </row>
    <row r="32" spans="1:6" ht="13" x14ac:dyDescent="0.25">
      <c r="A32" s="96" t="s">
        <v>320</v>
      </c>
      <c r="B32" s="104" t="s">
        <v>267</v>
      </c>
      <c r="C32" s="104" t="s">
        <v>283</v>
      </c>
      <c r="D32" s="44" t="s">
        <v>376</v>
      </c>
      <c r="E32" s="104"/>
      <c r="F32" s="104"/>
    </row>
    <row r="33" spans="1:6" ht="13" x14ac:dyDescent="0.25">
      <c r="A33" s="96" t="s">
        <v>320</v>
      </c>
      <c r="B33" s="104" t="s">
        <v>268</v>
      </c>
      <c r="C33" s="104" t="s">
        <v>283</v>
      </c>
      <c r="D33" s="44" t="s">
        <v>376</v>
      </c>
      <c r="E33" s="104"/>
      <c r="F33" s="104"/>
    </row>
    <row r="34" spans="1:6" ht="13" x14ac:dyDescent="0.25">
      <c r="A34" s="96" t="s">
        <v>320</v>
      </c>
      <c r="B34" s="104" t="s">
        <v>270</v>
      </c>
      <c r="C34" s="104" t="s">
        <v>283</v>
      </c>
      <c r="D34" s="44" t="s">
        <v>376</v>
      </c>
      <c r="E34" s="104"/>
      <c r="F34" s="104"/>
    </row>
    <row r="35" spans="1:6" ht="13" x14ac:dyDescent="0.25">
      <c r="A35" s="96" t="s">
        <v>320</v>
      </c>
      <c r="B35" s="104" t="s">
        <v>271</v>
      </c>
      <c r="C35" s="104" t="s">
        <v>283</v>
      </c>
      <c r="D35" s="44" t="s">
        <v>376</v>
      </c>
      <c r="E35" s="104"/>
      <c r="F35" s="104"/>
    </row>
    <row r="36" spans="1:6" ht="13" x14ac:dyDescent="0.25">
      <c r="A36" s="44" t="s">
        <v>327</v>
      </c>
      <c r="B36" s="104" t="s">
        <v>266</v>
      </c>
      <c r="C36" s="104" t="s">
        <v>273</v>
      </c>
      <c r="D36" s="104" t="s">
        <v>161</v>
      </c>
      <c r="E36" s="104"/>
      <c r="F36" s="104"/>
    </row>
    <row r="37" spans="1:6" ht="13" x14ac:dyDescent="0.25">
      <c r="A37" s="44" t="s">
        <v>327</v>
      </c>
      <c r="B37" s="104" t="s">
        <v>267</v>
      </c>
      <c r="C37" s="104" t="s">
        <v>275</v>
      </c>
      <c r="D37" s="104" t="s">
        <v>161</v>
      </c>
      <c r="E37" s="104"/>
      <c r="F37" s="104"/>
    </row>
    <row r="38" spans="1:6" ht="13" x14ac:dyDescent="0.25">
      <c r="A38" s="44" t="s">
        <v>327</v>
      </c>
      <c r="B38" s="104" t="s">
        <v>268</v>
      </c>
      <c r="C38" s="104" t="s">
        <v>275</v>
      </c>
      <c r="D38" s="104" t="s">
        <v>161</v>
      </c>
      <c r="E38" s="104"/>
      <c r="F38" s="104"/>
    </row>
    <row r="39" spans="1:6" ht="13" x14ac:dyDescent="0.25">
      <c r="A39" s="44" t="s">
        <v>327</v>
      </c>
      <c r="B39" s="104" t="s">
        <v>270</v>
      </c>
      <c r="C39" s="104" t="s">
        <v>276</v>
      </c>
      <c r="D39" s="104" t="s">
        <v>161</v>
      </c>
      <c r="E39" s="104"/>
      <c r="F39" s="104"/>
    </row>
    <row r="40" spans="1:6" ht="13" x14ac:dyDescent="0.25">
      <c r="A40" s="44" t="s">
        <v>327</v>
      </c>
      <c r="B40" s="104" t="s">
        <v>271</v>
      </c>
      <c r="C40" s="104" t="s">
        <v>274</v>
      </c>
      <c r="D40" s="104" t="s">
        <v>161</v>
      </c>
      <c r="E40" s="104"/>
      <c r="F40" s="104"/>
    </row>
    <row r="41" spans="1:6" ht="13" x14ac:dyDescent="0.25">
      <c r="A41" s="96" t="s">
        <v>346</v>
      </c>
      <c r="B41" s="104" t="s">
        <v>266</v>
      </c>
      <c r="C41" s="104" t="s">
        <v>283</v>
      </c>
      <c r="D41" s="44" t="s">
        <v>376</v>
      </c>
      <c r="E41" s="104"/>
      <c r="F41" s="104"/>
    </row>
    <row r="42" spans="1:6" ht="13" x14ac:dyDescent="0.25">
      <c r="A42" s="96" t="s">
        <v>346</v>
      </c>
      <c r="B42" s="104" t="s">
        <v>267</v>
      </c>
      <c r="C42" s="104" t="s">
        <v>283</v>
      </c>
      <c r="D42" s="44" t="s">
        <v>376</v>
      </c>
      <c r="E42" s="104"/>
      <c r="F42" s="104"/>
    </row>
    <row r="43" spans="1:6" ht="13" x14ac:dyDescent="0.25">
      <c r="A43" s="96" t="s">
        <v>346</v>
      </c>
      <c r="B43" s="104" t="s">
        <v>270</v>
      </c>
      <c r="C43" s="104" t="s">
        <v>283</v>
      </c>
      <c r="D43" s="44" t="s">
        <v>376</v>
      </c>
      <c r="E43" s="104"/>
      <c r="F43" s="104"/>
    </row>
    <row r="44" spans="1:6" ht="13" x14ac:dyDescent="0.25">
      <c r="A44" s="96" t="s">
        <v>346</v>
      </c>
      <c r="B44" s="104" t="s">
        <v>271</v>
      </c>
      <c r="C44" s="104" t="s">
        <v>283</v>
      </c>
      <c r="D44" s="44" t="s">
        <v>376</v>
      </c>
      <c r="E44" s="104"/>
      <c r="F44" s="104"/>
    </row>
    <row r="45" spans="1:6" ht="13" x14ac:dyDescent="0.25">
      <c r="A45" s="44" t="s">
        <v>341</v>
      </c>
      <c r="B45" s="104" t="s">
        <v>266</v>
      </c>
      <c r="C45" s="104" t="s">
        <v>273</v>
      </c>
      <c r="D45" s="104" t="s">
        <v>161</v>
      </c>
      <c r="E45" s="104"/>
      <c r="F45" s="104"/>
    </row>
    <row r="46" spans="1:6" ht="13" x14ac:dyDescent="0.25">
      <c r="A46" s="44" t="s">
        <v>341</v>
      </c>
      <c r="B46" s="104" t="s">
        <v>267</v>
      </c>
      <c r="C46" s="104" t="s">
        <v>275</v>
      </c>
      <c r="D46" s="104" t="s">
        <v>161</v>
      </c>
      <c r="E46" s="104"/>
      <c r="F46" s="104"/>
    </row>
    <row r="47" spans="1:6" ht="13" x14ac:dyDescent="0.25">
      <c r="A47" s="44" t="s">
        <v>341</v>
      </c>
      <c r="B47" s="104" t="s">
        <v>270</v>
      </c>
      <c r="C47" s="104" t="s">
        <v>276</v>
      </c>
      <c r="D47" s="104" t="s">
        <v>161</v>
      </c>
      <c r="E47" s="104"/>
      <c r="F47" s="104"/>
    </row>
    <row r="48" spans="1:6" ht="13" x14ac:dyDescent="0.25">
      <c r="A48" s="44" t="s">
        <v>341</v>
      </c>
      <c r="B48" s="104" t="s">
        <v>271</v>
      </c>
      <c r="C48" s="104" t="s">
        <v>274</v>
      </c>
      <c r="D48" s="104" t="s">
        <v>161</v>
      </c>
      <c r="E48" s="104"/>
      <c r="F48" s="104"/>
    </row>
    <row r="49" spans="1:6" ht="13" x14ac:dyDescent="0.25">
      <c r="A49" s="44" t="s">
        <v>375</v>
      </c>
      <c r="B49" s="138" t="s">
        <v>266</v>
      </c>
      <c r="C49" s="104" t="s">
        <v>273</v>
      </c>
      <c r="D49" s="44" t="s">
        <v>376</v>
      </c>
      <c r="E49" s="104"/>
      <c r="F49" s="104"/>
    </row>
    <row r="50" spans="1:6" ht="13" x14ac:dyDescent="0.25">
      <c r="A50" s="44" t="s">
        <v>375</v>
      </c>
      <c r="B50" s="138" t="s">
        <v>267</v>
      </c>
      <c r="C50" s="104" t="s">
        <v>275</v>
      </c>
      <c r="D50" s="44" t="s">
        <v>376</v>
      </c>
      <c r="E50" s="104"/>
      <c r="F50" s="104"/>
    </row>
    <row r="51" spans="1:6" ht="13" x14ac:dyDescent="0.25">
      <c r="A51" s="44" t="s">
        <v>375</v>
      </c>
      <c r="B51" s="138" t="s">
        <v>270</v>
      </c>
      <c r="C51" s="104" t="s">
        <v>276</v>
      </c>
      <c r="D51" s="44" t="s">
        <v>376</v>
      </c>
      <c r="E51" s="104"/>
      <c r="F51" s="104"/>
    </row>
    <row r="52" spans="1:6" ht="13" x14ac:dyDescent="0.25">
      <c r="A52" s="44" t="s">
        <v>375</v>
      </c>
      <c r="B52" s="138" t="s">
        <v>271</v>
      </c>
      <c r="C52" s="104" t="s">
        <v>274</v>
      </c>
      <c r="D52" s="44" t="s">
        <v>376</v>
      </c>
      <c r="E52" s="104"/>
      <c r="F52" s="104"/>
    </row>
    <row r="53" spans="1:6" ht="13" x14ac:dyDescent="0.25">
      <c r="A53" s="12" t="s">
        <v>377</v>
      </c>
      <c r="B53" s="138" t="s">
        <v>267</v>
      </c>
      <c r="C53" s="104" t="s">
        <v>275</v>
      </c>
      <c r="D53" s="44" t="s">
        <v>376</v>
      </c>
      <c r="E53" s="104"/>
      <c r="F53" s="104"/>
    </row>
    <row r="54" spans="1:6" ht="13" x14ac:dyDescent="0.25">
      <c r="A54" s="12" t="s">
        <v>377</v>
      </c>
      <c r="B54" s="138" t="s">
        <v>270</v>
      </c>
      <c r="C54" s="104" t="s">
        <v>276</v>
      </c>
      <c r="D54" s="44" t="s">
        <v>376</v>
      </c>
      <c r="E54" s="104"/>
      <c r="F54" s="104"/>
    </row>
    <row r="55" spans="1:6" ht="13" x14ac:dyDescent="0.25">
      <c r="A55" s="12" t="s">
        <v>377</v>
      </c>
      <c r="B55" s="138" t="s">
        <v>271</v>
      </c>
      <c r="C55" s="104" t="s">
        <v>274</v>
      </c>
      <c r="D55" s="44" t="s">
        <v>376</v>
      </c>
      <c r="E55" s="104"/>
      <c r="F55" s="104"/>
    </row>
    <row r="56" spans="1:6" ht="13" x14ac:dyDescent="0.25">
      <c r="A56" s="12" t="s">
        <v>378</v>
      </c>
      <c r="B56" s="44" t="s">
        <v>268</v>
      </c>
      <c r="C56" s="104" t="s">
        <v>275</v>
      </c>
      <c r="D56" s="44" t="s">
        <v>376</v>
      </c>
      <c r="E56" s="104"/>
      <c r="F56" s="104"/>
    </row>
    <row r="57" spans="1:6" ht="13" x14ac:dyDescent="0.25">
      <c r="A57" s="12" t="s">
        <v>378</v>
      </c>
      <c r="B57" s="12" t="s">
        <v>269</v>
      </c>
      <c r="C57" s="104" t="s">
        <v>275</v>
      </c>
      <c r="D57" s="44" t="s">
        <v>376</v>
      </c>
      <c r="E57" s="104"/>
      <c r="F57" s="104"/>
    </row>
    <row r="58" spans="1:6" ht="13" x14ac:dyDescent="0.25">
      <c r="A58" s="12" t="s">
        <v>378</v>
      </c>
      <c r="B58" s="44" t="s">
        <v>382</v>
      </c>
      <c r="C58" s="44" t="s">
        <v>391</v>
      </c>
      <c r="D58" s="44" t="s">
        <v>376</v>
      </c>
      <c r="E58" s="104"/>
      <c r="F58" s="104"/>
    </row>
    <row r="59" spans="1:6" ht="13" x14ac:dyDescent="0.25">
      <c r="A59" s="12" t="s">
        <v>378</v>
      </c>
      <c r="B59" s="44" t="s">
        <v>384</v>
      </c>
      <c r="C59" s="44" t="s">
        <v>391</v>
      </c>
      <c r="D59" s="44" t="s">
        <v>376</v>
      </c>
      <c r="E59" s="104"/>
      <c r="F59" s="104"/>
    </row>
    <row r="60" spans="1:6" ht="13" x14ac:dyDescent="0.25">
      <c r="A60" s="12" t="s">
        <v>378</v>
      </c>
      <c r="B60" s="44" t="s">
        <v>385</v>
      </c>
      <c r="C60" s="44" t="s">
        <v>391</v>
      </c>
      <c r="D60" s="44" t="s">
        <v>376</v>
      </c>
      <c r="E60" s="104"/>
      <c r="F60" s="104"/>
    </row>
    <row r="61" spans="1:6" ht="13" x14ac:dyDescent="0.25">
      <c r="A61" s="12" t="s">
        <v>378</v>
      </c>
      <c r="B61" s="44" t="s">
        <v>270</v>
      </c>
      <c r="C61" s="104" t="s">
        <v>276</v>
      </c>
      <c r="D61" s="44" t="s">
        <v>376</v>
      </c>
      <c r="E61" s="104"/>
      <c r="F61" s="104"/>
    </row>
    <row r="62" spans="1:6" ht="13" x14ac:dyDescent="0.25">
      <c r="A62" s="12" t="s">
        <v>378</v>
      </c>
      <c r="B62" s="44" t="s">
        <v>271</v>
      </c>
      <c r="C62" s="104" t="s">
        <v>274</v>
      </c>
      <c r="D62" s="44" t="s">
        <v>376</v>
      </c>
      <c r="E62" s="104"/>
      <c r="F62" s="104"/>
    </row>
    <row r="63" spans="1:6" ht="13" x14ac:dyDescent="0.25">
      <c r="A63" s="12" t="s">
        <v>378</v>
      </c>
      <c r="B63" s="44" t="s">
        <v>386</v>
      </c>
      <c r="C63" s="104" t="s">
        <v>274</v>
      </c>
      <c r="D63" s="44" t="s">
        <v>376</v>
      </c>
      <c r="E63" s="104"/>
      <c r="F63" s="104"/>
    </row>
    <row r="64" spans="1:6" ht="13" x14ac:dyDescent="0.25">
      <c r="A64" s="12" t="s">
        <v>378</v>
      </c>
      <c r="B64" s="44" t="s">
        <v>387</v>
      </c>
      <c r="C64" s="104" t="s">
        <v>274</v>
      </c>
      <c r="D64" s="44" t="s">
        <v>376</v>
      </c>
      <c r="E64" s="104"/>
      <c r="F64" s="104"/>
    </row>
    <row r="65" spans="1:29" ht="13" x14ac:dyDescent="0.25">
      <c r="A65" s="12" t="s">
        <v>378</v>
      </c>
      <c r="B65" s="44" t="s">
        <v>388</v>
      </c>
      <c r="C65" s="104" t="s">
        <v>274</v>
      </c>
      <c r="D65" s="44" t="s">
        <v>376</v>
      </c>
      <c r="E65" s="104"/>
      <c r="F65" s="104"/>
    </row>
    <row r="66" spans="1:29" ht="13" x14ac:dyDescent="0.25">
      <c r="A66" s="12" t="s">
        <v>378</v>
      </c>
      <c r="B66" s="44" t="s">
        <v>389</v>
      </c>
      <c r="C66" s="104" t="s">
        <v>274</v>
      </c>
      <c r="D66" s="44" t="s">
        <v>376</v>
      </c>
      <c r="E66" s="104"/>
      <c r="F66" s="104"/>
    </row>
    <row r="67" spans="1:29" ht="13" x14ac:dyDescent="0.25">
      <c r="A67" s="12" t="s">
        <v>378</v>
      </c>
      <c r="B67" s="44" t="s">
        <v>390</v>
      </c>
      <c r="C67" s="104" t="s">
        <v>274</v>
      </c>
      <c r="D67" s="44" t="s">
        <v>376</v>
      </c>
      <c r="E67" s="104"/>
      <c r="F67" s="104"/>
    </row>
    <row r="68" spans="1:29" ht="13" x14ac:dyDescent="0.25">
      <c r="A68" s="110"/>
      <c r="B68" s="111"/>
      <c r="C68" s="111"/>
      <c r="D68" s="111"/>
      <c r="E68" s="111"/>
      <c r="F68" s="111"/>
    </row>
    <row r="69" spans="1:29" ht="13" thickBot="1" x14ac:dyDescent="0.3">
      <c r="A69" s="28"/>
      <c r="B69" s="28"/>
      <c r="C69" s="28"/>
      <c r="D69" s="28"/>
      <c r="E69" s="28"/>
      <c r="F69" s="28"/>
    </row>
    <row r="70" spans="1:29" ht="13" thickBot="1" x14ac:dyDescent="0.3">
      <c r="A70" s="16" t="s">
        <v>168</v>
      </c>
      <c r="D70" s="28"/>
      <c r="E70" s="28"/>
      <c r="F70" s="28"/>
    </row>
    <row r="71" spans="1:29" x14ac:dyDescent="0.25">
      <c r="A71" s="15" t="s">
        <v>169</v>
      </c>
      <c r="B71" s="13" t="s">
        <v>170</v>
      </c>
      <c r="C71" s="13" t="s">
        <v>171</v>
      </c>
      <c r="D71" s="13" t="s">
        <v>172</v>
      </c>
      <c r="E71" s="28"/>
      <c r="F71" s="28"/>
    </row>
    <row r="72" spans="1:29" x14ac:dyDescent="0.25">
      <c r="A72" s="44" t="s">
        <v>153</v>
      </c>
      <c r="B72" s="44"/>
      <c r="C72" s="44"/>
      <c r="D72" s="12"/>
      <c r="E72" s="28"/>
      <c r="F72" s="28"/>
      <c r="AA72" s="56"/>
    </row>
    <row r="73" spans="1:29" x14ac:dyDescent="0.25">
      <c r="A73" s="44"/>
      <c r="B73" s="44"/>
      <c r="C73" s="44"/>
      <c r="D73" s="12"/>
      <c r="E73" s="28"/>
      <c r="F73" s="28"/>
      <c r="AA73" s="56"/>
    </row>
    <row r="74" spans="1:29" x14ac:dyDescent="0.25">
      <c r="A74" s="44"/>
      <c r="B74" s="44"/>
      <c r="C74" s="44"/>
      <c r="D74" s="12"/>
      <c r="E74" s="28"/>
      <c r="F74" s="28"/>
    </row>
    <row r="75" spans="1:29" ht="13" thickBot="1" x14ac:dyDescent="0.3">
      <c r="A75" s="95"/>
      <c r="B75" s="95"/>
      <c r="C75" s="95"/>
      <c r="D75" s="28"/>
      <c r="E75" s="28"/>
      <c r="F75" s="28"/>
    </row>
    <row r="76" spans="1:29" ht="13" thickBot="1" x14ac:dyDescent="0.3">
      <c r="A76" s="16" t="s">
        <v>173</v>
      </c>
      <c r="B76" s="95"/>
      <c r="C76" s="95"/>
      <c r="D76" s="28"/>
      <c r="E76" s="28"/>
      <c r="F76" s="28"/>
    </row>
    <row r="77" spans="1:29" x14ac:dyDescent="0.25">
      <c r="A77" s="15" t="s">
        <v>117</v>
      </c>
      <c r="B77" s="13" t="s">
        <v>174</v>
      </c>
    </row>
    <row r="78" spans="1:29" x14ac:dyDescent="0.25">
      <c r="A78" s="44" t="s">
        <v>153</v>
      </c>
      <c r="B78" s="44"/>
      <c r="C78" s="28"/>
      <c r="AC78" s="56"/>
    </row>
    <row r="79" spans="1:29" x14ac:dyDescent="0.25">
      <c r="A79" s="44"/>
      <c r="B79" s="44"/>
      <c r="C79" s="28"/>
    </row>
    <row r="80" spans="1:29" x14ac:dyDescent="0.25">
      <c r="A80" s="20" t="s">
        <v>21</v>
      </c>
      <c r="B80" s="20" t="s">
        <v>175</v>
      </c>
    </row>
    <row r="81" spans="1:2" x14ac:dyDescent="0.25">
      <c r="A81" s="19"/>
      <c r="B81" s="19">
        <v>0.12</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A78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zoomScale="77" zoomScaleNormal="77" workbookViewId="0">
      <selection activeCell="B38" sqref="B38"/>
    </sheetView>
  </sheetViews>
  <sheetFormatPr defaultRowHeight="12.5" x14ac:dyDescent="0.25"/>
  <cols>
    <col min="1" max="1" width="37.36328125" bestFit="1" customWidth="1"/>
    <col min="2" max="2" width="36.26953125" style="22" customWidth="1"/>
    <col min="3" max="3" width="32.81640625" customWidth="1"/>
  </cols>
  <sheetData>
    <row r="1" spans="1:3" ht="13" thickBot="1" x14ac:dyDescent="0.3">
      <c r="A1" s="196" t="s">
        <v>176</v>
      </c>
      <c r="B1" s="197"/>
      <c r="C1" s="198"/>
    </row>
    <row r="2" spans="1:3" ht="13" thickBot="1" x14ac:dyDescent="0.3"/>
    <row r="3" spans="1:3" ht="13" thickBot="1" x14ac:dyDescent="0.3">
      <c r="A3" s="17" t="s">
        <v>177</v>
      </c>
      <c r="B3" s="32"/>
    </row>
    <row r="4" spans="1:3" x14ac:dyDescent="0.25">
      <c r="A4" s="15" t="s">
        <v>178</v>
      </c>
      <c r="B4" s="31" t="s">
        <v>55</v>
      </c>
    </row>
    <row r="5" spans="1:3" x14ac:dyDescent="0.25">
      <c r="A5" s="44" t="s">
        <v>153</v>
      </c>
      <c r="B5" s="21"/>
    </row>
    <row r="6" spans="1:3" x14ac:dyDescent="0.25">
      <c r="A6" s="12"/>
      <c r="B6" s="21"/>
    </row>
    <row r="7" spans="1:3" x14ac:dyDescent="0.25">
      <c r="A7" s="12"/>
      <c r="B7" s="21"/>
    </row>
    <row r="8" spans="1:3" x14ac:dyDescent="0.25">
      <c r="A8" s="12"/>
      <c r="B8" s="21"/>
    </row>
    <row r="9" spans="1:3" ht="13" thickBot="1" x14ac:dyDescent="0.3"/>
    <row r="10" spans="1:3" ht="13" thickBot="1" x14ac:dyDescent="0.3">
      <c r="A10" s="17" t="s">
        <v>179</v>
      </c>
      <c r="B10" s="32"/>
      <c r="C10" s="14"/>
    </row>
    <row r="11" spans="1:3" x14ac:dyDescent="0.25">
      <c r="A11" s="15" t="s">
        <v>180</v>
      </c>
      <c r="B11" s="31" t="s">
        <v>55</v>
      </c>
    </row>
    <row r="12" spans="1:3" ht="154.5" customHeight="1" x14ac:dyDescent="0.25">
      <c r="A12" s="96" t="s">
        <v>301</v>
      </c>
      <c r="B12" s="99" t="s">
        <v>302</v>
      </c>
      <c r="C12">
        <v>0.02</v>
      </c>
    </row>
    <row r="13" spans="1:3" ht="177" customHeight="1" x14ac:dyDescent="0.25">
      <c r="A13" s="97" t="s">
        <v>347</v>
      </c>
      <c r="B13" s="99" t="s">
        <v>302</v>
      </c>
      <c r="C13">
        <v>0.02</v>
      </c>
    </row>
    <row r="14" spans="1:3" ht="261" customHeight="1" x14ac:dyDescent="0.25">
      <c r="A14" s="96" t="s">
        <v>348</v>
      </c>
      <c r="B14" s="99" t="s">
        <v>302</v>
      </c>
      <c r="C14">
        <v>0.02</v>
      </c>
    </row>
    <row r="15" spans="1:3" ht="13" thickBot="1" x14ac:dyDescent="0.3"/>
    <row r="16" spans="1:3" ht="13" thickBot="1" x14ac:dyDescent="0.3">
      <c r="A16" s="17" t="s">
        <v>181</v>
      </c>
    </row>
    <row r="17" spans="1:2" x14ac:dyDescent="0.25">
      <c r="A17" s="15" t="s">
        <v>178</v>
      </c>
      <c r="B17" s="31" t="s">
        <v>55</v>
      </c>
    </row>
    <row r="18" spans="1:2" x14ac:dyDescent="0.25">
      <c r="A18" s="44" t="s">
        <v>153</v>
      </c>
      <c r="B18" s="21"/>
    </row>
    <row r="19" spans="1:2" x14ac:dyDescent="0.25">
      <c r="A19" s="12"/>
      <c r="B19" s="21"/>
    </row>
    <row r="20" spans="1:2" x14ac:dyDescent="0.25">
      <c r="A20" s="12"/>
      <c r="B20" s="21"/>
    </row>
    <row r="21" spans="1:2" x14ac:dyDescent="0.25">
      <c r="A21" s="12"/>
      <c r="B21" s="21"/>
    </row>
    <row r="22" spans="1:2" ht="13" thickBot="1" x14ac:dyDescent="0.3">
      <c r="A22" s="28"/>
      <c r="B22" s="24"/>
    </row>
    <row r="23" spans="1:2" ht="13" thickBot="1" x14ac:dyDescent="0.3">
      <c r="A23" s="17" t="s">
        <v>182</v>
      </c>
    </row>
    <row r="24" spans="1:2" x14ac:dyDescent="0.25">
      <c r="A24" s="15" t="s">
        <v>178</v>
      </c>
      <c r="B24" s="31" t="s">
        <v>55</v>
      </c>
    </row>
    <row r="25" spans="1:2" x14ac:dyDescent="0.25">
      <c r="A25" s="44" t="s">
        <v>153</v>
      </c>
      <c r="B25" s="21"/>
    </row>
    <row r="26" spans="1:2" x14ac:dyDescent="0.25">
      <c r="A26" s="12"/>
      <c r="B26" s="21"/>
    </row>
    <row r="27" spans="1:2" x14ac:dyDescent="0.25">
      <c r="A27" s="12"/>
      <c r="B27" s="21"/>
    </row>
    <row r="28" spans="1:2" x14ac:dyDescent="0.25">
      <c r="A28" s="12"/>
      <c r="B28" s="21"/>
    </row>
    <row r="29" spans="1:2" ht="13" thickBot="1" x14ac:dyDescent="0.3">
      <c r="A29" s="28"/>
      <c r="B29" s="24"/>
    </row>
    <row r="30" spans="1:2" ht="13" thickBot="1" x14ac:dyDescent="0.3">
      <c r="A30" s="17" t="s">
        <v>183</v>
      </c>
    </row>
    <row r="31" spans="1:2" x14ac:dyDescent="0.25">
      <c r="A31" s="15" t="s">
        <v>178</v>
      </c>
      <c r="B31" s="31" t="s">
        <v>55</v>
      </c>
    </row>
    <row r="32" spans="1:2" x14ac:dyDescent="0.25">
      <c r="A32" s="44" t="s">
        <v>153</v>
      </c>
      <c r="B32" s="21"/>
    </row>
    <row r="33" spans="1:2" x14ac:dyDescent="0.25">
      <c r="A33" s="12"/>
      <c r="B33" s="21"/>
    </row>
    <row r="34" spans="1:2" x14ac:dyDescent="0.25">
      <c r="A34" s="12"/>
      <c r="B34" s="21"/>
    </row>
    <row r="35" spans="1:2" x14ac:dyDescent="0.25">
      <c r="A35" s="12"/>
      <c r="B35" s="21"/>
    </row>
    <row r="37" spans="1:2" x14ac:dyDescent="0.25">
      <c r="A37" s="20" t="s">
        <v>21</v>
      </c>
      <c r="B37" s="33" t="s">
        <v>175</v>
      </c>
    </row>
    <row r="38" spans="1:2" x14ac:dyDescent="0.25">
      <c r="A38" s="19"/>
      <c r="B38" s="34">
        <v>0.06</v>
      </c>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24"/>
  <sheetViews>
    <sheetView workbookViewId="0">
      <selection activeCell="B24" sqref="B24"/>
    </sheetView>
  </sheetViews>
  <sheetFormatPr defaultRowHeight="12.5" x14ac:dyDescent="0.25"/>
  <cols>
    <col min="1" max="1" width="19.1796875" customWidth="1"/>
    <col min="2" max="2" width="48.08984375" bestFit="1" customWidth="1"/>
    <col min="3" max="3" width="109.1796875" bestFit="1" customWidth="1"/>
  </cols>
  <sheetData>
    <row r="1" spans="1:4" ht="13" thickBot="1" x14ac:dyDescent="0.3">
      <c r="A1" s="196" t="s">
        <v>184</v>
      </c>
      <c r="B1" s="197"/>
      <c r="C1" s="198"/>
    </row>
    <row r="3" spans="1:4" x14ac:dyDescent="0.25">
      <c r="A3" s="13" t="s">
        <v>185</v>
      </c>
      <c r="B3" s="13" t="s">
        <v>186</v>
      </c>
      <c r="C3" s="13" t="s">
        <v>55</v>
      </c>
    </row>
    <row r="4" spans="1:4" x14ac:dyDescent="0.25">
      <c r="A4" s="82" t="s">
        <v>187</v>
      </c>
      <c r="B4" s="44" t="s">
        <v>280</v>
      </c>
      <c r="C4" s="82" t="s">
        <v>188</v>
      </c>
      <c r="D4">
        <v>0.3</v>
      </c>
    </row>
    <row r="5" spans="1:4" x14ac:dyDescent="0.25">
      <c r="A5" s="82" t="s">
        <v>189</v>
      </c>
      <c r="B5" s="44" t="s">
        <v>281</v>
      </c>
      <c r="C5" s="82" t="s">
        <v>190</v>
      </c>
    </row>
    <row r="6" spans="1:4" x14ac:dyDescent="0.25">
      <c r="A6" s="82" t="s">
        <v>187</v>
      </c>
      <c r="B6" s="82" t="s">
        <v>277</v>
      </c>
      <c r="C6" s="82" t="s">
        <v>188</v>
      </c>
      <c r="D6">
        <v>0.2</v>
      </c>
    </row>
    <row r="7" spans="1:4" x14ac:dyDescent="0.25">
      <c r="A7" s="82" t="s">
        <v>189</v>
      </c>
      <c r="B7" s="82" t="s">
        <v>278</v>
      </c>
      <c r="C7" s="82" t="s">
        <v>190</v>
      </c>
    </row>
    <row r="8" spans="1:4" x14ac:dyDescent="0.25">
      <c r="A8" s="82" t="s">
        <v>187</v>
      </c>
      <c r="B8" s="44" t="s">
        <v>316</v>
      </c>
      <c r="C8" s="82" t="s">
        <v>188</v>
      </c>
      <c r="D8">
        <v>0.25</v>
      </c>
    </row>
    <row r="9" spans="1:4" x14ac:dyDescent="0.25">
      <c r="A9" s="82" t="s">
        <v>189</v>
      </c>
      <c r="B9" s="57" t="s">
        <v>318</v>
      </c>
      <c r="C9" s="82" t="s">
        <v>190</v>
      </c>
    </row>
    <row r="10" spans="1:4" x14ac:dyDescent="0.25">
      <c r="A10" s="82" t="s">
        <v>187</v>
      </c>
      <c r="B10" s="44" t="s">
        <v>317</v>
      </c>
      <c r="C10" s="82" t="s">
        <v>188</v>
      </c>
      <c r="D10">
        <v>0.125</v>
      </c>
    </row>
    <row r="11" spans="1:4" x14ac:dyDescent="0.25">
      <c r="A11" s="82" t="s">
        <v>189</v>
      </c>
      <c r="B11" s="57" t="s">
        <v>319</v>
      </c>
      <c r="C11" s="82" t="s">
        <v>190</v>
      </c>
    </row>
    <row r="12" spans="1:4" x14ac:dyDescent="0.25">
      <c r="A12" s="82" t="s">
        <v>187</v>
      </c>
      <c r="B12" s="44" t="s">
        <v>333</v>
      </c>
      <c r="C12" s="82" t="s">
        <v>188</v>
      </c>
      <c r="D12">
        <v>0.25</v>
      </c>
    </row>
    <row r="13" spans="1:4" x14ac:dyDescent="0.25">
      <c r="A13" s="82" t="s">
        <v>189</v>
      </c>
      <c r="B13" s="44" t="s">
        <v>353</v>
      </c>
      <c r="C13" s="82" t="s">
        <v>190</v>
      </c>
    </row>
    <row r="14" spans="1:4" x14ac:dyDescent="0.25">
      <c r="A14" s="82" t="s">
        <v>187</v>
      </c>
      <c r="B14" s="44" t="s">
        <v>334</v>
      </c>
      <c r="C14" s="82" t="s">
        <v>188</v>
      </c>
      <c r="D14">
        <v>0.125</v>
      </c>
    </row>
    <row r="15" spans="1:4" ht="13.5" customHeight="1" x14ac:dyDescent="0.25">
      <c r="A15" s="82" t="s">
        <v>189</v>
      </c>
      <c r="B15" s="44" t="s">
        <v>354</v>
      </c>
      <c r="C15" s="82" t="s">
        <v>190</v>
      </c>
    </row>
    <row r="16" spans="1:4" ht="13.5" customHeight="1" x14ac:dyDescent="0.25">
      <c r="A16" s="82" t="s">
        <v>187</v>
      </c>
      <c r="B16" s="12" t="s">
        <v>395</v>
      </c>
      <c r="C16" s="44" t="s">
        <v>421</v>
      </c>
      <c r="D16">
        <v>0.15</v>
      </c>
    </row>
    <row r="17" spans="1:4" ht="13.5" customHeight="1" x14ac:dyDescent="0.25">
      <c r="A17" s="82" t="s">
        <v>189</v>
      </c>
      <c r="B17" s="44" t="s">
        <v>418</v>
      </c>
      <c r="C17" s="82" t="s">
        <v>423</v>
      </c>
    </row>
    <row r="18" spans="1:4" ht="13.5" customHeight="1" x14ac:dyDescent="0.25">
      <c r="A18" s="82" t="s">
        <v>187</v>
      </c>
      <c r="B18" s="12" t="s">
        <v>402</v>
      </c>
      <c r="C18" s="44" t="s">
        <v>422</v>
      </c>
      <c r="D18">
        <v>0.15</v>
      </c>
    </row>
    <row r="19" spans="1:4" ht="13.5" customHeight="1" x14ac:dyDescent="0.25">
      <c r="A19" s="82" t="s">
        <v>189</v>
      </c>
      <c r="B19" s="44" t="s">
        <v>419</v>
      </c>
      <c r="C19" s="82" t="s">
        <v>423</v>
      </c>
    </row>
    <row r="20" spans="1:4" ht="13.5" customHeight="1" x14ac:dyDescent="0.25">
      <c r="A20" s="82" t="s">
        <v>187</v>
      </c>
      <c r="B20" s="12" t="s">
        <v>405</v>
      </c>
      <c r="C20" s="44" t="s">
        <v>409</v>
      </c>
      <c r="D20">
        <v>0.2</v>
      </c>
    </row>
    <row r="21" spans="1:4" x14ac:dyDescent="0.25">
      <c r="A21" s="82" t="s">
        <v>189</v>
      </c>
      <c r="B21" s="44" t="s">
        <v>420</v>
      </c>
      <c r="C21" s="82" t="s">
        <v>445</v>
      </c>
    </row>
    <row r="23" spans="1:4" x14ac:dyDescent="0.25">
      <c r="A23" s="20" t="s">
        <v>21</v>
      </c>
      <c r="B23" s="20" t="s">
        <v>175</v>
      </c>
    </row>
    <row r="24" spans="1:4" x14ac:dyDescent="0.25">
      <c r="A24" s="19"/>
      <c r="B24" s="19">
        <f>SUM(D4:D21)</f>
        <v>1.7499999999999998</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11"/>
  <sheetViews>
    <sheetView topLeftCell="A97" zoomScale="77" zoomScaleNormal="77" workbookViewId="0">
      <selection activeCell="G100" sqref="G100:G111"/>
    </sheetView>
  </sheetViews>
  <sheetFormatPr defaultRowHeight="12.5" x14ac:dyDescent="0.25"/>
  <cols>
    <col min="1" max="2" width="27.90625" bestFit="1" customWidth="1"/>
    <col min="3" max="3" width="23.1796875" bestFit="1" customWidth="1"/>
    <col min="4" max="4" width="13.7265625" bestFit="1" customWidth="1"/>
    <col min="5" max="6" width="34.26953125" bestFit="1" customWidth="1"/>
    <col min="7" max="7" width="22.26953125" style="114" bestFit="1" customWidth="1"/>
    <col min="8" max="8" width="13.7265625" bestFit="1" customWidth="1"/>
    <col min="9" max="9" width="75.26953125" style="114" bestFit="1" customWidth="1"/>
    <col min="10" max="10" width="37.54296875" bestFit="1" customWidth="1"/>
  </cols>
  <sheetData>
    <row r="1" spans="1:10" ht="13" thickBot="1" x14ac:dyDescent="0.3">
      <c r="A1" s="196" t="s">
        <v>191</v>
      </c>
      <c r="B1" s="197"/>
      <c r="C1" s="197"/>
      <c r="D1" s="198"/>
    </row>
    <row r="3" spans="1:10" x14ac:dyDescent="0.25">
      <c r="A3" s="13" t="s">
        <v>186</v>
      </c>
      <c r="B3" s="200" t="s">
        <v>280</v>
      </c>
      <c r="C3" s="201"/>
    </row>
    <row r="5" spans="1:10" x14ac:dyDescent="0.25">
      <c r="A5" s="13" t="s">
        <v>192</v>
      </c>
      <c r="B5" s="13" t="s">
        <v>193</v>
      </c>
      <c r="C5" s="13" t="s">
        <v>194</v>
      </c>
      <c r="D5" s="13" t="s">
        <v>195</v>
      </c>
      <c r="E5" s="13" t="s">
        <v>196</v>
      </c>
      <c r="F5" s="13" t="s">
        <v>193</v>
      </c>
      <c r="G5" s="115" t="s">
        <v>197</v>
      </c>
      <c r="H5" s="13" t="s">
        <v>195</v>
      </c>
      <c r="I5" s="115" t="s">
        <v>198</v>
      </c>
      <c r="J5" s="13" t="s">
        <v>199</v>
      </c>
    </row>
    <row r="6" spans="1:10" s="29" customFormat="1" x14ac:dyDescent="0.25">
      <c r="A6" s="119"/>
      <c r="B6" s="119"/>
      <c r="C6" s="119"/>
      <c r="D6" s="119"/>
      <c r="E6" s="119"/>
      <c r="F6" s="119"/>
      <c r="G6" s="120"/>
      <c r="H6" s="119"/>
      <c r="I6" s="120" t="s">
        <v>291</v>
      </c>
      <c r="J6" s="117"/>
    </row>
    <row r="7" spans="1:10" ht="200" x14ac:dyDescent="0.25">
      <c r="A7" s="112" t="s">
        <v>282</v>
      </c>
      <c r="B7" s="112" t="s">
        <v>282</v>
      </c>
      <c r="C7" s="118" t="s">
        <v>266</v>
      </c>
      <c r="D7" s="113" t="s">
        <v>283</v>
      </c>
      <c r="E7" s="112" t="s">
        <v>263</v>
      </c>
      <c r="F7" s="112" t="s">
        <v>263</v>
      </c>
      <c r="G7" s="118" t="s">
        <v>266</v>
      </c>
      <c r="H7" s="113" t="s">
        <v>273</v>
      </c>
      <c r="I7" s="116" t="s">
        <v>284</v>
      </c>
      <c r="J7" s="99"/>
    </row>
    <row r="8" spans="1:10" ht="200" x14ac:dyDescent="0.25">
      <c r="A8" s="96" t="s">
        <v>282</v>
      </c>
      <c r="B8" s="112" t="s">
        <v>282</v>
      </c>
      <c r="C8" s="118" t="s">
        <v>267</v>
      </c>
      <c r="D8" s="113" t="s">
        <v>283</v>
      </c>
      <c r="E8" s="112" t="s">
        <v>263</v>
      </c>
      <c r="F8" s="112" t="s">
        <v>263</v>
      </c>
      <c r="G8" s="118" t="s">
        <v>267</v>
      </c>
      <c r="H8" s="113" t="s">
        <v>275</v>
      </c>
      <c r="I8" s="116" t="s">
        <v>290</v>
      </c>
      <c r="J8" s="99"/>
    </row>
    <row r="9" spans="1:10" ht="200" x14ac:dyDescent="0.25">
      <c r="A9" s="96" t="s">
        <v>282</v>
      </c>
      <c r="B9" s="112" t="s">
        <v>282</v>
      </c>
      <c r="C9" s="118" t="s">
        <v>268</v>
      </c>
      <c r="D9" s="113" t="s">
        <v>283</v>
      </c>
      <c r="E9" s="112" t="s">
        <v>263</v>
      </c>
      <c r="F9" s="112" t="s">
        <v>263</v>
      </c>
      <c r="G9" s="118" t="s">
        <v>268</v>
      </c>
      <c r="H9" s="113" t="s">
        <v>275</v>
      </c>
      <c r="I9" s="116" t="s">
        <v>289</v>
      </c>
      <c r="J9" s="99"/>
    </row>
    <row r="10" spans="1:10" ht="212.5" x14ac:dyDescent="0.25">
      <c r="A10" s="96" t="s">
        <v>282</v>
      </c>
      <c r="B10" s="112" t="s">
        <v>282</v>
      </c>
      <c r="C10" s="118" t="s">
        <v>269</v>
      </c>
      <c r="D10" s="113" t="s">
        <v>283</v>
      </c>
      <c r="E10" s="112" t="s">
        <v>263</v>
      </c>
      <c r="F10" s="112" t="s">
        <v>263</v>
      </c>
      <c r="G10" s="113" t="s">
        <v>269</v>
      </c>
      <c r="H10" s="113" t="s">
        <v>275</v>
      </c>
      <c r="I10" s="116" t="s">
        <v>288</v>
      </c>
      <c r="J10" s="99"/>
    </row>
    <row r="11" spans="1:10" ht="212.5" x14ac:dyDescent="0.25">
      <c r="A11" s="96" t="s">
        <v>282</v>
      </c>
      <c r="B11" s="112" t="s">
        <v>282</v>
      </c>
      <c r="C11" s="118" t="s">
        <v>270</v>
      </c>
      <c r="D11" s="113" t="s">
        <v>283</v>
      </c>
      <c r="E11" s="112" t="s">
        <v>263</v>
      </c>
      <c r="F11" s="112" t="s">
        <v>263</v>
      </c>
      <c r="G11" s="113" t="s">
        <v>270</v>
      </c>
      <c r="H11" s="113" t="s">
        <v>276</v>
      </c>
      <c r="I11" s="116" t="s">
        <v>287</v>
      </c>
      <c r="J11" s="99"/>
    </row>
    <row r="12" spans="1:10" ht="212.5" x14ac:dyDescent="0.25">
      <c r="A12" s="96" t="s">
        <v>282</v>
      </c>
      <c r="B12" s="112" t="s">
        <v>282</v>
      </c>
      <c r="C12" s="118" t="s">
        <v>271</v>
      </c>
      <c r="D12" s="113" t="s">
        <v>283</v>
      </c>
      <c r="E12" s="112" t="s">
        <v>263</v>
      </c>
      <c r="F12" s="112" t="s">
        <v>263</v>
      </c>
      <c r="G12" s="113" t="s">
        <v>271</v>
      </c>
      <c r="H12" s="113" t="s">
        <v>274</v>
      </c>
      <c r="I12" s="116" t="s">
        <v>286</v>
      </c>
      <c r="J12" s="99"/>
    </row>
    <row r="13" spans="1:10" ht="212.5" x14ac:dyDescent="0.25">
      <c r="A13" s="96" t="s">
        <v>282</v>
      </c>
      <c r="B13" s="112" t="s">
        <v>282</v>
      </c>
      <c r="C13" s="118" t="s">
        <v>272</v>
      </c>
      <c r="D13" s="113" t="s">
        <v>283</v>
      </c>
      <c r="E13" s="112" t="s">
        <v>263</v>
      </c>
      <c r="F13" s="112" t="s">
        <v>263</v>
      </c>
      <c r="G13" s="113" t="s">
        <v>272</v>
      </c>
      <c r="H13" s="113" t="s">
        <v>274</v>
      </c>
      <c r="I13" s="116" t="s">
        <v>285</v>
      </c>
      <c r="J13" s="99"/>
    </row>
    <row r="16" spans="1:10" x14ac:dyDescent="0.25">
      <c r="A16" s="13" t="s">
        <v>186</v>
      </c>
      <c r="B16" s="200" t="s">
        <v>277</v>
      </c>
      <c r="C16" s="201"/>
    </row>
    <row r="18" spans="1:10" x14ac:dyDescent="0.25">
      <c r="A18" s="13" t="s">
        <v>192</v>
      </c>
      <c r="B18" s="13" t="s">
        <v>193</v>
      </c>
      <c r="C18" s="13" t="s">
        <v>194</v>
      </c>
      <c r="D18" s="13" t="s">
        <v>195</v>
      </c>
      <c r="E18" s="13" t="s">
        <v>196</v>
      </c>
      <c r="F18" s="13" t="s">
        <v>193</v>
      </c>
      <c r="G18" s="115" t="s">
        <v>197</v>
      </c>
      <c r="H18" s="13" t="s">
        <v>195</v>
      </c>
      <c r="I18" s="115" t="s">
        <v>198</v>
      </c>
      <c r="J18" s="13" t="s">
        <v>199</v>
      </c>
    </row>
    <row r="19" spans="1:10" x14ac:dyDescent="0.25">
      <c r="A19" s="119"/>
      <c r="B19" s="119"/>
      <c r="C19" s="119"/>
      <c r="D19" s="119"/>
      <c r="E19" s="119"/>
      <c r="F19" s="119"/>
      <c r="G19" s="120"/>
      <c r="H19" s="119"/>
      <c r="I19" s="120" t="s">
        <v>292</v>
      </c>
      <c r="J19" s="117"/>
    </row>
    <row r="20" spans="1:10" ht="25" x14ac:dyDescent="0.25">
      <c r="A20" s="119"/>
      <c r="B20" s="119"/>
      <c r="C20" s="119"/>
      <c r="D20" s="119"/>
      <c r="E20" s="119"/>
      <c r="F20" s="119"/>
      <c r="G20" s="120"/>
      <c r="H20" s="119"/>
      <c r="I20" s="122" t="s">
        <v>304</v>
      </c>
      <c r="J20" s="117"/>
    </row>
    <row r="21" spans="1:10" ht="194.5" customHeight="1" x14ac:dyDescent="0.25">
      <c r="A21" s="112" t="s">
        <v>263</v>
      </c>
      <c r="B21" s="112" t="s">
        <v>263</v>
      </c>
      <c r="C21" s="118" t="s">
        <v>266</v>
      </c>
      <c r="D21" s="113" t="s">
        <v>273</v>
      </c>
      <c r="E21" s="112" t="s">
        <v>293</v>
      </c>
      <c r="F21" s="112" t="s">
        <v>293</v>
      </c>
      <c r="G21" s="121" t="s">
        <v>295</v>
      </c>
      <c r="H21" s="113" t="s">
        <v>273</v>
      </c>
      <c r="I21" s="116" t="s">
        <v>329</v>
      </c>
      <c r="J21" s="99"/>
    </row>
    <row r="22" spans="1:10" ht="50" x14ac:dyDescent="0.25">
      <c r="A22" s="112" t="s">
        <v>263</v>
      </c>
      <c r="B22" s="112" t="s">
        <v>263</v>
      </c>
      <c r="C22" s="118" t="s">
        <v>267</v>
      </c>
      <c r="D22" s="113" t="s">
        <v>275</v>
      </c>
      <c r="E22" s="112" t="s">
        <v>293</v>
      </c>
      <c r="F22" s="112" t="s">
        <v>293</v>
      </c>
      <c r="G22" s="118" t="s">
        <v>300</v>
      </c>
      <c r="H22" s="113" t="s">
        <v>275</v>
      </c>
      <c r="I22" s="116" t="s">
        <v>303</v>
      </c>
      <c r="J22" s="99"/>
    </row>
    <row r="23" spans="1:10" ht="50" x14ac:dyDescent="0.25">
      <c r="A23" s="112" t="s">
        <v>263</v>
      </c>
      <c r="B23" s="112" t="s">
        <v>263</v>
      </c>
      <c r="C23" s="118" t="s">
        <v>268</v>
      </c>
      <c r="D23" s="113" t="s">
        <v>275</v>
      </c>
      <c r="E23" s="112" t="s">
        <v>293</v>
      </c>
      <c r="F23" s="112" t="s">
        <v>293</v>
      </c>
      <c r="G23" s="118" t="s">
        <v>268</v>
      </c>
      <c r="H23" s="113" t="s">
        <v>275</v>
      </c>
      <c r="I23" s="116" t="s">
        <v>303</v>
      </c>
      <c r="J23" s="99"/>
    </row>
    <row r="24" spans="1:10" ht="50" x14ac:dyDescent="0.25">
      <c r="A24" s="112" t="s">
        <v>263</v>
      </c>
      <c r="B24" s="112" t="s">
        <v>263</v>
      </c>
      <c r="C24" s="113" t="s">
        <v>269</v>
      </c>
      <c r="D24" s="113" t="s">
        <v>275</v>
      </c>
      <c r="E24" s="112" t="s">
        <v>293</v>
      </c>
      <c r="F24" s="112" t="s">
        <v>293</v>
      </c>
      <c r="G24" s="113" t="s">
        <v>269</v>
      </c>
      <c r="H24" s="113" t="s">
        <v>275</v>
      </c>
      <c r="I24" s="116" t="s">
        <v>303</v>
      </c>
      <c r="J24" s="99"/>
    </row>
    <row r="25" spans="1:10" ht="275" x14ac:dyDescent="0.25">
      <c r="A25" s="112" t="s">
        <v>263</v>
      </c>
      <c r="B25" s="112" t="s">
        <v>263</v>
      </c>
      <c r="C25" s="113" t="s">
        <v>270</v>
      </c>
      <c r="D25" s="113" t="s">
        <v>276</v>
      </c>
      <c r="E25" s="112" t="s">
        <v>293</v>
      </c>
      <c r="F25" s="112" t="s">
        <v>293</v>
      </c>
      <c r="G25" s="113" t="s">
        <v>296</v>
      </c>
      <c r="H25" s="113" t="s">
        <v>276</v>
      </c>
      <c r="I25" s="116" t="s">
        <v>332</v>
      </c>
      <c r="J25" s="99"/>
    </row>
    <row r="26" spans="1:10" ht="50" x14ac:dyDescent="0.25">
      <c r="A26" s="112" t="s">
        <v>263</v>
      </c>
      <c r="B26" s="112" t="s">
        <v>263</v>
      </c>
      <c r="C26" s="113" t="s">
        <v>271</v>
      </c>
      <c r="D26" s="113" t="s">
        <v>274</v>
      </c>
      <c r="E26" s="112" t="s">
        <v>294</v>
      </c>
      <c r="F26" s="112" t="s">
        <v>294</v>
      </c>
      <c r="G26" s="113" t="s">
        <v>297</v>
      </c>
      <c r="H26" s="113" t="s">
        <v>274</v>
      </c>
      <c r="I26" s="116" t="s">
        <v>303</v>
      </c>
      <c r="J26" s="99"/>
    </row>
    <row r="27" spans="1:10" ht="50" x14ac:dyDescent="0.25">
      <c r="A27" s="112" t="s">
        <v>263</v>
      </c>
      <c r="B27" s="112" t="s">
        <v>263</v>
      </c>
      <c r="C27" s="113" t="s">
        <v>272</v>
      </c>
      <c r="D27" s="113" t="s">
        <v>274</v>
      </c>
      <c r="E27" s="112" t="s">
        <v>294</v>
      </c>
      <c r="F27" s="112" t="s">
        <v>294</v>
      </c>
      <c r="G27" s="113" t="s">
        <v>298</v>
      </c>
      <c r="H27" s="113" t="s">
        <v>274</v>
      </c>
      <c r="I27" s="116" t="s">
        <v>303</v>
      </c>
      <c r="J27" s="99"/>
    </row>
    <row r="30" spans="1:10" x14ac:dyDescent="0.25">
      <c r="A30" s="13" t="s">
        <v>186</v>
      </c>
      <c r="B30" s="200" t="s">
        <v>316</v>
      </c>
      <c r="C30" s="201"/>
    </row>
    <row r="32" spans="1:10" x14ac:dyDescent="0.25">
      <c r="A32" s="13" t="s">
        <v>192</v>
      </c>
      <c r="B32" s="13" t="s">
        <v>193</v>
      </c>
      <c r="C32" s="13" t="s">
        <v>194</v>
      </c>
      <c r="D32" s="13" t="s">
        <v>195</v>
      </c>
      <c r="E32" s="13" t="s">
        <v>196</v>
      </c>
      <c r="F32" s="13" t="s">
        <v>193</v>
      </c>
      <c r="G32" s="115" t="s">
        <v>197</v>
      </c>
      <c r="H32" s="13" t="s">
        <v>195</v>
      </c>
      <c r="I32" s="115" t="s">
        <v>198</v>
      </c>
      <c r="J32" s="13" t="s">
        <v>199</v>
      </c>
    </row>
    <row r="33" spans="1:10" x14ac:dyDescent="0.25">
      <c r="A33" s="119"/>
      <c r="B33" s="119"/>
      <c r="C33" s="119"/>
      <c r="D33" s="119"/>
      <c r="E33" s="119"/>
      <c r="F33" s="119"/>
      <c r="G33" s="120"/>
      <c r="H33" s="119"/>
      <c r="I33" s="120" t="s">
        <v>325</v>
      </c>
      <c r="J33" s="117"/>
    </row>
    <row r="34" spans="1:10" ht="162.5" x14ac:dyDescent="0.25">
      <c r="A34" s="112" t="s">
        <v>320</v>
      </c>
      <c r="B34" s="112" t="s">
        <v>320</v>
      </c>
      <c r="C34" s="118" t="s">
        <v>266</v>
      </c>
      <c r="D34" s="113" t="s">
        <v>283</v>
      </c>
      <c r="E34" s="112" t="s">
        <v>327</v>
      </c>
      <c r="F34" s="112" t="s">
        <v>327</v>
      </c>
      <c r="G34" s="118" t="s">
        <v>266</v>
      </c>
      <c r="H34" s="113" t="s">
        <v>273</v>
      </c>
      <c r="I34" s="116" t="s">
        <v>336</v>
      </c>
      <c r="J34" s="99"/>
    </row>
    <row r="35" spans="1:10" ht="162.5" x14ac:dyDescent="0.25">
      <c r="A35" s="96" t="s">
        <v>320</v>
      </c>
      <c r="B35" s="112" t="s">
        <v>320</v>
      </c>
      <c r="C35" s="118" t="s">
        <v>267</v>
      </c>
      <c r="D35" s="113" t="s">
        <v>283</v>
      </c>
      <c r="E35" s="112" t="s">
        <v>327</v>
      </c>
      <c r="F35" s="112" t="s">
        <v>327</v>
      </c>
      <c r="G35" s="118" t="s">
        <v>267</v>
      </c>
      <c r="H35" s="113" t="s">
        <v>275</v>
      </c>
      <c r="I35" s="116" t="s">
        <v>321</v>
      </c>
      <c r="J35" s="99"/>
    </row>
    <row r="36" spans="1:10" ht="162.5" x14ac:dyDescent="0.25">
      <c r="A36" s="112" t="s">
        <v>320</v>
      </c>
      <c r="B36" s="112" t="s">
        <v>320</v>
      </c>
      <c r="C36" s="118" t="s">
        <v>268</v>
      </c>
      <c r="D36" s="113" t="s">
        <v>283</v>
      </c>
      <c r="E36" s="112" t="s">
        <v>327</v>
      </c>
      <c r="F36" s="112" t="s">
        <v>327</v>
      </c>
      <c r="G36" s="118" t="s">
        <v>268</v>
      </c>
      <c r="H36" s="113" t="s">
        <v>275</v>
      </c>
      <c r="I36" s="116" t="s">
        <v>322</v>
      </c>
      <c r="J36" s="99"/>
    </row>
    <row r="37" spans="1:10" ht="162.5" x14ac:dyDescent="0.25">
      <c r="A37" s="112" t="s">
        <v>320</v>
      </c>
      <c r="B37" s="112" t="s">
        <v>320</v>
      </c>
      <c r="C37" s="118" t="s">
        <v>270</v>
      </c>
      <c r="D37" s="113" t="s">
        <v>283</v>
      </c>
      <c r="E37" s="112" t="s">
        <v>327</v>
      </c>
      <c r="F37" s="112" t="s">
        <v>327</v>
      </c>
      <c r="G37" s="113" t="s">
        <v>270</v>
      </c>
      <c r="H37" s="113" t="s">
        <v>276</v>
      </c>
      <c r="I37" s="116" t="s">
        <v>324</v>
      </c>
      <c r="J37" s="99"/>
    </row>
    <row r="38" spans="1:10" ht="162.5" x14ac:dyDescent="0.25">
      <c r="A38" s="112" t="s">
        <v>320</v>
      </c>
      <c r="B38" s="112" t="s">
        <v>320</v>
      </c>
      <c r="C38" s="118" t="s">
        <v>271</v>
      </c>
      <c r="D38" s="113" t="s">
        <v>283</v>
      </c>
      <c r="E38" s="112" t="s">
        <v>327</v>
      </c>
      <c r="F38" s="112" t="s">
        <v>327</v>
      </c>
      <c r="G38" s="113" t="s">
        <v>271</v>
      </c>
      <c r="H38" s="113" t="s">
        <v>274</v>
      </c>
      <c r="I38" s="116" t="s">
        <v>323</v>
      </c>
      <c r="J38" s="99"/>
    </row>
    <row r="41" spans="1:10" x14ac:dyDescent="0.25">
      <c r="A41" s="13" t="s">
        <v>186</v>
      </c>
      <c r="B41" s="200" t="s">
        <v>317</v>
      </c>
      <c r="C41" s="201"/>
    </row>
    <row r="43" spans="1:10" x14ac:dyDescent="0.25">
      <c r="A43" s="13" t="s">
        <v>192</v>
      </c>
      <c r="B43" s="13" t="s">
        <v>193</v>
      </c>
      <c r="C43" s="13" t="s">
        <v>194</v>
      </c>
      <c r="D43" s="13" t="s">
        <v>195</v>
      </c>
      <c r="E43" s="13" t="s">
        <v>196</v>
      </c>
      <c r="F43" s="13" t="s">
        <v>193</v>
      </c>
      <c r="G43" s="115" t="s">
        <v>197</v>
      </c>
      <c r="H43" s="13" t="s">
        <v>195</v>
      </c>
      <c r="I43" s="115" t="s">
        <v>198</v>
      </c>
      <c r="J43" s="13" t="s">
        <v>199</v>
      </c>
    </row>
    <row r="44" spans="1:10" x14ac:dyDescent="0.25">
      <c r="A44" s="119"/>
      <c r="B44" s="119"/>
      <c r="C44" s="119"/>
      <c r="D44" s="119"/>
      <c r="E44" s="119"/>
      <c r="F44" s="119"/>
      <c r="G44" s="120"/>
      <c r="H44" s="119"/>
      <c r="I44" s="120" t="s">
        <v>326</v>
      </c>
      <c r="J44" s="117"/>
    </row>
    <row r="45" spans="1:10" ht="25" x14ac:dyDescent="0.25">
      <c r="A45" s="119"/>
      <c r="B45" s="119"/>
      <c r="C45" s="119"/>
      <c r="D45" s="119"/>
      <c r="E45" s="119"/>
      <c r="F45" s="119"/>
      <c r="G45" s="120"/>
      <c r="H45" s="119"/>
      <c r="I45" s="122" t="s">
        <v>304</v>
      </c>
      <c r="J45" s="117"/>
    </row>
    <row r="46" spans="1:10" ht="255.5" customHeight="1" x14ac:dyDescent="0.25">
      <c r="A46" s="112" t="s">
        <v>327</v>
      </c>
      <c r="B46" s="112" t="s">
        <v>327</v>
      </c>
      <c r="C46" s="118" t="s">
        <v>266</v>
      </c>
      <c r="D46" s="113" t="s">
        <v>273</v>
      </c>
      <c r="E46" s="112" t="s">
        <v>293</v>
      </c>
      <c r="F46" s="112" t="s">
        <v>293</v>
      </c>
      <c r="G46" s="121" t="s">
        <v>295</v>
      </c>
      <c r="H46" s="113" t="s">
        <v>273</v>
      </c>
      <c r="I46" s="116" t="s">
        <v>330</v>
      </c>
      <c r="J46" s="99"/>
    </row>
    <row r="47" spans="1:10" ht="50" x14ac:dyDescent="0.25">
      <c r="A47" s="112" t="s">
        <v>327</v>
      </c>
      <c r="B47" s="112" t="s">
        <v>327</v>
      </c>
      <c r="C47" s="118" t="s">
        <v>267</v>
      </c>
      <c r="D47" s="113" t="s">
        <v>275</v>
      </c>
      <c r="E47" s="112" t="s">
        <v>293</v>
      </c>
      <c r="F47" s="112" t="s">
        <v>293</v>
      </c>
      <c r="G47" s="118" t="s">
        <v>300</v>
      </c>
      <c r="H47" s="113" t="s">
        <v>275</v>
      </c>
      <c r="I47" s="116" t="s">
        <v>328</v>
      </c>
      <c r="J47" s="99"/>
    </row>
    <row r="48" spans="1:10" ht="50" x14ac:dyDescent="0.25">
      <c r="A48" s="112" t="s">
        <v>327</v>
      </c>
      <c r="B48" s="112" t="s">
        <v>327</v>
      </c>
      <c r="C48" s="118" t="s">
        <v>268</v>
      </c>
      <c r="D48" s="113" t="s">
        <v>275</v>
      </c>
      <c r="E48" s="112" t="s">
        <v>293</v>
      </c>
      <c r="F48" s="112" t="s">
        <v>293</v>
      </c>
      <c r="G48" s="118" t="s">
        <v>268</v>
      </c>
      <c r="H48" s="113" t="s">
        <v>275</v>
      </c>
      <c r="I48" s="116" t="s">
        <v>328</v>
      </c>
      <c r="J48" s="99"/>
    </row>
    <row r="49" spans="1:10" ht="146.5" customHeight="1" x14ac:dyDescent="0.25">
      <c r="A49" s="112" t="s">
        <v>327</v>
      </c>
      <c r="B49" s="112" t="s">
        <v>327</v>
      </c>
      <c r="C49" s="113" t="s">
        <v>270</v>
      </c>
      <c r="D49" s="113" t="s">
        <v>276</v>
      </c>
      <c r="E49" s="112" t="s">
        <v>293</v>
      </c>
      <c r="F49" s="112" t="s">
        <v>293</v>
      </c>
      <c r="G49" s="113" t="s">
        <v>296</v>
      </c>
      <c r="H49" s="113" t="s">
        <v>276</v>
      </c>
      <c r="I49" s="116" t="s">
        <v>331</v>
      </c>
      <c r="J49" s="99"/>
    </row>
    <row r="50" spans="1:10" ht="50" x14ac:dyDescent="0.25">
      <c r="A50" s="112" t="s">
        <v>327</v>
      </c>
      <c r="B50" s="112" t="s">
        <v>327</v>
      </c>
      <c r="C50" s="113" t="s">
        <v>271</v>
      </c>
      <c r="D50" s="113" t="s">
        <v>274</v>
      </c>
      <c r="E50" s="112" t="s">
        <v>294</v>
      </c>
      <c r="F50" s="112" t="s">
        <v>294</v>
      </c>
      <c r="G50" s="113" t="s">
        <v>297</v>
      </c>
      <c r="H50" s="113" t="s">
        <v>274</v>
      </c>
      <c r="I50" s="116" t="s">
        <v>328</v>
      </c>
      <c r="J50" s="99"/>
    </row>
    <row r="53" spans="1:10" x14ac:dyDescent="0.25">
      <c r="A53" s="13" t="s">
        <v>186</v>
      </c>
      <c r="B53" s="200" t="s">
        <v>333</v>
      </c>
      <c r="C53" s="201"/>
    </row>
    <row r="55" spans="1:10" x14ac:dyDescent="0.25">
      <c r="A55" s="13" t="s">
        <v>192</v>
      </c>
      <c r="B55" s="13" t="s">
        <v>193</v>
      </c>
      <c r="C55" s="13" t="s">
        <v>194</v>
      </c>
      <c r="D55" s="13" t="s">
        <v>195</v>
      </c>
      <c r="E55" s="13" t="s">
        <v>196</v>
      </c>
      <c r="F55" s="13" t="s">
        <v>193</v>
      </c>
      <c r="G55" s="115" t="s">
        <v>197</v>
      </c>
      <c r="H55" s="13" t="s">
        <v>195</v>
      </c>
      <c r="I55" s="115" t="s">
        <v>198</v>
      </c>
      <c r="J55" s="13" t="s">
        <v>199</v>
      </c>
    </row>
    <row r="56" spans="1:10" x14ac:dyDescent="0.25">
      <c r="A56" s="119"/>
      <c r="B56" s="119"/>
      <c r="C56" s="119"/>
      <c r="D56" s="119"/>
      <c r="E56" s="119"/>
      <c r="F56" s="119"/>
      <c r="G56" s="120"/>
      <c r="H56" s="119"/>
      <c r="I56" s="120" t="s">
        <v>335</v>
      </c>
      <c r="J56" s="117"/>
    </row>
    <row r="57" spans="1:10" ht="187.5" x14ac:dyDescent="0.25">
      <c r="A57" s="112" t="s">
        <v>320</v>
      </c>
      <c r="B57" s="112" t="s">
        <v>320</v>
      </c>
      <c r="C57" s="118" t="s">
        <v>266</v>
      </c>
      <c r="D57" s="113" t="s">
        <v>283</v>
      </c>
      <c r="E57" s="112" t="s">
        <v>341</v>
      </c>
      <c r="F57" s="112" t="s">
        <v>341</v>
      </c>
      <c r="G57" s="118" t="s">
        <v>266</v>
      </c>
      <c r="H57" s="113" t="s">
        <v>273</v>
      </c>
      <c r="I57" s="116" t="s">
        <v>337</v>
      </c>
      <c r="J57" s="99"/>
    </row>
    <row r="58" spans="1:10" ht="187.5" x14ac:dyDescent="0.25">
      <c r="A58" s="96" t="s">
        <v>320</v>
      </c>
      <c r="B58" s="112" t="s">
        <v>320</v>
      </c>
      <c r="C58" s="118" t="s">
        <v>267</v>
      </c>
      <c r="D58" s="113" t="s">
        <v>283</v>
      </c>
      <c r="E58" s="112" t="s">
        <v>341</v>
      </c>
      <c r="F58" s="112" t="s">
        <v>341</v>
      </c>
      <c r="G58" s="118" t="s">
        <v>267</v>
      </c>
      <c r="H58" s="113" t="s">
        <v>275</v>
      </c>
      <c r="I58" s="116" t="s">
        <v>338</v>
      </c>
      <c r="J58" s="99"/>
    </row>
    <row r="59" spans="1:10" ht="175" x14ac:dyDescent="0.25">
      <c r="A59" s="112" t="s">
        <v>320</v>
      </c>
      <c r="B59" s="112" t="s">
        <v>320</v>
      </c>
      <c r="C59" s="118" t="s">
        <v>270</v>
      </c>
      <c r="D59" s="113" t="s">
        <v>283</v>
      </c>
      <c r="E59" s="112" t="s">
        <v>341</v>
      </c>
      <c r="F59" s="112" t="s">
        <v>341</v>
      </c>
      <c r="G59" s="113" t="s">
        <v>270</v>
      </c>
      <c r="H59" s="113" t="s">
        <v>276</v>
      </c>
      <c r="I59" s="116" t="s">
        <v>339</v>
      </c>
      <c r="J59" s="99"/>
    </row>
    <row r="60" spans="1:10" ht="177" customHeight="1" x14ac:dyDescent="0.25">
      <c r="A60" s="112" t="s">
        <v>320</v>
      </c>
      <c r="B60" s="112" t="s">
        <v>320</v>
      </c>
      <c r="C60" s="118" t="s">
        <v>271</v>
      </c>
      <c r="D60" s="113" t="s">
        <v>283</v>
      </c>
      <c r="E60" s="112" t="s">
        <v>341</v>
      </c>
      <c r="F60" s="112" t="s">
        <v>341</v>
      </c>
      <c r="G60" s="113" t="s">
        <v>271</v>
      </c>
      <c r="H60" s="113" t="s">
        <v>274</v>
      </c>
      <c r="I60" s="116" t="s">
        <v>340</v>
      </c>
      <c r="J60" s="99"/>
    </row>
    <row r="63" spans="1:10" x14ac:dyDescent="0.25">
      <c r="A63" s="13" t="s">
        <v>186</v>
      </c>
      <c r="B63" s="200" t="s">
        <v>334</v>
      </c>
      <c r="C63" s="201"/>
    </row>
    <row r="65" spans="1:10" x14ac:dyDescent="0.25">
      <c r="A65" s="13" t="s">
        <v>192</v>
      </c>
      <c r="B65" s="13" t="s">
        <v>193</v>
      </c>
      <c r="C65" s="13" t="s">
        <v>194</v>
      </c>
      <c r="D65" s="13" t="s">
        <v>195</v>
      </c>
      <c r="E65" s="13" t="s">
        <v>196</v>
      </c>
      <c r="F65" s="13" t="s">
        <v>193</v>
      </c>
      <c r="G65" s="115" t="s">
        <v>197</v>
      </c>
      <c r="H65" s="13" t="s">
        <v>195</v>
      </c>
      <c r="I65" s="115" t="s">
        <v>198</v>
      </c>
      <c r="J65" s="13" t="s">
        <v>199</v>
      </c>
    </row>
    <row r="66" spans="1:10" x14ac:dyDescent="0.25">
      <c r="A66" s="119"/>
      <c r="B66" s="119"/>
      <c r="C66" s="119"/>
      <c r="D66" s="119"/>
      <c r="E66" s="119"/>
      <c r="F66" s="119"/>
      <c r="G66" s="120"/>
      <c r="H66" s="119"/>
      <c r="I66" s="120" t="s">
        <v>342</v>
      </c>
      <c r="J66" s="117"/>
    </row>
    <row r="67" spans="1:10" ht="25" x14ac:dyDescent="0.25">
      <c r="A67" s="119"/>
      <c r="B67" s="119"/>
      <c r="C67" s="119"/>
      <c r="D67" s="119"/>
      <c r="E67" s="119"/>
      <c r="F67" s="119"/>
      <c r="G67" s="120"/>
      <c r="H67" s="119"/>
      <c r="I67" s="122" t="s">
        <v>304</v>
      </c>
      <c r="J67" s="117"/>
    </row>
    <row r="68" spans="1:10" ht="409.5" x14ac:dyDescent="0.25">
      <c r="A68" s="112" t="s">
        <v>341</v>
      </c>
      <c r="B68" s="112" t="s">
        <v>341</v>
      </c>
      <c r="C68" s="118" t="s">
        <v>266</v>
      </c>
      <c r="D68" s="113" t="s">
        <v>273</v>
      </c>
      <c r="E68" s="112" t="s">
        <v>293</v>
      </c>
      <c r="F68" s="112" t="s">
        <v>293</v>
      </c>
      <c r="G68" s="121" t="s">
        <v>295</v>
      </c>
      <c r="H68" s="113" t="s">
        <v>273</v>
      </c>
      <c r="I68" s="116" t="s">
        <v>343</v>
      </c>
      <c r="J68" s="99"/>
    </row>
    <row r="69" spans="1:10" ht="50" x14ac:dyDescent="0.25">
      <c r="A69" s="112" t="s">
        <v>341</v>
      </c>
      <c r="B69" s="112" t="s">
        <v>341</v>
      </c>
      <c r="C69" s="118" t="s">
        <v>267</v>
      </c>
      <c r="D69" s="113" t="s">
        <v>275</v>
      </c>
      <c r="E69" s="112" t="s">
        <v>293</v>
      </c>
      <c r="F69" s="112" t="s">
        <v>293</v>
      </c>
      <c r="G69" s="118" t="s">
        <v>300</v>
      </c>
      <c r="H69" s="113" t="s">
        <v>275</v>
      </c>
      <c r="I69" s="116" t="s">
        <v>344</v>
      </c>
      <c r="J69" s="99"/>
    </row>
    <row r="70" spans="1:10" ht="275" x14ac:dyDescent="0.25">
      <c r="A70" s="112" t="s">
        <v>341</v>
      </c>
      <c r="B70" s="112" t="s">
        <v>341</v>
      </c>
      <c r="C70" s="113" t="s">
        <v>270</v>
      </c>
      <c r="D70" s="113" t="s">
        <v>276</v>
      </c>
      <c r="E70" s="112" t="s">
        <v>293</v>
      </c>
      <c r="F70" s="112" t="s">
        <v>293</v>
      </c>
      <c r="G70" s="113" t="s">
        <v>296</v>
      </c>
      <c r="H70" s="113" t="s">
        <v>276</v>
      </c>
      <c r="I70" s="116" t="s">
        <v>345</v>
      </c>
      <c r="J70" s="99"/>
    </row>
    <row r="71" spans="1:10" ht="50" x14ac:dyDescent="0.25">
      <c r="A71" s="112" t="s">
        <v>341</v>
      </c>
      <c r="B71" s="112" t="s">
        <v>341</v>
      </c>
      <c r="C71" s="113" t="s">
        <v>271</v>
      </c>
      <c r="D71" s="113" t="s">
        <v>274</v>
      </c>
      <c r="E71" s="112" t="s">
        <v>294</v>
      </c>
      <c r="F71" s="112" t="s">
        <v>294</v>
      </c>
      <c r="G71" s="113" t="s">
        <v>297</v>
      </c>
      <c r="H71" s="113" t="s">
        <v>274</v>
      </c>
      <c r="I71" s="116" t="s">
        <v>344</v>
      </c>
      <c r="J71" s="99"/>
    </row>
    <row r="74" spans="1:10" x14ac:dyDescent="0.25">
      <c r="A74" s="13" t="s">
        <v>186</v>
      </c>
      <c r="B74" s="200" t="s">
        <v>395</v>
      </c>
      <c r="C74" s="201"/>
      <c r="G74"/>
      <c r="I74"/>
    </row>
    <row r="75" spans="1:10" x14ac:dyDescent="0.25">
      <c r="G75"/>
      <c r="I75"/>
    </row>
    <row r="76" spans="1:10" x14ac:dyDescent="0.25">
      <c r="A76" s="13" t="s">
        <v>192</v>
      </c>
      <c r="B76" s="13" t="s">
        <v>193</v>
      </c>
      <c r="C76" s="13" t="s">
        <v>194</v>
      </c>
      <c r="D76" s="13" t="s">
        <v>195</v>
      </c>
      <c r="E76" s="13" t="s">
        <v>196</v>
      </c>
      <c r="F76" s="13" t="s">
        <v>193</v>
      </c>
      <c r="G76" s="13" t="s">
        <v>197</v>
      </c>
      <c r="H76" s="13" t="s">
        <v>195</v>
      </c>
      <c r="I76" s="13" t="s">
        <v>198</v>
      </c>
      <c r="J76" s="13" t="s">
        <v>199</v>
      </c>
    </row>
    <row r="77" spans="1:10" x14ac:dyDescent="0.25">
      <c r="A77" s="44" t="s">
        <v>232</v>
      </c>
      <c r="B77" s="44" t="s">
        <v>232</v>
      </c>
      <c r="C77" s="44" t="s">
        <v>232</v>
      </c>
      <c r="D77" s="44" t="s">
        <v>232</v>
      </c>
      <c r="E77" s="44" t="s">
        <v>232</v>
      </c>
      <c r="F77" s="44" t="s">
        <v>232</v>
      </c>
      <c r="G77" s="44" t="s">
        <v>232</v>
      </c>
      <c r="H77" s="44" t="s">
        <v>232</v>
      </c>
      <c r="I77" s="139" t="s">
        <v>396</v>
      </c>
      <c r="J77" s="139"/>
    </row>
    <row r="78" spans="1:10" ht="114" customHeight="1" x14ac:dyDescent="0.25">
      <c r="A78" s="96" t="s">
        <v>232</v>
      </c>
      <c r="B78" s="96" t="s">
        <v>232</v>
      </c>
      <c r="C78" s="96" t="s">
        <v>232</v>
      </c>
      <c r="D78" s="96" t="s">
        <v>232</v>
      </c>
      <c r="E78" s="96" t="s">
        <v>232</v>
      </c>
      <c r="F78" s="96" t="s">
        <v>232</v>
      </c>
      <c r="G78" s="96" t="s">
        <v>232</v>
      </c>
      <c r="H78" s="96" t="s">
        <v>232</v>
      </c>
      <c r="I78" s="140" t="s">
        <v>428</v>
      </c>
      <c r="J78" s="43"/>
    </row>
    <row r="79" spans="1:10" x14ac:dyDescent="0.25">
      <c r="A79" s="44" t="s">
        <v>397</v>
      </c>
      <c r="B79" s="44" t="s">
        <v>397</v>
      </c>
      <c r="C79" s="19" t="s">
        <v>295</v>
      </c>
      <c r="D79" s="44" t="s">
        <v>398</v>
      </c>
      <c r="E79" s="44" t="s">
        <v>375</v>
      </c>
      <c r="F79" s="44" t="s">
        <v>375</v>
      </c>
      <c r="G79" s="44" t="s">
        <v>266</v>
      </c>
      <c r="H79" s="44" t="s">
        <v>398</v>
      </c>
      <c r="I79" s="141" t="s">
        <v>399</v>
      </c>
      <c r="J79" s="139"/>
    </row>
    <row r="80" spans="1:10" x14ac:dyDescent="0.25">
      <c r="A80" s="44" t="s">
        <v>397</v>
      </c>
      <c r="B80" s="44" t="s">
        <v>397</v>
      </c>
      <c r="C80" s="19" t="s">
        <v>267</v>
      </c>
      <c r="D80" s="44" t="s">
        <v>379</v>
      </c>
      <c r="E80" s="44" t="s">
        <v>375</v>
      </c>
      <c r="F80" s="44" t="s">
        <v>375</v>
      </c>
      <c r="G80" s="44" t="s">
        <v>267</v>
      </c>
      <c r="H80" s="44" t="s">
        <v>379</v>
      </c>
      <c r="I80" s="141" t="s">
        <v>399</v>
      </c>
      <c r="J80" s="142"/>
    </row>
    <row r="81" spans="1:10" x14ac:dyDescent="0.25">
      <c r="A81" s="44" t="s">
        <v>397</v>
      </c>
      <c r="B81" s="44" t="s">
        <v>397</v>
      </c>
      <c r="C81" s="19" t="s">
        <v>296</v>
      </c>
      <c r="D81" s="44" t="s">
        <v>380</v>
      </c>
      <c r="E81" s="44" t="s">
        <v>375</v>
      </c>
      <c r="F81" s="44" t="s">
        <v>375</v>
      </c>
      <c r="G81" s="44" t="s">
        <v>270</v>
      </c>
      <c r="H81" s="44" t="s">
        <v>380</v>
      </c>
      <c r="I81" s="141" t="s">
        <v>399</v>
      </c>
      <c r="J81" s="142"/>
    </row>
    <row r="82" spans="1:10" x14ac:dyDescent="0.25">
      <c r="A82" s="44" t="s">
        <v>400</v>
      </c>
      <c r="B82" s="44" t="s">
        <v>400</v>
      </c>
      <c r="C82" s="19" t="s">
        <v>401</v>
      </c>
      <c r="D82" s="44" t="s">
        <v>381</v>
      </c>
      <c r="E82" s="44" t="s">
        <v>375</v>
      </c>
      <c r="F82" s="44" t="s">
        <v>375</v>
      </c>
      <c r="G82" s="44" t="s">
        <v>271</v>
      </c>
      <c r="H82" s="44" t="s">
        <v>381</v>
      </c>
      <c r="I82" s="141" t="s">
        <v>399</v>
      </c>
      <c r="J82" s="142"/>
    </row>
    <row r="83" spans="1:10" x14ac:dyDescent="0.25">
      <c r="A83" s="95"/>
      <c r="B83" s="95"/>
      <c r="C83" s="143"/>
      <c r="D83" s="95"/>
      <c r="E83" s="95"/>
      <c r="F83" s="95"/>
      <c r="G83" s="95"/>
      <c r="H83" s="95"/>
      <c r="I83" s="144"/>
      <c r="J83" s="145"/>
    </row>
    <row r="84" spans="1:10" x14ac:dyDescent="0.25">
      <c r="A84" s="95"/>
      <c r="B84" s="95"/>
      <c r="C84" s="95"/>
      <c r="D84" s="95"/>
      <c r="E84" s="95"/>
      <c r="F84" s="95"/>
      <c r="G84" s="95"/>
      <c r="H84" s="95"/>
      <c r="I84" s="28"/>
      <c r="J84" s="28"/>
    </row>
    <row r="85" spans="1:10" x14ac:dyDescent="0.25">
      <c r="A85" s="13" t="s">
        <v>186</v>
      </c>
      <c r="B85" s="200" t="s">
        <v>402</v>
      </c>
      <c r="C85" s="201"/>
      <c r="G85"/>
      <c r="I85"/>
    </row>
    <row r="86" spans="1:10" x14ac:dyDescent="0.25">
      <c r="G86"/>
      <c r="I86"/>
    </row>
    <row r="87" spans="1:10" x14ac:dyDescent="0.25">
      <c r="A87" s="13" t="s">
        <v>192</v>
      </c>
      <c r="B87" s="13" t="s">
        <v>193</v>
      </c>
      <c r="C87" s="13" t="s">
        <v>194</v>
      </c>
      <c r="D87" s="13" t="s">
        <v>195</v>
      </c>
      <c r="E87" s="13" t="s">
        <v>196</v>
      </c>
      <c r="F87" s="13" t="s">
        <v>193</v>
      </c>
      <c r="G87" s="13" t="s">
        <v>197</v>
      </c>
      <c r="H87" s="13" t="s">
        <v>195</v>
      </c>
      <c r="I87" s="13" t="s">
        <v>198</v>
      </c>
      <c r="J87" s="13" t="s">
        <v>199</v>
      </c>
    </row>
    <row r="88" spans="1:10" x14ac:dyDescent="0.25">
      <c r="A88" s="96" t="s">
        <v>232</v>
      </c>
      <c r="B88" s="96" t="s">
        <v>232</v>
      </c>
      <c r="C88" s="96" t="s">
        <v>232</v>
      </c>
      <c r="D88" s="96" t="s">
        <v>232</v>
      </c>
      <c r="E88" s="96" t="s">
        <v>232</v>
      </c>
      <c r="F88" s="96" t="s">
        <v>232</v>
      </c>
      <c r="G88" s="96" t="s">
        <v>232</v>
      </c>
      <c r="H88" s="96" t="s">
        <v>232</v>
      </c>
      <c r="I88" s="139" t="s">
        <v>396</v>
      </c>
      <c r="J88" s="139"/>
    </row>
    <row r="89" spans="1:10" ht="75" x14ac:dyDescent="0.25">
      <c r="A89" s="96" t="s">
        <v>232</v>
      </c>
      <c r="B89" s="96" t="s">
        <v>232</v>
      </c>
      <c r="C89" s="96" t="s">
        <v>232</v>
      </c>
      <c r="D89" s="96" t="s">
        <v>232</v>
      </c>
      <c r="E89" s="96" t="s">
        <v>232</v>
      </c>
      <c r="F89" s="96" t="s">
        <v>232</v>
      </c>
      <c r="G89" s="96" t="s">
        <v>232</v>
      </c>
      <c r="H89" s="96" t="s">
        <v>232</v>
      </c>
      <c r="I89" s="116" t="s">
        <v>403</v>
      </c>
      <c r="J89" s="139"/>
    </row>
    <row r="90" spans="1:10" x14ac:dyDescent="0.25">
      <c r="A90" s="44" t="s">
        <v>397</v>
      </c>
      <c r="B90" s="44" t="s">
        <v>397</v>
      </c>
      <c r="C90" s="19" t="s">
        <v>267</v>
      </c>
      <c r="D90" s="44" t="s">
        <v>379</v>
      </c>
      <c r="E90" s="12" t="s">
        <v>377</v>
      </c>
      <c r="F90" s="12" t="s">
        <v>377</v>
      </c>
      <c r="G90" s="44" t="s">
        <v>267</v>
      </c>
      <c r="H90" s="44" t="s">
        <v>379</v>
      </c>
      <c r="I90" s="142" t="s">
        <v>404</v>
      </c>
      <c r="J90" s="142"/>
    </row>
    <row r="91" spans="1:10" x14ac:dyDescent="0.25">
      <c r="A91" s="44" t="s">
        <v>397</v>
      </c>
      <c r="B91" s="44" t="s">
        <v>397</v>
      </c>
      <c r="C91" s="19" t="s">
        <v>296</v>
      </c>
      <c r="D91" s="44" t="s">
        <v>380</v>
      </c>
      <c r="E91" s="12" t="s">
        <v>377</v>
      </c>
      <c r="F91" s="12" t="s">
        <v>377</v>
      </c>
      <c r="G91" s="44" t="s">
        <v>270</v>
      </c>
      <c r="H91" s="44" t="s">
        <v>380</v>
      </c>
      <c r="I91" s="142" t="s">
        <v>404</v>
      </c>
      <c r="J91" s="142"/>
    </row>
    <row r="92" spans="1:10" x14ac:dyDescent="0.25">
      <c r="A92" s="44" t="s">
        <v>400</v>
      </c>
      <c r="B92" s="44" t="s">
        <v>400</v>
      </c>
      <c r="C92" s="19" t="s">
        <v>401</v>
      </c>
      <c r="D92" s="44" t="s">
        <v>381</v>
      </c>
      <c r="E92" s="12" t="s">
        <v>377</v>
      </c>
      <c r="F92" s="12" t="s">
        <v>377</v>
      </c>
      <c r="G92" s="44" t="s">
        <v>271</v>
      </c>
      <c r="H92" s="44" t="s">
        <v>381</v>
      </c>
      <c r="I92" s="142" t="s">
        <v>404</v>
      </c>
      <c r="J92" s="142"/>
    </row>
    <row r="93" spans="1:10" x14ac:dyDescent="0.25">
      <c r="D93" s="28"/>
      <c r="E93" s="28"/>
      <c r="F93" s="28"/>
      <c r="G93" s="28"/>
      <c r="H93" s="28"/>
      <c r="I93" s="28"/>
      <c r="J93" s="28"/>
    </row>
    <row r="94" spans="1:10" x14ac:dyDescent="0.25">
      <c r="D94" s="28"/>
      <c r="E94" s="28"/>
      <c r="F94" s="28"/>
      <c r="G94" s="28"/>
      <c r="H94" s="28"/>
      <c r="I94" s="28"/>
      <c r="J94" s="28"/>
    </row>
    <row r="95" spans="1:10" x14ac:dyDescent="0.25">
      <c r="A95" s="13" t="s">
        <v>186</v>
      </c>
      <c r="B95" s="200" t="s">
        <v>405</v>
      </c>
      <c r="C95" s="201"/>
      <c r="G95"/>
      <c r="I95"/>
    </row>
    <row r="96" spans="1:10" x14ac:dyDescent="0.25">
      <c r="G96"/>
      <c r="I96"/>
    </row>
    <row r="97" spans="1:10" x14ac:dyDescent="0.25">
      <c r="A97" s="13" t="s">
        <v>192</v>
      </c>
      <c r="B97" s="13" t="s">
        <v>193</v>
      </c>
      <c r="C97" s="13" t="s">
        <v>194</v>
      </c>
      <c r="D97" s="13" t="s">
        <v>195</v>
      </c>
      <c r="E97" s="13" t="s">
        <v>196</v>
      </c>
      <c r="F97" s="13" t="s">
        <v>193</v>
      </c>
      <c r="G97" s="13" t="s">
        <v>197</v>
      </c>
      <c r="H97" s="13" t="s">
        <v>195</v>
      </c>
      <c r="I97" s="13" t="s">
        <v>198</v>
      </c>
      <c r="J97" s="13" t="s">
        <v>199</v>
      </c>
    </row>
    <row r="98" spans="1:10" x14ac:dyDescent="0.25">
      <c r="A98" s="96" t="s">
        <v>232</v>
      </c>
      <c r="B98" s="96" t="s">
        <v>232</v>
      </c>
      <c r="C98" s="96" t="s">
        <v>232</v>
      </c>
      <c r="D98" s="96" t="s">
        <v>232</v>
      </c>
      <c r="E98" s="96" t="s">
        <v>232</v>
      </c>
      <c r="F98" s="96" t="s">
        <v>232</v>
      </c>
      <c r="G98" s="96" t="s">
        <v>232</v>
      </c>
      <c r="H98" s="96" t="s">
        <v>232</v>
      </c>
      <c r="I98" s="139" t="s">
        <v>396</v>
      </c>
      <c r="J98" s="139"/>
    </row>
    <row r="99" spans="1:10" ht="187.5" x14ac:dyDescent="0.25">
      <c r="A99" s="96" t="s">
        <v>232</v>
      </c>
      <c r="B99" s="96" t="s">
        <v>232</v>
      </c>
      <c r="C99" s="96" t="s">
        <v>232</v>
      </c>
      <c r="D99" s="96" t="s">
        <v>232</v>
      </c>
      <c r="E99" s="96" t="s">
        <v>232</v>
      </c>
      <c r="F99" s="96" t="s">
        <v>232</v>
      </c>
      <c r="G99" s="96" t="s">
        <v>232</v>
      </c>
      <c r="H99" s="96" t="s">
        <v>232</v>
      </c>
      <c r="I99" s="116" t="s">
        <v>406</v>
      </c>
      <c r="J99" s="139"/>
    </row>
    <row r="100" spans="1:10" x14ac:dyDescent="0.25">
      <c r="A100" s="44" t="s">
        <v>397</v>
      </c>
      <c r="B100" s="44" t="s">
        <v>397</v>
      </c>
      <c r="C100" s="44" t="s">
        <v>268</v>
      </c>
      <c r="D100" s="44" t="s">
        <v>379</v>
      </c>
      <c r="E100" s="12" t="s">
        <v>378</v>
      </c>
      <c r="F100" s="12" t="s">
        <v>378</v>
      </c>
      <c r="G100" s="44" t="s">
        <v>268</v>
      </c>
      <c r="H100" s="44" t="s">
        <v>379</v>
      </c>
      <c r="I100" s="141" t="s">
        <v>407</v>
      </c>
      <c r="J100" s="142"/>
    </row>
    <row r="101" spans="1:10" x14ac:dyDescent="0.25">
      <c r="A101" s="96" t="s">
        <v>397</v>
      </c>
      <c r="B101" s="44" t="s">
        <v>397</v>
      </c>
      <c r="C101" s="12" t="s">
        <v>269</v>
      </c>
      <c r="D101" s="44" t="s">
        <v>379</v>
      </c>
      <c r="E101" s="12" t="s">
        <v>378</v>
      </c>
      <c r="F101" s="12" t="s">
        <v>378</v>
      </c>
      <c r="G101" s="12" t="s">
        <v>269</v>
      </c>
      <c r="H101" s="44" t="s">
        <v>379</v>
      </c>
      <c r="I101" s="141" t="s">
        <v>407</v>
      </c>
      <c r="J101" s="142"/>
    </row>
    <row r="102" spans="1:10" x14ac:dyDescent="0.25">
      <c r="A102" s="44" t="s">
        <v>397</v>
      </c>
      <c r="B102" s="44" t="s">
        <v>397</v>
      </c>
      <c r="C102" s="146" t="s">
        <v>382</v>
      </c>
      <c r="D102" s="44" t="s">
        <v>383</v>
      </c>
      <c r="E102" s="12" t="s">
        <v>378</v>
      </c>
      <c r="F102" s="12" t="s">
        <v>378</v>
      </c>
      <c r="G102" s="146" t="s">
        <v>382</v>
      </c>
      <c r="H102" s="44" t="s">
        <v>383</v>
      </c>
      <c r="I102" s="141" t="s">
        <v>407</v>
      </c>
      <c r="J102" s="142"/>
    </row>
    <row r="103" spans="1:10" x14ac:dyDescent="0.25">
      <c r="A103" s="44" t="s">
        <v>397</v>
      </c>
      <c r="B103" s="44" t="s">
        <v>397</v>
      </c>
      <c r="C103" s="19" t="s">
        <v>384</v>
      </c>
      <c r="D103" s="44" t="s">
        <v>383</v>
      </c>
      <c r="E103" s="12" t="s">
        <v>378</v>
      </c>
      <c r="F103" s="12" t="s">
        <v>378</v>
      </c>
      <c r="G103" s="19" t="s">
        <v>384</v>
      </c>
      <c r="H103" s="44" t="s">
        <v>383</v>
      </c>
      <c r="I103" s="141" t="s">
        <v>407</v>
      </c>
      <c r="J103" s="142"/>
    </row>
    <row r="104" spans="1:10" x14ac:dyDescent="0.25">
      <c r="A104" s="44" t="s">
        <v>397</v>
      </c>
      <c r="B104" s="44" t="s">
        <v>397</v>
      </c>
      <c r="C104" s="19" t="s">
        <v>385</v>
      </c>
      <c r="D104" s="44" t="s">
        <v>383</v>
      </c>
      <c r="E104" s="12" t="s">
        <v>378</v>
      </c>
      <c r="F104" s="12" t="s">
        <v>378</v>
      </c>
      <c r="G104" s="19" t="s">
        <v>385</v>
      </c>
      <c r="H104" s="44" t="s">
        <v>383</v>
      </c>
      <c r="I104" s="141" t="s">
        <v>407</v>
      </c>
      <c r="J104" s="142"/>
    </row>
    <row r="105" spans="1:10" x14ac:dyDescent="0.25">
      <c r="A105" s="44" t="s">
        <v>397</v>
      </c>
      <c r="B105" s="44" t="s">
        <v>397</v>
      </c>
      <c r="C105" s="44" t="s">
        <v>296</v>
      </c>
      <c r="D105" s="44" t="s">
        <v>380</v>
      </c>
      <c r="E105" s="12" t="s">
        <v>378</v>
      </c>
      <c r="F105" s="12" t="s">
        <v>378</v>
      </c>
      <c r="G105" s="12" t="s">
        <v>270</v>
      </c>
      <c r="H105" s="44" t="s">
        <v>380</v>
      </c>
      <c r="I105" s="141" t="s">
        <v>407</v>
      </c>
      <c r="J105" s="142"/>
    </row>
    <row r="106" spans="1:10" x14ac:dyDescent="0.25">
      <c r="A106" s="44" t="s">
        <v>400</v>
      </c>
      <c r="B106" s="44" t="s">
        <v>400</v>
      </c>
      <c r="C106" s="44" t="s">
        <v>408</v>
      </c>
      <c r="D106" s="44" t="s">
        <v>381</v>
      </c>
      <c r="E106" s="12" t="s">
        <v>378</v>
      </c>
      <c r="F106" s="12" t="s">
        <v>378</v>
      </c>
      <c r="G106" s="44" t="s">
        <v>271</v>
      </c>
      <c r="H106" s="44" t="s">
        <v>381</v>
      </c>
      <c r="I106" s="141" t="s">
        <v>407</v>
      </c>
      <c r="J106" s="142"/>
    </row>
    <row r="107" spans="1:10" x14ac:dyDescent="0.25">
      <c r="A107" s="44" t="s">
        <v>397</v>
      </c>
      <c r="B107" s="44" t="s">
        <v>397</v>
      </c>
      <c r="C107" s="19" t="s">
        <v>386</v>
      </c>
      <c r="D107" s="44" t="s">
        <v>381</v>
      </c>
      <c r="E107" s="12" t="s">
        <v>378</v>
      </c>
      <c r="F107" s="12" t="s">
        <v>378</v>
      </c>
      <c r="G107" s="19" t="s">
        <v>386</v>
      </c>
      <c r="H107" s="44" t="s">
        <v>381</v>
      </c>
      <c r="I107" s="141" t="s">
        <v>407</v>
      </c>
      <c r="J107" s="142"/>
    </row>
    <row r="108" spans="1:10" x14ac:dyDescent="0.25">
      <c r="A108" s="44" t="s">
        <v>397</v>
      </c>
      <c r="B108" s="44" t="s">
        <v>397</v>
      </c>
      <c r="C108" s="147" t="s">
        <v>387</v>
      </c>
      <c r="D108" s="44" t="s">
        <v>381</v>
      </c>
      <c r="E108" s="12" t="s">
        <v>378</v>
      </c>
      <c r="F108" s="12" t="s">
        <v>378</v>
      </c>
      <c r="G108" s="147" t="s">
        <v>387</v>
      </c>
      <c r="H108" s="44" t="s">
        <v>381</v>
      </c>
      <c r="I108" s="141" t="s">
        <v>407</v>
      </c>
      <c r="J108" s="142"/>
    </row>
    <row r="109" spans="1:10" x14ac:dyDescent="0.25">
      <c r="A109" s="44" t="s">
        <v>397</v>
      </c>
      <c r="B109" s="44" t="s">
        <v>397</v>
      </c>
      <c r="C109" s="147" t="s">
        <v>388</v>
      </c>
      <c r="D109" s="44" t="s">
        <v>381</v>
      </c>
      <c r="E109" s="12" t="s">
        <v>378</v>
      </c>
      <c r="F109" s="12" t="s">
        <v>378</v>
      </c>
      <c r="G109" s="147" t="s">
        <v>388</v>
      </c>
      <c r="H109" s="44" t="s">
        <v>381</v>
      </c>
      <c r="I109" s="141" t="s">
        <v>407</v>
      </c>
      <c r="J109" s="142"/>
    </row>
    <row r="110" spans="1:10" x14ac:dyDescent="0.25">
      <c r="A110" s="44" t="s">
        <v>397</v>
      </c>
      <c r="B110" s="44" t="s">
        <v>397</v>
      </c>
      <c r="C110" s="147" t="s">
        <v>389</v>
      </c>
      <c r="D110" s="44" t="s">
        <v>381</v>
      </c>
      <c r="E110" s="12" t="s">
        <v>378</v>
      </c>
      <c r="F110" s="12" t="s">
        <v>378</v>
      </c>
      <c r="G110" s="147" t="s">
        <v>389</v>
      </c>
      <c r="H110" s="44" t="s">
        <v>381</v>
      </c>
      <c r="I110" s="141" t="s">
        <v>407</v>
      </c>
      <c r="J110" s="142"/>
    </row>
    <row r="111" spans="1:10" x14ac:dyDescent="0.25">
      <c r="A111" s="44" t="s">
        <v>397</v>
      </c>
      <c r="B111" s="44" t="s">
        <v>397</v>
      </c>
      <c r="C111" s="19" t="s">
        <v>390</v>
      </c>
      <c r="D111" s="44" t="s">
        <v>381</v>
      </c>
      <c r="E111" s="12" t="s">
        <v>378</v>
      </c>
      <c r="F111" s="12" t="s">
        <v>378</v>
      </c>
      <c r="G111" s="19" t="s">
        <v>390</v>
      </c>
      <c r="H111" s="44" t="s">
        <v>381</v>
      </c>
      <c r="I111" s="141" t="s">
        <v>407</v>
      </c>
      <c r="J111" s="142"/>
    </row>
  </sheetData>
  <mergeCells count="10">
    <mergeCell ref="A1:D1"/>
    <mergeCell ref="B3:C3"/>
    <mergeCell ref="B16:C16"/>
    <mergeCell ref="B30:C30"/>
    <mergeCell ref="B41:C41"/>
    <mergeCell ref="B53:C53"/>
    <mergeCell ref="B63:C63"/>
    <mergeCell ref="B74:C74"/>
    <mergeCell ref="B85:C85"/>
    <mergeCell ref="B95:C95"/>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38"/>
  <sheetViews>
    <sheetView topLeftCell="A7" workbookViewId="0">
      <selection activeCell="A34" sqref="A34"/>
    </sheetView>
  </sheetViews>
  <sheetFormatPr defaultColWidth="9.1796875" defaultRowHeight="12.5" x14ac:dyDescent="0.25"/>
  <cols>
    <col min="1" max="1" width="18.54296875" style="84" customWidth="1"/>
    <col min="2" max="2" width="34.6328125" style="84" bestFit="1" customWidth="1"/>
    <col min="3" max="3" width="40.54296875" style="84" bestFit="1" customWidth="1"/>
    <col min="4" max="4" width="99.54296875" style="84" bestFit="1" customWidth="1"/>
    <col min="5" max="5" width="25.54296875" style="84" bestFit="1" customWidth="1"/>
    <col min="6" max="6" width="48.453125" style="85" bestFit="1" customWidth="1"/>
    <col min="7" max="16384" width="9.1796875" style="84"/>
  </cols>
  <sheetData>
    <row r="1" spans="1:3" ht="13" thickBot="1" x14ac:dyDescent="0.3">
      <c r="A1" s="196" t="s">
        <v>200</v>
      </c>
      <c r="B1" s="197"/>
      <c r="C1" s="198"/>
    </row>
    <row r="2" spans="1:3" ht="13" thickBot="1" x14ac:dyDescent="0.3"/>
    <row r="3" spans="1:3" ht="13" thickBot="1" x14ac:dyDescent="0.3">
      <c r="A3" s="196" t="s">
        <v>201</v>
      </c>
      <c r="B3" s="197"/>
      <c r="C3" s="198"/>
    </row>
    <row r="4" spans="1:3" x14ac:dyDescent="0.25">
      <c r="A4" s="15" t="s">
        <v>185</v>
      </c>
      <c r="B4" s="15" t="s">
        <v>202</v>
      </c>
      <c r="C4" s="15" t="s">
        <v>55</v>
      </c>
    </row>
    <row r="5" spans="1:3" x14ac:dyDescent="0.25">
      <c r="A5" s="82" t="s">
        <v>187</v>
      </c>
      <c r="B5" s="82" t="s">
        <v>204</v>
      </c>
      <c r="C5" s="82" t="s">
        <v>203</v>
      </c>
    </row>
    <row r="6" spans="1:3" ht="25" x14ac:dyDescent="0.25">
      <c r="A6" s="105" t="s">
        <v>189</v>
      </c>
      <c r="B6" s="106" t="s">
        <v>207</v>
      </c>
      <c r="C6" s="105" t="s">
        <v>203</v>
      </c>
    </row>
    <row r="7" spans="1:3" x14ac:dyDescent="0.25">
      <c r="A7" s="202"/>
      <c r="B7" s="202"/>
      <c r="C7" s="202"/>
    </row>
    <row r="8" spans="1:3" x14ac:dyDescent="0.25">
      <c r="A8" s="12" t="s">
        <v>187</v>
      </c>
      <c r="B8" s="12" t="s">
        <v>410</v>
      </c>
      <c r="C8" s="105" t="s">
        <v>203</v>
      </c>
    </row>
    <row r="9" spans="1:3" ht="25" x14ac:dyDescent="0.25">
      <c r="A9" s="96" t="s">
        <v>189</v>
      </c>
      <c r="B9" s="106" t="s">
        <v>207</v>
      </c>
      <c r="C9" s="105" t="s">
        <v>203</v>
      </c>
    </row>
    <row r="10" spans="1:3" x14ac:dyDescent="0.25">
      <c r="A10" s="203"/>
      <c r="B10" s="203"/>
      <c r="C10" s="203"/>
    </row>
    <row r="11" spans="1:3" x14ac:dyDescent="0.25">
      <c r="A11" s="97" t="s">
        <v>187</v>
      </c>
      <c r="B11" s="97" t="s">
        <v>411</v>
      </c>
      <c r="C11" s="105" t="s">
        <v>203</v>
      </c>
    </row>
    <row r="12" spans="1:3" ht="25" x14ac:dyDescent="0.25">
      <c r="A12" s="96" t="s">
        <v>189</v>
      </c>
      <c r="B12" s="106" t="s">
        <v>207</v>
      </c>
      <c r="C12" s="105" t="s">
        <v>203</v>
      </c>
    </row>
    <row r="13" spans="1:3" x14ac:dyDescent="0.25">
      <c r="A13" s="203"/>
      <c r="B13" s="203"/>
      <c r="C13" s="203"/>
    </row>
    <row r="14" spans="1:3" x14ac:dyDescent="0.25">
      <c r="A14" s="97" t="s">
        <v>187</v>
      </c>
      <c r="B14" s="97" t="s">
        <v>412</v>
      </c>
      <c r="C14" s="105" t="s">
        <v>203</v>
      </c>
    </row>
    <row r="15" spans="1:3" x14ac:dyDescent="0.25">
      <c r="A15" s="97" t="s">
        <v>187</v>
      </c>
      <c r="B15" s="97" t="s">
        <v>413</v>
      </c>
      <c r="C15" s="105" t="s">
        <v>203</v>
      </c>
    </row>
    <row r="17" spans="1:6" x14ac:dyDescent="0.25">
      <c r="E17" s="86"/>
    </row>
    <row r="18" spans="1:6" ht="13" thickBot="1" x14ac:dyDescent="0.3">
      <c r="E18" s="86"/>
    </row>
    <row r="19" spans="1:6" ht="13" thickBot="1" x14ac:dyDescent="0.3">
      <c r="A19" s="196" t="s">
        <v>205</v>
      </c>
      <c r="B19" s="197"/>
      <c r="C19" s="198"/>
      <c r="E19" s="86"/>
    </row>
    <row r="20" spans="1:6" x14ac:dyDescent="0.25">
      <c r="A20" s="15" t="s">
        <v>185</v>
      </c>
      <c r="B20" s="15" t="s">
        <v>202</v>
      </c>
      <c r="C20" s="15" t="s">
        <v>206</v>
      </c>
      <c r="D20" s="13" t="s">
        <v>17</v>
      </c>
      <c r="E20" s="30"/>
    </row>
    <row r="21" spans="1:6" s="109" customFormat="1" ht="25" x14ac:dyDescent="0.25">
      <c r="A21" s="105" t="s">
        <v>189</v>
      </c>
      <c r="B21" s="106" t="s">
        <v>207</v>
      </c>
      <c r="C21" s="105" t="s">
        <v>279</v>
      </c>
      <c r="D21" s="105" t="s">
        <v>203</v>
      </c>
      <c r="E21" s="107"/>
      <c r="F21" s="108"/>
    </row>
    <row r="22" spans="1:6" x14ac:dyDescent="0.25">
      <c r="A22" s="82" t="s">
        <v>187</v>
      </c>
      <c r="B22" s="83" t="s">
        <v>204</v>
      </c>
      <c r="C22" s="82" t="s">
        <v>299</v>
      </c>
      <c r="D22" s="82" t="s">
        <v>203</v>
      </c>
      <c r="E22" s="87"/>
    </row>
    <row r="23" spans="1:6" ht="25" x14ac:dyDescent="0.25">
      <c r="A23" s="105" t="s">
        <v>189</v>
      </c>
      <c r="B23" s="106" t="s">
        <v>207</v>
      </c>
      <c r="C23" s="105" t="s">
        <v>351</v>
      </c>
      <c r="D23" s="105" t="s">
        <v>203</v>
      </c>
      <c r="E23" s="87"/>
    </row>
    <row r="24" spans="1:6" x14ac:dyDescent="0.25">
      <c r="A24" s="82" t="s">
        <v>187</v>
      </c>
      <c r="B24" s="83" t="s">
        <v>204</v>
      </c>
      <c r="C24" s="82" t="s">
        <v>352</v>
      </c>
      <c r="D24" s="82" t="s">
        <v>203</v>
      </c>
      <c r="E24" s="87"/>
    </row>
    <row r="25" spans="1:6" ht="25" x14ac:dyDescent="0.25">
      <c r="A25" s="105" t="s">
        <v>189</v>
      </c>
      <c r="B25" s="106" t="s">
        <v>207</v>
      </c>
      <c r="C25" s="105" t="s">
        <v>349</v>
      </c>
      <c r="D25" s="105" t="s">
        <v>203</v>
      </c>
      <c r="E25" s="87"/>
    </row>
    <row r="26" spans="1:6" x14ac:dyDescent="0.25">
      <c r="A26" s="82" t="s">
        <v>187</v>
      </c>
      <c r="B26" s="83" t="s">
        <v>204</v>
      </c>
      <c r="C26" s="82" t="s">
        <v>350</v>
      </c>
      <c r="D26" s="82" t="s">
        <v>203</v>
      </c>
      <c r="E26" s="87"/>
    </row>
    <row r="27" spans="1:6" x14ac:dyDescent="0.25">
      <c r="A27" s="202"/>
      <c r="B27" s="202"/>
      <c r="C27" s="202"/>
      <c r="D27" s="202"/>
      <c r="E27" s="87"/>
    </row>
    <row r="28" spans="1:6" ht="29" customHeight="1" x14ac:dyDescent="0.25">
      <c r="A28" s="97" t="s">
        <v>187</v>
      </c>
      <c r="B28" s="97" t="s">
        <v>410</v>
      </c>
      <c r="C28" s="97" t="s">
        <v>414</v>
      </c>
      <c r="D28" s="154" t="s">
        <v>438</v>
      </c>
      <c r="E28" s="87"/>
    </row>
    <row r="29" spans="1:6" s="109" customFormat="1" ht="31.5" customHeight="1" x14ac:dyDescent="0.25">
      <c r="A29" s="96" t="s">
        <v>189</v>
      </c>
      <c r="B29" s="106" t="s">
        <v>207</v>
      </c>
      <c r="C29" s="97" t="s">
        <v>415</v>
      </c>
      <c r="D29" s="154" t="s">
        <v>438</v>
      </c>
      <c r="E29" s="148"/>
      <c r="F29" s="108"/>
    </row>
    <row r="30" spans="1:6" x14ac:dyDescent="0.25">
      <c r="A30" s="202"/>
      <c r="B30" s="202"/>
      <c r="C30" s="202"/>
      <c r="D30" s="202"/>
      <c r="E30" s="87"/>
    </row>
    <row r="31" spans="1:6" x14ac:dyDescent="0.25">
      <c r="A31" s="97" t="s">
        <v>187</v>
      </c>
      <c r="B31" s="97" t="s">
        <v>411</v>
      </c>
      <c r="C31" s="97" t="s">
        <v>435</v>
      </c>
      <c r="D31" s="154" t="s">
        <v>437</v>
      </c>
      <c r="E31" s="87"/>
    </row>
    <row r="32" spans="1:6" ht="25" x14ac:dyDescent="0.25">
      <c r="A32" s="96" t="s">
        <v>189</v>
      </c>
      <c r="B32" s="106" t="s">
        <v>207</v>
      </c>
      <c r="C32" s="97" t="s">
        <v>436</v>
      </c>
      <c r="D32" s="154" t="s">
        <v>437</v>
      </c>
      <c r="E32" s="87"/>
    </row>
    <row r="33" spans="1:5" x14ac:dyDescent="0.25">
      <c r="A33" s="202"/>
      <c r="B33" s="202"/>
      <c r="C33" s="202"/>
      <c r="D33" s="202"/>
      <c r="E33" s="87"/>
    </row>
    <row r="34" spans="1:5" x14ac:dyDescent="0.25">
      <c r="A34" s="12" t="s">
        <v>187</v>
      </c>
      <c r="B34" s="12" t="s">
        <v>412</v>
      </c>
      <c r="C34" s="12" t="s">
        <v>446</v>
      </c>
      <c r="D34" s="154" t="s">
        <v>437</v>
      </c>
      <c r="E34" s="87"/>
    </row>
    <row r="35" spans="1:5" x14ac:dyDescent="0.25">
      <c r="A35" s="87"/>
      <c r="B35" s="131"/>
      <c r="C35" s="87"/>
      <c r="D35" s="87"/>
      <c r="E35" s="87"/>
    </row>
    <row r="37" spans="1:5" x14ac:dyDescent="0.25">
      <c r="A37" s="20" t="s">
        <v>21</v>
      </c>
      <c r="B37" s="20" t="s">
        <v>175</v>
      </c>
    </row>
    <row r="38" spans="1:5" x14ac:dyDescent="0.25">
      <c r="A38" s="88"/>
      <c r="B38" s="88">
        <v>6.25E-2</v>
      </c>
    </row>
  </sheetData>
  <mergeCells count="9">
    <mergeCell ref="A27:D27"/>
    <mergeCell ref="A30:D30"/>
    <mergeCell ref="A33:D33"/>
    <mergeCell ref="A1:C1"/>
    <mergeCell ref="A19:C19"/>
    <mergeCell ref="A3:C3"/>
    <mergeCell ref="A7:C7"/>
    <mergeCell ref="A10:C10"/>
    <mergeCell ref="A13:C1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39"/>
  <sheetViews>
    <sheetView zoomScale="78" zoomScaleNormal="78" workbookViewId="0">
      <selection activeCell="G26" sqref="G26"/>
    </sheetView>
  </sheetViews>
  <sheetFormatPr defaultRowHeight="12.5" x14ac:dyDescent="0.25"/>
  <cols>
    <col min="1" max="1" width="16.453125" bestFit="1" customWidth="1"/>
    <col min="2" max="2" width="37.6328125" bestFit="1" customWidth="1"/>
    <col min="3" max="3" width="42.36328125" bestFit="1" customWidth="1"/>
    <col min="4" max="4" width="43.36328125" bestFit="1" customWidth="1"/>
    <col min="5" max="5" width="52.7265625" customWidth="1"/>
    <col min="6" max="6" width="11.453125" bestFit="1" customWidth="1"/>
    <col min="7" max="7" width="12" bestFit="1" customWidth="1"/>
    <col min="8" max="8" width="12.81640625" bestFit="1" customWidth="1"/>
    <col min="9" max="9" width="17.6328125" bestFit="1" customWidth="1"/>
    <col min="10" max="10" width="15.90625" bestFit="1" customWidth="1"/>
    <col min="11" max="11" width="14.54296875" bestFit="1" customWidth="1"/>
    <col min="12" max="12" width="51.26953125" bestFit="1" customWidth="1"/>
    <col min="13" max="13" width="37.6328125" customWidth="1"/>
    <col min="14" max="14" width="14.7265625" customWidth="1"/>
    <col min="15" max="15" width="8" bestFit="1" customWidth="1"/>
    <col min="16" max="17" width="8.453125" bestFit="1" customWidth="1"/>
    <col min="18" max="18" width="31.7265625" bestFit="1" customWidth="1"/>
    <col min="19" max="19" width="9.90625" bestFit="1" customWidth="1"/>
    <col min="20" max="20" width="18.90625" bestFit="1" customWidth="1"/>
    <col min="21" max="21" width="14.1796875" bestFit="1" customWidth="1"/>
    <col min="22" max="22" width="128.1796875" customWidth="1"/>
    <col min="23" max="23" width="11.26953125" bestFit="1" customWidth="1"/>
    <col min="24" max="24" width="58.08984375" style="22" bestFit="1" customWidth="1"/>
  </cols>
  <sheetData>
    <row r="1" spans="1:25" ht="13" thickBot="1" x14ac:dyDescent="0.3">
      <c r="A1" s="196" t="s">
        <v>208</v>
      </c>
      <c r="B1" s="197"/>
      <c r="C1" s="198"/>
    </row>
    <row r="2" spans="1:25" x14ac:dyDescent="0.25">
      <c r="F2" s="208" t="s">
        <v>209</v>
      </c>
      <c r="G2" s="208"/>
      <c r="H2" s="208"/>
      <c r="I2" s="205" t="s">
        <v>210</v>
      </c>
      <c r="J2" s="206"/>
      <c r="K2" s="206"/>
      <c r="L2" s="205" t="s">
        <v>211</v>
      </c>
      <c r="M2" s="206"/>
      <c r="N2" s="206"/>
      <c r="O2" s="206"/>
      <c r="P2" s="206"/>
      <c r="Q2" s="207"/>
      <c r="R2" s="205" t="s">
        <v>212</v>
      </c>
      <c r="S2" s="206"/>
      <c r="T2" s="206"/>
      <c r="U2" s="207"/>
      <c r="V2" s="205" t="s">
        <v>213</v>
      </c>
      <c r="W2" s="207"/>
    </row>
    <row r="3" spans="1:25" s="121" customFormat="1" ht="34.5" x14ac:dyDescent="0.25">
      <c r="A3" s="149" t="s">
        <v>185</v>
      </c>
      <c r="B3" s="149" t="s">
        <v>202</v>
      </c>
      <c r="C3" s="149" t="s">
        <v>206</v>
      </c>
      <c r="D3" s="149" t="s">
        <v>214</v>
      </c>
      <c r="E3" s="149" t="s">
        <v>108</v>
      </c>
      <c r="F3" s="150" t="s">
        <v>215</v>
      </c>
      <c r="G3" s="150" t="s">
        <v>216</v>
      </c>
      <c r="H3" s="149" t="s">
        <v>217</v>
      </c>
      <c r="I3" s="150" t="s">
        <v>218</v>
      </c>
      <c r="J3" s="150" t="s">
        <v>219</v>
      </c>
      <c r="K3" s="150" t="s">
        <v>220</v>
      </c>
      <c r="L3" s="151" t="s">
        <v>221</v>
      </c>
      <c r="M3" s="151" t="s">
        <v>222</v>
      </c>
      <c r="N3" s="150" t="s">
        <v>223</v>
      </c>
      <c r="O3" s="150" t="s">
        <v>224</v>
      </c>
      <c r="P3" s="150" t="s">
        <v>225</v>
      </c>
      <c r="Q3" s="150" t="s">
        <v>226</v>
      </c>
      <c r="R3" s="152" t="s">
        <v>221</v>
      </c>
      <c r="S3" s="152" t="s">
        <v>222</v>
      </c>
      <c r="T3" s="152" t="s">
        <v>227</v>
      </c>
      <c r="U3" s="151" t="s">
        <v>228</v>
      </c>
      <c r="V3" s="151" t="s">
        <v>229</v>
      </c>
      <c r="W3" s="151" t="s">
        <v>230</v>
      </c>
      <c r="X3" s="150" t="s">
        <v>17</v>
      </c>
    </row>
    <row r="4" spans="1:25" s="121" customFormat="1" ht="13" x14ac:dyDescent="0.25">
      <c r="A4" s="204" t="s">
        <v>452</v>
      </c>
      <c r="B4" s="204"/>
      <c r="C4" s="204"/>
      <c r="D4" s="204"/>
      <c r="E4" s="204"/>
      <c r="F4" s="204"/>
      <c r="G4" s="204"/>
      <c r="H4" s="204"/>
      <c r="I4" s="204"/>
      <c r="J4" s="204"/>
      <c r="K4" s="204"/>
      <c r="L4" s="204"/>
      <c r="M4" s="204"/>
      <c r="N4" s="204"/>
      <c r="O4" s="204"/>
      <c r="P4" s="204"/>
      <c r="Q4" s="204"/>
      <c r="R4" s="204"/>
      <c r="S4" s="204"/>
      <c r="T4" s="204"/>
      <c r="U4" s="204"/>
      <c r="V4" s="204"/>
      <c r="W4" s="204"/>
      <c r="X4" s="204"/>
      <c r="Y4" s="155">
        <v>0.25</v>
      </c>
    </row>
    <row r="5" spans="1:25" s="127" customFormat="1" x14ac:dyDescent="0.25">
      <c r="A5" s="124" t="s">
        <v>187</v>
      </c>
      <c r="B5" s="125" t="s">
        <v>204</v>
      </c>
      <c r="C5" s="112" t="s">
        <v>299</v>
      </c>
      <c r="D5" s="124" t="s">
        <v>305</v>
      </c>
      <c r="E5" s="112" t="s">
        <v>280</v>
      </c>
      <c r="F5" s="124" t="s">
        <v>232</v>
      </c>
      <c r="G5" s="124" t="s">
        <v>232</v>
      </c>
      <c r="H5" s="124" t="s">
        <v>232</v>
      </c>
      <c r="I5" s="124" t="s">
        <v>232</v>
      </c>
      <c r="J5" s="124" t="s">
        <v>232</v>
      </c>
      <c r="K5" s="124" t="s">
        <v>232</v>
      </c>
      <c r="L5" s="125"/>
      <c r="M5" s="124" t="s">
        <v>232</v>
      </c>
      <c r="N5" s="124" t="s">
        <v>232</v>
      </c>
      <c r="O5" s="124" t="s">
        <v>232</v>
      </c>
      <c r="P5" s="124" t="s">
        <v>232</v>
      </c>
      <c r="Q5" s="124" t="s">
        <v>232</v>
      </c>
      <c r="R5" s="124" t="s">
        <v>232</v>
      </c>
      <c r="S5" s="124" t="s">
        <v>232</v>
      </c>
      <c r="T5" s="124" t="s">
        <v>232</v>
      </c>
      <c r="U5" s="124" t="s">
        <v>232</v>
      </c>
      <c r="V5" s="124" t="s">
        <v>232</v>
      </c>
      <c r="W5" s="124" t="s">
        <v>232</v>
      </c>
      <c r="X5" s="126" t="s">
        <v>233</v>
      </c>
    </row>
    <row r="6" spans="1:25" s="127" customFormat="1" ht="83" customHeight="1" x14ac:dyDescent="0.25">
      <c r="A6" s="124" t="s">
        <v>187</v>
      </c>
      <c r="B6" s="125" t="s">
        <v>204</v>
      </c>
      <c r="C6" s="112" t="s">
        <v>299</v>
      </c>
      <c r="D6" s="124" t="s">
        <v>314</v>
      </c>
      <c r="E6" s="112" t="s">
        <v>277</v>
      </c>
      <c r="F6" s="124" t="s">
        <v>232</v>
      </c>
      <c r="G6" s="124" t="s">
        <v>232</v>
      </c>
      <c r="H6" s="124" t="s">
        <v>232</v>
      </c>
      <c r="I6" s="124" t="s">
        <v>232</v>
      </c>
      <c r="J6" s="124" t="s">
        <v>232</v>
      </c>
      <c r="K6" s="124" t="s">
        <v>232</v>
      </c>
      <c r="L6" s="125" t="s">
        <v>313</v>
      </c>
      <c r="M6" s="124" t="s">
        <v>232</v>
      </c>
      <c r="N6" s="124" t="s">
        <v>232</v>
      </c>
      <c r="O6" s="124" t="s">
        <v>232</v>
      </c>
      <c r="P6" s="124" t="s">
        <v>232</v>
      </c>
      <c r="Q6" s="124" t="s">
        <v>232</v>
      </c>
      <c r="R6" s="124" t="s">
        <v>232</v>
      </c>
      <c r="S6" s="124" t="s">
        <v>232</v>
      </c>
      <c r="T6" s="124" t="s">
        <v>232</v>
      </c>
      <c r="U6" s="124" t="s">
        <v>232</v>
      </c>
      <c r="V6" s="124" t="s">
        <v>232</v>
      </c>
      <c r="W6" s="124" t="s">
        <v>232</v>
      </c>
      <c r="X6" s="128" t="s">
        <v>315</v>
      </c>
    </row>
    <row r="7" spans="1:25" ht="25" x14ac:dyDescent="0.25">
      <c r="A7" s="132" t="s">
        <v>189</v>
      </c>
      <c r="B7" s="133" t="s">
        <v>231</v>
      </c>
      <c r="C7" s="132" t="s">
        <v>279</v>
      </c>
      <c r="D7" s="134" t="s">
        <v>305</v>
      </c>
      <c r="E7" s="132" t="s">
        <v>281</v>
      </c>
      <c r="F7" s="134" t="s">
        <v>232</v>
      </c>
      <c r="G7" s="134" t="s">
        <v>232</v>
      </c>
      <c r="H7" s="134" t="s">
        <v>232</v>
      </c>
      <c r="I7" s="134" t="s">
        <v>232</v>
      </c>
      <c r="J7" s="134" t="s">
        <v>232</v>
      </c>
      <c r="K7" s="134" t="s">
        <v>232</v>
      </c>
      <c r="L7" s="134" t="s">
        <v>232</v>
      </c>
      <c r="M7" s="134" t="s">
        <v>232</v>
      </c>
      <c r="N7" s="134" t="s">
        <v>232</v>
      </c>
      <c r="O7" s="134" t="s">
        <v>232</v>
      </c>
      <c r="P7" s="134" t="s">
        <v>232</v>
      </c>
      <c r="Q7" s="134" t="s">
        <v>232</v>
      </c>
      <c r="R7" s="134" t="s">
        <v>232</v>
      </c>
      <c r="S7" s="134" t="s">
        <v>232</v>
      </c>
      <c r="T7" s="134" t="s">
        <v>232</v>
      </c>
      <c r="U7" s="134" t="s">
        <v>232</v>
      </c>
      <c r="V7" s="134" t="s">
        <v>232</v>
      </c>
      <c r="W7" s="134" t="s">
        <v>232</v>
      </c>
      <c r="X7" s="135" t="s">
        <v>233</v>
      </c>
    </row>
    <row r="8" spans="1:25" ht="78" customHeight="1" x14ac:dyDescent="0.25">
      <c r="A8" s="132" t="s">
        <v>189</v>
      </c>
      <c r="B8" s="133" t="s">
        <v>231</v>
      </c>
      <c r="C8" s="132" t="s">
        <v>279</v>
      </c>
      <c r="D8" s="132" t="s">
        <v>314</v>
      </c>
      <c r="E8" s="132" t="s">
        <v>278</v>
      </c>
      <c r="F8" s="134" t="s">
        <v>232</v>
      </c>
      <c r="G8" s="134" t="s">
        <v>232</v>
      </c>
      <c r="H8" s="134" t="s">
        <v>232</v>
      </c>
      <c r="I8" s="134" t="s">
        <v>232</v>
      </c>
      <c r="J8" s="134" t="s">
        <v>232</v>
      </c>
      <c r="K8" s="134" t="s">
        <v>232</v>
      </c>
      <c r="L8" s="133" t="s">
        <v>313</v>
      </c>
      <c r="M8" s="134" t="s">
        <v>232</v>
      </c>
      <c r="N8" s="134" t="s">
        <v>232</v>
      </c>
      <c r="O8" s="134" t="s">
        <v>232</v>
      </c>
      <c r="P8" s="134" t="s">
        <v>232</v>
      </c>
      <c r="Q8" s="134" t="s">
        <v>232</v>
      </c>
      <c r="R8" s="134" t="s">
        <v>232</v>
      </c>
      <c r="S8" s="134" t="s">
        <v>232</v>
      </c>
      <c r="T8" s="134" t="s">
        <v>232</v>
      </c>
      <c r="U8" s="134" t="s">
        <v>232</v>
      </c>
      <c r="V8" s="134" t="s">
        <v>232</v>
      </c>
      <c r="W8" s="134" t="s">
        <v>232</v>
      </c>
      <c r="X8" s="136" t="s">
        <v>315</v>
      </c>
    </row>
    <row r="9" spans="1:25" ht="126" customHeight="1" x14ac:dyDescent="0.25">
      <c r="A9" s="132" t="s">
        <v>189</v>
      </c>
      <c r="B9" s="133" t="s">
        <v>231</v>
      </c>
      <c r="C9" s="132" t="s">
        <v>279</v>
      </c>
      <c r="D9" s="134" t="s">
        <v>361</v>
      </c>
      <c r="E9" s="132" t="s">
        <v>362</v>
      </c>
      <c r="F9" s="134" t="s">
        <v>232</v>
      </c>
      <c r="G9" s="134" t="s">
        <v>232</v>
      </c>
      <c r="H9" s="134" t="s">
        <v>232</v>
      </c>
      <c r="I9" s="134" t="s">
        <v>232</v>
      </c>
      <c r="J9" s="134" t="s">
        <v>232</v>
      </c>
      <c r="K9" s="134" t="s">
        <v>232</v>
      </c>
      <c r="L9" s="134" t="s">
        <v>232</v>
      </c>
      <c r="M9" s="134" t="s">
        <v>232</v>
      </c>
      <c r="N9" s="133" t="s">
        <v>363</v>
      </c>
      <c r="O9" s="134" t="s">
        <v>232</v>
      </c>
      <c r="P9" s="134" t="s">
        <v>232</v>
      </c>
      <c r="Q9" s="134" t="s">
        <v>232</v>
      </c>
      <c r="R9" s="134" t="s">
        <v>232</v>
      </c>
      <c r="S9" s="134" t="s">
        <v>232</v>
      </c>
      <c r="T9" s="134" t="s">
        <v>232</v>
      </c>
      <c r="U9" s="134" t="s">
        <v>232</v>
      </c>
      <c r="V9" s="134" t="s">
        <v>232</v>
      </c>
      <c r="W9" s="134" t="s">
        <v>232</v>
      </c>
      <c r="X9" s="133" t="s">
        <v>364</v>
      </c>
    </row>
    <row r="10" spans="1:25" ht="78" customHeight="1" x14ac:dyDescent="0.25">
      <c r="A10" s="134" t="s">
        <v>187</v>
      </c>
      <c r="B10" s="133" t="s">
        <v>204</v>
      </c>
      <c r="C10" s="132" t="s">
        <v>352</v>
      </c>
      <c r="D10" s="132" t="s">
        <v>355</v>
      </c>
      <c r="E10" s="132" t="s">
        <v>316</v>
      </c>
      <c r="F10" s="134" t="s">
        <v>232</v>
      </c>
      <c r="G10" s="134" t="s">
        <v>232</v>
      </c>
      <c r="H10" s="134" t="s">
        <v>232</v>
      </c>
      <c r="I10" s="134" t="s">
        <v>232</v>
      </c>
      <c r="J10" s="134" t="s">
        <v>232</v>
      </c>
      <c r="K10" s="134" t="s">
        <v>232</v>
      </c>
      <c r="L10" s="133"/>
      <c r="M10" s="134" t="s">
        <v>232</v>
      </c>
      <c r="N10" s="134" t="s">
        <v>232</v>
      </c>
      <c r="O10" s="134" t="s">
        <v>232</v>
      </c>
      <c r="P10" s="134" t="s">
        <v>232</v>
      </c>
      <c r="Q10" s="134" t="s">
        <v>232</v>
      </c>
      <c r="R10" s="134" t="s">
        <v>232</v>
      </c>
      <c r="S10" s="134" t="s">
        <v>232</v>
      </c>
      <c r="T10" s="134" t="s">
        <v>232</v>
      </c>
      <c r="U10" s="134" t="s">
        <v>232</v>
      </c>
      <c r="V10" s="134" t="s">
        <v>232</v>
      </c>
      <c r="W10" s="134" t="s">
        <v>232</v>
      </c>
      <c r="X10" s="135" t="s">
        <v>233</v>
      </c>
    </row>
    <row r="11" spans="1:25" ht="78" customHeight="1" x14ac:dyDescent="0.25">
      <c r="A11" s="134" t="s">
        <v>187</v>
      </c>
      <c r="B11" s="133" t="s">
        <v>204</v>
      </c>
      <c r="C11" s="132" t="s">
        <v>352</v>
      </c>
      <c r="D11" s="132" t="s">
        <v>317</v>
      </c>
      <c r="E11" s="132" t="s">
        <v>317</v>
      </c>
      <c r="F11" s="134" t="s">
        <v>232</v>
      </c>
      <c r="G11" s="134" t="s">
        <v>232</v>
      </c>
      <c r="H11" s="134" t="s">
        <v>232</v>
      </c>
      <c r="I11" s="134" t="s">
        <v>232</v>
      </c>
      <c r="J11" s="134" t="s">
        <v>232</v>
      </c>
      <c r="K11" s="134" t="s">
        <v>232</v>
      </c>
      <c r="L11" s="134" t="s">
        <v>232</v>
      </c>
      <c r="M11" s="134" t="s">
        <v>232</v>
      </c>
      <c r="N11" s="134" t="s">
        <v>232</v>
      </c>
      <c r="O11" s="134" t="s">
        <v>232</v>
      </c>
      <c r="P11" s="134" t="s">
        <v>232</v>
      </c>
      <c r="Q11" s="134" t="s">
        <v>232</v>
      </c>
      <c r="R11" s="133" t="s">
        <v>313</v>
      </c>
      <c r="S11" s="134" t="s">
        <v>232</v>
      </c>
      <c r="T11" s="134" t="s">
        <v>232</v>
      </c>
      <c r="U11" s="134" t="s">
        <v>232</v>
      </c>
      <c r="V11" s="134" t="s">
        <v>232</v>
      </c>
      <c r="W11" s="134" t="s">
        <v>232</v>
      </c>
      <c r="X11" s="136" t="s">
        <v>356</v>
      </c>
    </row>
    <row r="12" spans="1:25" ht="78" customHeight="1" x14ac:dyDescent="0.25">
      <c r="A12" s="132" t="s">
        <v>189</v>
      </c>
      <c r="B12" s="133" t="s">
        <v>231</v>
      </c>
      <c r="C12" s="132" t="s">
        <v>351</v>
      </c>
      <c r="D12" s="132" t="s">
        <v>355</v>
      </c>
      <c r="E12" s="132" t="s">
        <v>316</v>
      </c>
      <c r="F12" s="134" t="s">
        <v>232</v>
      </c>
      <c r="G12" s="134" t="s">
        <v>232</v>
      </c>
      <c r="H12" s="134" t="s">
        <v>232</v>
      </c>
      <c r="I12" s="134" t="s">
        <v>232</v>
      </c>
      <c r="J12" s="134" t="s">
        <v>232</v>
      </c>
      <c r="K12" s="134" t="s">
        <v>232</v>
      </c>
      <c r="L12" s="134" t="s">
        <v>232</v>
      </c>
      <c r="M12" s="134" t="s">
        <v>232</v>
      </c>
      <c r="N12" s="134" t="s">
        <v>232</v>
      </c>
      <c r="O12" s="134" t="s">
        <v>232</v>
      </c>
      <c r="P12" s="134" t="s">
        <v>232</v>
      </c>
      <c r="Q12" s="134" t="s">
        <v>232</v>
      </c>
      <c r="R12" s="134" t="s">
        <v>232</v>
      </c>
      <c r="S12" s="134" t="s">
        <v>232</v>
      </c>
      <c r="T12" s="134" t="s">
        <v>232</v>
      </c>
      <c r="U12" s="134" t="s">
        <v>232</v>
      </c>
      <c r="V12" s="134" t="s">
        <v>232</v>
      </c>
      <c r="W12" s="134" t="s">
        <v>232</v>
      </c>
      <c r="X12" s="135" t="s">
        <v>233</v>
      </c>
    </row>
    <row r="13" spans="1:25" ht="78" customHeight="1" x14ac:dyDescent="0.25">
      <c r="A13" s="132" t="s">
        <v>189</v>
      </c>
      <c r="B13" s="133" t="s">
        <v>231</v>
      </c>
      <c r="C13" s="132" t="s">
        <v>351</v>
      </c>
      <c r="D13" s="132" t="s">
        <v>317</v>
      </c>
      <c r="E13" s="132" t="s">
        <v>319</v>
      </c>
      <c r="F13" s="134" t="s">
        <v>232</v>
      </c>
      <c r="G13" s="134" t="s">
        <v>232</v>
      </c>
      <c r="H13" s="134" t="s">
        <v>232</v>
      </c>
      <c r="I13" s="134" t="s">
        <v>232</v>
      </c>
      <c r="J13" s="134" t="s">
        <v>232</v>
      </c>
      <c r="K13" s="134" t="s">
        <v>232</v>
      </c>
      <c r="L13" s="134" t="s">
        <v>232</v>
      </c>
      <c r="M13" s="134" t="s">
        <v>232</v>
      </c>
      <c r="N13" s="134" t="s">
        <v>232</v>
      </c>
      <c r="O13" s="134" t="s">
        <v>232</v>
      </c>
      <c r="P13" s="134" t="s">
        <v>232</v>
      </c>
      <c r="Q13" s="134" t="s">
        <v>232</v>
      </c>
      <c r="R13" s="133" t="s">
        <v>313</v>
      </c>
      <c r="S13" s="134" t="s">
        <v>232</v>
      </c>
      <c r="T13" s="134" t="s">
        <v>232</v>
      </c>
      <c r="U13" s="134" t="s">
        <v>232</v>
      </c>
      <c r="V13" s="134" t="s">
        <v>232</v>
      </c>
      <c r="W13" s="134" t="s">
        <v>232</v>
      </c>
      <c r="X13" s="136" t="s">
        <v>356</v>
      </c>
    </row>
    <row r="14" spans="1:25" ht="78" customHeight="1" x14ac:dyDescent="0.25">
      <c r="A14" s="132" t="s">
        <v>189</v>
      </c>
      <c r="B14" s="133" t="s">
        <v>231</v>
      </c>
      <c r="C14" s="132" t="s">
        <v>351</v>
      </c>
      <c r="D14" s="134" t="s">
        <v>361</v>
      </c>
      <c r="E14" s="132" t="s">
        <v>362</v>
      </c>
      <c r="F14" s="134" t="s">
        <v>232</v>
      </c>
      <c r="G14" s="134" t="s">
        <v>232</v>
      </c>
      <c r="H14" s="134" t="s">
        <v>232</v>
      </c>
      <c r="I14" s="134" t="s">
        <v>232</v>
      </c>
      <c r="J14" s="134" t="s">
        <v>232</v>
      </c>
      <c r="K14" s="134" t="s">
        <v>232</v>
      </c>
      <c r="L14" s="134" t="s">
        <v>232</v>
      </c>
      <c r="M14" s="134" t="s">
        <v>232</v>
      </c>
      <c r="N14" s="133" t="s">
        <v>365</v>
      </c>
      <c r="O14" s="134" t="s">
        <v>232</v>
      </c>
      <c r="P14" s="134" t="s">
        <v>232</v>
      </c>
      <c r="Q14" s="134" t="s">
        <v>232</v>
      </c>
      <c r="R14" s="134" t="s">
        <v>232</v>
      </c>
      <c r="S14" s="134" t="s">
        <v>232</v>
      </c>
      <c r="T14" s="134" t="s">
        <v>232</v>
      </c>
      <c r="U14" s="134" t="s">
        <v>232</v>
      </c>
      <c r="V14" s="134" t="s">
        <v>232</v>
      </c>
      <c r="W14" s="134" t="s">
        <v>232</v>
      </c>
      <c r="X14" s="133" t="s">
        <v>364</v>
      </c>
    </row>
    <row r="15" spans="1:25" x14ac:dyDescent="0.25">
      <c r="A15" s="124" t="s">
        <v>187</v>
      </c>
      <c r="B15" s="125" t="s">
        <v>204</v>
      </c>
      <c r="C15" s="112" t="s">
        <v>350</v>
      </c>
      <c r="D15" s="112" t="s">
        <v>357</v>
      </c>
      <c r="E15" s="112" t="s">
        <v>333</v>
      </c>
      <c r="F15" s="124" t="s">
        <v>232</v>
      </c>
      <c r="G15" s="124" t="s">
        <v>232</v>
      </c>
      <c r="H15" s="124" t="s">
        <v>232</v>
      </c>
      <c r="I15" s="124" t="s">
        <v>232</v>
      </c>
      <c r="J15" s="124" t="s">
        <v>232</v>
      </c>
      <c r="K15" s="124" t="s">
        <v>232</v>
      </c>
      <c r="L15" s="125"/>
      <c r="M15" s="124" t="s">
        <v>232</v>
      </c>
      <c r="N15" s="124" t="s">
        <v>232</v>
      </c>
      <c r="O15" s="124" t="s">
        <v>232</v>
      </c>
      <c r="P15" s="124" t="s">
        <v>232</v>
      </c>
      <c r="Q15" s="124" t="s">
        <v>232</v>
      </c>
      <c r="R15" s="124" t="s">
        <v>232</v>
      </c>
      <c r="S15" s="124" t="s">
        <v>232</v>
      </c>
      <c r="T15" s="124" t="s">
        <v>232</v>
      </c>
      <c r="U15" s="124" t="s">
        <v>232</v>
      </c>
      <c r="V15" s="124" t="s">
        <v>232</v>
      </c>
      <c r="W15" s="124" t="s">
        <v>232</v>
      </c>
      <c r="X15" s="126" t="s">
        <v>233</v>
      </c>
    </row>
    <row r="16" spans="1:25" ht="62.5" x14ac:dyDescent="0.25">
      <c r="A16" s="124" t="s">
        <v>187</v>
      </c>
      <c r="B16" s="125" t="s">
        <v>204</v>
      </c>
      <c r="C16" s="112" t="s">
        <v>350</v>
      </c>
      <c r="D16" s="112" t="s">
        <v>358</v>
      </c>
      <c r="E16" s="112" t="s">
        <v>334</v>
      </c>
      <c r="F16" s="124" t="s">
        <v>232</v>
      </c>
      <c r="G16" s="124" t="s">
        <v>232</v>
      </c>
      <c r="H16" s="124" t="s">
        <v>232</v>
      </c>
      <c r="I16" s="124" t="s">
        <v>232</v>
      </c>
      <c r="J16" s="124" t="s">
        <v>232</v>
      </c>
      <c r="K16" s="124" t="s">
        <v>232</v>
      </c>
      <c r="L16" s="125" t="s">
        <v>313</v>
      </c>
      <c r="M16" s="124" t="s">
        <v>232</v>
      </c>
      <c r="N16" s="124" t="s">
        <v>232</v>
      </c>
      <c r="O16" s="124" t="s">
        <v>232</v>
      </c>
      <c r="P16" s="124" t="s">
        <v>232</v>
      </c>
      <c r="Q16" s="124" t="s">
        <v>232</v>
      </c>
      <c r="R16" s="124" t="s">
        <v>232</v>
      </c>
      <c r="S16" s="124" t="s">
        <v>232</v>
      </c>
      <c r="T16" s="124" t="s">
        <v>232</v>
      </c>
      <c r="U16" s="124" t="s">
        <v>232</v>
      </c>
      <c r="V16" s="124" t="s">
        <v>232</v>
      </c>
      <c r="W16" s="124" t="s">
        <v>232</v>
      </c>
      <c r="X16" s="128" t="s">
        <v>359</v>
      </c>
    </row>
    <row r="17" spans="1:25" ht="25" x14ac:dyDescent="0.25">
      <c r="A17" s="112" t="s">
        <v>189</v>
      </c>
      <c r="B17" s="125" t="s">
        <v>231</v>
      </c>
      <c r="C17" s="112" t="s">
        <v>349</v>
      </c>
      <c r="D17" s="112" t="s">
        <v>357</v>
      </c>
      <c r="E17" s="112" t="s">
        <v>353</v>
      </c>
      <c r="F17" s="124" t="s">
        <v>232</v>
      </c>
      <c r="G17" s="124" t="s">
        <v>232</v>
      </c>
      <c r="H17" s="124" t="s">
        <v>232</v>
      </c>
      <c r="I17" s="124" t="s">
        <v>232</v>
      </c>
      <c r="J17" s="124" t="s">
        <v>232</v>
      </c>
      <c r="K17" s="124" t="s">
        <v>232</v>
      </c>
      <c r="L17" s="124" t="s">
        <v>232</v>
      </c>
      <c r="M17" s="124" t="s">
        <v>232</v>
      </c>
      <c r="N17" s="124" t="s">
        <v>232</v>
      </c>
      <c r="O17" s="124" t="s">
        <v>232</v>
      </c>
      <c r="P17" s="124" t="s">
        <v>232</v>
      </c>
      <c r="Q17" s="124" t="s">
        <v>232</v>
      </c>
      <c r="R17" s="124" t="s">
        <v>232</v>
      </c>
      <c r="S17" s="124" t="s">
        <v>232</v>
      </c>
      <c r="T17" s="124" t="s">
        <v>232</v>
      </c>
      <c r="U17" s="124" t="s">
        <v>232</v>
      </c>
      <c r="V17" s="124" t="s">
        <v>232</v>
      </c>
      <c r="W17" s="124" t="s">
        <v>232</v>
      </c>
      <c r="X17" s="126" t="s">
        <v>233</v>
      </c>
    </row>
    <row r="18" spans="1:25" ht="62.5" x14ac:dyDescent="0.25">
      <c r="A18" s="112" t="s">
        <v>189</v>
      </c>
      <c r="B18" s="125" t="s">
        <v>231</v>
      </c>
      <c r="C18" s="112" t="s">
        <v>349</v>
      </c>
      <c r="D18" s="112" t="s">
        <v>358</v>
      </c>
      <c r="E18" s="112" t="s">
        <v>354</v>
      </c>
      <c r="F18" s="124" t="s">
        <v>232</v>
      </c>
      <c r="G18" s="124" t="s">
        <v>232</v>
      </c>
      <c r="H18" s="124" t="s">
        <v>232</v>
      </c>
      <c r="I18" s="124" t="s">
        <v>232</v>
      </c>
      <c r="J18" s="124" t="s">
        <v>232</v>
      </c>
      <c r="K18" s="124" t="s">
        <v>232</v>
      </c>
      <c r="L18" s="125" t="s">
        <v>313</v>
      </c>
      <c r="M18" s="124" t="s">
        <v>232</v>
      </c>
      <c r="N18" s="124" t="s">
        <v>232</v>
      </c>
      <c r="O18" s="124" t="s">
        <v>232</v>
      </c>
      <c r="P18" s="124" t="s">
        <v>232</v>
      </c>
      <c r="Q18" s="124" t="s">
        <v>232</v>
      </c>
      <c r="R18" s="124" t="s">
        <v>232</v>
      </c>
      <c r="S18" s="124" t="s">
        <v>232</v>
      </c>
      <c r="T18" s="124" t="s">
        <v>232</v>
      </c>
      <c r="U18" s="124" t="s">
        <v>232</v>
      </c>
      <c r="V18" s="124" t="s">
        <v>232</v>
      </c>
      <c r="W18" s="112" t="s">
        <v>232</v>
      </c>
      <c r="X18" s="128" t="s">
        <v>360</v>
      </c>
    </row>
    <row r="19" spans="1:25" ht="103" customHeight="1" x14ac:dyDescent="0.25">
      <c r="A19" s="132" t="s">
        <v>189</v>
      </c>
      <c r="B19" s="133" t="s">
        <v>231</v>
      </c>
      <c r="C19" s="112" t="s">
        <v>349</v>
      </c>
      <c r="D19" s="134" t="s">
        <v>361</v>
      </c>
      <c r="E19" s="132" t="s">
        <v>362</v>
      </c>
      <c r="F19" s="134" t="s">
        <v>232</v>
      </c>
      <c r="G19" s="134" t="s">
        <v>232</v>
      </c>
      <c r="H19" s="134" t="s">
        <v>232</v>
      </c>
      <c r="I19" s="134" t="s">
        <v>232</v>
      </c>
      <c r="J19" s="134" t="s">
        <v>232</v>
      </c>
      <c r="K19" s="134" t="s">
        <v>232</v>
      </c>
      <c r="L19" s="134" t="s">
        <v>232</v>
      </c>
      <c r="M19" s="134" t="s">
        <v>232</v>
      </c>
      <c r="N19" s="133" t="s">
        <v>366</v>
      </c>
      <c r="O19" s="134" t="s">
        <v>232</v>
      </c>
      <c r="P19" s="134" t="s">
        <v>232</v>
      </c>
      <c r="Q19" s="134" t="s">
        <v>232</v>
      </c>
      <c r="R19" s="134" t="s">
        <v>232</v>
      </c>
      <c r="S19" s="134" t="s">
        <v>232</v>
      </c>
      <c r="T19" s="134" t="s">
        <v>232</v>
      </c>
      <c r="U19" s="134" t="s">
        <v>232</v>
      </c>
      <c r="V19" s="134" t="s">
        <v>232</v>
      </c>
      <c r="W19" s="134" t="s">
        <v>232</v>
      </c>
      <c r="X19" s="133" t="s">
        <v>364</v>
      </c>
    </row>
    <row r="20" spans="1:25" ht="13" x14ac:dyDescent="0.25">
      <c r="A20" s="204" t="s">
        <v>453</v>
      </c>
      <c r="B20" s="204"/>
      <c r="C20" s="204"/>
      <c r="D20" s="204"/>
      <c r="E20" s="204"/>
      <c r="F20" s="204"/>
      <c r="G20" s="204"/>
      <c r="H20" s="204"/>
      <c r="I20" s="204"/>
      <c r="J20" s="204"/>
      <c r="K20" s="204"/>
      <c r="L20" s="204"/>
      <c r="M20" s="204"/>
      <c r="N20" s="204"/>
      <c r="O20" s="204"/>
      <c r="P20" s="204"/>
      <c r="Q20" s="204"/>
      <c r="R20" s="204"/>
      <c r="S20" s="204"/>
      <c r="T20" s="204"/>
      <c r="U20" s="204"/>
      <c r="V20" s="204"/>
      <c r="W20" s="204"/>
      <c r="X20" s="204"/>
      <c r="Y20" s="123">
        <v>0.25</v>
      </c>
    </row>
    <row r="21" spans="1:25" ht="37.5" x14ac:dyDescent="0.25">
      <c r="A21" s="124" t="s">
        <v>187</v>
      </c>
      <c r="B21" s="124" t="s">
        <v>395</v>
      </c>
      <c r="C21" s="124" t="s">
        <v>416</v>
      </c>
      <c r="D21" s="124" t="s">
        <v>424</v>
      </c>
      <c r="E21" s="124" t="s">
        <v>425</v>
      </c>
      <c r="F21" s="124" t="s">
        <v>59</v>
      </c>
      <c r="G21" s="124" t="s">
        <v>59</v>
      </c>
      <c r="H21" s="124" t="s">
        <v>59</v>
      </c>
      <c r="I21" s="124" t="s">
        <v>59</v>
      </c>
      <c r="J21" s="124" t="s">
        <v>59</v>
      </c>
      <c r="K21" s="124" t="s">
        <v>59</v>
      </c>
      <c r="L21" s="124" t="s">
        <v>59</v>
      </c>
      <c r="M21" s="124" t="s">
        <v>426</v>
      </c>
      <c r="N21" s="124" t="s">
        <v>59</v>
      </c>
      <c r="O21" s="124" t="s">
        <v>59</v>
      </c>
      <c r="P21" s="124" t="s">
        <v>59</v>
      </c>
      <c r="Q21" s="124" t="s">
        <v>59</v>
      </c>
      <c r="R21" s="124" t="s">
        <v>59</v>
      </c>
      <c r="S21" s="124" t="s">
        <v>59</v>
      </c>
      <c r="T21" s="124" t="s">
        <v>59</v>
      </c>
      <c r="U21" s="124" t="s">
        <v>59</v>
      </c>
      <c r="V21" s="124" t="s">
        <v>59</v>
      </c>
      <c r="W21" s="124" t="s">
        <v>59</v>
      </c>
      <c r="X21" s="128" t="s">
        <v>433</v>
      </c>
    </row>
    <row r="22" spans="1:25" ht="78.5" customHeight="1" x14ac:dyDescent="0.25">
      <c r="A22" s="124" t="s">
        <v>187</v>
      </c>
      <c r="B22" s="124" t="s">
        <v>395</v>
      </c>
      <c r="C22" s="124" t="s">
        <v>416</v>
      </c>
      <c r="D22" s="124" t="s">
        <v>450</v>
      </c>
      <c r="E22" s="124" t="s">
        <v>395</v>
      </c>
      <c r="F22" s="124" t="s">
        <v>59</v>
      </c>
      <c r="G22" s="124" t="s">
        <v>59</v>
      </c>
      <c r="H22" s="124" t="s">
        <v>59</v>
      </c>
      <c r="I22" s="124" t="s">
        <v>59</v>
      </c>
      <c r="J22" s="124" t="s">
        <v>59</v>
      </c>
      <c r="K22" s="124" t="s">
        <v>59</v>
      </c>
      <c r="L22" s="124" t="s">
        <v>59</v>
      </c>
      <c r="M22" s="124" t="s">
        <v>59</v>
      </c>
      <c r="N22" s="124" t="s">
        <v>59</v>
      </c>
      <c r="O22" s="124" t="s">
        <v>59</v>
      </c>
      <c r="P22" s="124" t="s">
        <v>59</v>
      </c>
      <c r="Q22" s="124" t="s">
        <v>59</v>
      </c>
      <c r="R22" s="124" t="s">
        <v>59</v>
      </c>
      <c r="S22" s="124" t="s">
        <v>59</v>
      </c>
      <c r="T22" s="124" t="s">
        <v>59</v>
      </c>
      <c r="U22" s="124" t="s">
        <v>59</v>
      </c>
      <c r="V22" s="124" t="s">
        <v>59</v>
      </c>
      <c r="W22" s="124" t="s">
        <v>59</v>
      </c>
      <c r="X22" s="128" t="s">
        <v>427</v>
      </c>
    </row>
    <row r="23" spans="1:25" ht="37.5" x14ac:dyDescent="0.25">
      <c r="A23" s="124" t="s">
        <v>187</v>
      </c>
      <c r="B23" s="124" t="s">
        <v>395</v>
      </c>
      <c r="C23" s="124" t="s">
        <v>416</v>
      </c>
      <c r="D23" s="124" t="s">
        <v>429</v>
      </c>
      <c r="E23" s="124" t="s">
        <v>425</v>
      </c>
      <c r="F23" s="124" t="s">
        <v>59</v>
      </c>
      <c r="G23" s="124" t="s">
        <v>59</v>
      </c>
      <c r="H23" s="124" t="s">
        <v>59</v>
      </c>
      <c r="I23" s="124" t="s">
        <v>59</v>
      </c>
      <c r="J23" s="124" t="s">
        <v>59</v>
      </c>
      <c r="K23" s="124" t="s">
        <v>59</v>
      </c>
      <c r="L23" s="124" t="s">
        <v>59</v>
      </c>
      <c r="M23" s="124" t="s">
        <v>59</v>
      </c>
      <c r="N23" s="124" t="s">
        <v>59</v>
      </c>
      <c r="O23" s="124" t="s">
        <v>59</v>
      </c>
      <c r="P23" s="124" t="s">
        <v>59</v>
      </c>
      <c r="Q23" s="124" t="s">
        <v>59</v>
      </c>
      <c r="R23" s="124" t="s">
        <v>59</v>
      </c>
      <c r="S23" s="124" t="s">
        <v>59</v>
      </c>
      <c r="T23" s="124" t="s">
        <v>59</v>
      </c>
      <c r="U23" s="124" t="s">
        <v>59</v>
      </c>
      <c r="V23" s="124" t="s">
        <v>430</v>
      </c>
      <c r="W23" s="124" t="s">
        <v>59</v>
      </c>
      <c r="X23" s="128" t="s">
        <v>434</v>
      </c>
    </row>
    <row r="24" spans="1:25" ht="37.5" x14ac:dyDescent="0.25">
      <c r="A24" s="112" t="s">
        <v>189</v>
      </c>
      <c r="B24" s="153" t="s">
        <v>207</v>
      </c>
      <c r="C24" s="124" t="s">
        <v>417</v>
      </c>
      <c r="D24" s="124" t="s">
        <v>424</v>
      </c>
      <c r="E24" s="124" t="s">
        <v>431</v>
      </c>
      <c r="F24" s="124" t="s">
        <v>59</v>
      </c>
      <c r="G24" s="124" t="s">
        <v>59</v>
      </c>
      <c r="H24" s="124" t="s">
        <v>59</v>
      </c>
      <c r="I24" s="124" t="s">
        <v>59</v>
      </c>
      <c r="J24" s="124" t="s">
        <v>59</v>
      </c>
      <c r="K24" s="124" t="s">
        <v>59</v>
      </c>
      <c r="L24" s="124" t="s">
        <v>59</v>
      </c>
      <c r="M24" s="124" t="s">
        <v>426</v>
      </c>
      <c r="N24" s="124" t="s">
        <v>59</v>
      </c>
      <c r="O24" s="124" t="s">
        <v>59</v>
      </c>
      <c r="P24" s="124" t="s">
        <v>59</v>
      </c>
      <c r="Q24" s="124" t="s">
        <v>59</v>
      </c>
      <c r="R24" s="124" t="s">
        <v>59</v>
      </c>
      <c r="S24" s="124" t="s">
        <v>59</v>
      </c>
      <c r="T24" s="124" t="s">
        <v>59</v>
      </c>
      <c r="U24" s="124" t="s">
        <v>59</v>
      </c>
      <c r="V24" s="124" t="s">
        <v>59</v>
      </c>
      <c r="W24" s="124" t="s">
        <v>59</v>
      </c>
      <c r="X24" s="128" t="s">
        <v>433</v>
      </c>
    </row>
    <row r="25" spans="1:25" ht="90" customHeight="1" x14ac:dyDescent="0.25">
      <c r="A25" s="112" t="s">
        <v>189</v>
      </c>
      <c r="B25" s="153" t="s">
        <v>207</v>
      </c>
      <c r="C25" s="124" t="s">
        <v>417</v>
      </c>
      <c r="D25" s="124" t="s">
        <v>450</v>
      </c>
      <c r="E25" s="124" t="s">
        <v>418</v>
      </c>
      <c r="F25" s="124" t="s">
        <v>59</v>
      </c>
      <c r="G25" s="124" t="s">
        <v>59</v>
      </c>
      <c r="H25" s="124" t="s">
        <v>59</v>
      </c>
      <c r="I25" s="124" t="s">
        <v>59</v>
      </c>
      <c r="J25" s="124" t="s">
        <v>59</v>
      </c>
      <c r="K25" s="124" t="s">
        <v>59</v>
      </c>
      <c r="L25" s="124" t="s">
        <v>59</v>
      </c>
      <c r="M25" s="124" t="s">
        <v>59</v>
      </c>
      <c r="N25" s="124" t="s">
        <v>59</v>
      </c>
      <c r="O25" s="124" t="s">
        <v>59</v>
      </c>
      <c r="P25" s="124" t="s">
        <v>59</v>
      </c>
      <c r="Q25" s="124" t="s">
        <v>59</v>
      </c>
      <c r="R25" s="124" t="s">
        <v>59</v>
      </c>
      <c r="S25" s="124" t="s">
        <v>59</v>
      </c>
      <c r="T25" s="124" t="s">
        <v>59</v>
      </c>
      <c r="U25" s="124" t="s">
        <v>59</v>
      </c>
      <c r="V25" s="124" t="s">
        <v>59</v>
      </c>
      <c r="W25" s="124" t="s">
        <v>59</v>
      </c>
      <c r="X25" s="128" t="s">
        <v>432</v>
      </c>
    </row>
    <row r="26" spans="1:25" s="127" customFormat="1" ht="37.5" x14ac:dyDescent="0.25">
      <c r="A26" s="112" t="s">
        <v>189</v>
      </c>
      <c r="B26" s="153" t="s">
        <v>207</v>
      </c>
      <c r="C26" s="124" t="s">
        <v>417</v>
      </c>
      <c r="D26" s="124" t="s">
        <v>429</v>
      </c>
      <c r="E26" s="124" t="s">
        <v>431</v>
      </c>
      <c r="F26" s="124" t="s">
        <v>59</v>
      </c>
      <c r="G26" s="124" t="s">
        <v>59</v>
      </c>
      <c r="H26" s="124" t="s">
        <v>59</v>
      </c>
      <c r="I26" s="124" t="s">
        <v>59</v>
      </c>
      <c r="J26" s="124" t="s">
        <v>59</v>
      </c>
      <c r="K26" s="124" t="s">
        <v>59</v>
      </c>
      <c r="L26" s="124" t="s">
        <v>59</v>
      </c>
      <c r="M26" s="124" t="s">
        <v>59</v>
      </c>
      <c r="N26" s="124" t="s">
        <v>59</v>
      </c>
      <c r="O26" s="124" t="s">
        <v>59</v>
      </c>
      <c r="P26" s="124" t="s">
        <v>59</v>
      </c>
      <c r="Q26" s="124" t="s">
        <v>59</v>
      </c>
      <c r="R26" s="124" t="s">
        <v>59</v>
      </c>
      <c r="S26" s="124" t="s">
        <v>59</v>
      </c>
      <c r="T26" s="124" t="s">
        <v>59</v>
      </c>
      <c r="U26" s="124" t="s">
        <v>59</v>
      </c>
      <c r="V26" s="124" t="s">
        <v>430</v>
      </c>
      <c r="W26" s="124" t="s">
        <v>59</v>
      </c>
      <c r="X26" s="128" t="s">
        <v>434</v>
      </c>
    </row>
    <row r="27" spans="1:25" x14ac:dyDescent="0.25">
      <c r="A27" s="124" t="s">
        <v>187</v>
      </c>
      <c r="B27" s="124" t="s">
        <v>411</v>
      </c>
      <c r="C27" s="124" t="s">
        <v>435</v>
      </c>
      <c r="D27" s="124" t="s">
        <v>424</v>
      </c>
      <c r="E27" s="124" t="s">
        <v>425</v>
      </c>
      <c r="F27" s="124" t="s">
        <v>59</v>
      </c>
      <c r="G27" s="124" t="s">
        <v>59</v>
      </c>
      <c r="H27" s="124" t="s">
        <v>59</v>
      </c>
      <c r="I27" s="124" t="s">
        <v>59</v>
      </c>
      <c r="J27" s="124" t="s">
        <v>59</v>
      </c>
      <c r="K27" s="124" t="s">
        <v>59</v>
      </c>
      <c r="L27" s="124" t="s">
        <v>59</v>
      </c>
      <c r="M27" s="124" t="s">
        <v>441</v>
      </c>
      <c r="N27" s="124" t="s">
        <v>59</v>
      </c>
      <c r="O27" s="124" t="s">
        <v>59</v>
      </c>
      <c r="P27" s="124" t="s">
        <v>59</v>
      </c>
      <c r="Q27" s="124" t="s">
        <v>59</v>
      </c>
      <c r="R27" s="124" t="s">
        <v>59</v>
      </c>
      <c r="S27" s="124" t="s">
        <v>59</v>
      </c>
      <c r="T27" s="124" t="s">
        <v>59</v>
      </c>
      <c r="U27" s="124" t="s">
        <v>59</v>
      </c>
      <c r="V27" s="124" t="s">
        <v>59</v>
      </c>
      <c r="W27" s="124" t="s">
        <v>59</v>
      </c>
      <c r="X27" s="128" t="s">
        <v>442</v>
      </c>
    </row>
    <row r="28" spans="1:25" ht="75" x14ac:dyDescent="0.25">
      <c r="A28" s="124" t="s">
        <v>187</v>
      </c>
      <c r="B28" s="124" t="s">
        <v>411</v>
      </c>
      <c r="C28" s="124" t="s">
        <v>435</v>
      </c>
      <c r="D28" s="124" t="s">
        <v>439</v>
      </c>
      <c r="E28" s="124" t="s">
        <v>402</v>
      </c>
      <c r="F28" s="124" t="s">
        <v>59</v>
      </c>
      <c r="G28" s="124" t="s">
        <v>59</v>
      </c>
      <c r="H28" s="124" t="s">
        <v>59</v>
      </c>
      <c r="I28" s="124" t="s">
        <v>59</v>
      </c>
      <c r="J28" s="124" t="s">
        <v>59</v>
      </c>
      <c r="K28" s="124" t="s">
        <v>59</v>
      </c>
      <c r="L28" s="124" t="s">
        <v>59</v>
      </c>
      <c r="M28" s="124" t="s">
        <v>59</v>
      </c>
      <c r="N28" s="124" t="s">
        <v>59</v>
      </c>
      <c r="O28" s="124" t="s">
        <v>59</v>
      </c>
      <c r="P28" s="124" t="s">
        <v>59</v>
      </c>
      <c r="Q28" s="124" t="s">
        <v>59</v>
      </c>
      <c r="R28" s="124" t="s">
        <v>59</v>
      </c>
      <c r="S28" s="124" t="s">
        <v>59</v>
      </c>
      <c r="T28" s="124" t="s">
        <v>59</v>
      </c>
      <c r="U28" s="124" t="s">
        <v>59</v>
      </c>
      <c r="V28" s="124" t="s">
        <v>59</v>
      </c>
      <c r="W28" s="124" t="s">
        <v>59</v>
      </c>
      <c r="X28" s="128" t="s">
        <v>440</v>
      </c>
    </row>
    <row r="29" spans="1:25" x14ac:dyDescent="0.25">
      <c r="A29" s="124" t="s">
        <v>187</v>
      </c>
      <c r="B29" s="124" t="s">
        <v>411</v>
      </c>
      <c r="C29" s="124" t="s">
        <v>435</v>
      </c>
      <c r="D29" s="124" t="s">
        <v>429</v>
      </c>
      <c r="E29" s="124" t="s">
        <v>425</v>
      </c>
      <c r="F29" s="124" t="s">
        <v>59</v>
      </c>
      <c r="G29" s="124" t="s">
        <v>59</v>
      </c>
      <c r="H29" s="124" t="s">
        <v>59</v>
      </c>
      <c r="I29" s="124" t="s">
        <v>59</v>
      </c>
      <c r="J29" s="124" t="s">
        <v>59</v>
      </c>
      <c r="K29" s="124" t="s">
        <v>59</v>
      </c>
      <c r="L29" s="124" t="s">
        <v>59</v>
      </c>
      <c r="M29" s="124" t="s">
        <v>59</v>
      </c>
      <c r="N29" s="124" t="s">
        <v>59</v>
      </c>
      <c r="O29" s="124" t="s">
        <v>59</v>
      </c>
      <c r="P29" s="124" t="s">
        <v>59</v>
      </c>
      <c r="Q29" s="124" t="s">
        <v>59</v>
      </c>
      <c r="R29" s="124" t="s">
        <v>59</v>
      </c>
      <c r="S29" s="124" t="s">
        <v>59</v>
      </c>
      <c r="T29" s="124" t="s">
        <v>59</v>
      </c>
      <c r="U29" s="124" t="s">
        <v>59</v>
      </c>
      <c r="V29" s="124" t="s">
        <v>443</v>
      </c>
      <c r="W29" s="124" t="s">
        <v>59</v>
      </c>
      <c r="X29" s="128" t="s">
        <v>444</v>
      </c>
    </row>
    <row r="30" spans="1:25" ht="25" x14ac:dyDescent="0.25">
      <c r="A30" s="112" t="s">
        <v>189</v>
      </c>
      <c r="B30" s="153" t="s">
        <v>207</v>
      </c>
      <c r="C30" s="124" t="s">
        <v>436</v>
      </c>
      <c r="D30" s="124" t="s">
        <v>424</v>
      </c>
      <c r="E30" s="124" t="s">
        <v>431</v>
      </c>
      <c r="F30" s="124" t="s">
        <v>59</v>
      </c>
      <c r="G30" s="124" t="s">
        <v>59</v>
      </c>
      <c r="H30" s="124" t="s">
        <v>59</v>
      </c>
      <c r="I30" s="124" t="s">
        <v>59</v>
      </c>
      <c r="J30" s="124" t="s">
        <v>59</v>
      </c>
      <c r="K30" s="124" t="s">
        <v>59</v>
      </c>
      <c r="L30" s="124" t="s">
        <v>59</v>
      </c>
      <c r="M30" s="124" t="s">
        <v>441</v>
      </c>
      <c r="N30" s="124" t="s">
        <v>59</v>
      </c>
      <c r="O30" s="124" t="s">
        <v>59</v>
      </c>
      <c r="P30" s="124" t="s">
        <v>59</v>
      </c>
      <c r="Q30" s="124" t="s">
        <v>59</v>
      </c>
      <c r="R30" s="124" t="s">
        <v>59</v>
      </c>
      <c r="S30" s="124" t="s">
        <v>59</v>
      </c>
      <c r="T30" s="124" t="s">
        <v>59</v>
      </c>
      <c r="U30" s="124" t="s">
        <v>59</v>
      </c>
      <c r="V30" s="124" t="s">
        <v>59</v>
      </c>
      <c r="W30" s="124" t="s">
        <v>59</v>
      </c>
      <c r="X30" s="128" t="s">
        <v>442</v>
      </c>
    </row>
    <row r="31" spans="1:25" ht="75" x14ac:dyDescent="0.25">
      <c r="A31" s="112" t="s">
        <v>189</v>
      </c>
      <c r="B31" s="153" t="s">
        <v>207</v>
      </c>
      <c r="C31" s="124" t="s">
        <v>436</v>
      </c>
      <c r="D31" s="124" t="s">
        <v>439</v>
      </c>
      <c r="E31" s="124" t="s">
        <v>419</v>
      </c>
      <c r="F31" s="124" t="s">
        <v>59</v>
      </c>
      <c r="G31" s="124" t="s">
        <v>59</v>
      </c>
      <c r="H31" s="124" t="s">
        <v>59</v>
      </c>
      <c r="I31" s="124" t="s">
        <v>59</v>
      </c>
      <c r="J31" s="124" t="s">
        <v>59</v>
      </c>
      <c r="K31" s="124" t="s">
        <v>59</v>
      </c>
      <c r="L31" s="124" t="s">
        <v>59</v>
      </c>
      <c r="M31" s="124" t="s">
        <v>59</v>
      </c>
      <c r="N31" s="124" t="s">
        <v>59</v>
      </c>
      <c r="O31" s="124" t="s">
        <v>59</v>
      </c>
      <c r="P31" s="124" t="s">
        <v>59</v>
      </c>
      <c r="Q31" s="124" t="s">
        <v>59</v>
      </c>
      <c r="R31" s="124" t="s">
        <v>59</v>
      </c>
      <c r="S31" s="124" t="s">
        <v>59</v>
      </c>
      <c r="T31" s="124" t="s">
        <v>59</v>
      </c>
      <c r="U31" s="124" t="s">
        <v>59</v>
      </c>
      <c r="V31" s="124" t="s">
        <v>59</v>
      </c>
      <c r="W31" s="124" t="s">
        <v>59</v>
      </c>
      <c r="X31" s="128" t="s">
        <v>440</v>
      </c>
    </row>
    <row r="32" spans="1:25" ht="25" x14ac:dyDescent="0.25">
      <c r="A32" s="112" t="s">
        <v>189</v>
      </c>
      <c r="B32" s="153" t="s">
        <v>207</v>
      </c>
      <c r="C32" s="124" t="s">
        <v>436</v>
      </c>
      <c r="D32" s="124" t="s">
        <v>429</v>
      </c>
      <c r="E32" s="124" t="s">
        <v>431</v>
      </c>
      <c r="F32" s="124" t="s">
        <v>59</v>
      </c>
      <c r="G32" s="124" t="s">
        <v>59</v>
      </c>
      <c r="H32" s="124" t="s">
        <v>59</v>
      </c>
      <c r="I32" s="124" t="s">
        <v>59</v>
      </c>
      <c r="J32" s="124" t="s">
        <v>59</v>
      </c>
      <c r="K32" s="124" t="s">
        <v>59</v>
      </c>
      <c r="L32" s="124" t="s">
        <v>59</v>
      </c>
      <c r="M32" s="124" t="s">
        <v>59</v>
      </c>
      <c r="N32" s="124" t="s">
        <v>59</v>
      </c>
      <c r="O32" s="124" t="s">
        <v>59</v>
      </c>
      <c r="P32" s="124" t="s">
        <v>59</v>
      </c>
      <c r="Q32" s="124" t="s">
        <v>59</v>
      </c>
      <c r="R32" s="124" t="s">
        <v>59</v>
      </c>
      <c r="S32" s="124" t="s">
        <v>59</v>
      </c>
      <c r="T32" s="124" t="s">
        <v>59</v>
      </c>
      <c r="U32" s="124" t="s">
        <v>59</v>
      </c>
      <c r="V32" s="124" t="s">
        <v>443</v>
      </c>
      <c r="W32" s="124" t="s">
        <v>59</v>
      </c>
      <c r="X32" s="128" t="s">
        <v>444</v>
      </c>
    </row>
    <row r="33" spans="1:24" x14ac:dyDescent="0.25">
      <c r="A33" s="124" t="s">
        <v>187</v>
      </c>
      <c r="B33" s="124" t="s">
        <v>412</v>
      </c>
      <c r="C33" s="124" t="s">
        <v>446</v>
      </c>
      <c r="D33" s="124" t="s">
        <v>424</v>
      </c>
      <c r="E33" s="124" t="s">
        <v>425</v>
      </c>
      <c r="F33" s="124" t="s">
        <v>59</v>
      </c>
      <c r="G33" s="124" t="s">
        <v>59</v>
      </c>
      <c r="H33" s="124" t="s">
        <v>59</v>
      </c>
      <c r="I33" s="124" t="s">
        <v>59</v>
      </c>
      <c r="J33" s="124" t="s">
        <v>59</v>
      </c>
      <c r="K33" s="124" t="s">
        <v>59</v>
      </c>
      <c r="L33" s="124" t="s">
        <v>59</v>
      </c>
      <c r="M33" s="124" t="s">
        <v>447</v>
      </c>
      <c r="N33" s="124" t="s">
        <v>59</v>
      </c>
      <c r="O33" s="124" t="s">
        <v>59</v>
      </c>
      <c r="P33" s="124" t="s">
        <v>59</v>
      </c>
      <c r="Q33" s="124" t="s">
        <v>59</v>
      </c>
      <c r="R33" s="124" t="s">
        <v>59</v>
      </c>
      <c r="S33" s="124" t="s">
        <v>59</v>
      </c>
      <c r="T33" s="124" t="s">
        <v>59</v>
      </c>
      <c r="U33" s="124" t="s">
        <v>59</v>
      </c>
      <c r="V33" s="124" t="s">
        <v>59</v>
      </c>
      <c r="W33" s="124" t="s">
        <v>59</v>
      </c>
      <c r="X33" s="128" t="s">
        <v>442</v>
      </c>
    </row>
    <row r="34" spans="1:24" ht="87.5" x14ac:dyDescent="0.25">
      <c r="A34" s="124" t="s">
        <v>187</v>
      </c>
      <c r="B34" s="124" t="s">
        <v>412</v>
      </c>
      <c r="C34" s="124" t="s">
        <v>446</v>
      </c>
      <c r="D34" s="124" t="s">
        <v>449</v>
      </c>
      <c r="E34" s="124" t="s">
        <v>405</v>
      </c>
      <c r="F34" s="124" t="s">
        <v>59</v>
      </c>
      <c r="G34" s="124" t="s">
        <v>59</v>
      </c>
      <c r="H34" s="124" t="s">
        <v>59</v>
      </c>
      <c r="I34" s="124" t="s">
        <v>59</v>
      </c>
      <c r="J34" s="124" t="s">
        <v>59</v>
      </c>
      <c r="K34" s="124" t="s">
        <v>59</v>
      </c>
      <c r="L34" s="124" t="s">
        <v>59</v>
      </c>
      <c r="M34" s="124" t="s">
        <v>59</v>
      </c>
      <c r="N34" s="124" t="s">
        <v>59</v>
      </c>
      <c r="O34" s="124" t="s">
        <v>59</v>
      </c>
      <c r="P34" s="124" t="s">
        <v>59</v>
      </c>
      <c r="Q34" s="124" t="s">
        <v>59</v>
      </c>
      <c r="R34" s="124" t="s">
        <v>59</v>
      </c>
      <c r="S34" s="124" t="s">
        <v>59</v>
      </c>
      <c r="T34" s="124" t="s">
        <v>59</v>
      </c>
      <c r="U34" s="124" t="s">
        <v>59</v>
      </c>
      <c r="V34" s="124" t="s">
        <v>59</v>
      </c>
      <c r="W34" s="124" t="s">
        <v>59</v>
      </c>
      <c r="X34" s="128" t="s">
        <v>448</v>
      </c>
    </row>
    <row r="35" spans="1:24" x14ac:dyDescent="0.25">
      <c r="A35" s="124" t="s">
        <v>187</v>
      </c>
      <c r="B35" s="124" t="s">
        <v>412</v>
      </c>
      <c r="C35" s="124" t="s">
        <v>446</v>
      </c>
      <c r="D35" s="124" t="s">
        <v>429</v>
      </c>
      <c r="E35" s="124" t="s">
        <v>425</v>
      </c>
      <c r="F35" s="124" t="s">
        <v>59</v>
      </c>
      <c r="G35" s="124" t="s">
        <v>59</v>
      </c>
      <c r="H35" s="124" t="s">
        <v>59</v>
      </c>
      <c r="I35" s="124" t="s">
        <v>59</v>
      </c>
      <c r="J35" s="124" t="s">
        <v>59</v>
      </c>
      <c r="K35" s="124" t="s">
        <v>59</v>
      </c>
      <c r="L35" s="124" t="s">
        <v>59</v>
      </c>
      <c r="M35" s="124" t="s">
        <v>59</v>
      </c>
      <c r="N35" s="124" t="s">
        <v>59</v>
      </c>
      <c r="O35" s="124" t="s">
        <v>59</v>
      </c>
      <c r="P35" s="124" t="s">
        <v>59</v>
      </c>
      <c r="Q35" s="124" t="s">
        <v>59</v>
      </c>
      <c r="R35" s="124" t="s">
        <v>59</v>
      </c>
      <c r="S35" s="124" t="s">
        <v>59</v>
      </c>
      <c r="T35" s="124" t="s">
        <v>59</v>
      </c>
      <c r="U35" s="124" t="s">
        <v>59</v>
      </c>
      <c r="V35" s="124" t="s">
        <v>451</v>
      </c>
      <c r="W35" s="124" t="s">
        <v>59</v>
      </c>
      <c r="X35" s="128" t="s">
        <v>444</v>
      </c>
    </row>
    <row r="38" spans="1:24" x14ac:dyDescent="0.25">
      <c r="A38" s="20" t="s">
        <v>21</v>
      </c>
      <c r="B38" s="20" t="s">
        <v>175</v>
      </c>
    </row>
    <row r="39" spans="1:24" x14ac:dyDescent="0.25">
      <c r="A39" s="19"/>
      <c r="B39" s="19">
        <v>0.5</v>
      </c>
    </row>
  </sheetData>
  <mergeCells count="8">
    <mergeCell ref="A20:X20"/>
    <mergeCell ref="A4:X4"/>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sqref="A1:C1"/>
    </sheetView>
  </sheetViews>
  <sheetFormatPr defaultRowHeight="12.5" x14ac:dyDescent="0.25"/>
  <cols>
    <col min="1" max="1" width="16.26953125" bestFit="1" customWidth="1"/>
    <col min="2" max="2" width="15.26953125" customWidth="1"/>
    <col min="3" max="3" width="39.1796875" customWidth="1"/>
  </cols>
  <sheetData>
    <row r="1" spans="1:3" ht="13" thickBot="1" x14ac:dyDescent="0.3">
      <c r="A1" s="196" t="s">
        <v>112</v>
      </c>
      <c r="B1" s="197"/>
      <c r="C1" s="198"/>
    </row>
    <row r="3" spans="1:3" ht="25" x14ac:dyDescent="0.25">
      <c r="A3" s="31" t="s">
        <v>234</v>
      </c>
      <c r="B3" s="31" t="s">
        <v>159</v>
      </c>
      <c r="C3" s="31" t="s">
        <v>55</v>
      </c>
    </row>
    <row r="4" spans="1:3" x14ac:dyDescent="0.25">
      <c r="A4" s="44" t="s">
        <v>153</v>
      </c>
      <c r="B4" s="12"/>
      <c r="C4" s="12"/>
    </row>
    <row r="5" spans="1:3" x14ac:dyDescent="0.25">
      <c r="A5" s="12"/>
      <c r="B5" s="12"/>
      <c r="C5" s="21"/>
    </row>
    <row r="6" spans="1:3" x14ac:dyDescent="0.25">
      <c r="A6" s="12"/>
      <c r="B6" s="12"/>
      <c r="C6" s="12"/>
    </row>
    <row r="9" spans="1:3" x14ac:dyDescent="0.25">
      <c r="A9" s="20" t="s">
        <v>21</v>
      </c>
      <c r="B9" s="20" t="s">
        <v>175</v>
      </c>
    </row>
    <row r="10" spans="1:3" x14ac:dyDescent="0.25">
      <c r="A10" s="19"/>
      <c r="B10" s="19"/>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2.5" x14ac:dyDescent="0.25"/>
  <cols>
    <col min="1" max="1" width="21.81640625" bestFit="1" customWidth="1"/>
    <col min="2" max="2" width="27.81640625" bestFit="1" customWidth="1"/>
    <col min="3" max="3" width="16.453125" bestFit="1" customWidth="1"/>
    <col min="4" max="4" width="14.7265625" bestFit="1" customWidth="1"/>
    <col min="5" max="5" width="22.81640625" customWidth="1"/>
    <col min="6" max="6" width="20.26953125" customWidth="1"/>
    <col min="8" max="8" width="22.26953125" bestFit="1" customWidth="1"/>
    <col min="30" max="30" width="23.453125" bestFit="1" customWidth="1"/>
  </cols>
  <sheetData>
    <row r="1" spans="1:16" ht="13" thickBot="1" x14ac:dyDescent="0.3">
      <c r="A1" s="196" t="s">
        <v>114</v>
      </c>
      <c r="B1" s="197"/>
      <c r="C1" s="197"/>
      <c r="D1" s="198"/>
    </row>
    <row r="3" spans="1:16" x14ac:dyDescent="0.25">
      <c r="A3" s="13" t="s">
        <v>235</v>
      </c>
      <c r="B3" s="13" t="s">
        <v>236</v>
      </c>
      <c r="C3" s="13" t="s">
        <v>91</v>
      </c>
      <c r="D3" s="13" t="s">
        <v>237</v>
      </c>
      <c r="E3" s="13" t="s">
        <v>238</v>
      </c>
      <c r="F3" s="13" t="s">
        <v>239</v>
      </c>
    </row>
    <row r="4" spans="1:16" x14ac:dyDescent="0.25">
      <c r="A4" s="18" t="s">
        <v>240</v>
      </c>
      <c r="B4" s="43"/>
      <c r="C4" s="44"/>
      <c r="D4" s="12"/>
      <c r="E4" s="12"/>
      <c r="F4" s="12" t="s">
        <v>153</v>
      </c>
    </row>
    <row r="5" spans="1:16" x14ac:dyDescent="0.25">
      <c r="A5" s="18" t="s">
        <v>240</v>
      </c>
      <c r="B5" s="12"/>
      <c r="C5" s="12"/>
      <c r="D5" s="12"/>
      <c r="E5" s="12"/>
      <c r="F5" s="12" t="s">
        <v>153</v>
      </c>
    </row>
    <row r="8" spans="1:16" ht="13" x14ac:dyDescent="0.3">
      <c r="A8" s="13" t="s">
        <v>241</v>
      </c>
      <c r="B8" s="41" t="s">
        <v>242</v>
      </c>
      <c r="C8" s="41" t="s">
        <v>243</v>
      </c>
      <c r="D8" s="41" t="s">
        <v>244</v>
      </c>
      <c r="E8" s="41" t="s">
        <v>245</v>
      </c>
      <c r="F8" s="41" t="s">
        <v>246</v>
      </c>
      <c r="G8" s="41" t="s">
        <v>247</v>
      </c>
      <c r="H8" s="41" t="s">
        <v>248</v>
      </c>
      <c r="I8" s="29"/>
      <c r="J8" s="29"/>
      <c r="K8" s="29"/>
      <c r="L8" s="29"/>
      <c r="M8" s="29"/>
      <c r="N8" s="29"/>
      <c r="O8" s="29"/>
      <c r="P8" s="29"/>
    </row>
    <row r="9" spans="1:16" x14ac:dyDescent="0.25">
      <c r="A9" s="13" t="s">
        <v>249</v>
      </c>
      <c r="B9" s="42"/>
      <c r="C9" s="42"/>
      <c r="D9" s="42"/>
      <c r="E9" s="42"/>
      <c r="F9" s="42"/>
      <c r="G9" s="42"/>
      <c r="H9" s="42"/>
      <c r="I9" s="29"/>
      <c r="J9" s="29"/>
      <c r="K9" s="29"/>
      <c r="L9" s="29"/>
      <c r="M9" s="29"/>
      <c r="N9" s="29"/>
      <c r="O9" s="29"/>
      <c r="P9" s="29"/>
    </row>
    <row r="10" spans="1:16" x14ac:dyDescent="0.25">
      <c r="A10" s="13" t="s">
        <v>249</v>
      </c>
      <c r="B10" s="42"/>
      <c r="C10" s="42"/>
      <c r="D10" s="42"/>
      <c r="E10" s="42"/>
      <c r="F10" s="42"/>
      <c r="G10" s="42"/>
      <c r="H10" s="42"/>
    </row>
    <row r="11" spans="1:16" x14ac:dyDescent="0.25">
      <c r="A11" s="13" t="s">
        <v>249</v>
      </c>
      <c r="B11" s="42"/>
      <c r="C11" s="42"/>
      <c r="D11" s="42"/>
      <c r="E11" s="42"/>
      <c r="F11" s="42"/>
      <c r="G11" s="42"/>
      <c r="H11" s="42"/>
    </row>
    <row r="15" spans="1:16" ht="13" x14ac:dyDescent="0.3">
      <c r="B15" s="40" t="s">
        <v>250</v>
      </c>
      <c r="C15" s="209" t="s">
        <v>251</v>
      </c>
      <c r="D15" s="209"/>
      <c r="E15" s="209"/>
      <c r="F15" s="209"/>
      <c r="G15" s="209"/>
    </row>
    <row r="16" spans="1:16" x14ac:dyDescent="0.25">
      <c r="B16" s="40" t="s">
        <v>252</v>
      </c>
      <c r="C16" s="209"/>
      <c r="D16" s="209"/>
      <c r="E16" s="209"/>
      <c r="F16" s="209"/>
      <c r="G16" s="209"/>
    </row>
    <row r="17" spans="2:7" x14ac:dyDescent="0.25">
      <c r="B17" s="40" t="s">
        <v>253</v>
      </c>
      <c r="C17" s="209"/>
      <c r="D17" s="209"/>
      <c r="E17" s="209"/>
      <c r="F17" s="209"/>
      <c r="G17" s="209"/>
    </row>
    <row r="18" spans="2:7" x14ac:dyDescent="0.25">
      <c r="B18" s="40" t="s">
        <v>254</v>
      </c>
      <c r="C18" s="209"/>
      <c r="D18" s="209"/>
      <c r="E18" s="209"/>
      <c r="F18" s="209"/>
      <c r="G18" s="209"/>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5" x14ac:dyDescent="0.25"/>
  <cols>
    <col min="1" max="1" width="15.1796875" bestFit="1" customWidth="1"/>
    <col min="2" max="2" width="48" customWidth="1"/>
  </cols>
  <sheetData>
    <row r="1" spans="1:2" x14ac:dyDescent="0.25">
      <c r="A1" s="210" t="s">
        <v>255</v>
      </c>
      <c r="B1" s="211"/>
    </row>
    <row r="2" spans="1:2" x14ac:dyDescent="0.25">
      <c r="A2" s="65" t="s">
        <v>256</v>
      </c>
      <c r="B2" s="80" t="s">
        <v>153</v>
      </c>
    </row>
    <row r="3" spans="1:2" x14ac:dyDescent="0.25">
      <c r="A3" s="65" t="s">
        <v>257</v>
      </c>
      <c r="B3" s="80" t="s">
        <v>153</v>
      </c>
    </row>
    <row r="4" spans="1:2" ht="13" thickBot="1" x14ac:dyDescent="0.3">
      <c r="A4" s="66" t="s">
        <v>258</v>
      </c>
      <c r="B4" s="81" t="s">
        <v>153</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6" ma:contentTypeDescription="Create a new document." ma:contentTypeScope="" ma:versionID="1b979859d078cc672b9adf7e36302b82">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f2f53a803b1261375c1d215b331f25c"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395CB4D-C50E-46A2-9B09-1D218745B1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8B321FC-9D76-436D-84FC-68C6D71D3C06}">
  <ds:schemaRefs>
    <ds:schemaRef ds:uri="http://schemas.microsoft.com/office/2006/metadata/properties"/>
    <ds:schemaRef ds:uri="http://schemas.microsoft.com/office/infopath/2007/PartnerControls"/>
    <ds:schemaRef ds:uri="6d0617fb-1757-47f7-87ee-4de08b985d90"/>
  </ds:schemaRefs>
</ds:datastoreItem>
</file>

<file path=customXml/itemProps3.xml><?xml version="1.0" encoding="utf-8"?>
<ds:datastoreItem xmlns:ds="http://schemas.openxmlformats.org/officeDocument/2006/customXml" ds:itemID="{D76DCACD-45D8-4428-9F15-EDA4F604D3C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Rakotoasimbahoaka, M.</cp:lastModifiedBy>
  <cp:revision/>
  <dcterms:created xsi:type="dcterms:W3CDTF">2009-06-01T12:18:44Z</dcterms:created>
  <dcterms:modified xsi:type="dcterms:W3CDTF">2019-07-02T10:16:08Z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