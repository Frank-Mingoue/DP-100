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J:\General\04_RELEASE_MANAGEMENT\2019-07-Release PROD JUL19\02_Development\Data\D_CHG161158\02-Design\"/>
    </mc:Choice>
  </mc:AlternateContent>
  <xr:revisionPtr revIDLastSave="0" documentId="13_ncr:1_{2339A64F-286F-4880-A0B2-930F05E8C5CA}" xr6:coauthVersionLast="36" xr6:coauthVersionMax="43" xr10:uidLastSave="{00000000-0000-0000-0000-000000000000}"/>
  <bookViews>
    <workbookView xWindow="0" yWindow="0" windowWidth="19200" windowHeight="7050" tabRatio="893" xr2:uid="{00000000-000D-0000-FFFF-FFFF00000000}"/>
  </bookViews>
  <sheets>
    <sheet name="Version Control" sheetId="12" r:id="rId1"/>
    <sheet name="Functional Specification" sheetId="14" r:id="rId2"/>
    <sheet name="Title" sheetId="11"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Control'!$L$5</definedName>
    <definedName name="DevDReviewed">'Version Control'!$L$4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E23" i="12" l="1"/>
  <c r="E24" i="12"/>
  <c r="E25" i="12"/>
  <c r="E27" i="12"/>
  <c r="E28" i="12"/>
  <c r="B8" i="21" l="1"/>
  <c r="B7" i="21"/>
  <c r="B3" i="21"/>
  <c r="B9" i="21"/>
  <c r="B10" i="21"/>
  <c r="C17" i="21"/>
  <c r="C26" i="12" l="1"/>
  <c r="E26" i="12" l="1"/>
  <c r="C29" i="12"/>
  <c r="D8" i="1"/>
  <c r="D7" i="1"/>
  <c r="D6" i="1"/>
  <c r="D5" i="1"/>
  <c r="D4" i="1"/>
  <c r="D3" i="1"/>
  <c r="B38" i="11"/>
  <c r="E29" i="12" l="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5"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<sst xmlns="http://schemas.openxmlformats.org/spreadsheetml/2006/main" count="1106" uniqueCount="361">
  <si>
    <t>Trade Marketing Excellence Programme</t>
  </si>
  <si>
    <t>DATA</t>
  </si>
  <si>
    <t>Technical Design Mapping, Workflow &amp; Stored Procedure</t>
  </si>
  <si>
    <t>CHG/INC:</t>
  </si>
  <si>
    <t xml:space="preserve">        Title:</t>
  </si>
  <si>
    <t>Planned Prod Release Date:</t>
  </si>
  <si>
    <t>Jul, 2019</t>
  </si>
  <si>
    <t xml:space="preserve">  Market Affected:</t>
  </si>
  <si>
    <t>Date:</t>
  </si>
  <si>
    <t>Status:</t>
  </si>
  <si>
    <t xml:space="preserve">Draft </t>
  </si>
  <si>
    <t>Reviewer Control Section</t>
  </si>
  <si>
    <t>Name</t>
  </si>
  <si>
    <t>First Name</t>
  </si>
  <si>
    <t>Function</t>
  </si>
  <si>
    <t>Document Version</t>
  </si>
  <si>
    <t>Date</t>
  </si>
  <si>
    <t>Comments</t>
  </si>
  <si>
    <t>Developer</t>
  </si>
  <si>
    <t>Sign-off Control Section (a CoE and GDC sign-off names are required)</t>
  </si>
  <si>
    <t>Signature</t>
  </si>
  <si>
    <t>Estimation</t>
  </si>
  <si>
    <t>Manday</t>
  </si>
  <si>
    <t>Hours</t>
  </si>
  <si>
    <t>Design(HLFD, DTD)</t>
  </si>
  <si>
    <t>ETL Detail Design</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</si>
  <si>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</si>
  <si>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</si>
  <si>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</si>
  <si>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</si>
  <si>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</si>
  <si>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</si>
  <si>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</si>
  <si>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</si>
  <si>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</si>
  <si>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</si>
  <si>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</si>
  <si>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</si>
  <si>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</si>
  <si>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</si>
  <si>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</si>
  <si>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</si>
  <si>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</si>
  <si>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</si>
  <si>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</si>
  <si>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</si>
  <si>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</si>
  <si>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DTD Review CheckList</t>
  </si>
  <si>
    <t xml:space="preserve">This is a checklist that is manage by Accenture to ensure that </t>
  </si>
  <si>
    <t>all coding and guideline provided by GDC has been followed as per</t>
  </si>
  <si>
    <t>Checklist</t>
  </si>
  <si>
    <t>the document</t>
  </si>
  <si>
    <t>Validation</t>
  </si>
  <si>
    <t>Details</t>
  </si>
  <si>
    <t>Status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</si>
  <si>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</si>
  <si>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</si>
  <si>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</si>
  <si>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</si>
  <si>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NA</t>
  </si>
  <si>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</si>
  <si>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</si>
  <si>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</si>
  <si>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</si>
  <si>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</si>
  <si>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</si>
  <si>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</si>
  <si>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</si>
  <si>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</si>
  <si>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</si>
  <si>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</si>
  <si>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</si>
  <si>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</si>
  <si>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</si>
  <si>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</si>
  <si>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</si>
  <si>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</si>
  <si>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</si>
  <si>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</si>
  <si>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</si>
  <si>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</si>
  <si>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</si>
  <si>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</si>
  <si>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</si>
  <si>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</si>
  <si>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</si>
  <si>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</si>
  <si>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</si>
  <si>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</si>
  <si>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</si>
  <si>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</si>
  <si>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</si>
  <si>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</si>
  <si>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</si>
  <si>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</si>
  <si>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</si>
  <si>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</si>
  <si>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</si>
  <si>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</si>
  <si>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</si>
  <si>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</si>
  <si>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</si>
  <si>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</si>
  <si>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</si>
  <si>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</si>
  <si>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</si>
  <si>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</si>
  <si>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</si>
  <si>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</si>
  <si>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</si>
  <si>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</si>
  <si>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</si>
  <si>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</si>
  <si>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</si>
  <si>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</si>
  <si>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</si>
  <si>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</si>
  <si>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</si>
  <si>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</si>
  <si>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</si>
  <si>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</si>
  <si>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</si>
  <si>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</si>
  <si>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</si>
  <si>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</si>
  <si>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</si>
  <si>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</si>
  <si>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</si>
  <si>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</si>
  <si>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</si>
  <si>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</si>
  <si>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</si>
  <si>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</si>
  <si>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</si>
  <si>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</si>
  <si>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</si>
  <si>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</si>
  <si>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</si>
  <si>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</si>
  <si>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</si>
  <si>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</si>
  <si>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</si>
  <si>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</si>
  <si>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</si>
  <si>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</si>
  <si>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</si>
  <si>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</si>
  <si>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</si>
  <si>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</si>
  <si>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</si>
  <si>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</si>
  <si>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</si>
  <si>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</si>
  <si>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</si>
  <si>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</si>
  <si>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</si>
  <si>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</si>
  <si>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</si>
  <si>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</si>
  <si>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</si>
  <si>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</si>
  <si>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Vardecimal compression should be applied for OLAP</t>
  </si>
  <si>
    <t>When populating WC_FF_ENTITY_DETAILS, populate COUNTRY with value from WC_FF_COUNTRY_LANG_ID</t>
  </si>
  <si>
    <t>Columns</t>
  </si>
  <si>
    <t>Column Name</t>
  </si>
  <si>
    <t>Data Type</t>
  </si>
  <si>
    <t>Default column value</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</si>
  <si>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</si>
  <si>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</si>
  <si>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</si>
  <si>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</si>
  <si>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</si>
  <si>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</si>
  <si>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</si>
  <si>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</si>
  <si>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</si>
  <si>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</si>
  <si>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</si>
  <si>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</si>
  <si>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</si>
  <si>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</si>
  <si>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Configuration File (*.ini)</t>
  </si>
  <si>
    <t>Bat Files</t>
  </si>
  <si>
    <t xml:space="preserve">Mapping </t>
  </si>
  <si>
    <t>Folder Name</t>
  </si>
  <si>
    <t>Mapping Name</t>
  </si>
  <si>
    <t>EIM_INTERFACE</t>
  </si>
  <si>
    <t>EC4U</t>
  </si>
  <si>
    <t>Mapping Details</t>
  </si>
  <si>
    <t>Source Table</t>
  </si>
  <si>
    <t>Instance Name</t>
  </si>
  <si>
    <t>Source Column</t>
  </si>
  <si>
    <t>Datatype</t>
  </si>
  <si>
    <t>Target Table</t>
  </si>
  <si>
    <t>Target Column</t>
  </si>
  <si>
    <t>Functional
Summary</t>
  </si>
  <si>
    <t>Transformations</t>
  </si>
  <si>
    <t>Session , worklet &amp; workflow</t>
  </si>
  <si>
    <t>Workflow</t>
  </si>
  <si>
    <t>Worflow Name</t>
  </si>
  <si>
    <t>Impacted</t>
  </si>
  <si>
    <t>Worklet</t>
  </si>
  <si>
    <t>Worklet Name</t>
  </si>
  <si>
    <t>JTI_DWH_ETLComplete_Incremental
JTI_OLTP_EIM</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</si>
  <si>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</si>
  <si>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</si>
  <si>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</si>
  <si>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</si>
  <si>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</si>
  <si>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</si>
  <si>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</si>
  <si>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</si>
  <si>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</si>
  <si>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</si>
  <si>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</si>
  <si>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</si>
  <si>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</si>
  <si>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</si>
  <si>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</si>
  <si>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</si>
  <si>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</si>
  <si>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</si>
  <si>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</si>
  <si>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</si>
  <si>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</si>
  <si>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</si>
  <si>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</si>
  <si>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n/a</t>
  </si>
  <si>
    <t>Procedure Name</t>
  </si>
  <si>
    <t>Data Update Required</t>
  </si>
  <si>
    <t>Environment (OLTP or OLAP)</t>
  </si>
  <si>
    <t>Period (If any)</t>
  </si>
  <si>
    <t>Data Update type</t>
  </si>
  <si>
    <t>Data Update Priority</t>
  </si>
  <si>
    <t>N</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</si>
  <si>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</si>
  <si>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</si>
  <si>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</si>
  <si>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</si>
  <si>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</si>
  <si>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</si>
  <si>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</si>
  <si>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</si>
  <si>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</si>
  <si>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</si>
  <si>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</si>
  <si>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</si>
  <si>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</si>
  <si>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</si>
  <si>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</si>
  <si>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</si>
  <si>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</si>
  <si>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</si>
  <si>
    <t>Rakotoasimbahoaka</t>
  </si>
  <si>
    <t>Misa</t>
  </si>
  <si>
    <t>26/06/2019</t>
  </si>
  <si>
    <t>Inbound and outbound interfaces additional columns</t>
  </si>
  <si>
    <t>Informatica</t>
  </si>
  <si>
    <t>CONTACT_UID</t>
  </si>
  <si>
    <t>CELL_PH_NUM</t>
  </si>
  <si>
    <t>X_ATTRIB_3</t>
  </si>
  <si>
    <t>X_ATTRIB_4</t>
  </si>
  <si>
    <t>X_ATTRIB_14</t>
  </si>
  <si>
    <t>X_ATTRIB_18</t>
  </si>
  <si>
    <t>nvarchar(100)</t>
  </si>
  <si>
    <t>nvarchar(50)</t>
  </si>
  <si>
    <t>nvarchar(40)</t>
  </si>
  <si>
    <t>nvarchar(30)</t>
  </si>
  <si>
    <t>PERSON_UID</t>
  </si>
  <si>
    <t>X_ATTRIB_14_CD</t>
  </si>
  <si>
    <t>CHG161158</t>
  </si>
  <si>
    <t>KZ</t>
  </si>
  <si>
    <t>Jeetun</t>
  </si>
  <si>
    <t>Jhanvi</t>
  </si>
  <si>
    <t>Reviewer</t>
  </si>
  <si>
    <t>BANK_CARD_OUTBOUND_V2_TXT</t>
  </si>
  <si>
    <t>INFA</t>
  </si>
  <si>
    <t>PAYMENT_EXPORT_V4_TXT</t>
  </si>
  <si>
    <t>POINT_TRANS_PB_FF_V2</t>
  </si>
  <si>
    <t>NVARCHAR (40) NULL</t>
  </si>
  <si>
    <t>NVARCHAR (30) NULL</t>
  </si>
  <si>
    <t>NVARCHAR (50) NULL</t>
  </si>
  <si>
    <t>X_ATTRIB_7</t>
  </si>
  <si>
    <t>DATETIME NULL</t>
  </si>
  <si>
    <t>X_ATTRIB_8</t>
  </si>
  <si>
    <t>X_ATTRIB_10</t>
  </si>
  <si>
    <t>X_ATTRIB_1</t>
  </si>
  <si>
    <t>X_ATTRIB_5</t>
  </si>
  <si>
    <t>X_ATTRIB_6</t>
  </si>
  <si>
    <t>X_ATTRIB_9</t>
  </si>
  <si>
    <t>MID_NAME</t>
  </si>
  <si>
    <t>datetime</t>
  </si>
  <si>
    <t>FDE_INT_BANK_CARD_OUTBOUND_V2</t>
  </si>
  <si>
    <t>Import Target</t>
  </si>
  <si>
    <t>S_CONTACT</t>
  </si>
  <si>
    <t>NVARCHAR (100) NULL</t>
  </si>
  <si>
    <t>Transfer the column to the AGGTRANS then the target.</t>
  </si>
  <si>
    <t>S_CONTACT_X</t>
  </si>
  <si>
    <t>ATTRIBUTE_37</t>
  </si>
  <si>
    <t>FDE_INT_PAYMENT_EXPORT_V4_KZ</t>
  </si>
  <si>
    <t>Modify the SQ_S_DOC_AGREE by adding the below fields:
'--CHG161158
C.PERSON_UID AS CONTACT_UID,
C.CELL_PH_NUM,
C.X_ATTRIB_14_CD,
CON_X.ATTRIB_37</t>
  </si>
  <si>
    <t>Map fields to Target</t>
  </si>
  <si>
    <t>FDE_INT_POINT_TRANS_PB_EXPORT_V2</t>
  </si>
  <si>
    <t>Modify the SQ_S_DOC_AGREE by adding the below fields:
'--CHG161158
CON.PERSON_UID AS CONTACT_UID,
CON.X_ATTRIB_3,
CON.X_ATTRIB_4,
CONVERT(NVARCHAR(10),CON.X_ATTRIB_7,111) AS X_ATTRIB_7,
CONVERT(NVARCHAR(10),CON.X_ATTRIB_8,111) AS X_ATTRIB_8,
CON.X_ATTRIB_10,
CON.X_ATTRIB_14_CD,
CON_X.ATTRIB_37,
CON.X_ATTRIB_1,
CON.X_ATTRIB_5,
CON.X_ATTRIB_6,
CON.X_ATTRIB_9,
CON.MID_NAME</t>
  </si>
  <si>
    <t>Transfer the column to the EXP_GATHER then the target.</t>
  </si>
  <si>
    <t>X_ATTRIB_37</t>
  </si>
  <si>
    <t>Copy FDE_INT_POINT_TRANS_PB_EXPORT_V1 and rename it to FDE_INT_POINT_TRANS_PB_EXPORT_V2 &amp; add new columns</t>
  </si>
  <si>
    <t>FDE_INT_BANK_CARD_OUTBOUND_V1</t>
  </si>
  <si>
    <t>RUN_OUTBOUND_PM_KZ</t>
  </si>
  <si>
    <t>RUN_OUTBOUND_PB_KZ</t>
  </si>
  <si>
    <t>wrk_Bank_Card_Outbound_V1_KZ</t>
  </si>
  <si>
    <t>Load_EIM -&gt; wrk_Bank_Card_Outbound_V1_KZ</t>
  </si>
  <si>
    <t>wrk_Bank_Card_Outbound_V2_KZ</t>
  </si>
  <si>
    <t>Load_EIM -&gt; wrk_Bank_Card_Outbound_V2_KZ</t>
  </si>
  <si>
    <t>Shortcut_to_FDE_INT_BANK_CARD_OUTBOUND_V2</t>
  </si>
  <si>
    <t>Shortcut_to_FDE_INT_PAYMENT_EXPORT_V4_KZ</t>
  </si>
  <si>
    <t>Shortcut_to_FDE_INT_POINT_TRANS_PB_EXPORT_V2</t>
  </si>
  <si>
    <t>Rename FDE_INT_BANK_CARD_OUTBOUND_V1 to FDE_INT_BANK_CARD_OUTBOUND_V2 &amp; add new columns</t>
  </si>
  <si>
    <t>Rename FDE_INT_PAYMENT_EXPORT_V3_KZ to FDE_INT_PAYMENT_EXPORT_V4_KZ &amp; add new columns</t>
  </si>
  <si>
    <t>Check and rename it if needed</t>
  </si>
  <si>
    <t>Pre_Insert</t>
  </si>
  <si>
    <t>DummyMap</t>
  </si>
  <si>
    <t>INSERT INTO WC_ETL_FILES_G SELECT ETL_PROC_WID,'KZBC0201.TXT',0,0,GETDATE(),GETDATE(),NULL FROM W_PARAM_G</t>
  </si>
  <si>
    <t>- Rename the session to FDE_INT_BANK_CARD_OUTBOUND_v2_KZ
- Choose the mapping FDE_INT_BANK_CARD_OUTBOUND_V2
- Rename the log to wrk_Bank_Card_Outbound_V2_KZ_FDE_INT_BANK_CARD_OUTBOUND_v2_KZ.log
- Validate</t>
  </si>
  <si>
    <t>Modify the SQ_S_CONTACT1 to: 
SELECT  ACC.NAME 
       ,AGREE_NUM 
       ,X_NAME 
       ,AGREE_CD 
       ,ACTL_COST_AMT 
       ,CONVERT(NVARCHAR, EFF_START_DT, 111)  AS EFF_START_DT 
       ,CONVERT(NVARCHAR, EFF_END_DT, 111)    AS EFF_END_DT 
       ,CNTR_SRV_TYPE_CD 
       ,P.NAME 
       ,STAT_CD 
       ,X_GIFT_CARD_NUM 
       ,--'Dummy', 
       FST_NAME 
       ,LAST_NAME 
       ,C.X_ATTRIB_3 
       ,CON_X.ATTRIB_38 --C.X_ATTRIB_2 Changed as per INC2226195
       ,C.X_ATTRIB_4 
       ,C.X_ATTRIB_5 
       ,CONVERT(NVARCHAR, C.X_ATTRIB_7, 111)  AS X_ATTRIB_7 
       ,CONVERT(NVARCHAR, C.X_ATTRIB_8, 111)  AS X_ATTRIB_8 
       ,C.X_ATTRIB_6 
       ,ADDR 
       ,C.X_ATTRIB_9 
       ,CONVERT(NVARCHAR, C.X_ATTRIB_10, 111) AS X_ATTRIB_10 
       ,SEX_MF 
       ,C.X_ATTRIB_1 
       ,PRFL.X_BILLING_CITY_CD --CHG038219
       ,X_QUALIFICATION 
       ,DOC.NAME 
       ,DOC.REV_NUM 
       ,DOC.BU_ID 
       ,DOC.ACTIVE_FLG 
       ,DOC.CONTRACT_FLG 
       ,S_BU.NAME 
       ,ACC.LOC 
       ,RIGHT(S_BU.NAME, 2)+'BC0201' 
       ,'KZA' AS LANG_ID 
       ,P1.NAME AS PSTN_POSTN_NAME 
       ,DIVN.NAME AS PSTN_POSTN_DIVN 
       ,DIVN.LOC AS PSTN_POSTN_LOC 
       ,B1.NAME  AS PSTN_POSTN_BU 
       ,C.MID_NAME AS MID_NAME
	   --CHG161158
	   ,C.PERSON_UID AS CONTACT_UID
	   ,C.CELL_PH_NUM
	   ,C.X_ATTRIB_14_CD
	   ,CON_X.ATTRIB_37
FROM   S_DOC_AGREE DOC 
       INNER JOIN S_BU ON S_BU.ROW_ID = DOC.BU_ID 
       LEFT OUTER JOIN S_ORG_EXT ACC ON ACC.PAR_ROW_ID = DOC.TARGET_OU_ID 
       LEFT OUTER JOIN S_POSTN P ON ACC.PR_POSTN_ID = P.PAR_ROW_ID 
       LEFT OUTER JOIN S_CONTACT C ON ACC.PR_CON_ID = C.ROW_ID 
	   LEFT OUTER JOIN S_CONTACT_X CON_X ON C.ROW_ID = CON_X.ROW_ID --INC2226195
       LEFT OUTER JOIN S_ADDR_PER ADR ON ACC.PR_ADDR_ID = ADR.ROW_ID 
       --LEFT OUTER JOIN S_PER_PAY_PRFL PRFL ON PRFL.ROW_ID=C.PR_PER_PAY_PRFL_ID 
       LEFT OUTER JOIN S_PTY_PAY_PRFL PRFL ON PRFL.ROW_ID = C.PR_PER_PAY_PRFL_ID 
       LEFT OUTER JOIN S_AGREE_POSTN POS ON POS.AGREE_ID = DOC.ROW_ID 
       LEFT OUTER JOIN S_POSTN P1 ON POS.POSTN_ID = P1.ROW_ID 
       LEFT OUTER JOIN S_ORG_EXT DIVN ON P1.OU_ID = DIVN.ROW_ID 
       LEFT OUTER JOIN S_BU B1 ON B1.ROW_ID = DIVN.BU_ID    
WHERE  DOC.STAT_CD = 'Approved by Specialist' 
       AND S_BU.NAME = 'Kazakhstan, KZ'</t>
  </si>
  <si>
    <t>Rename_KZ</t>
  </si>
  <si>
    <t>$PMSourceFileDir\Scripts\renamefile.bat "$$STAGINGPATH\\KZBC0201.txt" "$$INTERFACESPATH\\Kazakhstan\\OUNP" "KZ" "BC" "02" "01" "10"</t>
  </si>
  <si>
    <t>Shortcut_to_DummyMap</t>
  </si>
  <si>
    <t>- Rename the session to FDE_INT_BANK_CARD_OUTBOUND_v2_KZ
- Choose the mapping Shortcut_to_FDE_INT_BANK_CARD_OUTBOUND_V2
- Rename the log to wrk_Bank_Card_Outbound_V1_KZ_FDE_INT_BANK_CARD_OUTBOUND_v1_KZ.log
- Validate</t>
  </si>
  <si>
    <t>- Rename the log to wrk_Bank_Card_Outbound_V2_KZ_Pre_Insert.log
- Validate</t>
  </si>
  <si>
    <t>- Rename the log to wrk_Bank_Card_Outbound_V2_KZ_Rename_KZ.log
- Validate</t>
  </si>
  <si>
    <t>wrk_Payment_Outbound_KZ</t>
  </si>
  <si>
    <t xml:space="preserve">Load_EIM -&gt; wrk_Payment_Outbound_KZ </t>
  </si>
  <si>
    <t>s_FDE_INT_PAYMENT_EXPORT_V4_KZ</t>
  </si>
  <si>
    <t>- Rename the session to s_FDE_INT_PAYMENT_EXPORT_V4_KZ
- Choose the mapping FDE_INT_PAYMENT_EXPORT_V4
- Rename the log to wrk_Payment_Outbound_KZ_s_FDE_INT_PAYMENT_EXPORT_V4_KZ.log
- Validate</t>
  </si>
  <si>
    <t>INSERT INTO WC_ETL_FILES_G SELECT ETL_PROC_WID,'KZPM0401.TXT',0,0,GETDATE(),GETDATE(),NULL FROM W_PARAM_G</t>
  </si>
  <si>
    <t>- Validate</t>
  </si>
  <si>
    <t>$PMSourceFileDir\Scripts\renamefile.bat "$$STAGINGPATH\\KZPM0401.TXT" "$$INTERFACESPATH\\Kazakhstan\\OUNP" "KZ" "PM" "04" "01" "10"</t>
  </si>
  <si>
    <t>-  Validate</t>
  </si>
  <si>
    <t>Create a shortcut of FDE_INT_POINT_TRANS_PB_EXPORT_V2</t>
  </si>
  <si>
    <t>wrk_Point_Transactions_Outbound_PB</t>
  </si>
  <si>
    <t>INSERT INTO WC_ETL_FILES_G SELECT ETL_PROC_WID,'KZPB0201.txt',0,0,GETDATE(),GETDATE(),NULL FROM W_PARAM_G</t>
  </si>
  <si>
    <t>- Rename the session to s_FDE_INT_POINT_TRANS_PB_EXPORT_V2_KZ
- Choose the mapping FDE_INT_POINT_TRANS_PB_EXPORT_V2
- Rename the log to wrk_Point_Transactions_Outbound_PB_s_FDE_INT_POINT_TRANS_PB_EXPORT_V1_KZ.log
- Validate</t>
  </si>
  <si>
    <t>s_FDE_INT_POINT_TRANS_PB_EXPORT_V2_KZ</t>
  </si>
  <si>
    <t>FDE_INT_BANK_CARD_OUTBOUND_v2_KZ</t>
  </si>
  <si>
    <t>$PMSourceFileDir\Scripts\renamefile.bat "$$STAGINGPATH\\KZPB0201.txt" "$$INTERFACESPATH\\Kazakhstan\\OUNP" "$$COUNTRY_CODE" "$$ENTITY" "$$VERSION" "$$SYSTEM_ID" "$$GROUP_NUMBER"</t>
  </si>
  <si>
    <t>Rename BANK_CARD_OUTBOUND_TXT to V2 &amp; Add 4 new fields to BC interface</t>
  </si>
  <si>
    <t>Rename PAYMENT_EXPORT_V3_TXT to V4 &amp; Add 3 new fields to PM interface</t>
  </si>
  <si>
    <t>Rename POINT_TRANS_PB_FF_V1 to V2 &amp; Add 12 new fields to PB interface</t>
  </si>
  <si>
    <t>TME Phase 2 - HLFD Interface Bank Card - Outbound Version 2.0.doc</t>
  </si>
  <si>
    <t>TME Phase 2 - HLFD Interface Payment - Outbound Version 4.0.doc</t>
  </si>
  <si>
    <t>TME Phase 2 - HLFD Interface Points Transactions – Outbound PB Version 2.0.docx</t>
  </si>
  <si>
    <t>- Ensure that X_ATTRIB_7 and X_ATTRIB_8 is exported in YYYY/MM/DD format.</t>
  </si>
  <si>
    <t>Inbound: Created based on the FD v1.</t>
  </si>
  <si>
    <t>Outbound: Created based on the FD v1.</t>
  </si>
  <si>
    <t>- Use the CONTACT_UID with a cyrillyc characters</t>
  </si>
  <si>
    <t xml:space="preserve"> Testing Outbound
</t>
  </si>
  <si>
    <t>Outbound: Reviewed as per FDv3</t>
  </si>
  <si>
    <t>- Rename the workflow FDE_INT_BANK_CARD_OUTBOUND_V2 to and the worklet to wrk_Bank_Card_Outbound_V2_KZ</t>
  </si>
  <si>
    <t>- Regression EC4U (BC/PM)</t>
  </si>
  <si>
    <t xml:space="preserve"> BC(2hr)/ PM(2hr)/ PB(1.15hr)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</si>
</sst>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50" x14ac:knownFonts="1">
    <font>
      <sz val="10"/>
      <name val="Arial"/>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0"/>
      <name val="Tahoma"/>
      <family val="2"/>
    </font>
    <font>
      <sz val="9"/>
      <name val="Tahoma"/>
      <family val="2"/>
    </font>
    <font>
      <sz val="10"/>
      <name val="Times New Roman"/>
      <family val="1"/>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theme="0" tint="-0.249977111117893"/>
        <bgColor indexed="64"/>
      </patternFill>
    </fill>
  </fills>
  <borders count="3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6">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5" borderId="0" applyNumberFormat="0" applyBorder="0" applyAlignment="0" applyProtection="0"/>
    <xf numFmtId="0" fontId="13" fillId="8" borderId="0" applyNumberFormat="0" applyBorder="0" applyAlignment="0" applyProtection="0"/>
    <xf numFmtId="0" fontId="13" fillId="11" borderId="0" applyNumberFormat="0" applyBorder="0" applyAlignment="0" applyProtection="0"/>
    <xf numFmtId="0" fontId="14" fillId="12"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3" borderId="0" applyNumberFormat="0" applyBorder="0" applyAlignment="0" applyProtection="0"/>
    <xf numFmtId="0" fontId="14" fillId="14" borderId="0" applyNumberFormat="0" applyBorder="0" applyAlignment="0" applyProtection="0"/>
    <xf numFmtId="0" fontId="14" fillId="19" borderId="0" applyNumberFormat="0" applyBorder="0" applyAlignment="0" applyProtection="0"/>
    <xf numFmtId="0" fontId="15" fillId="20" borderId="1" applyNumberFormat="0" applyAlignment="0" applyProtection="0"/>
    <xf numFmtId="0" fontId="16" fillId="20" borderId="2" applyNumberFormat="0" applyAlignment="0" applyProtection="0"/>
    <xf numFmtId="164" fontId="1" fillId="0" borderId="0" applyFont="0" applyFill="0" applyBorder="0" applyAlignment="0" applyProtection="0"/>
    <xf numFmtId="0" fontId="17" fillId="7" borderId="2" applyNumberFormat="0" applyAlignment="0" applyProtection="0"/>
    <xf numFmtId="0" fontId="18" fillId="0" borderId="3" applyNumberFormat="0" applyFill="0" applyAlignment="0" applyProtection="0"/>
    <xf numFmtId="0" fontId="19" fillId="0" borderId="0" applyNumberFormat="0" applyFill="0" applyBorder="0" applyAlignment="0" applyProtection="0"/>
    <xf numFmtId="0" fontId="20" fillId="4" borderId="0" applyNumberFormat="0" applyBorder="0" applyAlignment="0" applyProtection="0"/>
    <xf numFmtId="0" fontId="3" fillId="0" borderId="0" applyNumberFormat="0" applyFill="0" applyBorder="0" applyAlignment="0" applyProtection="0">
      <alignment vertical="top"/>
      <protection locked="0"/>
    </xf>
    <xf numFmtId="0" fontId="21" fillId="21" borderId="0" applyNumberFormat="0" applyBorder="0" applyAlignment="0" applyProtection="0"/>
    <xf numFmtId="0" fontId="1" fillId="0" borderId="0" applyAlignment="0"/>
    <xf numFmtId="0" fontId="12" fillId="22" borderId="4" applyNumberFormat="0" applyFont="0" applyAlignment="0" applyProtection="0"/>
    <xf numFmtId="0" fontId="22" fillId="3" borderId="0" applyNumberFormat="0" applyBorder="0" applyAlignment="0" applyProtection="0"/>
    <xf numFmtId="0" fontId="12" fillId="0" borderId="0"/>
    <xf numFmtId="0" fontId="23" fillId="0" borderId="0" applyNumberFormat="0" applyFill="0" applyBorder="0" applyAlignment="0" applyProtection="0"/>
    <xf numFmtId="0" fontId="24" fillId="0" borderId="5" applyNumberFormat="0" applyFill="0" applyAlignment="0" applyProtection="0"/>
    <xf numFmtId="0" fontId="25" fillId="0" borderId="6" applyNumberFormat="0" applyFill="0" applyAlignment="0" applyProtection="0"/>
    <xf numFmtId="0" fontId="26" fillId="0" borderId="7" applyNumberFormat="0" applyFill="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0" applyNumberFormat="0" applyFill="0" applyBorder="0" applyAlignment="0" applyProtection="0"/>
    <xf numFmtId="0" fontId="29" fillId="23" borderId="9" applyNumberFormat="0" applyAlignment="0" applyProtection="0"/>
  </cellStyleXfs>
  <cellXfs count="195">
    <xf numFmtId="0" fontId="0" fillId="0" borderId="0" xfId="0"/>
    <xf numFmtId="164" fontId="4" fillId="0" borderId="0" xfId="27" applyFont="1"/>
    <xf numFmtId="164" fontId="1" fillId="0" borderId="0" xfId="27"/>
    <xf numFmtId="164" fontId="9" fillId="0" borderId="0" xfId="27" applyFont="1"/>
    <xf numFmtId="165" fontId="9" fillId="0" borderId="0" xfId="27" applyNumberFormat="1" applyFont="1" applyAlignment="1">
      <alignment horizontal="left"/>
    </xf>
    <xf numFmtId="164" fontId="9" fillId="0" borderId="0" xfId="27" applyFont="1" applyAlignment="1">
      <alignment horizontal="left" vertical="top"/>
    </xf>
    <xf numFmtId="164" fontId="31" fillId="0" borderId="0" xfId="27" applyFont="1"/>
    <xf numFmtId="0" fontId="7" fillId="0" borderId="0" xfId="34" applyFont="1" applyFill="1" applyBorder="1" applyAlignment="1">
      <alignment vertical="top"/>
    </xf>
    <xf numFmtId="0" fontId="4" fillId="0" borderId="0" xfId="34" applyFont="1" applyFill="1" applyBorder="1" applyAlignment="1">
      <alignment vertical="top"/>
    </xf>
    <xf numFmtId="0" fontId="4" fillId="0" borderId="0" xfId="34" applyFont="1" applyAlignment="1">
      <alignment vertical="top"/>
    </xf>
    <xf numFmtId="0" fontId="10" fillId="0" borderId="0" xfId="34" applyFont="1" applyFill="1" applyBorder="1" applyAlignment="1">
      <alignment vertical="top"/>
    </xf>
    <xf numFmtId="16" fontId="4" fillId="25" borderId="10" xfId="34" applyNumberFormat="1" applyFont="1" applyFill="1" applyBorder="1" applyAlignment="1">
      <alignment horizontal="left" vertical="top" wrapText="1"/>
    </xf>
    <xf numFmtId="0" fontId="0" fillId="0" borderId="10" xfId="0" applyBorder="1"/>
    <xf numFmtId="0" fontId="33" fillId="26" borderId="10" xfId="0" applyFont="1" applyFill="1" applyBorder="1"/>
    <xf numFmtId="0" fontId="33" fillId="0" borderId="0" xfId="0" applyFont="1" applyFill="1" applyAlignment="1"/>
    <xf numFmtId="0" fontId="33" fillId="26" borderId="11" xfId="0" applyFont="1" applyFill="1" applyBorder="1"/>
    <xf numFmtId="0" fontId="33" fillId="25" borderId="12" xfId="0" applyFont="1" applyFill="1" applyBorder="1" applyAlignment="1"/>
    <xf numFmtId="0" fontId="33" fillId="25" borderId="12" xfId="0" applyFont="1" applyFill="1" applyBorder="1" applyAlignment="1">
      <alignment horizontal="center"/>
    </xf>
    <xf numFmtId="0" fontId="0" fillId="0" borderId="10" xfId="0" applyBorder="1" applyAlignment="1">
      <alignment horizontal="center"/>
    </xf>
    <xf numFmtId="0" fontId="34" fillId="0" borderId="10" xfId="0" applyFont="1" applyBorder="1"/>
    <xf numFmtId="0" fontId="35" fillId="27" borderId="10" xfId="0" applyFont="1" applyFill="1" applyBorder="1"/>
    <xf numFmtId="0" fontId="0" fillId="0" borderId="10" xfId="0" applyBorder="1" applyAlignment="1">
      <alignment wrapText="1"/>
    </xf>
    <xf numFmtId="0" fontId="0" fillId="0" borderId="0" xfId="0" applyAlignment="1">
      <alignment wrapText="1"/>
    </xf>
    <xf numFmtId="0" fontId="33" fillId="25" borderId="15" xfId="0" applyFont="1" applyFill="1" applyBorder="1" applyAlignment="1">
      <alignment wrapText="1"/>
    </xf>
    <xf numFmtId="0" fontId="0" fillId="0" borderId="0" xfId="0" applyBorder="1" applyAlignment="1">
      <alignment wrapText="1"/>
    </xf>
    <xf numFmtId="0" fontId="33" fillId="25" borderId="10" xfId="0" applyFont="1" applyFill="1" applyBorder="1" applyAlignment="1">
      <alignment wrapText="1"/>
    </xf>
    <xf numFmtId="0" fontId="33" fillId="25" borderId="14" xfId="0" applyFont="1" applyFill="1" applyBorder="1" applyAlignment="1">
      <alignment wrapText="1"/>
    </xf>
    <xf numFmtId="0" fontId="1" fillId="0" borderId="10" xfId="0" applyFont="1" applyBorder="1" applyAlignment="1">
      <alignment wrapText="1"/>
    </xf>
    <xf numFmtId="0" fontId="0" fillId="0" borderId="0" xfId="0" applyBorder="1"/>
    <xf numFmtId="0" fontId="0" fillId="0" borderId="0" xfId="0" applyFill="1"/>
    <xf numFmtId="0" fontId="33" fillId="0" borderId="0" xfId="0" applyFont="1" applyFill="1" applyBorder="1"/>
    <xf numFmtId="0" fontId="33" fillId="26" borderId="10" xfId="0" applyFont="1" applyFill="1" applyBorder="1" applyAlignment="1">
      <alignment wrapText="1"/>
    </xf>
    <xf numFmtId="0" fontId="33" fillId="0" borderId="0" xfId="0" applyFont="1" applyFill="1" applyAlignment="1">
      <alignment wrapText="1"/>
    </xf>
    <xf numFmtId="0" fontId="35" fillId="27" borderId="10" xfId="0" applyFont="1" applyFill="1" applyBorder="1" applyAlignment="1">
      <alignment wrapText="1"/>
    </xf>
    <xf numFmtId="0" fontId="34" fillId="0" borderId="10" xfId="0" applyFont="1" applyBorder="1" applyAlignment="1">
      <alignment wrapText="1"/>
    </xf>
    <xf numFmtId="0" fontId="33"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3" fillId="25" borderId="15" xfId="0" applyFont="1" applyFill="1" applyBorder="1" applyAlignment="1">
      <alignment horizontal="left" wrapText="1"/>
    </xf>
    <xf numFmtId="0" fontId="0" fillId="30" borderId="0" xfId="0" applyFill="1"/>
    <xf numFmtId="0" fontId="1" fillId="30" borderId="0" xfId="0" applyFont="1" applyFill="1"/>
    <xf numFmtId="0" fontId="38" fillId="30" borderId="10" xfId="0" applyFont="1" applyFill="1" applyBorder="1"/>
    <xf numFmtId="0" fontId="0" fillId="30" borderId="10" xfId="0" applyFill="1" applyBorder="1"/>
    <xf numFmtId="0" fontId="1" fillId="0" borderId="10" xfId="0" applyFont="1" applyBorder="1" applyAlignment="1">
      <alignment horizontal="center"/>
    </xf>
    <xf numFmtId="0" fontId="1" fillId="0" borderId="10" xfId="0" applyFont="1" applyBorder="1"/>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0" xfId="0" applyFill="1" applyBorder="1"/>
    <xf numFmtId="0" fontId="0" fillId="30" borderId="25" xfId="0" applyFill="1" applyBorder="1"/>
    <xf numFmtId="0" fontId="38"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3" fillId="25" borderId="15" xfId="0" applyFont="1" applyFill="1" applyBorder="1" applyAlignment="1">
      <alignment horizontal="center"/>
    </xf>
    <xf numFmtId="0" fontId="1" fillId="0" borderId="0" xfId="0" applyFont="1"/>
    <xf numFmtId="0" fontId="1" fillId="0" borderId="10" xfId="0" applyFont="1" applyFill="1" applyBorder="1"/>
    <xf numFmtId="0" fontId="0" fillId="32" borderId="0" xfId="0" applyFill="1"/>
    <xf numFmtId="0" fontId="36" fillId="32" borderId="0" xfId="0" applyFont="1" applyFill="1" applyBorder="1"/>
    <xf numFmtId="0" fontId="3"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0" fillId="32" borderId="0" xfId="0" applyFill="1" applyBorder="1"/>
    <xf numFmtId="0" fontId="1" fillId="32" borderId="10" xfId="0" applyFont="1" applyFill="1" applyBorder="1"/>
    <xf numFmtId="0" fontId="35" fillId="26" borderId="29" xfId="0" applyFont="1" applyFill="1" applyBorder="1"/>
    <xf numFmtId="0" fontId="35" fillId="26" borderId="31" xfId="0" applyFont="1" applyFill="1" applyBorder="1"/>
    <xf numFmtId="0" fontId="44" fillId="33" borderId="0" xfId="0" applyFont="1" applyFill="1"/>
    <xf numFmtId="0" fontId="44" fillId="33" borderId="0" xfId="0" applyFont="1" applyFill="1" applyAlignment="1">
      <alignment horizontal="center"/>
    </xf>
    <xf numFmtId="0" fontId="38"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1" fillId="34" borderId="10" xfId="0" quotePrefix="1" applyNumberFormat="1" applyFont="1" applyFill="1" applyBorder="1" applyAlignment="1">
      <alignment horizontal="center"/>
    </xf>
    <xf numFmtId="0" fontId="1" fillId="34" borderId="10" xfId="0" applyFont="1" applyFill="1" applyBorder="1" applyAlignment="1">
      <alignment horizontal="center"/>
    </xf>
    <xf numFmtId="14" fontId="1" fillId="34" borderId="10" xfId="0" applyNumberFormat="1" applyFont="1" applyFill="1" applyBorder="1" applyAlignment="1">
      <alignment horizontal="center"/>
    </xf>
    <xf numFmtId="0" fontId="30" fillId="0" borderId="0" xfId="0" applyFont="1" applyAlignment="1">
      <alignment horizontal="left"/>
    </xf>
    <xf numFmtId="0" fontId="45" fillId="30" borderId="0" xfId="0" applyFont="1" applyFill="1"/>
    <xf numFmtId="0" fontId="46" fillId="30" borderId="0" xfId="0" applyFont="1" applyFill="1"/>
    <xf numFmtId="14" fontId="30" fillId="0" borderId="0" xfId="27" applyNumberFormat="1" applyFont="1"/>
    <xf numFmtId="164" fontId="6" fillId="0" borderId="0" xfId="27" applyFont="1" applyAlignment="1"/>
    <xf numFmtId="0" fontId="1" fillId="0" borderId="30" xfId="0" applyFont="1" applyBorder="1"/>
    <xf numFmtId="0" fontId="1" fillId="0" borderId="32" xfId="0" applyFont="1" applyBorder="1"/>
    <xf numFmtId="0" fontId="47" fillId="0" borderId="10" xfId="0" applyFont="1" applyBorder="1"/>
    <xf numFmtId="0" fontId="47" fillId="0" borderId="0" xfId="0" applyFont="1"/>
    <xf numFmtId="0" fontId="47" fillId="0" borderId="0" xfId="0" applyFont="1" applyAlignment="1">
      <alignment wrapText="1"/>
    </xf>
    <xf numFmtId="0" fontId="47" fillId="0" borderId="0" xfId="0" applyFont="1" applyFill="1"/>
    <xf numFmtId="0" fontId="47" fillId="0" borderId="0" xfId="0" applyFont="1" applyBorder="1"/>
    <xf numFmtId="0" fontId="48" fillId="0" borderId="10" xfId="0" applyFont="1" applyBorder="1"/>
    <xf numFmtId="0" fontId="4" fillId="0" borderId="0" xfId="34" applyFont="1" applyAlignment="1">
      <alignment vertical="top" wrapText="1"/>
    </xf>
    <xf numFmtId="164" fontId="6" fillId="0" borderId="0" xfId="27" applyFont="1" applyAlignment="1">
      <alignment horizontal="center"/>
    </xf>
    <xf numFmtId="0" fontId="0" fillId="0" borderId="0" xfId="0" applyAlignment="1">
      <alignment horizontal="center"/>
    </xf>
    <xf numFmtId="164" fontId="30" fillId="0" borderId="0" xfId="27" applyFont="1" applyAlignment="1"/>
    <xf numFmtId="0" fontId="11" fillId="24" borderId="10" xfId="34" applyFont="1" applyFill="1" applyBorder="1" applyAlignment="1">
      <alignment horizontal="left" vertical="top"/>
    </xf>
    <xf numFmtId="0" fontId="1" fillId="0" borderId="0" xfId="34" applyFont="1" applyFill="1" applyBorder="1" applyAlignment="1">
      <alignment horizontal="left"/>
    </xf>
    <xf numFmtId="0" fontId="1" fillId="0" borderId="0" xfId="0" applyFont="1" applyBorder="1"/>
    <xf numFmtId="0" fontId="1" fillId="0" borderId="10" xfId="0" applyFont="1" applyBorder="1" applyAlignment="1">
      <alignment vertical="top"/>
    </xf>
    <xf numFmtId="0" fontId="0" fillId="0" borderId="10" xfId="0" applyBorder="1" applyAlignment="1">
      <alignment vertical="top"/>
    </xf>
    <xf numFmtId="0" fontId="1" fillId="0" borderId="10" xfId="0" applyFont="1" applyBorder="1" applyAlignment="1">
      <alignment vertical="top" wrapText="1"/>
    </xf>
    <xf numFmtId="0" fontId="4" fillId="0" borderId="0" xfId="34" applyFont="1" applyFill="1" applyBorder="1" applyAlignment="1">
      <alignment horizontal="left" vertical="top"/>
    </xf>
    <xf numFmtId="166" fontId="4" fillId="0" borderId="0" xfId="34" applyNumberFormat="1" applyFont="1" applyBorder="1" applyAlignment="1">
      <alignment horizontal="left" vertical="top"/>
    </xf>
    <xf numFmtId="0" fontId="4" fillId="0" borderId="0" xfId="34" applyFont="1" applyBorder="1" applyAlignment="1">
      <alignment horizontal="left" vertical="top"/>
    </xf>
    <xf numFmtId="167" fontId="4" fillId="0" borderId="0" xfId="34" applyNumberFormat="1" applyFont="1" applyBorder="1" applyAlignment="1">
      <alignment horizontal="left" vertical="top"/>
    </xf>
    <xf numFmtId="0" fontId="49" fillId="0" borderId="10" xfId="0" applyFont="1" applyBorder="1" applyAlignment="1">
      <alignment vertical="center" wrapText="1"/>
    </xf>
    <xf numFmtId="0" fontId="47" fillId="0" borderId="10" xfId="0" applyFont="1" applyBorder="1" applyAlignment="1">
      <alignment vertical="top" wrapText="1"/>
    </xf>
    <xf numFmtId="0" fontId="47" fillId="0" borderId="0" xfId="0" applyFont="1" applyAlignment="1">
      <alignment vertical="top" wrapText="1"/>
    </xf>
    <xf numFmtId="0" fontId="47" fillId="0" borderId="0" xfId="0" applyFont="1" applyAlignment="1">
      <alignment vertical="top"/>
    </xf>
    <xf numFmtId="0" fontId="1" fillId="0" borderId="0" xfId="0" applyFont="1" applyBorder="1" applyAlignment="1">
      <alignment vertical="top"/>
    </xf>
    <xf numFmtId="0" fontId="49" fillId="0" borderId="0" xfId="0" applyFont="1" applyBorder="1" applyAlignment="1">
      <alignment vertical="center" wrapText="1"/>
    </xf>
    <xf numFmtId="0" fontId="1" fillId="0" borderId="10" xfId="0" applyFont="1" applyBorder="1" applyAlignment="1">
      <alignment horizontal="left" vertical="top"/>
    </xf>
    <xf numFmtId="0" fontId="0" fillId="0" borderId="0" xfId="0" applyAlignment="1">
      <alignment vertical="top"/>
    </xf>
    <xf numFmtId="0" fontId="1" fillId="0" borderId="10" xfId="0" quotePrefix="1" applyFont="1" applyBorder="1" applyAlignment="1">
      <alignment vertical="top" wrapText="1"/>
    </xf>
    <xf numFmtId="0" fontId="34" fillId="0" borderId="0" xfId="0" applyFont="1" applyAlignment="1">
      <alignment vertical="top"/>
    </xf>
    <xf numFmtId="0" fontId="0" fillId="0" borderId="0" xfId="0" applyAlignment="1">
      <alignment horizontal="left"/>
    </xf>
    <xf numFmtId="0" fontId="0" fillId="0" borderId="10" xfId="0" applyBorder="1" applyAlignment="1">
      <alignment horizontal="left" vertical="top"/>
    </xf>
    <xf numFmtId="0" fontId="0" fillId="0" borderId="0" xfId="0" applyAlignment="1">
      <alignment horizontal="left" vertical="top"/>
    </xf>
    <xf numFmtId="0" fontId="1" fillId="0" borderId="10" xfId="0" quotePrefix="1" applyFont="1" applyBorder="1" applyAlignment="1">
      <alignment horizontal="left" vertical="top" wrapText="1"/>
    </xf>
    <xf numFmtId="0" fontId="4" fillId="0" borderId="0" xfId="34" quotePrefix="1" applyFont="1" applyAlignment="1">
      <alignment vertical="top"/>
    </xf>
    <xf numFmtId="0" fontId="4" fillId="0" borderId="0" xfId="34" applyFont="1" applyAlignment="1">
      <alignment horizontal="left" vertical="top"/>
    </xf>
    <xf numFmtId="0" fontId="47" fillId="0" borderId="0" xfId="0" applyFont="1" applyBorder="1" applyAlignment="1">
      <alignment wrapText="1"/>
    </xf>
    <xf numFmtId="0" fontId="4" fillId="0" borderId="0" xfId="34" quotePrefix="1" applyFont="1" applyAlignment="1">
      <alignment horizontal="left" vertical="top" wrapText="1"/>
    </xf>
    <xf numFmtId="0" fontId="1" fillId="0" borderId="19" xfId="0" applyFont="1" applyBorder="1"/>
    <xf numFmtId="0" fontId="1" fillId="0" borderId="10" xfId="0" applyFont="1" applyBorder="1" applyAlignment="1"/>
    <xf numFmtId="0" fontId="1" fillId="0" borderId="19" xfId="0" applyFont="1" applyBorder="1" applyAlignment="1">
      <alignment horizontal="left" vertical="top" wrapText="1"/>
    </xf>
    <xf numFmtId="0" fontId="1" fillId="0" borderId="10" xfId="0" applyFont="1" applyBorder="1" applyAlignment="1">
      <alignment vertical="center"/>
    </xf>
    <xf numFmtId="0" fontId="0" fillId="0" borderId="10" xfId="0" applyBorder="1" applyAlignment="1"/>
    <xf numFmtId="0" fontId="34" fillId="0" borderId="0" xfId="0" applyFont="1" applyBorder="1"/>
    <xf numFmtId="0" fontId="1" fillId="0" borderId="0" xfId="0" applyFont="1" applyBorder="1" applyAlignment="1">
      <alignment vertical="center"/>
    </xf>
    <xf numFmtId="0" fontId="0" fillId="0" borderId="0" xfId="0" applyBorder="1" applyAlignment="1"/>
    <xf numFmtId="0" fontId="0" fillId="0" borderId="10" xfId="0" applyFill="1" applyBorder="1"/>
    <xf numFmtId="0" fontId="34" fillId="0" borderId="10" xfId="0" applyFont="1" applyFill="1" applyBorder="1"/>
    <xf numFmtId="0" fontId="47" fillId="0" borderId="0" xfId="0" applyFont="1" applyBorder="1" applyAlignment="1">
      <alignment vertical="top"/>
    </xf>
    <xf numFmtId="0" fontId="35" fillId="26" borderId="10" xfId="0" applyFont="1" applyFill="1" applyBorder="1" applyAlignment="1">
      <alignment vertical="top"/>
    </xf>
    <xf numFmtId="0" fontId="35" fillId="26" borderId="10" xfId="0" applyFont="1" applyFill="1" applyBorder="1" applyAlignment="1">
      <alignment vertical="top" wrapText="1"/>
    </xf>
    <xf numFmtId="0" fontId="35" fillId="26" borderId="11" xfId="0" applyFont="1" applyFill="1" applyBorder="1" applyAlignment="1">
      <alignment vertical="top" wrapText="1"/>
    </xf>
    <xf numFmtId="0" fontId="35" fillId="26" borderId="11" xfId="0" applyFont="1" applyFill="1" applyBorder="1" applyAlignment="1">
      <alignment vertical="top"/>
    </xf>
    <xf numFmtId="0" fontId="47" fillId="0" borderId="10" xfId="0" applyFont="1" applyBorder="1" applyAlignment="1">
      <alignment horizontal="left" vertical="top" wrapText="1"/>
    </xf>
    <xf numFmtId="0" fontId="0" fillId="0" borderId="10" xfId="0" quotePrefix="1" applyBorder="1" applyAlignment="1">
      <alignment vertical="top" wrapText="1"/>
    </xf>
    <xf numFmtId="0" fontId="4" fillId="0" borderId="0" xfId="34" quotePrefix="1" applyFont="1" applyAlignment="1">
      <alignment vertical="top" wrapText="1"/>
    </xf>
    <xf numFmtId="0" fontId="48" fillId="0" borderId="10" xfId="0" applyFont="1" applyBorder="1" applyAlignment="1">
      <alignment vertical="top"/>
    </xf>
    <xf numFmtId="0" fontId="34" fillId="0" borderId="10" xfId="0" applyFont="1" applyBorder="1" applyAlignment="1">
      <alignment vertical="top"/>
    </xf>
    <xf numFmtId="0" fontId="48" fillId="0" borderId="10" xfId="0" applyFont="1" applyBorder="1" applyAlignment="1">
      <alignment vertical="top" wrapText="1"/>
    </xf>
    <xf numFmtId="0" fontId="4" fillId="0" borderId="10" xfId="34" applyFont="1" applyBorder="1" applyAlignment="1">
      <alignment horizontal="center" vertical="top"/>
    </xf>
    <xf numFmtId="0" fontId="38" fillId="29" borderId="17" xfId="0" applyFont="1" applyFill="1" applyBorder="1" applyAlignment="1">
      <alignment horizontal="center"/>
    </xf>
    <xf numFmtId="0" fontId="38" fillId="29" borderId="18" xfId="0" applyFont="1" applyFill="1" applyBorder="1" applyAlignment="1">
      <alignment horizontal="center"/>
    </xf>
    <xf numFmtId="0" fontId="38" fillId="29" borderId="19" xfId="0" applyFont="1" applyFill="1" applyBorder="1" applyAlignment="1">
      <alignment horizontal="center"/>
    </xf>
    <xf numFmtId="0" fontId="4" fillId="0" borderId="10" xfId="34" applyFont="1" applyBorder="1" applyAlignment="1">
      <alignment horizontal="left" vertical="top"/>
    </xf>
    <xf numFmtId="0" fontId="4" fillId="0" borderId="17" xfId="34" applyFont="1" applyBorder="1" applyAlignment="1">
      <alignment horizontal="center" vertical="top"/>
    </xf>
    <xf numFmtId="0" fontId="4" fillId="0" borderId="19" xfId="34" applyFont="1" applyBorder="1" applyAlignment="1">
      <alignment horizontal="center" vertical="top"/>
    </xf>
    <xf numFmtId="0" fontId="32" fillId="27" borderId="10" xfId="34" applyFont="1" applyFill="1" applyBorder="1" applyAlignment="1">
      <alignment horizontal="center" vertical="top"/>
    </xf>
    <xf numFmtId="0" fontId="32" fillId="27" borderId="17" xfId="34" applyFont="1" applyFill="1" applyBorder="1" applyAlignment="1">
      <alignment horizontal="center" vertical="top"/>
    </xf>
    <xf numFmtId="0" fontId="32" fillId="27" borderId="19" xfId="34" applyFont="1" applyFill="1" applyBorder="1" applyAlignment="1">
      <alignment horizontal="center" vertical="top"/>
    </xf>
    <xf numFmtId="0" fontId="32" fillId="27" borderId="10" xfId="34" applyFont="1" applyFill="1" applyBorder="1" applyAlignment="1">
      <alignment horizontal="left" vertical="top"/>
    </xf>
    <xf numFmtId="0" fontId="1" fillId="28" borderId="10" xfId="0" applyFont="1" applyFill="1" applyBorder="1" applyAlignment="1">
      <alignment horizontal="left" vertical="top" wrapText="1"/>
    </xf>
    <xf numFmtId="0" fontId="1" fillId="28" borderId="17" xfId="0" applyFont="1" applyFill="1" applyBorder="1" applyAlignment="1">
      <alignment horizontal="left" vertical="top" wrapText="1"/>
    </xf>
    <xf numFmtId="0" fontId="1" fillId="28" borderId="18" xfId="0" applyFont="1" applyFill="1" applyBorder="1" applyAlignment="1">
      <alignment horizontal="left" vertical="top" wrapText="1"/>
    </xf>
    <xf numFmtId="0" fontId="1" fillId="28" borderId="19" xfId="0" applyFont="1" applyFill="1" applyBorder="1" applyAlignment="1">
      <alignment horizontal="left" vertical="top" wrapText="1"/>
    </xf>
    <xf numFmtId="0" fontId="32" fillId="28" borderId="17" xfId="34" applyFont="1" applyFill="1" applyBorder="1" applyAlignment="1">
      <alignment horizontal="left" vertical="top"/>
    </xf>
    <xf numFmtId="0" fontId="32" fillId="28" borderId="19" xfId="34" applyFont="1" applyFill="1" applyBorder="1" applyAlignment="1">
      <alignment horizontal="left" vertical="top"/>
    </xf>
    <xf numFmtId="0" fontId="32" fillId="27" borderId="10" xfId="34" applyFont="1" applyFill="1" applyBorder="1" applyAlignment="1">
      <alignment horizontal="center" vertical="center"/>
    </xf>
    <xf numFmtId="0" fontId="11" fillId="24" borderId="17" xfId="34" applyFont="1" applyFill="1" applyBorder="1" applyAlignment="1">
      <alignment horizontal="left" vertical="top"/>
    </xf>
    <xf numFmtId="0" fontId="11" fillId="24" borderId="18" xfId="34" applyFont="1" applyFill="1" applyBorder="1" applyAlignment="1">
      <alignment horizontal="left" vertical="top"/>
    </xf>
    <xf numFmtId="0" fontId="1" fillId="0" borderId="18" xfId="34" applyBorder="1" applyAlignment="1">
      <alignment vertical="top"/>
    </xf>
    <xf numFmtId="0" fontId="1" fillId="0" borderId="19" xfId="34" applyBorder="1" applyAlignment="1">
      <alignment vertical="top"/>
    </xf>
    <xf numFmtId="0" fontId="11" fillId="24" borderId="17" xfId="34" applyFont="1" applyFill="1" applyBorder="1" applyAlignment="1">
      <alignment horizontal="left" vertical="top" wrapText="1"/>
    </xf>
    <xf numFmtId="166" fontId="4" fillId="0" borderId="17" xfId="34" applyNumberFormat="1" applyFont="1" applyBorder="1" applyAlignment="1">
      <alignment horizontal="left" vertical="top"/>
    </xf>
    <xf numFmtId="166" fontId="4" fillId="0" borderId="18" xfId="34" applyNumberFormat="1" applyFont="1" applyBorder="1" applyAlignment="1">
      <alignment horizontal="left" vertical="top"/>
    </xf>
    <xf numFmtId="166" fontId="4" fillId="0" borderId="19" xfId="34" applyNumberFormat="1" applyFont="1" applyBorder="1" applyAlignment="1">
      <alignment horizontal="left" vertical="top"/>
    </xf>
    <xf numFmtId="14" fontId="4" fillId="0" borderId="10" xfId="34" applyNumberFormat="1" applyFont="1" applyBorder="1" applyAlignment="1">
      <alignment horizontal="left" vertical="top"/>
    </xf>
    <xf numFmtId="0" fontId="4" fillId="0" borderId="17" xfId="34" applyFont="1" applyBorder="1" applyAlignment="1">
      <alignment horizontal="left" vertical="top"/>
    </xf>
    <xf numFmtId="0" fontId="4" fillId="0" borderId="19" xfId="34" applyFont="1" applyBorder="1" applyAlignment="1">
      <alignment horizontal="left" vertical="top"/>
    </xf>
    <xf numFmtId="0" fontId="37" fillId="0" borderId="0" xfId="0" applyFont="1" applyAlignment="1">
      <alignment wrapText="1"/>
    </xf>
    <xf numFmtId="164" fontId="5" fillId="0" borderId="16" xfId="27" applyFont="1" applyBorder="1" applyAlignment="1">
      <alignment horizontal="center"/>
    </xf>
    <xf numFmtId="164" fontId="6" fillId="0" borderId="0" xfId="27" applyFont="1" applyAlignment="1">
      <alignment horizontal="center"/>
    </xf>
    <xf numFmtId="164" fontId="8" fillId="0" borderId="0" xfId="27" applyFont="1" applyAlignment="1">
      <alignment horizontal="center"/>
    </xf>
    <xf numFmtId="164" fontId="7" fillId="0" borderId="0" xfId="27" applyFont="1" applyAlignment="1">
      <alignment horizontal="center"/>
    </xf>
    <xf numFmtId="0" fontId="0" fillId="0" borderId="0" xfId="0" applyAlignment="1">
      <alignment horizontal="center"/>
    </xf>
    <xf numFmtId="164" fontId="30" fillId="0" borderId="0" xfId="27" applyFont="1" applyAlignment="1"/>
    <xf numFmtId="0" fontId="0" fillId="0" borderId="0" xfId="0" applyAlignment="1"/>
    <xf numFmtId="164" fontId="30" fillId="0" borderId="0" xfId="27" applyFont="1" applyAlignment="1">
      <alignment horizontal="center"/>
    </xf>
    <xf numFmtId="164" fontId="30" fillId="0" borderId="0" xfId="27" applyFont="1" applyAlignment="1">
      <alignment horizontal="left"/>
    </xf>
    <xf numFmtId="0" fontId="33" fillId="25" borderId="20" xfId="0" applyFont="1" applyFill="1" applyBorder="1" applyAlignment="1">
      <alignment horizontal="left"/>
    </xf>
    <xf numFmtId="0" fontId="33" fillId="25" borderId="21" xfId="0" applyFont="1" applyFill="1" applyBorder="1" applyAlignment="1">
      <alignment horizontal="left"/>
    </xf>
    <xf numFmtId="0" fontId="33" fillId="25" borderId="22" xfId="0" applyFont="1" applyFill="1" applyBorder="1" applyAlignment="1">
      <alignment horizontal="left"/>
    </xf>
    <xf numFmtId="0" fontId="0" fillId="0" borderId="22" xfId="0" applyBorder="1" applyAlignment="1">
      <alignment horizontal="left"/>
    </xf>
    <xf numFmtId="0" fontId="1" fillId="28" borderId="17" xfId="0" applyFont="1" applyFill="1" applyBorder="1" applyAlignment="1">
      <alignment horizontal="center"/>
    </xf>
    <xf numFmtId="0" fontId="0" fillId="28" borderId="19" xfId="0" applyFill="1" applyBorder="1" applyAlignment="1">
      <alignment horizontal="center"/>
    </xf>
    <xf numFmtId="0" fontId="1" fillId="35" borderId="10" xfId="0" applyFont="1" applyFill="1" applyBorder="1" applyAlignment="1">
      <alignment horizontal="center"/>
    </xf>
    <xf numFmtId="0" fontId="34" fillId="35" borderId="10" xfId="0" applyFont="1" applyFill="1" applyBorder="1" applyAlignment="1">
      <alignment horizontal="center" vertical="top"/>
    </xf>
    <xf numFmtId="0" fontId="33" fillId="31" borderId="17" xfId="0" applyFont="1" applyFill="1" applyBorder="1" applyAlignment="1">
      <alignment horizontal="center"/>
    </xf>
    <xf numFmtId="0" fontId="33" fillId="31" borderId="18" xfId="0" applyFont="1" applyFill="1" applyBorder="1" applyAlignment="1">
      <alignment horizontal="center"/>
    </xf>
    <xf numFmtId="0" fontId="33" fillId="31" borderId="19" xfId="0" applyFont="1" applyFill="1" applyBorder="1" applyAlignment="1">
      <alignment horizontal="center"/>
    </xf>
    <xf numFmtId="0" fontId="33" fillId="31" borderId="10" xfId="0" applyFont="1" applyFill="1" applyBorder="1" applyAlignment="1">
      <alignment horizontal="center"/>
    </xf>
    <xf numFmtId="0" fontId="41" fillId="30" borderId="0" xfId="0" applyFont="1" applyFill="1" applyAlignment="1">
      <alignment horizontal="left" vertical="center" wrapText="1"/>
    </xf>
    <xf numFmtId="0" fontId="33" fillId="25" borderId="13" xfId="0" applyFont="1" applyFill="1" applyBorder="1" applyAlignment="1">
      <alignment horizontal="left"/>
    </xf>
    <xf numFmtId="0" fontId="33" fillId="25" borderId="14" xfId="0" applyFont="1" applyFill="1" applyBorder="1" applyAlignment="1">
      <alignment horizontal="left"/>
    </xf>
  </cellXfs>
  <cellStyles count="46">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eutral" xfId="33" builtinId="28" customBuiltin="1"/>
    <cellStyle name="Normal" xfId="0" builtinId="0"/>
    <cellStyle name="Normal_Sales DetailedTD_CR_XXXX_Template" xfId="34" xr:uid="{00000000-0005-0000-0000-000022000000}"/>
    <cellStyle name="Notiz" xfId="35" xr:uid="{00000000-0005-0000-0000-000023000000}"/>
    <cellStyle name="Schlecht" xfId="36" xr:uid="{00000000-0005-0000-0000-000024000000}"/>
    <cellStyle name="Standard 2" xfId="37" xr:uid="{00000000-0005-0000-0000-000025000000}"/>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39"/>
  <sheetViews>
    <sheetView showGridLines="0" tabSelected="1" zoomScaleNormal="100" workbookViewId="0"/>
  </sheetViews>
  <sheetFormatPr defaultColWidth="9.1796875" defaultRowHeight="13" x14ac:dyDescent="0.25"/>
  <cols>
    <col min="1" max="1" width="7.81640625" style="9" customWidth="1"/>
    <col min="2" max="2" width="22.1796875" style="9" customWidth="1"/>
    <col min="3" max="3" width="6.453125" style="9" customWidth="1"/>
    <col min="4" max="4" width="21.54296875" style="9" customWidth="1"/>
    <col min="5" max="5" width="9" style="9" customWidth="1"/>
    <col min="6" max="6" width="19.7265625" style="9" customWidth="1"/>
    <col min="7" max="7" width="5.7265625" style="9" customWidth="1"/>
    <col min="8" max="8" width="2.81640625" style="9" customWidth="1"/>
    <col min="9" max="9" width="11.1796875" style="9" customWidth="1"/>
    <col min="10" max="10" width="12.453125" style="9" customWidth="1"/>
    <col min="11" max="11" width="9.1796875" style="9" hidden="1" customWidth="1"/>
    <col min="12" max="12" width="14.08984375" style="9" customWidth="1"/>
    <col min="13" max="13" width="69.453125" style="9" bestFit="1" customWidth="1"/>
    <col min="14" max="14" width="15.90625" style="9" customWidth="1"/>
    <col min="15" max="15" width="5.453125" style="9" customWidth="1"/>
    <col min="16" max="16" width="48.08984375" style="9" customWidth="1"/>
    <col min="17" max="16384" width="9.1796875" style="9"/>
  </cols>
  <sheetData>
    <row r="1" spans="1:20" ht="15.5" x14ac:dyDescent="0.25">
      <c r="A1" s="7" t="s">
        <v>11</v>
      </c>
      <c r="B1" s="8"/>
      <c r="C1" s="8"/>
      <c r="D1" s="8"/>
      <c r="E1" s="8"/>
      <c r="F1" s="8"/>
      <c r="G1" s="8"/>
      <c r="H1" s="8"/>
    </row>
    <row r="2" spans="1:20" x14ac:dyDescent="0.25">
      <c r="A2" s="10"/>
      <c r="B2" s="8"/>
      <c r="C2" s="8"/>
      <c r="D2" s="8"/>
      <c r="E2" s="8"/>
      <c r="F2" s="8"/>
      <c r="G2" s="8"/>
      <c r="H2" s="8"/>
    </row>
    <row r="3" spans="1:20" ht="13" customHeight="1" x14ac:dyDescent="0.25">
      <c r="A3" s="159" t="s">
        <v>12</v>
      </c>
      <c r="B3" s="162"/>
      <c r="C3" s="159" t="s">
        <v>13</v>
      </c>
      <c r="D3" s="162"/>
      <c r="E3" s="159" t="s">
        <v>14</v>
      </c>
      <c r="F3" s="162"/>
      <c r="G3" s="163" t="s">
        <v>15</v>
      </c>
      <c r="H3" s="161"/>
      <c r="I3" s="162"/>
      <c r="J3" s="159" t="s">
        <v>16</v>
      </c>
      <c r="K3" s="162"/>
      <c r="L3" s="159" t="s">
        <v>20</v>
      </c>
      <c r="M3" s="160"/>
      <c r="N3" s="161"/>
      <c r="O3" s="162"/>
      <c r="P3" s="92" t="s">
        <v>17</v>
      </c>
    </row>
    <row r="4" spans="1:20" s="117" customFormat="1" x14ac:dyDescent="0.25">
      <c r="A4" s="145" t="s">
        <v>253</v>
      </c>
      <c r="B4" s="145"/>
      <c r="C4" s="145" t="s">
        <v>254</v>
      </c>
      <c r="D4" s="145"/>
      <c r="E4" s="145" t="s">
        <v>18</v>
      </c>
      <c r="F4" s="145"/>
      <c r="G4" s="164">
        <v>1</v>
      </c>
      <c r="H4" s="165"/>
      <c r="I4" s="166"/>
      <c r="J4" s="145" t="s">
        <v>255</v>
      </c>
      <c r="K4" s="145"/>
      <c r="L4" s="145"/>
      <c r="M4" s="145"/>
      <c r="N4" s="145"/>
      <c r="O4" s="145"/>
      <c r="P4" s="11" t="s">
        <v>353</v>
      </c>
      <c r="T4" s="93"/>
    </row>
    <row r="5" spans="1:20" x14ac:dyDescent="0.25">
      <c r="A5" s="168" t="s">
        <v>272</v>
      </c>
      <c r="B5" s="169"/>
      <c r="C5" s="168" t="s">
        <v>273</v>
      </c>
      <c r="D5" s="169"/>
      <c r="E5" s="145" t="s">
        <v>18</v>
      </c>
      <c r="F5" s="145"/>
      <c r="G5" s="164">
        <v>1</v>
      </c>
      <c r="H5" s="165"/>
      <c r="I5" s="166"/>
      <c r="J5" s="145" t="s">
        <v>255</v>
      </c>
      <c r="K5" s="145"/>
      <c r="L5" s="145"/>
      <c r="M5" s="145"/>
      <c r="N5" s="145"/>
      <c r="O5" s="145"/>
      <c r="P5" s="11" t="s">
        <v>354</v>
      </c>
      <c r="T5" s="93"/>
    </row>
    <row r="6" spans="1:20" x14ac:dyDescent="0.25">
      <c r="A6" s="145" t="s">
        <v>253</v>
      </c>
      <c r="B6" s="145"/>
      <c r="C6" s="145" t="s">
        <v>254</v>
      </c>
      <c r="D6" s="145"/>
      <c r="E6" s="145" t="s">
        <v>274</v>
      </c>
      <c r="F6" s="145"/>
      <c r="G6" s="164">
        <v>2</v>
      </c>
      <c r="H6" s="165"/>
      <c r="I6" s="166"/>
      <c r="J6" s="167">
        <v>43472</v>
      </c>
      <c r="K6" s="145"/>
      <c r="L6" s="141"/>
      <c r="M6" s="141"/>
      <c r="N6" s="141"/>
      <c r="O6" s="141"/>
      <c r="P6" s="11" t="s">
        <v>357</v>
      </c>
    </row>
    <row r="7" spans="1:20" x14ac:dyDescent="0.25">
      <c r="A7" s="145"/>
      <c r="B7" s="145"/>
      <c r="C7" s="145"/>
      <c r="D7" s="145"/>
      <c r="E7" s="145"/>
      <c r="F7" s="145"/>
      <c r="G7" s="164"/>
      <c r="H7" s="165"/>
      <c r="I7" s="166"/>
      <c r="J7" s="167"/>
      <c r="K7" s="145"/>
      <c r="L7" s="141"/>
      <c r="M7" s="141"/>
      <c r="N7" s="141"/>
      <c r="O7" s="141"/>
      <c r="P7" s="11"/>
    </row>
    <row r="8" spans="1:20" x14ac:dyDescent="0.25">
      <c r="A8" s="98"/>
      <c r="B8" s="98"/>
      <c r="C8" s="98"/>
      <c r="D8" s="98"/>
      <c r="E8" s="98"/>
      <c r="F8" s="98"/>
      <c r="G8" s="98"/>
      <c r="H8" s="98"/>
      <c r="I8" s="99"/>
      <c r="J8" s="99"/>
      <c r="K8" s="100"/>
      <c r="L8" s="101"/>
      <c r="M8" s="101"/>
      <c r="N8" s="101"/>
      <c r="O8" s="101"/>
      <c r="P8" s="101"/>
    </row>
    <row r="9" spans="1:20" ht="15.5" x14ac:dyDescent="0.25">
      <c r="A9" s="7" t="s">
        <v>19</v>
      </c>
      <c r="B9" s="7"/>
      <c r="C9" s="7"/>
      <c r="D9" s="7"/>
      <c r="E9" s="8"/>
      <c r="F9" s="8"/>
      <c r="G9" s="8"/>
      <c r="H9" s="8"/>
    </row>
    <row r="10" spans="1:20" x14ac:dyDescent="0.25">
      <c r="A10" s="8"/>
      <c r="B10" s="8"/>
      <c r="C10" s="8"/>
      <c r="D10" s="8"/>
      <c r="E10" s="8"/>
      <c r="F10" s="8"/>
      <c r="G10" s="8"/>
      <c r="H10" s="8"/>
    </row>
    <row r="11" spans="1:20" ht="29.25" customHeight="1" x14ac:dyDescent="0.25">
      <c r="A11" s="159" t="s">
        <v>12</v>
      </c>
      <c r="B11" s="162"/>
      <c r="C11" s="159" t="s">
        <v>13</v>
      </c>
      <c r="D11" s="162"/>
      <c r="E11" s="159" t="s">
        <v>14</v>
      </c>
      <c r="F11" s="162"/>
      <c r="G11" s="163" t="s">
        <v>15</v>
      </c>
      <c r="H11" s="161"/>
      <c r="I11" s="162"/>
      <c r="J11" s="159" t="s">
        <v>16</v>
      </c>
      <c r="K11" s="162"/>
      <c r="L11" s="159" t="s">
        <v>20</v>
      </c>
      <c r="M11" s="160"/>
      <c r="N11" s="161"/>
      <c r="O11" s="162"/>
    </row>
    <row r="12" spans="1:20" x14ac:dyDescent="0.25">
      <c r="A12" s="141"/>
      <c r="B12" s="141"/>
      <c r="C12" s="141"/>
      <c r="D12" s="141"/>
      <c r="E12" s="141"/>
      <c r="F12" s="141"/>
      <c r="G12" s="141"/>
      <c r="H12" s="141"/>
      <c r="I12" s="141"/>
      <c r="J12" s="141"/>
      <c r="K12" s="141"/>
      <c r="L12" s="141"/>
      <c r="M12" s="141"/>
      <c r="N12" s="141"/>
      <c r="O12" s="141"/>
    </row>
    <row r="13" spans="1:20" x14ac:dyDescent="0.25">
      <c r="A13" s="141"/>
      <c r="B13" s="141"/>
      <c r="C13" s="141"/>
      <c r="D13" s="141"/>
      <c r="E13" s="141"/>
      <c r="F13" s="141"/>
      <c r="G13" s="141"/>
      <c r="H13" s="141"/>
      <c r="I13" s="141"/>
      <c r="J13" s="141"/>
      <c r="K13" s="141"/>
      <c r="L13" s="141"/>
      <c r="M13" s="141"/>
      <c r="N13" s="141"/>
      <c r="O13" s="141"/>
    </row>
    <row r="14" spans="1:20" x14ac:dyDescent="0.25">
      <c r="A14" s="141"/>
      <c r="B14" s="141"/>
      <c r="C14" s="141"/>
      <c r="D14" s="141"/>
      <c r="E14" s="141"/>
      <c r="F14" s="141"/>
      <c r="G14" s="141"/>
      <c r="H14" s="141"/>
      <c r="I14" s="141"/>
      <c r="J14" s="141"/>
      <c r="K14" s="141"/>
      <c r="L14" s="141"/>
      <c r="M14" s="141"/>
      <c r="N14" s="141"/>
      <c r="O14" s="141"/>
    </row>
    <row r="15" spans="1:20" x14ac:dyDescent="0.25">
      <c r="A15" s="141"/>
      <c r="B15" s="141"/>
      <c r="C15" s="141"/>
      <c r="D15" s="141"/>
      <c r="E15" s="141"/>
      <c r="F15" s="141"/>
      <c r="G15" s="141"/>
      <c r="H15" s="141"/>
      <c r="I15" s="141"/>
      <c r="J15" s="141"/>
      <c r="K15" s="141"/>
      <c r="L15" s="141"/>
      <c r="M15" s="141"/>
      <c r="N15" s="141"/>
      <c r="O15" s="141"/>
    </row>
    <row r="16" spans="1:20" x14ac:dyDescent="0.25">
      <c r="A16" s="141"/>
      <c r="B16" s="141"/>
      <c r="C16" s="141"/>
      <c r="D16" s="141"/>
      <c r="E16" s="141"/>
      <c r="F16" s="141"/>
      <c r="G16" s="141"/>
      <c r="H16" s="141"/>
      <c r="I16" s="141"/>
      <c r="J16" s="141"/>
      <c r="K16" s="141"/>
      <c r="L16" s="141"/>
      <c r="M16" s="141"/>
      <c r="N16" s="141"/>
      <c r="O16" s="141"/>
    </row>
    <row r="17" spans="1:16" x14ac:dyDescent="0.25">
      <c r="A17" s="141"/>
      <c r="B17" s="141"/>
      <c r="C17" s="141"/>
      <c r="D17" s="141"/>
      <c r="E17" s="141"/>
      <c r="F17" s="141"/>
      <c r="G17" s="141"/>
      <c r="H17" s="141"/>
      <c r="I17" s="141"/>
      <c r="J17" s="141"/>
      <c r="K17" s="141"/>
      <c r="L17" s="141"/>
      <c r="M17" s="141"/>
      <c r="N17" s="141"/>
      <c r="O17" s="141"/>
    </row>
    <row r="18" spans="1:16" x14ac:dyDescent="0.25">
      <c r="A18" s="141"/>
      <c r="B18" s="141"/>
      <c r="C18" s="141"/>
      <c r="D18" s="141"/>
      <c r="E18" s="141"/>
      <c r="F18" s="141"/>
      <c r="G18" s="141"/>
      <c r="H18" s="141"/>
      <c r="I18" s="141"/>
      <c r="J18" s="141"/>
      <c r="K18" s="141"/>
      <c r="L18" s="141"/>
      <c r="M18" s="141"/>
      <c r="N18" s="141"/>
      <c r="O18" s="141"/>
    </row>
    <row r="19" spans="1:16" x14ac:dyDescent="0.25">
      <c r="A19" s="141"/>
      <c r="B19" s="141"/>
      <c r="C19" s="141"/>
      <c r="D19" s="141"/>
      <c r="E19" s="141"/>
      <c r="F19" s="141"/>
      <c r="G19" s="141"/>
      <c r="H19" s="141"/>
      <c r="I19" s="141"/>
      <c r="J19" s="141"/>
      <c r="K19" s="141"/>
      <c r="L19" s="141"/>
      <c r="M19" s="141"/>
      <c r="N19" s="141"/>
      <c r="O19" s="141"/>
    </row>
    <row r="22" spans="1:16" ht="13" customHeight="1" x14ac:dyDescent="0.25">
      <c r="A22" s="148" t="s">
        <v>21</v>
      </c>
      <c r="B22" s="148"/>
      <c r="C22" s="148" t="s">
        <v>22</v>
      </c>
      <c r="D22" s="148"/>
      <c r="E22" s="158" t="s">
        <v>23</v>
      </c>
      <c r="F22" s="158"/>
      <c r="L22" s="88"/>
      <c r="M22" s="88" t="s">
        <v>356</v>
      </c>
      <c r="N22" s="88"/>
      <c r="O22" s="88"/>
      <c r="P22" s="88"/>
    </row>
    <row r="23" spans="1:16" ht="13" customHeight="1" x14ac:dyDescent="0.25">
      <c r="A23" s="145" t="s">
        <v>24</v>
      </c>
      <c r="B23" s="145"/>
      <c r="C23" s="141">
        <v>0</v>
      </c>
      <c r="D23" s="141"/>
      <c r="E23" s="141">
        <f t="shared" ref="E23:E29" si="0">C23*8</f>
        <v>0</v>
      </c>
      <c r="F23" s="141"/>
      <c r="J23" s="88"/>
      <c r="L23" s="119"/>
      <c r="M23" s="9" t="s">
        <v>360</v>
      </c>
      <c r="N23" s="119"/>
      <c r="O23" s="119"/>
      <c r="P23" s="119"/>
    </row>
    <row r="24" spans="1:16" ht="13" customHeight="1" x14ac:dyDescent="0.25">
      <c r="A24" s="145" t="s">
        <v>25</v>
      </c>
      <c r="B24" s="145"/>
      <c r="C24" s="141">
        <v>0</v>
      </c>
      <c r="D24" s="141"/>
      <c r="E24" s="146">
        <f t="shared" si="0"/>
        <v>0</v>
      </c>
      <c r="F24" s="147"/>
      <c r="L24" s="116"/>
      <c r="M24" s="137" t="s">
        <v>355</v>
      </c>
      <c r="N24" s="116"/>
    </row>
    <row r="25" spans="1:16" x14ac:dyDescent="0.25">
      <c r="A25" s="145" t="s">
        <v>26</v>
      </c>
      <c r="B25" s="145"/>
      <c r="C25" s="141">
        <v>0.1</v>
      </c>
      <c r="D25" s="141"/>
      <c r="E25" s="146">
        <f t="shared" si="0"/>
        <v>0.8</v>
      </c>
      <c r="F25" s="147"/>
      <c r="M25" s="116" t="s">
        <v>352</v>
      </c>
    </row>
    <row r="26" spans="1:16" x14ac:dyDescent="0.25">
      <c r="A26" s="145" t="s">
        <v>27</v>
      </c>
      <c r="B26" s="145"/>
      <c r="C26" s="141">
        <f>'1.0 DB Schema'!B43+'2.0 Ifb &amp; PHP'!B38+'3.0 Mapping'!B12+'4.0 Worklet &amp; workflow'!B26+'5.0 Stored Procedure'!B10+'4.1 Session Details'!B22</f>
        <v>0.31</v>
      </c>
      <c r="D26" s="141"/>
      <c r="E26" s="146">
        <f t="shared" si="0"/>
        <v>2.48</v>
      </c>
      <c r="F26" s="147"/>
      <c r="M26" s="116" t="s">
        <v>359</v>
      </c>
    </row>
    <row r="27" spans="1:16" x14ac:dyDescent="0.25">
      <c r="A27" s="145" t="s">
        <v>28</v>
      </c>
      <c r="B27" s="145"/>
      <c r="C27" s="141">
        <v>0.64375000000000004</v>
      </c>
      <c r="D27" s="141"/>
      <c r="E27" s="146">
        <f t="shared" si="0"/>
        <v>5.15</v>
      </c>
      <c r="F27" s="147"/>
    </row>
    <row r="28" spans="1:16" x14ac:dyDescent="0.25">
      <c r="A28" s="145" t="s">
        <v>29</v>
      </c>
      <c r="B28" s="145"/>
      <c r="C28" s="146">
        <v>0.25</v>
      </c>
      <c r="D28" s="147"/>
      <c r="E28" s="146">
        <f t="shared" si="0"/>
        <v>2</v>
      </c>
      <c r="F28" s="147"/>
    </row>
    <row r="29" spans="1:16" x14ac:dyDescent="0.25">
      <c r="A29" s="151" t="s">
        <v>30</v>
      </c>
      <c r="B29" s="151"/>
      <c r="C29" s="148">
        <f>SUM(C23:C28)</f>
        <v>1.30375</v>
      </c>
      <c r="D29" s="148"/>
      <c r="E29" s="149">
        <f t="shared" si="0"/>
        <v>10.43</v>
      </c>
      <c r="F29" s="150"/>
      <c r="L29" s="116"/>
      <c r="M29" s="116"/>
    </row>
    <row r="30" spans="1:16" x14ac:dyDescent="0.25">
      <c r="L30" s="116"/>
      <c r="M30" s="116"/>
      <c r="N30" s="116"/>
    </row>
    <row r="31" spans="1:16" x14ac:dyDescent="0.25">
      <c r="L31" s="116"/>
      <c r="M31" s="116"/>
      <c r="N31" s="116"/>
    </row>
    <row r="32" spans="1:16" x14ac:dyDescent="0.3">
      <c r="B32" s="142" t="s">
        <v>31</v>
      </c>
      <c r="C32" s="143"/>
      <c r="D32" s="143"/>
      <c r="E32" s="143"/>
      <c r="F32" s="143"/>
      <c r="G32" s="143"/>
      <c r="H32" s="143"/>
      <c r="I32" s="143"/>
      <c r="J32" s="143"/>
      <c r="K32" s="143"/>
      <c r="L32" s="144"/>
      <c r="N32" s="116"/>
    </row>
    <row r="33" spans="2:12" ht="43" customHeight="1" x14ac:dyDescent="0.25">
      <c r="B33" s="156" t="s">
        <v>24</v>
      </c>
      <c r="C33" s="157"/>
      <c r="D33" s="152" t="s">
        <v>32</v>
      </c>
      <c r="E33" s="152"/>
      <c r="F33" s="152"/>
      <c r="G33" s="152"/>
      <c r="H33" s="152"/>
      <c r="I33" s="152"/>
      <c r="J33" s="152"/>
      <c r="K33" s="152"/>
      <c r="L33" s="152"/>
    </row>
    <row r="34" spans="2:12" ht="39.75" customHeight="1" x14ac:dyDescent="0.25">
      <c r="B34" s="156" t="s">
        <v>25</v>
      </c>
      <c r="C34" s="157"/>
      <c r="D34" s="152" t="s">
        <v>33</v>
      </c>
      <c r="E34" s="152"/>
      <c r="F34" s="152"/>
      <c r="G34" s="152"/>
      <c r="H34" s="152"/>
      <c r="I34" s="152"/>
      <c r="J34" s="152"/>
      <c r="K34" s="152"/>
      <c r="L34" s="152"/>
    </row>
    <row r="35" spans="2:12" ht="236.25" customHeight="1" x14ac:dyDescent="0.25">
      <c r="B35" s="156" t="s">
        <v>26</v>
      </c>
      <c r="C35" s="157"/>
      <c r="D35" s="152" t="s">
        <v>34</v>
      </c>
      <c r="E35" s="152"/>
      <c r="F35" s="152"/>
      <c r="G35" s="152"/>
      <c r="H35" s="152"/>
      <c r="I35" s="152"/>
      <c r="J35" s="152"/>
      <c r="K35" s="152"/>
      <c r="L35" s="152"/>
    </row>
    <row r="36" spans="2:12" x14ac:dyDescent="0.25">
      <c r="B36" s="156" t="s">
        <v>27</v>
      </c>
      <c r="C36" s="157"/>
      <c r="D36" s="152" t="s">
        <v>35</v>
      </c>
      <c r="E36" s="152"/>
      <c r="F36" s="152"/>
      <c r="G36" s="152"/>
      <c r="H36" s="152"/>
      <c r="I36" s="152"/>
      <c r="J36" s="152"/>
      <c r="K36" s="152"/>
      <c r="L36" s="152"/>
    </row>
    <row r="37" spans="2:12" ht="52.5" customHeight="1" x14ac:dyDescent="0.25">
      <c r="B37" s="156" t="s">
        <v>28</v>
      </c>
      <c r="C37" s="157"/>
      <c r="D37" s="153" t="s">
        <v>36</v>
      </c>
      <c r="E37" s="154"/>
      <c r="F37" s="154"/>
      <c r="G37" s="154"/>
      <c r="H37" s="154"/>
      <c r="I37" s="154"/>
      <c r="J37" s="154"/>
      <c r="K37" s="154"/>
      <c r="L37" s="155"/>
    </row>
    <row r="38" spans="2:12" ht="34.5" customHeight="1" x14ac:dyDescent="0.25">
      <c r="B38" s="156" t="s">
        <v>29</v>
      </c>
      <c r="C38" s="157"/>
      <c r="D38" s="152" t="s">
        <v>37</v>
      </c>
      <c r="E38" s="152"/>
      <c r="F38" s="152"/>
      <c r="G38" s="152"/>
      <c r="H38" s="152"/>
      <c r="I38" s="152"/>
      <c r="J38" s="152"/>
      <c r="K38" s="152"/>
      <c r="L38" s="152"/>
    </row>
    <row r="39" spans="2:12" ht="29.25" customHeight="1" x14ac:dyDescent="0.25"/>
  </sheetData>
  <mergeCells count="121">
    <mergeCell ref="G6:I6"/>
    <mergeCell ref="J6:K6"/>
    <mergeCell ref="J18:K18"/>
    <mergeCell ref="J16:K16"/>
    <mergeCell ref="J17:K17"/>
    <mergeCell ref="G18:I18"/>
    <mergeCell ref="A16:B16"/>
    <mergeCell ref="E16:F16"/>
    <mergeCell ref="A3:B3"/>
    <mergeCell ref="A6:B6"/>
    <mergeCell ref="C6:D6"/>
    <mergeCell ref="C3:D3"/>
    <mergeCell ref="E3:F3"/>
    <mergeCell ref="G3:I3"/>
    <mergeCell ref="J3:K3"/>
    <mergeCell ref="A4:B4"/>
    <mergeCell ref="C4:D4"/>
    <mergeCell ref="E4:F4"/>
    <mergeCell ref="G4:I4"/>
    <mergeCell ref="J4:K4"/>
    <mergeCell ref="A5:B5"/>
    <mergeCell ref="C5:D5"/>
    <mergeCell ref="E5:F5"/>
    <mergeCell ref="G5:I5"/>
    <mergeCell ref="J14:K14"/>
    <mergeCell ref="J15:K15"/>
    <mergeCell ref="G17:I17"/>
    <mergeCell ref="G14:I14"/>
    <mergeCell ref="G15:I15"/>
    <mergeCell ref="G16:I16"/>
    <mergeCell ref="A7:B7"/>
    <mergeCell ref="C7:D7"/>
    <mergeCell ref="E7:F7"/>
    <mergeCell ref="G7:I7"/>
    <mergeCell ref="J7:K7"/>
    <mergeCell ref="E6:F6"/>
    <mergeCell ref="A12:B12"/>
    <mergeCell ref="C12:D12"/>
    <mergeCell ref="E12:F12"/>
    <mergeCell ref="A13:B13"/>
    <mergeCell ref="C13:D13"/>
    <mergeCell ref="E13:F13"/>
    <mergeCell ref="A18:B18"/>
    <mergeCell ref="C18:D18"/>
    <mergeCell ref="E18:F18"/>
    <mergeCell ref="E17:F17"/>
    <mergeCell ref="A11:B11"/>
    <mergeCell ref="C11:D11"/>
    <mergeCell ref="E11:F11"/>
    <mergeCell ref="G19:I19"/>
    <mergeCell ref="C19:D19"/>
    <mergeCell ref="L3:O3"/>
    <mergeCell ref="L5:O5"/>
    <mergeCell ref="L4:O4"/>
    <mergeCell ref="L19:O19"/>
    <mergeCell ref="L18:O18"/>
    <mergeCell ref="L17:O17"/>
    <mergeCell ref="G11:I11"/>
    <mergeCell ref="J11:K11"/>
    <mergeCell ref="L13:O13"/>
    <mergeCell ref="G12:I12"/>
    <mergeCell ref="G13:I13"/>
    <mergeCell ref="L11:O11"/>
    <mergeCell ref="J12:K12"/>
    <mergeCell ref="L12:O12"/>
    <mergeCell ref="J13:K13"/>
    <mergeCell ref="L14:O14"/>
    <mergeCell ref="L15:O15"/>
    <mergeCell ref="L6:O6"/>
    <mergeCell ref="E14:F14"/>
    <mergeCell ref="J19:K19"/>
    <mergeCell ref="L16:O16"/>
    <mergeCell ref="J5:K5"/>
    <mergeCell ref="A27:B27"/>
    <mergeCell ref="A14:B14"/>
    <mergeCell ref="C14:D14"/>
    <mergeCell ref="C15:D15"/>
    <mergeCell ref="C16:D16"/>
    <mergeCell ref="A19:B19"/>
    <mergeCell ref="A15:B15"/>
    <mergeCell ref="E15:F15"/>
    <mergeCell ref="E22:F22"/>
    <mergeCell ref="A17:B17"/>
    <mergeCell ref="C17:D17"/>
    <mergeCell ref="E19:F19"/>
    <mergeCell ref="D36:L36"/>
    <mergeCell ref="D37:L37"/>
    <mergeCell ref="D38:L38"/>
    <mergeCell ref="B38:C38"/>
    <mergeCell ref="B33:C33"/>
    <mergeCell ref="B34:C34"/>
    <mergeCell ref="B36:C36"/>
    <mergeCell ref="B37:C37"/>
    <mergeCell ref="B35:C35"/>
    <mergeCell ref="D35:L35"/>
    <mergeCell ref="D33:L33"/>
    <mergeCell ref="D34:L34"/>
    <mergeCell ref="L7:O7"/>
    <mergeCell ref="B32:L32"/>
    <mergeCell ref="A28:B28"/>
    <mergeCell ref="C28:D28"/>
    <mergeCell ref="C27:D27"/>
    <mergeCell ref="A22:B22"/>
    <mergeCell ref="C22:D22"/>
    <mergeCell ref="A26:B26"/>
    <mergeCell ref="C26:D26"/>
    <mergeCell ref="A23:B23"/>
    <mergeCell ref="C23:D23"/>
    <mergeCell ref="A24:B24"/>
    <mergeCell ref="C24:D24"/>
    <mergeCell ref="A25:B25"/>
    <mergeCell ref="C25:D25"/>
    <mergeCell ref="E23:F23"/>
    <mergeCell ref="E28:F28"/>
    <mergeCell ref="E29:F29"/>
    <mergeCell ref="E24:F24"/>
    <mergeCell ref="E25:F25"/>
    <mergeCell ref="E26:F26"/>
    <mergeCell ref="E27:F27"/>
    <mergeCell ref="A29:B29"/>
    <mergeCell ref="C29:D29"/>
  </mergeCells>
  <phoneticPr fontId="0" type="noConversion"/>
  <dataValidations count="1">
    <dataValidation type="list" allowBlank="1" showInputMessage="1" showErrorMessage="1" sqref="C25:D25" xr:uid="{00000000-0002-0000-0100-000000000000}">
      <formula1>"0, 0.04, 0.07 , 0.1"</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24"/>
  <sheetViews>
    <sheetView workbookViewId="0">
      <selection activeCell="B21" sqref="B21"/>
    </sheetView>
  </sheetViews>
  <sheetFormatPr defaultColWidth="11.453125" defaultRowHeight="12.5" x14ac:dyDescent="0.25"/>
  <cols>
    <col min="1" max="1" width="4.26953125" style="37" customWidth="1"/>
    <col min="2" max="2" width="87.453125" style="22" customWidth="1"/>
    <col min="3" max="3" width="10.7265625" style="22" customWidth="1"/>
    <col min="4" max="16384" width="11.453125" style="22"/>
  </cols>
  <sheetData>
    <row r="1" spans="1:2" ht="13" thickBot="1" x14ac:dyDescent="0.3">
      <c r="A1" s="170" t="s">
        <v>38</v>
      </c>
      <c r="B1" s="170"/>
    </row>
    <row r="2" spans="1:2" x14ac:dyDescent="0.25">
      <c r="A2" s="35"/>
      <c r="B2" s="26" t="s">
        <v>39</v>
      </c>
    </row>
    <row r="3" spans="1:2" x14ac:dyDescent="0.25">
      <c r="A3" s="36"/>
      <c r="B3" s="21"/>
    </row>
    <row r="4" spans="1:2" x14ac:dyDescent="0.25">
      <c r="B4" s="24"/>
    </row>
    <row r="5" spans="1:2" x14ac:dyDescent="0.25">
      <c r="A5" s="35" t="s">
        <v>40</v>
      </c>
      <c r="B5" s="25" t="s">
        <v>41</v>
      </c>
    </row>
    <row r="6" spans="1:2" x14ac:dyDescent="0.25">
      <c r="A6" s="36">
        <v>1</v>
      </c>
      <c r="B6" s="21"/>
    </row>
    <row r="7" spans="1:2" x14ac:dyDescent="0.25">
      <c r="A7" s="36">
        <v>2</v>
      </c>
      <c r="B7" s="21"/>
    </row>
    <row r="8" spans="1:2" x14ac:dyDescent="0.25">
      <c r="A8" s="36">
        <v>3</v>
      </c>
      <c r="B8" s="21"/>
    </row>
    <row r="9" spans="1:2" x14ac:dyDescent="0.25">
      <c r="A9" s="36" t="s">
        <v>42</v>
      </c>
      <c r="B9" s="21"/>
    </row>
    <row r="10" spans="1:2" x14ac:dyDescent="0.25">
      <c r="A10" s="36" t="s">
        <v>43</v>
      </c>
      <c r="B10" s="21"/>
    </row>
    <row r="12" spans="1:2" x14ac:dyDescent="0.25">
      <c r="A12" s="35" t="s">
        <v>40</v>
      </c>
      <c r="B12" s="25" t="s">
        <v>44</v>
      </c>
    </row>
    <row r="13" spans="1:2" x14ac:dyDescent="0.25">
      <c r="A13" s="36">
        <v>4</v>
      </c>
      <c r="B13" s="21"/>
    </row>
    <row r="15" spans="1:2" x14ac:dyDescent="0.25">
      <c r="A15" s="35" t="s">
        <v>40</v>
      </c>
      <c r="B15" s="25" t="s">
        <v>45</v>
      </c>
    </row>
    <row r="16" spans="1:2" x14ac:dyDescent="0.25">
      <c r="A16" s="36">
        <v>5</v>
      </c>
      <c r="B16" s="21"/>
    </row>
    <row r="17" spans="1:2" ht="13" thickBot="1" x14ac:dyDescent="0.3"/>
    <row r="18" spans="1:2" x14ac:dyDescent="0.25">
      <c r="A18" s="38" t="s">
        <v>40</v>
      </c>
      <c r="B18" s="23" t="s">
        <v>46</v>
      </c>
    </row>
    <row r="19" spans="1:2" x14ac:dyDescent="0.25">
      <c r="A19" s="36">
        <v>6</v>
      </c>
      <c r="B19" s="21" t="s">
        <v>349</v>
      </c>
    </row>
    <row r="20" spans="1:2" x14ac:dyDescent="0.25">
      <c r="A20" s="36">
        <v>7</v>
      </c>
      <c r="B20" s="21" t="s">
        <v>350</v>
      </c>
    </row>
    <row r="21" spans="1:2" x14ac:dyDescent="0.25">
      <c r="A21" s="36">
        <v>8</v>
      </c>
      <c r="B21" s="21" t="s">
        <v>351</v>
      </c>
    </row>
    <row r="22" spans="1:2" x14ac:dyDescent="0.25">
      <c r="A22" s="36">
        <v>9</v>
      </c>
      <c r="B22" s="21"/>
    </row>
    <row r="23" spans="1:2" x14ac:dyDescent="0.25">
      <c r="A23" s="36">
        <v>10</v>
      </c>
      <c r="B23" s="21"/>
    </row>
    <row r="24" spans="1:2" x14ac:dyDescent="0.25">
      <c r="A24" s="36">
        <v>11</v>
      </c>
      <c r="B24" s="21"/>
    </row>
  </sheetData>
  <mergeCells count="1">
    <mergeCell ref="A1:B1"/>
  </mergeCells>
  <phoneticPr fontId="2" type="noConversion"/>
  <pageMargins left="0.75" right="0.75" top="1" bottom="1" header="0" footer="0"/>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topLeftCell="A12" zoomScale="80" zoomScaleNormal="75" workbookViewId="0">
      <selection activeCell="A13" sqref="A13:O13"/>
    </sheetView>
  </sheetViews>
  <sheetFormatPr defaultColWidth="9.1796875" defaultRowHeight="12.5" x14ac:dyDescent="0.25"/>
  <cols>
    <col min="1" max="1" width="11.54296875" style="2" customWidth="1"/>
    <col min="2" max="2" width="12.81640625" style="2" bestFit="1" customWidth="1"/>
    <col min="3" max="6" width="9.1796875" style="2"/>
    <col min="7" max="7" width="13.453125" style="2" customWidth="1"/>
    <col min="8" max="8" width="9.81640625" style="2" customWidth="1"/>
    <col min="9" max="9" width="12.26953125" style="2" customWidth="1"/>
    <col min="10" max="10" width="9.1796875" style="2"/>
    <col min="11" max="11" width="7" style="2" customWidth="1"/>
    <col min="12" max="13" width="17.26953125" style="2" customWidth="1"/>
    <col min="14" max="16384" width="9.1796875" style="2"/>
  </cols>
  <sheetData>
    <row r="1" spans="1:15" ht="13" x14ac:dyDescent="0.3">
      <c r="A1" s="1"/>
    </row>
    <row r="10" spans="1:15" ht="13" x14ac:dyDescent="0.3">
      <c r="A10" s="1"/>
      <c r="B10" s="1"/>
      <c r="C10" s="1"/>
      <c r="D10" s="1"/>
      <c r="E10" s="1"/>
      <c r="F10" s="1"/>
      <c r="G10" s="1"/>
      <c r="H10" s="1"/>
      <c r="I10" s="1"/>
    </row>
    <row r="11" spans="1:15" ht="13" x14ac:dyDescent="0.3">
      <c r="A11" s="1"/>
      <c r="B11" s="1"/>
      <c r="C11" s="1"/>
      <c r="D11" s="1"/>
      <c r="E11" s="1"/>
      <c r="F11" s="1"/>
      <c r="G11" s="1"/>
      <c r="H11" s="1"/>
      <c r="I11" s="1"/>
    </row>
    <row r="12" spans="1:15" ht="13" x14ac:dyDescent="0.3">
      <c r="A12" s="1"/>
      <c r="B12" s="1"/>
      <c r="C12" s="1"/>
      <c r="D12" s="1"/>
      <c r="E12" s="1"/>
      <c r="F12" s="1"/>
      <c r="G12" s="1"/>
      <c r="H12" s="1"/>
      <c r="I12" s="1"/>
    </row>
    <row r="13" spans="1:15" ht="32.25" customHeight="1" thickBot="1" x14ac:dyDescent="0.6">
      <c r="A13" s="171" t="s">
        <v>0</v>
      </c>
      <c r="B13" s="171"/>
      <c r="C13" s="171"/>
      <c r="D13" s="171"/>
      <c r="E13" s="171"/>
      <c r="F13" s="171"/>
      <c r="G13" s="171"/>
      <c r="H13" s="171"/>
      <c r="I13" s="171"/>
      <c r="J13" s="171"/>
      <c r="K13" s="171"/>
      <c r="L13" s="171"/>
      <c r="M13" s="171"/>
      <c r="N13" s="171"/>
      <c r="O13" s="171"/>
    </row>
    <row r="14" spans="1:15" ht="13.5" thickTop="1" x14ac:dyDescent="0.3">
      <c r="A14" s="1"/>
      <c r="B14" s="1"/>
      <c r="C14" s="1"/>
      <c r="D14" s="1"/>
      <c r="E14" s="1"/>
      <c r="F14" s="1"/>
      <c r="G14" s="1"/>
      <c r="H14" s="1"/>
      <c r="I14" s="1"/>
    </row>
    <row r="15" spans="1:15" ht="13" x14ac:dyDescent="0.3">
      <c r="A15" s="1"/>
      <c r="B15" s="1"/>
      <c r="C15" s="1"/>
      <c r="D15" s="1"/>
      <c r="E15" s="1"/>
      <c r="F15" s="1"/>
      <c r="G15" s="1"/>
      <c r="H15" s="1"/>
      <c r="I15" s="1"/>
    </row>
    <row r="16" spans="1:15" ht="13.5" customHeight="1" x14ac:dyDescent="0.3">
      <c r="A16" s="1"/>
      <c r="B16" s="1"/>
      <c r="C16" s="1"/>
      <c r="D16" s="1"/>
      <c r="E16" s="1"/>
      <c r="F16" s="1"/>
      <c r="G16" s="1"/>
      <c r="H16" s="1"/>
      <c r="I16" s="1"/>
    </row>
    <row r="17" spans="1:15" ht="14.25" customHeight="1" x14ac:dyDescent="0.3">
      <c r="A17" s="1"/>
      <c r="B17" s="1"/>
      <c r="C17" s="1"/>
      <c r="D17" s="1"/>
      <c r="E17" s="1"/>
      <c r="F17" s="1"/>
      <c r="G17" s="1"/>
      <c r="H17" s="1"/>
      <c r="I17" s="1"/>
    </row>
    <row r="18" spans="1:15" ht="13" x14ac:dyDescent="0.3">
      <c r="A18" s="1"/>
      <c r="B18" s="1"/>
      <c r="C18" s="1"/>
      <c r="D18" s="1"/>
      <c r="E18" s="1"/>
      <c r="F18" s="1"/>
      <c r="G18" s="1"/>
      <c r="H18" s="1"/>
      <c r="I18" s="1"/>
    </row>
    <row r="19" spans="1:15" ht="13" x14ac:dyDescent="0.3">
      <c r="A19" s="1"/>
      <c r="B19" s="1"/>
      <c r="C19" s="1"/>
      <c r="D19" s="1"/>
      <c r="E19" s="1"/>
      <c r="F19" s="1"/>
      <c r="G19" s="1"/>
      <c r="H19" s="1"/>
      <c r="I19" s="1"/>
    </row>
    <row r="20" spans="1:15" ht="30.5" x14ac:dyDescent="0.65">
      <c r="A20" s="172" t="s">
        <v>1</v>
      </c>
      <c r="B20" s="172"/>
      <c r="C20" s="172"/>
      <c r="D20" s="172"/>
      <c r="E20" s="172"/>
      <c r="F20" s="172"/>
      <c r="G20" s="172"/>
      <c r="H20" s="172"/>
      <c r="I20" s="172"/>
      <c r="J20" s="172"/>
      <c r="K20" s="172"/>
      <c r="L20" s="172"/>
      <c r="M20" s="172"/>
      <c r="N20" s="172"/>
      <c r="O20" s="172"/>
    </row>
    <row r="21" spans="1:15" ht="30.5" x14ac:dyDescent="0.65">
      <c r="A21" s="172" t="s">
        <v>2</v>
      </c>
      <c r="B21" s="172"/>
      <c r="C21" s="172"/>
      <c r="D21" s="172"/>
      <c r="E21" s="172"/>
      <c r="F21" s="172"/>
      <c r="G21" s="172"/>
      <c r="H21" s="172"/>
      <c r="I21" s="172"/>
      <c r="J21" s="172"/>
      <c r="K21" s="172"/>
      <c r="L21" s="172"/>
      <c r="M21" s="172"/>
      <c r="N21" s="172"/>
      <c r="O21" s="172"/>
    </row>
    <row r="22" spans="1:15" ht="13" x14ac:dyDescent="0.3">
      <c r="A22" s="1"/>
      <c r="B22" s="1"/>
      <c r="C22" s="1"/>
      <c r="D22" s="1"/>
      <c r="E22" s="1"/>
      <c r="F22" s="1"/>
      <c r="G22" s="1"/>
      <c r="H22" s="1"/>
      <c r="I22" s="1"/>
    </row>
    <row r="23" spans="1:15" ht="30.5" x14ac:dyDescent="0.65">
      <c r="A23" s="89"/>
      <c r="B23" s="89"/>
      <c r="C23" s="89"/>
      <c r="D23" s="89"/>
      <c r="E23" s="89"/>
      <c r="F23" s="90"/>
      <c r="G23" s="172" t="s">
        <v>3</v>
      </c>
      <c r="H23" s="175"/>
      <c r="I23" s="75" t="s">
        <v>270</v>
      </c>
      <c r="J23" s="90"/>
      <c r="L23" s="89"/>
      <c r="M23" s="89"/>
      <c r="N23" s="89"/>
      <c r="O23" s="89"/>
    </row>
    <row r="24" spans="1:15" s="6" customFormat="1" ht="27.75" customHeight="1" x14ac:dyDescent="0.65">
      <c r="A24" s="91"/>
      <c r="B24" s="91"/>
      <c r="C24" s="91"/>
      <c r="D24" s="91"/>
      <c r="F24" s="79"/>
      <c r="G24" s="172" t="s">
        <v>4</v>
      </c>
      <c r="H24" s="172"/>
      <c r="I24" s="75" t="s">
        <v>256</v>
      </c>
      <c r="J24" s="91"/>
      <c r="K24" s="91"/>
      <c r="L24" s="91"/>
      <c r="M24" s="91"/>
      <c r="N24" s="91"/>
      <c r="O24" s="91"/>
    </row>
    <row r="25" spans="1:15" ht="28" x14ac:dyDescent="0.6">
      <c r="F25" s="178" t="s">
        <v>5</v>
      </c>
      <c r="G25" s="178"/>
      <c r="H25" s="178"/>
      <c r="I25" s="178"/>
      <c r="J25" s="178"/>
      <c r="K25" s="178"/>
      <c r="L25" s="78" t="s">
        <v>6</v>
      </c>
    </row>
    <row r="26" spans="1:15" ht="28" x14ac:dyDescent="0.6">
      <c r="F26" s="179" t="s">
        <v>7</v>
      </c>
      <c r="G26" s="179"/>
      <c r="H26" s="179"/>
      <c r="I26" s="179"/>
      <c r="J26" s="176" t="s">
        <v>271</v>
      </c>
      <c r="K26" s="177"/>
    </row>
    <row r="27" spans="1:15" ht="15.5" x14ac:dyDescent="0.35">
      <c r="A27" s="174"/>
      <c r="B27" s="174"/>
      <c r="C27" s="174"/>
      <c r="D27" s="174"/>
      <c r="E27" s="174"/>
      <c r="F27" s="174"/>
      <c r="G27" s="174"/>
      <c r="H27" s="174"/>
      <c r="I27" s="174"/>
    </row>
    <row r="28" spans="1:15" ht="18" customHeight="1" x14ac:dyDescent="0.45">
      <c r="A28" s="173"/>
      <c r="B28" s="173"/>
      <c r="C28" s="173"/>
      <c r="D28" s="173"/>
      <c r="E28" s="173"/>
      <c r="F28" s="173"/>
      <c r="G28" s="173"/>
      <c r="H28" s="173"/>
      <c r="I28" s="173"/>
    </row>
    <row r="37" spans="1:9" ht="18" customHeight="1" x14ac:dyDescent="0.25"/>
    <row r="38" spans="1:9" ht="15.5" x14ac:dyDescent="0.35">
      <c r="A38" s="3" t="s">
        <v>8</v>
      </c>
      <c r="B38" s="4">
        <f ca="1">TODAY()</f>
        <v>43651</v>
      </c>
      <c r="C38" s="1"/>
      <c r="D38" s="1"/>
      <c r="E38" s="1"/>
      <c r="F38" s="1"/>
      <c r="G38" s="1"/>
      <c r="H38" s="1"/>
      <c r="I38" s="1"/>
    </row>
    <row r="39" spans="1:9" ht="15.5" x14ac:dyDescent="0.35">
      <c r="A39" s="3" t="s">
        <v>9</v>
      </c>
      <c r="B39" s="5" t="s">
        <v>10</v>
      </c>
      <c r="C39" s="1"/>
      <c r="D39" s="1"/>
      <c r="E39" s="1"/>
      <c r="F39" s="1"/>
      <c r="G39" s="1"/>
      <c r="H39" s="1"/>
      <c r="I39" s="1"/>
    </row>
    <row r="40" spans="1:9" ht="15.5" x14ac:dyDescent="0.3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0" sqref="C10"/>
    </sheetView>
  </sheetViews>
  <sheetFormatPr defaultRowHeight="12.5" x14ac:dyDescent="0.25"/>
  <cols>
    <col min="1" max="1" width="43.81640625" bestFit="1" customWidth="1"/>
    <col min="2" max="2" width="99.81640625" bestFit="1" customWidth="1"/>
    <col min="3" max="3" width="20.453125" customWidth="1"/>
    <col min="4" max="4" width="25" customWidth="1"/>
    <col min="18" max="18" width="11" customWidth="1"/>
  </cols>
  <sheetData>
    <row r="1" spans="1:18" ht="13" thickBot="1" x14ac:dyDescent="0.3">
      <c r="A1" s="180" t="s">
        <v>47</v>
      </c>
      <c r="B1" s="181"/>
      <c r="C1" s="181"/>
      <c r="D1" s="182"/>
      <c r="M1" s="45" t="s">
        <v>48</v>
      </c>
      <c r="N1" s="46"/>
      <c r="O1" s="46"/>
      <c r="P1" s="46"/>
      <c r="Q1" s="46"/>
      <c r="R1" s="47"/>
    </row>
    <row r="2" spans="1:18" ht="13" thickBot="1" x14ac:dyDescent="0.3">
      <c r="C2" s="22"/>
      <c r="M2" s="48" t="s">
        <v>49</v>
      </c>
      <c r="N2" s="49"/>
      <c r="O2" s="49"/>
      <c r="P2" s="49"/>
      <c r="Q2" s="49"/>
      <c r="R2" s="50"/>
    </row>
    <row r="3" spans="1:18" x14ac:dyDescent="0.25">
      <c r="A3" s="55" t="s">
        <v>50</v>
      </c>
      <c r="B3" s="32"/>
      <c r="C3" s="32"/>
      <c r="M3" s="48" t="s">
        <v>51</v>
      </c>
      <c r="N3" s="49"/>
      <c r="O3" s="49"/>
      <c r="P3" s="49"/>
      <c r="Q3" s="49"/>
      <c r="R3" s="50"/>
    </row>
    <row r="4" spans="1:18" ht="25.5" customHeight="1" x14ac:dyDescent="0.3">
      <c r="A4" s="13" t="s">
        <v>52</v>
      </c>
      <c r="B4" s="13" t="s">
        <v>53</v>
      </c>
      <c r="C4" s="31" t="s">
        <v>54</v>
      </c>
      <c r="D4" s="31" t="s">
        <v>55</v>
      </c>
      <c r="M4" s="51" t="s">
        <v>56</v>
      </c>
      <c r="N4" s="49"/>
      <c r="O4" s="49"/>
      <c r="P4" s="49"/>
      <c r="Q4" s="49"/>
      <c r="R4" s="50"/>
    </row>
    <row r="5" spans="1:18" ht="130.5" thickBot="1" x14ac:dyDescent="0.35">
      <c r="A5" s="44" t="s">
        <v>57</v>
      </c>
      <c r="B5" s="27" t="s">
        <v>58</v>
      </c>
      <c r="C5" s="12" t="s">
        <v>59</v>
      </c>
      <c r="D5" s="12"/>
      <c r="M5" s="52"/>
      <c r="N5" s="53"/>
      <c r="O5" s="53"/>
      <c r="P5" s="53"/>
      <c r="Q5" s="53"/>
      <c r="R5" s="54"/>
    </row>
    <row r="6" spans="1:18" x14ac:dyDescent="0.25">
      <c r="A6" s="44" t="s">
        <v>60</v>
      </c>
      <c r="B6" s="44" t="s">
        <v>61</v>
      </c>
      <c r="C6" s="12" t="s">
        <v>59</v>
      </c>
      <c r="D6" s="12"/>
    </row>
    <row r="7" spans="1:18" x14ac:dyDescent="0.25">
      <c r="A7" s="44" t="s">
        <v>62</v>
      </c>
      <c r="B7" s="44" t="s">
        <v>63</v>
      </c>
      <c r="C7" s="12" t="s">
        <v>59</v>
      </c>
      <c r="D7" s="12"/>
    </row>
    <row r="8" spans="1:18" ht="91" x14ac:dyDescent="0.3">
      <c r="A8" s="44" t="s">
        <v>64</v>
      </c>
      <c r="B8" s="27" t="s">
        <v>65</v>
      </c>
      <c r="C8" s="12" t="s">
        <v>59</v>
      </c>
      <c r="D8" s="12"/>
    </row>
    <row r="9" spans="1:18" x14ac:dyDescent="0.25">
      <c r="A9" s="44" t="s">
        <v>66</v>
      </c>
      <c r="B9" s="44" t="s">
        <v>67</v>
      </c>
      <c r="C9" s="12" t="s">
        <v>59</v>
      </c>
      <c r="D9" s="12"/>
    </row>
    <row r="10" spans="1:18" x14ac:dyDescent="0.25">
      <c r="A10" s="44" t="s">
        <v>68</v>
      </c>
      <c r="B10" s="12"/>
      <c r="C10" s="12" t="s">
        <v>59</v>
      </c>
      <c r="D10" s="12"/>
    </row>
    <row r="11" spans="1:18" x14ac:dyDescent="0.25">
      <c r="A11" s="44" t="s">
        <v>69</v>
      </c>
      <c r="B11" s="44" t="s">
        <v>70</v>
      </c>
      <c r="C11" s="12" t="s">
        <v>59</v>
      </c>
      <c r="D11" s="12"/>
    </row>
    <row r="12" spans="1:18" x14ac:dyDescent="0.25">
      <c r="A12" s="44" t="s">
        <v>71</v>
      </c>
      <c r="B12" s="44" t="s">
        <v>72</v>
      </c>
      <c r="C12" s="12" t="s">
        <v>59</v>
      </c>
      <c r="D12" s="12"/>
    </row>
    <row r="13" spans="1:18" x14ac:dyDescent="0.25">
      <c r="A13" s="44" t="s">
        <v>73</v>
      </c>
      <c r="B13" s="44" t="s">
        <v>74</v>
      </c>
      <c r="C13" s="12" t="s">
        <v>59</v>
      </c>
      <c r="D13" s="12"/>
    </row>
    <row r="14" spans="1:18" x14ac:dyDescent="0.25">
      <c r="A14" s="44" t="s">
        <v>75</v>
      </c>
      <c r="B14" s="44" t="s">
        <v>76</v>
      </c>
      <c r="C14" s="12" t="s">
        <v>59</v>
      </c>
      <c r="D14" s="12"/>
    </row>
    <row r="15" spans="1:18" x14ac:dyDescent="0.25">
      <c r="A15" s="44" t="s">
        <v>77</v>
      </c>
      <c r="B15" s="44" t="s">
        <v>78</v>
      </c>
      <c r="C15" s="12" t="s">
        <v>59</v>
      </c>
      <c r="D15" s="12"/>
    </row>
    <row r="16" spans="1:18" ht="13" x14ac:dyDescent="0.3">
      <c r="A16" s="44" t="s">
        <v>79</v>
      </c>
      <c r="B16" s="44" t="s">
        <v>80</v>
      </c>
      <c r="C16" s="12" t="s">
        <v>59</v>
      </c>
      <c r="D16" s="12"/>
    </row>
    <row r="17" spans="1:4" x14ac:dyDescent="0.25">
      <c r="A17" s="44" t="s">
        <v>81</v>
      </c>
      <c r="B17" s="44" t="s">
        <v>82</v>
      </c>
      <c r="C17" s="12" t="s">
        <v>59</v>
      </c>
      <c r="D17" s="12"/>
    </row>
    <row r="18" spans="1:4" x14ac:dyDescent="0.25">
      <c r="A18" s="57" t="s">
        <v>83</v>
      </c>
      <c r="B18" s="57" t="s">
        <v>84</v>
      </c>
      <c r="C18" s="12" t="s">
        <v>59</v>
      </c>
      <c r="D18" s="12"/>
    </row>
    <row r="19" spans="1:4" x14ac:dyDescent="0.25">
      <c r="A19" s="57" t="s">
        <v>85</v>
      </c>
      <c r="B19" s="44" t="s">
        <v>86</v>
      </c>
      <c r="C19" s="12" t="s">
        <v>59</v>
      </c>
      <c r="D19" s="12"/>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5" x14ac:dyDescent="0.25"/>
  <cols>
    <col min="1" max="1" width="55.26953125" customWidth="1"/>
    <col min="2" max="2" width="70.7265625" customWidth="1"/>
    <col min="3" max="3" width="26.54296875" customWidth="1"/>
  </cols>
  <sheetData>
    <row r="1" spans="1:3" ht="13" x14ac:dyDescent="0.3">
      <c r="A1" s="67" t="s">
        <v>87</v>
      </c>
      <c r="B1" s="68" t="s">
        <v>88</v>
      </c>
    </row>
    <row r="2" spans="1:3" ht="13" x14ac:dyDescent="0.3">
      <c r="A2" s="69" t="s">
        <v>89</v>
      </c>
      <c r="B2" s="70" t="str">
        <f>PPRD</f>
        <v>Jul, 2019</v>
      </c>
      <c r="C2" s="56"/>
    </row>
    <row r="3" spans="1:3" ht="13" x14ac:dyDescent="0.3">
      <c r="A3" s="69" t="s">
        <v>90</v>
      </c>
      <c r="B3" s="71" t="str">
        <f>CRNIRN</f>
        <v>CHG161158</v>
      </c>
      <c r="C3" s="56"/>
    </row>
    <row r="4" spans="1:3" ht="13" x14ac:dyDescent="0.3">
      <c r="A4" s="69" t="s">
        <v>91</v>
      </c>
      <c r="B4" s="71" t="str">
        <f>MA</f>
        <v>KZ</v>
      </c>
      <c r="C4" s="56"/>
    </row>
    <row r="5" spans="1:3" ht="13" x14ac:dyDescent="0.3">
      <c r="A5" s="69" t="s">
        <v>92</v>
      </c>
      <c r="B5" s="71" t="s">
        <v>93</v>
      </c>
    </row>
    <row r="6" spans="1:3" ht="13" x14ac:dyDescent="0.3">
      <c r="A6" s="69" t="s">
        <v>94</v>
      </c>
      <c r="B6" s="73" t="s">
        <v>95</v>
      </c>
    </row>
    <row r="7" spans="1:3" ht="13" x14ac:dyDescent="0.3">
      <c r="A7" s="69" t="s">
        <v>96</v>
      </c>
      <c r="B7" s="74">
        <f>DevDReviewed</f>
        <v>0</v>
      </c>
      <c r="C7" s="56"/>
    </row>
    <row r="8" spans="1:3" ht="13" x14ac:dyDescent="0.3">
      <c r="A8" s="69" t="s">
        <v>97</v>
      </c>
      <c r="B8" s="73" t="str">
        <f>DevNameReviewed</f>
        <v>Rakotoasimbahoaka</v>
      </c>
      <c r="C8" s="56"/>
    </row>
    <row r="9" spans="1:3" ht="13" x14ac:dyDescent="0.3">
      <c r="A9" s="69" t="s">
        <v>98</v>
      </c>
      <c r="B9" s="72">
        <f>DateReviewed</f>
        <v>0</v>
      </c>
      <c r="C9" s="56"/>
    </row>
    <row r="10" spans="1:3" ht="13" x14ac:dyDescent="0.3">
      <c r="A10" s="69" t="s">
        <v>99</v>
      </c>
      <c r="B10" s="73" t="str">
        <f>ReviewedBy</f>
        <v>Jeetun</v>
      </c>
      <c r="C10" s="56"/>
    </row>
    <row r="17" spans="3:3" x14ac:dyDescent="0.25">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C26" sqref="C26"/>
    </sheetView>
  </sheetViews>
  <sheetFormatPr defaultColWidth="9.1796875" defaultRowHeight="12.5" x14ac:dyDescent="0.25"/>
  <cols>
    <col min="1" max="1" width="19.453125" style="58" customWidth="1"/>
    <col min="2" max="2" width="42.54296875" style="58" customWidth="1"/>
    <col min="3" max="3" width="50.81640625" style="58" customWidth="1"/>
    <col min="4" max="4" width="27.453125" style="58" customWidth="1"/>
    <col min="5" max="5" width="32.26953125" style="58" customWidth="1"/>
    <col min="6" max="16384" width="9.1796875" style="58"/>
  </cols>
  <sheetData>
    <row r="1" spans="1:5" ht="13" thickBot="1" x14ac:dyDescent="0.3">
      <c r="A1" s="180" t="s">
        <v>100</v>
      </c>
      <c r="B1" s="181"/>
      <c r="C1" s="181"/>
      <c r="D1" s="183"/>
    </row>
    <row r="2" spans="1:5" ht="13" x14ac:dyDescent="0.3">
      <c r="B2" s="13" t="s">
        <v>101</v>
      </c>
      <c r="C2" s="13" t="s">
        <v>102</v>
      </c>
      <c r="D2" s="13" t="s">
        <v>103</v>
      </c>
      <c r="E2" s="59"/>
    </row>
    <row r="3" spans="1:5" ht="37.5" x14ac:dyDescent="0.25">
      <c r="B3" s="60" t="s">
        <v>104</v>
      </c>
      <c r="C3" s="61" t="s">
        <v>105</v>
      </c>
      <c r="D3" s="62" t="str">
        <f>IF(ISBLANK('1.0 DB Schema'!B43)=FALSE,"Impacted","Not Impacted")</f>
        <v>Impacted</v>
      </c>
      <c r="E3" s="63"/>
    </row>
    <row r="4" spans="1:5" ht="25" x14ac:dyDescent="0.25">
      <c r="B4" s="60" t="s">
        <v>106</v>
      </c>
      <c r="C4" s="61" t="s">
        <v>107</v>
      </c>
      <c r="D4" s="62" t="str">
        <f>IF(ISBLANK('2.0 Ifb &amp; PHP'!B38)=FALSE,"Impacted","Not Impacted")</f>
        <v>Not Impacted</v>
      </c>
      <c r="E4" s="63"/>
    </row>
    <row r="5" spans="1:5" ht="37.5" x14ac:dyDescent="0.25">
      <c r="B5" s="60" t="s">
        <v>108</v>
      </c>
      <c r="C5" s="61" t="s">
        <v>109</v>
      </c>
      <c r="D5" s="62" t="str">
        <f>IF(ISBLANK('3.0 Mapping'!B12)=FALSE,"Impacted","Not Impacted")</f>
        <v>Impacted</v>
      </c>
      <c r="E5" s="63"/>
    </row>
    <row r="6" spans="1:5" ht="25" x14ac:dyDescent="0.25">
      <c r="B6" s="60" t="s">
        <v>110</v>
      </c>
      <c r="C6" s="61" t="s">
        <v>111</v>
      </c>
      <c r="D6" s="62" t="str">
        <f>IF(ISBLANK('4.0 Worklet &amp; workflow'!B26)=FALSE,"Impacted","Not Impacted")</f>
        <v>Impacted</v>
      </c>
      <c r="E6" s="63"/>
    </row>
    <row r="7" spans="1:5" ht="25" x14ac:dyDescent="0.25">
      <c r="B7" s="60" t="s">
        <v>112</v>
      </c>
      <c r="C7" s="61" t="s">
        <v>113</v>
      </c>
      <c r="D7" s="62" t="str">
        <f>IF(ISBLANK('5.0 Stored Procedure'!B10)=FALSE,"Impacted","Not Impacted")</f>
        <v>Not Impacted</v>
      </c>
      <c r="E7" s="63"/>
    </row>
    <row r="8" spans="1:5" ht="25" x14ac:dyDescent="0.25">
      <c r="B8" s="60" t="s">
        <v>114</v>
      </c>
      <c r="C8" s="61" t="s">
        <v>115</v>
      </c>
      <c r="D8" s="62" t="str">
        <f>IF(ISBLANK('6.0 Data Update'!E5)=FALSE,"Impacted","Not Impacted")</f>
        <v>Not Impacted</v>
      </c>
      <c r="E8" s="63"/>
    </row>
    <row r="10" spans="1:5" ht="13" thickBot="1" x14ac:dyDescent="0.3"/>
    <row r="11" spans="1:5" ht="13" thickBot="1" x14ac:dyDescent="0.3">
      <c r="B11" s="16" t="s">
        <v>116</v>
      </c>
    </row>
    <row r="12" spans="1:5" x14ac:dyDescent="0.25">
      <c r="B12" s="13" t="s">
        <v>117</v>
      </c>
      <c r="C12" s="13" t="s">
        <v>118</v>
      </c>
      <c r="D12" s="13" t="s">
        <v>119</v>
      </c>
    </row>
    <row r="13" spans="1:5" x14ac:dyDescent="0.25">
      <c r="B13" s="62" t="s">
        <v>120</v>
      </c>
      <c r="C13" s="62" t="s">
        <v>121</v>
      </c>
      <c r="D13" s="64" t="s">
        <v>122</v>
      </c>
    </row>
    <row r="14" spans="1:5" x14ac:dyDescent="0.25">
      <c r="B14" s="62" t="s">
        <v>123</v>
      </c>
      <c r="C14" s="64" t="s">
        <v>124</v>
      </c>
      <c r="D14" s="62" t="s">
        <v>125</v>
      </c>
    </row>
    <row r="15" spans="1:5" x14ac:dyDescent="0.25">
      <c r="B15" s="62" t="s">
        <v>126</v>
      </c>
      <c r="C15" s="62" t="s">
        <v>127</v>
      </c>
      <c r="D15" s="62" t="s">
        <v>128</v>
      </c>
    </row>
    <row r="16" spans="1:5" x14ac:dyDescent="0.25">
      <c r="B16" s="62" t="s">
        <v>129</v>
      </c>
      <c r="C16" s="62" t="s">
        <v>130</v>
      </c>
      <c r="D16" s="62" t="s">
        <v>131</v>
      </c>
    </row>
    <row r="17" spans="2:4" x14ac:dyDescent="0.25">
      <c r="B17" s="62" t="s">
        <v>132</v>
      </c>
      <c r="C17" s="64" t="s">
        <v>133</v>
      </c>
      <c r="D17" s="62" t="s">
        <v>134</v>
      </c>
    </row>
    <row r="18" spans="2:4" x14ac:dyDescent="0.25">
      <c r="B18" s="62" t="s">
        <v>135</v>
      </c>
      <c r="C18" s="62" t="s">
        <v>136</v>
      </c>
      <c r="D18" s="62" t="s">
        <v>137</v>
      </c>
    </row>
    <row r="19" spans="2:4" x14ac:dyDescent="0.25">
      <c r="B19" s="62" t="s">
        <v>138</v>
      </c>
      <c r="C19" s="62" t="s">
        <v>139</v>
      </c>
      <c r="D19" s="62" t="s">
        <v>140</v>
      </c>
    </row>
    <row r="20" spans="2:4" x14ac:dyDescent="0.25">
      <c r="B20" s="62" t="s">
        <v>141</v>
      </c>
      <c r="C20" s="64" t="s">
        <v>142</v>
      </c>
      <c r="D20" s="62" t="s">
        <v>143</v>
      </c>
    </row>
    <row r="21" spans="2:4" x14ac:dyDescent="0.25">
      <c r="B21" s="62" t="s">
        <v>144</v>
      </c>
      <c r="C21" s="64" t="s">
        <v>145</v>
      </c>
      <c r="D21" s="62" t="s">
        <v>146</v>
      </c>
    </row>
    <row r="22" spans="2:4" x14ac:dyDescent="0.25">
      <c r="B22" s="62" t="s">
        <v>147</v>
      </c>
      <c r="C22" s="64" t="s">
        <v>148</v>
      </c>
      <c r="D22" s="62" t="s">
        <v>149</v>
      </c>
    </row>
    <row r="23" spans="2:4" x14ac:dyDescent="0.25">
      <c r="B23" s="62" t="s">
        <v>150</v>
      </c>
      <c r="C23" s="62" t="s">
        <v>151</v>
      </c>
      <c r="D23" s="62" t="s">
        <v>152</v>
      </c>
    </row>
    <row r="24" spans="2:4" x14ac:dyDescent="0.25">
      <c r="B24" s="62" t="s">
        <v>153</v>
      </c>
      <c r="C24" s="62"/>
      <c r="D24" s="62"/>
    </row>
  </sheetData>
  <mergeCells count="1">
    <mergeCell ref="A1:D1"/>
  </mergeCells>
  <phoneticPr fontId="2"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C43"/>
  <sheetViews>
    <sheetView zoomScale="80" zoomScaleNormal="80" workbookViewId="0">
      <selection activeCell="C41" sqref="C41"/>
    </sheetView>
  </sheetViews>
  <sheetFormatPr defaultRowHeight="12.5" x14ac:dyDescent="0.25"/>
  <cols>
    <col min="1" max="1" width="34.26953125" customWidth="1"/>
    <col min="2" max="2" width="25" bestFit="1" customWidth="1"/>
    <col min="3" max="3" width="70.7265625" bestFit="1" customWidth="1"/>
    <col min="4" max="4" width="25" bestFit="1" customWidth="1"/>
    <col min="5" max="5" width="20.54296875" bestFit="1" customWidth="1"/>
    <col min="6" max="6" width="14" customWidth="1"/>
    <col min="7" max="7" width="28.1796875" customWidth="1"/>
    <col min="10" max="10" width="18.81640625" bestFit="1" customWidth="1"/>
    <col min="11" max="11" width="26.54296875" bestFit="1" customWidth="1"/>
    <col min="25" max="25" width="20" customWidth="1"/>
  </cols>
  <sheetData>
    <row r="1" spans="1:24" ht="13" thickBot="1" x14ac:dyDescent="0.3">
      <c r="A1" s="180" t="s">
        <v>154</v>
      </c>
      <c r="B1" s="181"/>
      <c r="C1" s="182"/>
    </row>
    <row r="2" spans="1:24" ht="14.5" thickBot="1" x14ac:dyDescent="0.35">
      <c r="E2" s="77" t="s">
        <v>155</v>
      </c>
      <c r="F2" s="39"/>
      <c r="G2" s="39"/>
      <c r="H2" s="39"/>
      <c r="I2" s="39"/>
      <c r="J2" s="39"/>
      <c r="K2" s="39"/>
      <c r="W2" s="56"/>
    </row>
    <row r="3" spans="1:24" ht="13" thickBot="1" x14ac:dyDescent="0.3">
      <c r="A3" s="16" t="s">
        <v>156</v>
      </c>
      <c r="B3" s="14"/>
      <c r="C3" s="14"/>
      <c r="E3" s="40" t="s">
        <v>157</v>
      </c>
      <c r="F3" s="39"/>
      <c r="G3" s="39"/>
      <c r="H3" s="39"/>
      <c r="I3" s="39"/>
      <c r="J3" s="39"/>
      <c r="K3" s="39"/>
      <c r="X3" s="56"/>
    </row>
    <row r="4" spans="1:24" x14ac:dyDescent="0.25">
      <c r="A4" s="15" t="s">
        <v>158</v>
      </c>
      <c r="B4" s="13" t="s">
        <v>159</v>
      </c>
      <c r="C4" s="13" t="s">
        <v>55</v>
      </c>
      <c r="E4" s="40" t="s">
        <v>160</v>
      </c>
      <c r="F4" s="40"/>
      <c r="G4" s="40"/>
      <c r="H4" s="40"/>
      <c r="I4" s="40"/>
      <c r="J4" s="39"/>
      <c r="K4" s="39"/>
    </row>
    <row r="5" spans="1:24" ht="14.5" customHeight="1" x14ac:dyDescent="0.25">
      <c r="A5" s="56" t="s">
        <v>275</v>
      </c>
      <c r="B5" s="96" t="s">
        <v>257</v>
      </c>
      <c r="C5" s="44" t="s">
        <v>346</v>
      </c>
      <c r="E5" s="40" t="s">
        <v>161</v>
      </c>
      <c r="F5" s="40"/>
      <c r="G5" s="40"/>
      <c r="H5" s="40"/>
      <c r="I5" s="40"/>
      <c r="J5" s="39"/>
      <c r="K5" s="39"/>
    </row>
    <row r="6" spans="1:24" ht="13" x14ac:dyDescent="0.3">
      <c r="A6" s="12" t="s">
        <v>277</v>
      </c>
      <c r="B6" s="96" t="s">
        <v>257</v>
      </c>
      <c r="C6" s="44" t="s">
        <v>347</v>
      </c>
      <c r="D6" s="112"/>
      <c r="E6" s="76" t="s">
        <v>162</v>
      </c>
      <c r="F6" s="39"/>
      <c r="G6" s="39"/>
      <c r="H6" s="39"/>
      <c r="I6" s="39"/>
      <c r="J6" s="39"/>
      <c r="K6" s="39"/>
      <c r="X6" s="56"/>
    </row>
    <row r="7" spans="1:24" x14ac:dyDescent="0.25">
      <c r="A7" s="12" t="s">
        <v>278</v>
      </c>
      <c r="B7" s="96" t="s">
        <v>257</v>
      </c>
      <c r="C7" s="44" t="s">
        <v>348</v>
      </c>
      <c r="D7" s="112"/>
      <c r="X7" s="56"/>
    </row>
    <row r="8" spans="1:24" ht="13" thickBot="1" x14ac:dyDescent="0.3">
      <c r="X8" s="56"/>
    </row>
    <row r="9" spans="1:24" ht="13" thickBot="1" x14ac:dyDescent="0.3">
      <c r="A9" s="16" t="s">
        <v>163</v>
      </c>
      <c r="X9" s="56"/>
    </row>
    <row r="10" spans="1:24" x14ac:dyDescent="0.25">
      <c r="A10" s="15" t="s">
        <v>158</v>
      </c>
      <c r="B10" s="13" t="s">
        <v>164</v>
      </c>
      <c r="C10" s="13" t="s">
        <v>165</v>
      </c>
      <c r="D10" s="13" t="s">
        <v>159</v>
      </c>
      <c r="E10" s="13" t="s">
        <v>166</v>
      </c>
      <c r="F10" s="13" t="s">
        <v>55</v>
      </c>
      <c r="X10" s="56"/>
    </row>
    <row r="11" spans="1:24" ht="13" x14ac:dyDescent="0.25">
      <c r="A11" s="44" t="s">
        <v>275</v>
      </c>
      <c r="B11" s="120" t="s">
        <v>258</v>
      </c>
      <c r="C11" s="102" t="s">
        <v>264</v>
      </c>
      <c r="D11" s="44" t="s">
        <v>276</v>
      </c>
      <c r="E11" s="102"/>
      <c r="F11" s="102"/>
    </row>
    <row r="12" spans="1:24" ht="13" x14ac:dyDescent="0.25">
      <c r="A12" s="44" t="s">
        <v>275</v>
      </c>
      <c r="B12" s="120" t="s">
        <v>259</v>
      </c>
      <c r="C12" s="102" t="s">
        <v>266</v>
      </c>
      <c r="D12" s="44" t="s">
        <v>276</v>
      </c>
      <c r="E12" s="102"/>
      <c r="F12" s="102"/>
    </row>
    <row r="13" spans="1:24" ht="13" x14ac:dyDescent="0.25">
      <c r="A13" s="44" t="s">
        <v>275</v>
      </c>
      <c r="B13" s="120" t="s">
        <v>262</v>
      </c>
      <c r="C13" s="102" t="s">
        <v>267</v>
      </c>
      <c r="D13" s="44" t="s">
        <v>276</v>
      </c>
      <c r="E13" s="102"/>
      <c r="F13" s="102"/>
    </row>
    <row r="14" spans="1:24" ht="13" x14ac:dyDescent="0.25">
      <c r="A14" s="44" t="s">
        <v>275</v>
      </c>
      <c r="B14" s="120" t="s">
        <v>263</v>
      </c>
      <c r="C14" s="102" t="s">
        <v>265</v>
      </c>
      <c r="D14" s="44" t="s">
        <v>276</v>
      </c>
      <c r="E14" s="102"/>
      <c r="F14" s="102"/>
    </row>
    <row r="15" spans="1:24" ht="13" x14ac:dyDescent="0.25">
      <c r="A15" s="12" t="s">
        <v>277</v>
      </c>
      <c r="B15" s="120" t="s">
        <v>259</v>
      </c>
      <c r="C15" s="102" t="s">
        <v>266</v>
      </c>
      <c r="D15" s="44" t="s">
        <v>276</v>
      </c>
      <c r="E15" s="102"/>
      <c r="F15" s="102"/>
    </row>
    <row r="16" spans="1:24" ht="13" x14ac:dyDescent="0.25">
      <c r="A16" s="12" t="s">
        <v>277</v>
      </c>
      <c r="B16" s="120" t="s">
        <v>262</v>
      </c>
      <c r="C16" s="102" t="s">
        <v>267</v>
      </c>
      <c r="D16" s="44" t="s">
        <v>276</v>
      </c>
      <c r="E16" s="102"/>
      <c r="F16" s="102"/>
    </row>
    <row r="17" spans="1:6" ht="13" x14ac:dyDescent="0.25">
      <c r="A17" s="12" t="s">
        <v>277</v>
      </c>
      <c r="B17" s="120" t="s">
        <v>263</v>
      </c>
      <c r="C17" s="102" t="s">
        <v>265</v>
      </c>
      <c r="D17" s="44" t="s">
        <v>276</v>
      </c>
      <c r="E17" s="102"/>
      <c r="F17" s="102"/>
    </row>
    <row r="18" spans="1:6" ht="13" x14ac:dyDescent="0.25">
      <c r="A18" s="12" t="s">
        <v>278</v>
      </c>
      <c r="B18" s="44" t="s">
        <v>260</v>
      </c>
      <c r="C18" s="102" t="s">
        <v>266</v>
      </c>
      <c r="D18" s="44" t="s">
        <v>276</v>
      </c>
      <c r="E18" s="102"/>
      <c r="F18" s="102"/>
    </row>
    <row r="19" spans="1:6" ht="13" x14ac:dyDescent="0.25">
      <c r="A19" s="12" t="s">
        <v>278</v>
      </c>
      <c r="B19" s="12" t="s">
        <v>261</v>
      </c>
      <c r="C19" s="102" t="s">
        <v>266</v>
      </c>
      <c r="D19" s="44" t="s">
        <v>276</v>
      </c>
      <c r="E19" s="102"/>
      <c r="F19" s="102"/>
    </row>
    <row r="20" spans="1:6" ht="13" x14ac:dyDescent="0.25">
      <c r="A20" s="12" t="s">
        <v>278</v>
      </c>
      <c r="B20" s="44" t="s">
        <v>282</v>
      </c>
      <c r="C20" s="44" t="s">
        <v>291</v>
      </c>
      <c r="D20" s="44" t="s">
        <v>276</v>
      </c>
      <c r="E20" s="102"/>
      <c r="F20" s="102"/>
    </row>
    <row r="21" spans="1:6" ht="13" x14ac:dyDescent="0.25">
      <c r="A21" s="12" t="s">
        <v>278</v>
      </c>
      <c r="B21" s="44" t="s">
        <v>284</v>
      </c>
      <c r="C21" s="44" t="s">
        <v>291</v>
      </c>
      <c r="D21" s="44" t="s">
        <v>276</v>
      </c>
      <c r="E21" s="102"/>
      <c r="F21" s="102"/>
    </row>
    <row r="22" spans="1:6" ht="13" x14ac:dyDescent="0.25">
      <c r="A22" s="12" t="s">
        <v>278</v>
      </c>
      <c r="B22" s="44" t="s">
        <v>285</v>
      </c>
      <c r="C22" s="44" t="s">
        <v>291</v>
      </c>
      <c r="D22" s="44" t="s">
        <v>276</v>
      </c>
      <c r="E22" s="102"/>
      <c r="F22" s="102"/>
    </row>
    <row r="23" spans="1:6" ht="13" x14ac:dyDescent="0.25">
      <c r="A23" s="12" t="s">
        <v>278</v>
      </c>
      <c r="B23" s="44" t="s">
        <v>262</v>
      </c>
      <c r="C23" s="102" t="s">
        <v>267</v>
      </c>
      <c r="D23" s="44" t="s">
        <v>276</v>
      </c>
      <c r="E23" s="102"/>
      <c r="F23" s="102"/>
    </row>
    <row r="24" spans="1:6" ht="13" x14ac:dyDescent="0.25">
      <c r="A24" s="12" t="s">
        <v>278</v>
      </c>
      <c r="B24" s="44" t="s">
        <v>263</v>
      </c>
      <c r="C24" s="102" t="s">
        <v>265</v>
      </c>
      <c r="D24" s="44" t="s">
        <v>276</v>
      </c>
      <c r="E24" s="102"/>
      <c r="F24" s="102"/>
    </row>
    <row r="25" spans="1:6" ht="13" x14ac:dyDescent="0.25">
      <c r="A25" s="12" t="s">
        <v>278</v>
      </c>
      <c r="B25" s="44" t="s">
        <v>286</v>
      </c>
      <c r="C25" s="102" t="s">
        <v>265</v>
      </c>
      <c r="D25" s="44" t="s">
        <v>276</v>
      </c>
      <c r="E25" s="102"/>
      <c r="F25" s="102"/>
    </row>
    <row r="26" spans="1:6" ht="13" x14ac:dyDescent="0.25">
      <c r="A26" s="12" t="s">
        <v>278</v>
      </c>
      <c r="B26" s="44" t="s">
        <v>287</v>
      </c>
      <c r="C26" s="102" t="s">
        <v>265</v>
      </c>
      <c r="D26" s="44" t="s">
        <v>276</v>
      </c>
      <c r="E26" s="102"/>
      <c r="F26" s="102"/>
    </row>
    <row r="27" spans="1:6" ht="13" x14ac:dyDescent="0.25">
      <c r="A27" s="12" t="s">
        <v>278</v>
      </c>
      <c r="B27" s="44" t="s">
        <v>288</v>
      </c>
      <c r="C27" s="102" t="s">
        <v>265</v>
      </c>
      <c r="D27" s="44" t="s">
        <v>276</v>
      </c>
      <c r="E27" s="102"/>
      <c r="F27" s="102"/>
    </row>
    <row r="28" spans="1:6" ht="13" x14ac:dyDescent="0.25">
      <c r="A28" s="12" t="s">
        <v>278</v>
      </c>
      <c r="B28" s="44" t="s">
        <v>289</v>
      </c>
      <c r="C28" s="102" t="s">
        <v>265</v>
      </c>
      <c r="D28" s="44" t="s">
        <v>276</v>
      </c>
      <c r="E28" s="102"/>
      <c r="F28" s="102"/>
    </row>
    <row r="29" spans="1:6" ht="13" x14ac:dyDescent="0.25">
      <c r="A29" s="12" t="s">
        <v>278</v>
      </c>
      <c r="B29" s="44" t="s">
        <v>290</v>
      </c>
      <c r="C29" s="102" t="s">
        <v>265</v>
      </c>
      <c r="D29" s="44" t="s">
        <v>276</v>
      </c>
      <c r="E29" s="102"/>
      <c r="F29" s="102"/>
    </row>
    <row r="30" spans="1:6" ht="13" x14ac:dyDescent="0.25">
      <c r="A30" s="106"/>
      <c r="B30" s="107"/>
      <c r="C30" s="107"/>
      <c r="D30" s="107"/>
      <c r="E30" s="107"/>
      <c r="F30" s="107"/>
    </row>
    <row r="31" spans="1:6" ht="13" thickBot="1" x14ac:dyDescent="0.3">
      <c r="A31" s="28"/>
      <c r="B31" s="28"/>
      <c r="C31" s="28"/>
      <c r="D31" s="28"/>
      <c r="E31" s="28"/>
      <c r="F31" s="28"/>
    </row>
    <row r="32" spans="1:6" ht="13" thickBot="1" x14ac:dyDescent="0.3">
      <c r="A32" s="16" t="s">
        <v>167</v>
      </c>
      <c r="D32" s="28"/>
      <c r="E32" s="28"/>
      <c r="F32" s="28"/>
    </row>
    <row r="33" spans="1:29" x14ac:dyDescent="0.25">
      <c r="A33" s="15" t="s">
        <v>168</v>
      </c>
      <c r="B33" s="13" t="s">
        <v>169</v>
      </c>
      <c r="C33" s="13" t="s">
        <v>170</v>
      </c>
      <c r="D33" s="13" t="s">
        <v>171</v>
      </c>
      <c r="E33" s="28"/>
      <c r="F33" s="28"/>
    </row>
    <row r="34" spans="1:29" x14ac:dyDescent="0.25">
      <c r="A34" s="44" t="s">
        <v>153</v>
      </c>
      <c r="B34" s="44"/>
      <c r="C34" s="44"/>
      <c r="D34" s="12"/>
      <c r="E34" s="28"/>
      <c r="F34" s="28"/>
      <c r="AA34" s="56"/>
    </row>
    <row r="35" spans="1:29" x14ac:dyDescent="0.25">
      <c r="A35" s="44"/>
      <c r="B35" s="44"/>
      <c r="C35" s="44"/>
      <c r="D35" s="12"/>
      <c r="E35" s="28"/>
      <c r="F35" s="28"/>
      <c r="AA35" s="56"/>
    </row>
    <row r="36" spans="1:29" x14ac:dyDescent="0.25">
      <c r="A36" s="44"/>
      <c r="B36" s="44"/>
      <c r="C36" s="44"/>
      <c r="D36" s="12"/>
      <c r="E36" s="28"/>
      <c r="F36" s="28"/>
    </row>
    <row r="37" spans="1:29" ht="13" thickBot="1" x14ac:dyDescent="0.3">
      <c r="A37" s="94"/>
      <c r="B37" s="94"/>
      <c r="C37" s="94"/>
      <c r="D37" s="28"/>
      <c r="E37" s="28"/>
      <c r="F37" s="28"/>
    </row>
    <row r="38" spans="1:29" ht="13" thickBot="1" x14ac:dyDescent="0.3">
      <c r="A38" s="16" t="s">
        <v>172</v>
      </c>
      <c r="B38" s="94"/>
      <c r="C38" s="94"/>
      <c r="D38" s="28"/>
      <c r="E38" s="28"/>
      <c r="F38" s="28"/>
    </row>
    <row r="39" spans="1:29" x14ac:dyDescent="0.25">
      <c r="A39" s="15" t="s">
        <v>117</v>
      </c>
      <c r="B39" s="13" t="s">
        <v>173</v>
      </c>
    </row>
    <row r="40" spans="1:29" x14ac:dyDescent="0.25">
      <c r="A40" s="44" t="s">
        <v>153</v>
      </c>
      <c r="B40" s="44"/>
      <c r="C40" s="28"/>
      <c r="AC40" s="56"/>
    </row>
    <row r="41" spans="1:29" x14ac:dyDescent="0.25">
      <c r="A41" s="44"/>
      <c r="B41" s="44"/>
      <c r="C41" s="28"/>
    </row>
    <row r="42" spans="1:29" x14ac:dyDescent="0.25">
      <c r="A42" s="20" t="s">
        <v>21</v>
      </c>
      <c r="B42" s="20" t="s">
        <v>174</v>
      </c>
    </row>
    <row r="43" spans="1:29" x14ac:dyDescent="0.25">
      <c r="A43" s="19"/>
      <c r="B43" s="19">
        <v>0.04</v>
      </c>
    </row>
  </sheetData>
  <mergeCells count="1">
    <mergeCell ref="A1:C1"/>
  </mergeCells>
  <phoneticPr fontId="2"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Overview!$B$13:$B$24</xm:f>
          </x14:formula1>
          <xm:sqref>A40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8"/>
  <sheetViews>
    <sheetView zoomScale="77" zoomScaleNormal="77" workbookViewId="0">
      <selection sqref="A1:C1"/>
    </sheetView>
  </sheetViews>
  <sheetFormatPr defaultRowHeight="12.5" x14ac:dyDescent="0.25"/>
  <cols>
    <col min="1" max="1" width="37.36328125" bestFit="1" customWidth="1"/>
    <col min="2" max="2" width="36.26953125" style="22" customWidth="1"/>
    <col min="3" max="3" width="32.81640625" customWidth="1"/>
  </cols>
  <sheetData>
    <row r="1" spans="1:3" ht="13" thickBot="1" x14ac:dyDescent="0.3">
      <c r="A1" s="180" t="s">
        <v>175</v>
      </c>
      <c r="B1" s="181"/>
      <c r="C1" s="182"/>
    </row>
    <row r="2" spans="1:3" ht="13" thickBot="1" x14ac:dyDescent="0.3"/>
    <row r="3" spans="1:3" ht="13" thickBot="1" x14ac:dyDescent="0.3">
      <c r="A3" s="17" t="s">
        <v>176</v>
      </c>
      <c r="B3" s="32"/>
    </row>
    <row r="4" spans="1:3" x14ac:dyDescent="0.25">
      <c r="A4" s="15" t="s">
        <v>177</v>
      </c>
      <c r="B4" s="31" t="s">
        <v>55</v>
      </c>
    </row>
    <row r="5" spans="1:3" x14ac:dyDescent="0.25">
      <c r="A5" s="44" t="s">
        <v>153</v>
      </c>
      <c r="B5" s="21"/>
    </row>
    <row r="6" spans="1:3" x14ac:dyDescent="0.25">
      <c r="A6" s="12"/>
      <c r="B6" s="21"/>
    </row>
    <row r="7" spans="1:3" x14ac:dyDescent="0.25">
      <c r="A7" s="12"/>
      <c r="B7" s="21"/>
    </row>
    <row r="8" spans="1:3" x14ac:dyDescent="0.25">
      <c r="A8" s="12"/>
      <c r="B8" s="21"/>
    </row>
    <row r="9" spans="1:3" ht="13" thickBot="1" x14ac:dyDescent="0.3"/>
    <row r="10" spans="1:3" ht="13" thickBot="1" x14ac:dyDescent="0.3">
      <c r="A10" s="17" t="s">
        <v>178</v>
      </c>
      <c r="B10" s="32"/>
      <c r="C10" s="14"/>
    </row>
    <row r="11" spans="1:3" x14ac:dyDescent="0.25">
      <c r="A11" s="15" t="s">
        <v>179</v>
      </c>
      <c r="B11" s="31" t="s">
        <v>55</v>
      </c>
    </row>
    <row r="12" spans="1:3" x14ac:dyDescent="0.25">
      <c r="A12" s="95"/>
      <c r="B12" s="97"/>
    </row>
    <row r="13" spans="1:3" x14ac:dyDescent="0.25">
      <c r="A13" s="96"/>
      <c r="B13" s="97"/>
    </row>
    <row r="14" spans="1:3" x14ac:dyDescent="0.25">
      <c r="A14" s="95"/>
      <c r="B14" s="97"/>
    </row>
    <row r="15" spans="1:3" ht="13" thickBot="1" x14ac:dyDescent="0.3"/>
    <row r="16" spans="1:3" ht="13" thickBot="1" x14ac:dyDescent="0.3">
      <c r="A16" s="17" t="s">
        <v>180</v>
      </c>
    </row>
    <row r="17" spans="1:2" x14ac:dyDescent="0.25">
      <c r="A17" s="15" t="s">
        <v>177</v>
      </c>
      <c r="B17" s="31" t="s">
        <v>55</v>
      </c>
    </row>
    <row r="18" spans="1:2" x14ac:dyDescent="0.25">
      <c r="A18" s="44" t="s">
        <v>153</v>
      </c>
      <c r="B18" s="21"/>
    </row>
    <row r="19" spans="1:2" x14ac:dyDescent="0.25">
      <c r="A19" s="12"/>
      <c r="B19" s="21"/>
    </row>
    <row r="20" spans="1:2" x14ac:dyDescent="0.25">
      <c r="A20" s="12"/>
      <c r="B20" s="21"/>
    </row>
    <row r="21" spans="1:2" x14ac:dyDescent="0.25">
      <c r="A21" s="12"/>
      <c r="B21" s="21"/>
    </row>
    <row r="22" spans="1:2" ht="13" thickBot="1" x14ac:dyDescent="0.3">
      <c r="A22" s="28"/>
      <c r="B22" s="24"/>
    </row>
    <row r="23" spans="1:2" ht="13" thickBot="1" x14ac:dyDescent="0.3">
      <c r="A23" s="17" t="s">
        <v>181</v>
      </c>
    </row>
    <row r="24" spans="1:2" x14ac:dyDescent="0.25">
      <c r="A24" s="15" t="s">
        <v>177</v>
      </c>
      <c r="B24" s="31" t="s">
        <v>55</v>
      </c>
    </row>
    <row r="25" spans="1:2" x14ac:dyDescent="0.25">
      <c r="A25" s="44" t="s">
        <v>153</v>
      </c>
      <c r="B25" s="21"/>
    </row>
    <row r="26" spans="1:2" x14ac:dyDescent="0.25">
      <c r="A26" s="12"/>
      <c r="B26" s="21"/>
    </row>
    <row r="27" spans="1:2" x14ac:dyDescent="0.25">
      <c r="A27" s="12"/>
      <c r="B27" s="21"/>
    </row>
    <row r="28" spans="1:2" x14ac:dyDescent="0.25">
      <c r="A28" s="12"/>
      <c r="B28" s="21"/>
    </row>
    <row r="29" spans="1:2" ht="13" thickBot="1" x14ac:dyDescent="0.3">
      <c r="A29" s="28"/>
      <c r="B29" s="24"/>
    </row>
    <row r="30" spans="1:2" ht="13" thickBot="1" x14ac:dyDescent="0.3">
      <c r="A30" s="17" t="s">
        <v>182</v>
      </c>
    </row>
    <row r="31" spans="1:2" x14ac:dyDescent="0.25">
      <c r="A31" s="15" t="s">
        <v>177</v>
      </c>
      <c r="B31" s="31" t="s">
        <v>55</v>
      </c>
    </row>
    <row r="32" spans="1:2" x14ac:dyDescent="0.25">
      <c r="A32" s="44" t="s">
        <v>153</v>
      </c>
      <c r="B32" s="21"/>
    </row>
    <row r="33" spans="1:2" x14ac:dyDescent="0.25">
      <c r="A33" s="12"/>
      <c r="B33" s="21"/>
    </row>
    <row r="34" spans="1:2" x14ac:dyDescent="0.25">
      <c r="A34" s="12"/>
      <c r="B34" s="21"/>
    </row>
    <row r="35" spans="1:2" x14ac:dyDescent="0.25">
      <c r="A35" s="12"/>
      <c r="B35" s="21"/>
    </row>
    <row r="37" spans="1:2" x14ac:dyDescent="0.25">
      <c r="A37" s="20" t="s">
        <v>21</v>
      </c>
      <c r="B37" s="33" t="s">
        <v>174</v>
      </c>
    </row>
    <row r="38" spans="1:2" x14ac:dyDescent="0.25">
      <c r="A38" s="19"/>
      <c r="B38" s="34"/>
    </row>
  </sheetData>
  <mergeCells count="1">
    <mergeCell ref="A1:C1"/>
  </mergeCells>
  <phoneticPr fontId="2"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12"/>
  <sheetViews>
    <sheetView workbookViewId="0">
      <selection sqref="A1:C1"/>
    </sheetView>
  </sheetViews>
  <sheetFormatPr defaultRowHeight="12.5" x14ac:dyDescent="0.25"/>
  <cols>
    <col min="1" max="1" width="19.1796875" customWidth="1"/>
    <col min="2" max="2" width="48.08984375" bestFit="1" customWidth="1"/>
    <col min="3" max="3" width="109.1796875" bestFit="1" customWidth="1"/>
  </cols>
  <sheetData>
    <row r="1" spans="1:3" ht="13" thickBot="1" x14ac:dyDescent="0.3">
      <c r="A1" s="180" t="s">
        <v>183</v>
      </c>
      <c r="B1" s="181"/>
      <c r="C1" s="182"/>
    </row>
    <row r="3" spans="1:3" x14ac:dyDescent="0.25">
      <c r="A3" s="13" t="s">
        <v>184</v>
      </c>
      <c r="B3" s="13" t="s">
        <v>185</v>
      </c>
      <c r="C3" s="13" t="s">
        <v>55</v>
      </c>
    </row>
    <row r="4" spans="1:3" ht="13.5" customHeight="1" x14ac:dyDescent="0.25">
      <c r="A4" s="82" t="s">
        <v>186</v>
      </c>
      <c r="B4" s="12" t="s">
        <v>292</v>
      </c>
      <c r="C4" s="44" t="s">
        <v>317</v>
      </c>
    </row>
    <row r="5" spans="1:3" ht="13.5" customHeight="1" x14ac:dyDescent="0.25">
      <c r="A5" s="82" t="s">
        <v>187</v>
      </c>
      <c r="B5" s="44" t="s">
        <v>314</v>
      </c>
      <c r="C5" s="82" t="s">
        <v>319</v>
      </c>
    </row>
    <row r="6" spans="1:3" ht="13.5" customHeight="1" x14ac:dyDescent="0.25">
      <c r="A6" s="82" t="s">
        <v>186</v>
      </c>
      <c r="B6" s="12" t="s">
        <v>299</v>
      </c>
      <c r="C6" s="44" t="s">
        <v>318</v>
      </c>
    </row>
    <row r="7" spans="1:3" ht="13.5" customHeight="1" x14ac:dyDescent="0.25">
      <c r="A7" s="82" t="s">
        <v>187</v>
      </c>
      <c r="B7" s="44" t="s">
        <v>315</v>
      </c>
      <c r="C7" s="82" t="s">
        <v>319</v>
      </c>
    </row>
    <row r="8" spans="1:3" ht="13.5" customHeight="1" x14ac:dyDescent="0.25">
      <c r="A8" s="82" t="s">
        <v>186</v>
      </c>
      <c r="B8" s="12" t="s">
        <v>302</v>
      </c>
      <c r="C8" s="44" t="s">
        <v>306</v>
      </c>
    </row>
    <row r="9" spans="1:3" x14ac:dyDescent="0.25">
      <c r="A9" s="82" t="s">
        <v>187</v>
      </c>
      <c r="B9" s="44" t="s">
        <v>316</v>
      </c>
      <c r="C9" s="82" t="s">
        <v>339</v>
      </c>
    </row>
    <row r="11" spans="1:3" x14ac:dyDescent="0.25">
      <c r="A11" s="20" t="s">
        <v>21</v>
      </c>
      <c r="B11" s="20" t="s">
        <v>174</v>
      </c>
    </row>
    <row r="12" spans="1:3" x14ac:dyDescent="0.25">
      <c r="A12" s="19"/>
      <c r="B12" s="19">
        <v>0.125</v>
      </c>
    </row>
  </sheetData>
  <mergeCells count="1">
    <mergeCell ref="A1:C1"/>
  </mergeCells>
  <phoneticPr fontId="2"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41"/>
  <sheetViews>
    <sheetView zoomScale="58" zoomScaleNormal="58" workbookViewId="0">
      <selection activeCell="A8" sqref="A8"/>
    </sheetView>
  </sheetViews>
  <sheetFormatPr defaultRowHeight="12.5" x14ac:dyDescent="0.25"/>
  <cols>
    <col min="1" max="2" width="27.90625" bestFit="1" customWidth="1"/>
    <col min="3" max="3" width="23.1796875" bestFit="1" customWidth="1"/>
    <col min="4" max="4" width="13.7265625" bestFit="1" customWidth="1"/>
    <col min="5" max="6" width="34.26953125" bestFit="1" customWidth="1"/>
    <col min="7" max="7" width="22.26953125" style="109" bestFit="1" customWidth="1"/>
    <col min="8" max="8" width="13.7265625" bestFit="1" customWidth="1"/>
    <col min="9" max="9" width="75.26953125" style="109" bestFit="1" customWidth="1"/>
    <col min="10" max="10" width="37.54296875" bestFit="1" customWidth="1"/>
  </cols>
  <sheetData>
    <row r="1" spans="1:10" ht="13" thickBot="1" x14ac:dyDescent="0.3">
      <c r="A1" s="180" t="s">
        <v>188</v>
      </c>
      <c r="B1" s="181"/>
      <c r="C1" s="181"/>
      <c r="D1" s="182"/>
    </row>
    <row r="4" spans="1:10" x14ac:dyDescent="0.25">
      <c r="A4" s="13" t="s">
        <v>185</v>
      </c>
      <c r="B4" s="184" t="s">
        <v>292</v>
      </c>
      <c r="C4" s="185"/>
      <c r="G4"/>
      <c r="I4"/>
    </row>
    <row r="5" spans="1:10" x14ac:dyDescent="0.25">
      <c r="G5"/>
      <c r="I5"/>
    </row>
    <row r="6" spans="1:10" x14ac:dyDescent="0.25">
      <c r="A6" s="13" t="s">
        <v>189</v>
      </c>
      <c r="B6" s="13" t="s">
        <v>190</v>
      </c>
      <c r="C6" s="13" t="s">
        <v>191</v>
      </c>
      <c r="D6" s="13" t="s">
        <v>192</v>
      </c>
      <c r="E6" s="13" t="s">
        <v>193</v>
      </c>
      <c r="F6" s="13" t="s">
        <v>190</v>
      </c>
      <c r="G6" s="13" t="s">
        <v>194</v>
      </c>
      <c r="H6" s="13" t="s">
        <v>192</v>
      </c>
      <c r="I6" s="13" t="s">
        <v>195</v>
      </c>
      <c r="J6" s="13" t="s">
        <v>196</v>
      </c>
    </row>
    <row r="7" spans="1:10" x14ac:dyDescent="0.25">
      <c r="A7" s="44" t="s">
        <v>227</v>
      </c>
      <c r="B7" s="44" t="s">
        <v>227</v>
      </c>
      <c r="C7" s="44" t="s">
        <v>227</v>
      </c>
      <c r="D7" s="44" t="s">
        <v>227</v>
      </c>
      <c r="E7" s="44" t="s">
        <v>227</v>
      </c>
      <c r="F7" s="44" t="s">
        <v>227</v>
      </c>
      <c r="G7" s="44" t="s">
        <v>227</v>
      </c>
      <c r="H7" s="44" t="s">
        <v>227</v>
      </c>
      <c r="I7" s="121" t="s">
        <v>293</v>
      </c>
      <c r="J7" s="121"/>
    </row>
    <row r="8" spans="1:10" ht="114" customHeight="1" x14ac:dyDescent="0.25">
      <c r="A8" s="95" t="s">
        <v>227</v>
      </c>
      <c r="B8" s="95" t="s">
        <v>227</v>
      </c>
      <c r="C8" s="95" t="s">
        <v>227</v>
      </c>
      <c r="D8" s="95" t="s">
        <v>227</v>
      </c>
      <c r="E8" s="95" t="s">
        <v>227</v>
      </c>
      <c r="F8" s="95" t="s">
        <v>227</v>
      </c>
      <c r="G8" s="95" t="s">
        <v>227</v>
      </c>
      <c r="H8" s="95" t="s">
        <v>227</v>
      </c>
      <c r="I8" s="122" t="s">
        <v>324</v>
      </c>
      <c r="J8" s="43"/>
    </row>
    <row r="9" spans="1:10" x14ac:dyDescent="0.25">
      <c r="A9" s="44" t="s">
        <v>294</v>
      </c>
      <c r="B9" s="44" t="s">
        <v>294</v>
      </c>
      <c r="C9" s="19" t="s">
        <v>268</v>
      </c>
      <c r="D9" s="44" t="s">
        <v>295</v>
      </c>
      <c r="E9" s="44" t="s">
        <v>275</v>
      </c>
      <c r="F9" s="44" t="s">
        <v>275</v>
      </c>
      <c r="G9" s="44" t="s">
        <v>258</v>
      </c>
      <c r="H9" s="44" t="s">
        <v>295</v>
      </c>
      <c r="I9" s="123" t="s">
        <v>296</v>
      </c>
      <c r="J9" s="121"/>
    </row>
    <row r="10" spans="1:10" x14ac:dyDescent="0.25">
      <c r="A10" s="44" t="s">
        <v>294</v>
      </c>
      <c r="B10" s="44" t="s">
        <v>294</v>
      </c>
      <c r="C10" s="19" t="s">
        <v>259</v>
      </c>
      <c r="D10" s="44" t="s">
        <v>279</v>
      </c>
      <c r="E10" s="44" t="s">
        <v>275</v>
      </c>
      <c r="F10" s="44" t="s">
        <v>275</v>
      </c>
      <c r="G10" s="44" t="s">
        <v>259</v>
      </c>
      <c r="H10" s="44" t="s">
        <v>279</v>
      </c>
      <c r="I10" s="123" t="s">
        <v>296</v>
      </c>
      <c r="J10" s="124"/>
    </row>
    <row r="11" spans="1:10" x14ac:dyDescent="0.25">
      <c r="A11" s="44" t="s">
        <v>294</v>
      </c>
      <c r="B11" s="44" t="s">
        <v>294</v>
      </c>
      <c r="C11" s="19" t="s">
        <v>269</v>
      </c>
      <c r="D11" s="44" t="s">
        <v>280</v>
      </c>
      <c r="E11" s="44" t="s">
        <v>275</v>
      </c>
      <c r="F11" s="44" t="s">
        <v>275</v>
      </c>
      <c r="G11" s="44" t="s">
        <v>262</v>
      </c>
      <c r="H11" s="44" t="s">
        <v>280</v>
      </c>
      <c r="I11" s="123" t="s">
        <v>296</v>
      </c>
      <c r="J11" s="124"/>
    </row>
    <row r="12" spans="1:10" x14ac:dyDescent="0.25">
      <c r="A12" s="44" t="s">
        <v>297</v>
      </c>
      <c r="B12" s="44" t="s">
        <v>297</v>
      </c>
      <c r="C12" s="19" t="s">
        <v>298</v>
      </c>
      <c r="D12" s="44" t="s">
        <v>281</v>
      </c>
      <c r="E12" s="44" t="s">
        <v>275</v>
      </c>
      <c r="F12" s="44" t="s">
        <v>275</v>
      </c>
      <c r="G12" s="44" t="s">
        <v>263</v>
      </c>
      <c r="H12" s="44" t="s">
        <v>281</v>
      </c>
      <c r="I12" s="123" t="s">
        <v>296</v>
      </c>
      <c r="J12" s="124"/>
    </row>
    <row r="13" spans="1:10" x14ac:dyDescent="0.25">
      <c r="A13" s="94"/>
      <c r="B13" s="94"/>
      <c r="C13" s="125"/>
      <c r="D13" s="94"/>
      <c r="E13" s="94"/>
      <c r="F13" s="94"/>
      <c r="G13" s="94"/>
      <c r="H13" s="94"/>
      <c r="I13" s="126"/>
      <c r="J13" s="127"/>
    </row>
    <row r="14" spans="1:10" x14ac:dyDescent="0.25">
      <c r="A14" s="94"/>
      <c r="B14" s="94"/>
      <c r="C14" s="94"/>
      <c r="D14" s="94"/>
      <c r="E14" s="94"/>
      <c r="F14" s="94"/>
      <c r="G14" s="94"/>
      <c r="H14" s="94"/>
      <c r="I14" s="28"/>
      <c r="J14" s="28"/>
    </row>
    <row r="15" spans="1:10" x14ac:dyDescent="0.25">
      <c r="A15" s="13" t="s">
        <v>185</v>
      </c>
      <c r="B15" s="184" t="s">
        <v>299</v>
      </c>
      <c r="C15" s="185"/>
      <c r="G15"/>
      <c r="I15"/>
    </row>
    <row r="16" spans="1:10" x14ac:dyDescent="0.25">
      <c r="G16"/>
      <c r="I16"/>
    </row>
    <row r="17" spans="1:10" x14ac:dyDescent="0.25">
      <c r="A17" s="13" t="s">
        <v>189</v>
      </c>
      <c r="B17" s="13" t="s">
        <v>190</v>
      </c>
      <c r="C17" s="13" t="s">
        <v>191</v>
      </c>
      <c r="D17" s="13" t="s">
        <v>192</v>
      </c>
      <c r="E17" s="13" t="s">
        <v>193</v>
      </c>
      <c r="F17" s="13" t="s">
        <v>190</v>
      </c>
      <c r="G17" s="13" t="s">
        <v>194</v>
      </c>
      <c r="H17" s="13" t="s">
        <v>192</v>
      </c>
      <c r="I17" s="13" t="s">
        <v>195</v>
      </c>
      <c r="J17" s="13" t="s">
        <v>196</v>
      </c>
    </row>
    <row r="18" spans="1:10" x14ac:dyDescent="0.25">
      <c r="A18" s="95" t="s">
        <v>227</v>
      </c>
      <c r="B18" s="95" t="s">
        <v>227</v>
      </c>
      <c r="C18" s="95" t="s">
        <v>227</v>
      </c>
      <c r="D18" s="95" t="s">
        <v>227</v>
      </c>
      <c r="E18" s="95" t="s">
        <v>227</v>
      </c>
      <c r="F18" s="95" t="s">
        <v>227</v>
      </c>
      <c r="G18" s="95" t="s">
        <v>227</v>
      </c>
      <c r="H18" s="95" t="s">
        <v>227</v>
      </c>
      <c r="I18" s="121" t="s">
        <v>293</v>
      </c>
      <c r="J18" s="121"/>
    </row>
    <row r="19" spans="1:10" ht="75" x14ac:dyDescent="0.25">
      <c r="A19" s="95" t="s">
        <v>227</v>
      </c>
      <c r="B19" s="95" t="s">
        <v>227</v>
      </c>
      <c r="C19" s="95" t="s">
        <v>227</v>
      </c>
      <c r="D19" s="95" t="s">
        <v>227</v>
      </c>
      <c r="E19" s="95" t="s">
        <v>227</v>
      </c>
      <c r="F19" s="95" t="s">
        <v>227</v>
      </c>
      <c r="G19" s="95" t="s">
        <v>227</v>
      </c>
      <c r="H19" s="95" t="s">
        <v>227</v>
      </c>
      <c r="I19" s="110" t="s">
        <v>300</v>
      </c>
      <c r="J19" s="121"/>
    </row>
    <row r="20" spans="1:10" x14ac:dyDescent="0.25">
      <c r="A20" s="44" t="s">
        <v>294</v>
      </c>
      <c r="B20" s="44" t="s">
        <v>294</v>
      </c>
      <c r="C20" s="19" t="s">
        <v>259</v>
      </c>
      <c r="D20" s="44" t="s">
        <v>279</v>
      </c>
      <c r="E20" s="12" t="s">
        <v>277</v>
      </c>
      <c r="F20" s="12" t="s">
        <v>277</v>
      </c>
      <c r="G20" s="44" t="s">
        <v>259</v>
      </c>
      <c r="H20" s="44" t="s">
        <v>279</v>
      </c>
      <c r="I20" s="124" t="s">
        <v>301</v>
      </c>
      <c r="J20" s="124"/>
    </row>
    <row r="21" spans="1:10" x14ac:dyDescent="0.25">
      <c r="A21" s="44" t="s">
        <v>294</v>
      </c>
      <c r="B21" s="44" t="s">
        <v>294</v>
      </c>
      <c r="C21" s="19" t="s">
        <v>269</v>
      </c>
      <c r="D21" s="44" t="s">
        <v>280</v>
      </c>
      <c r="E21" s="12" t="s">
        <v>277</v>
      </c>
      <c r="F21" s="12" t="s">
        <v>277</v>
      </c>
      <c r="G21" s="44" t="s">
        <v>262</v>
      </c>
      <c r="H21" s="44" t="s">
        <v>280</v>
      </c>
      <c r="I21" s="124" t="s">
        <v>301</v>
      </c>
      <c r="J21" s="124"/>
    </row>
    <row r="22" spans="1:10" x14ac:dyDescent="0.25">
      <c r="A22" s="44" t="s">
        <v>297</v>
      </c>
      <c r="B22" s="44" t="s">
        <v>297</v>
      </c>
      <c r="C22" s="19" t="s">
        <v>298</v>
      </c>
      <c r="D22" s="44" t="s">
        <v>281</v>
      </c>
      <c r="E22" s="12" t="s">
        <v>277</v>
      </c>
      <c r="F22" s="12" t="s">
        <v>277</v>
      </c>
      <c r="G22" s="44" t="s">
        <v>263</v>
      </c>
      <c r="H22" s="44" t="s">
        <v>281</v>
      </c>
      <c r="I22" s="124" t="s">
        <v>301</v>
      </c>
      <c r="J22" s="124"/>
    </row>
    <row r="23" spans="1:10" x14ac:dyDescent="0.25">
      <c r="D23" s="28"/>
      <c r="E23" s="28"/>
      <c r="F23" s="28"/>
      <c r="G23" s="28"/>
      <c r="H23" s="28"/>
      <c r="I23" s="28"/>
      <c r="J23" s="28"/>
    </row>
    <row r="24" spans="1:10" x14ac:dyDescent="0.25">
      <c r="D24" s="28"/>
      <c r="E24" s="28"/>
      <c r="F24" s="28"/>
      <c r="G24" s="28"/>
      <c r="H24" s="28"/>
      <c r="I24" s="28"/>
      <c r="J24" s="28"/>
    </row>
    <row r="25" spans="1:10" x14ac:dyDescent="0.25">
      <c r="A25" s="13" t="s">
        <v>185</v>
      </c>
      <c r="B25" s="184" t="s">
        <v>302</v>
      </c>
      <c r="C25" s="185"/>
      <c r="G25"/>
      <c r="I25"/>
    </row>
    <row r="26" spans="1:10" x14ac:dyDescent="0.25">
      <c r="G26"/>
      <c r="I26"/>
    </row>
    <row r="27" spans="1:10" x14ac:dyDescent="0.25">
      <c r="A27" s="13" t="s">
        <v>189</v>
      </c>
      <c r="B27" s="13" t="s">
        <v>190</v>
      </c>
      <c r="C27" s="13" t="s">
        <v>191</v>
      </c>
      <c r="D27" s="13" t="s">
        <v>192</v>
      </c>
      <c r="E27" s="13" t="s">
        <v>193</v>
      </c>
      <c r="F27" s="13" t="s">
        <v>190</v>
      </c>
      <c r="G27" s="13" t="s">
        <v>194</v>
      </c>
      <c r="H27" s="13" t="s">
        <v>192</v>
      </c>
      <c r="I27" s="13" t="s">
        <v>195</v>
      </c>
      <c r="J27" s="13" t="s">
        <v>196</v>
      </c>
    </row>
    <row r="28" spans="1:10" x14ac:dyDescent="0.25">
      <c r="A28" s="95" t="s">
        <v>227</v>
      </c>
      <c r="B28" s="95" t="s">
        <v>227</v>
      </c>
      <c r="C28" s="95" t="s">
        <v>227</v>
      </c>
      <c r="D28" s="95" t="s">
        <v>227</v>
      </c>
      <c r="E28" s="95" t="s">
        <v>227</v>
      </c>
      <c r="F28" s="95" t="s">
        <v>227</v>
      </c>
      <c r="G28" s="95" t="s">
        <v>227</v>
      </c>
      <c r="H28" s="95" t="s">
        <v>227</v>
      </c>
      <c r="I28" s="121" t="s">
        <v>293</v>
      </c>
      <c r="J28" s="121"/>
    </row>
    <row r="29" spans="1:10" ht="187.5" x14ac:dyDescent="0.25">
      <c r="A29" s="95" t="s">
        <v>227</v>
      </c>
      <c r="B29" s="95" t="s">
        <v>227</v>
      </c>
      <c r="C29" s="95" t="s">
        <v>227</v>
      </c>
      <c r="D29" s="95" t="s">
        <v>227</v>
      </c>
      <c r="E29" s="95" t="s">
        <v>227</v>
      </c>
      <c r="F29" s="95" t="s">
        <v>227</v>
      </c>
      <c r="G29" s="95" t="s">
        <v>227</v>
      </c>
      <c r="H29" s="95" t="s">
        <v>227</v>
      </c>
      <c r="I29" s="110" t="s">
        <v>303</v>
      </c>
      <c r="J29" s="121"/>
    </row>
    <row r="30" spans="1:10" x14ac:dyDescent="0.25">
      <c r="A30" s="44" t="s">
        <v>294</v>
      </c>
      <c r="B30" s="44" t="s">
        <v>294</v>
      </c>
      <c r="C30" s="44" t="s">
        <v>260</v>
      </c>
      <c r="D30" s="44" t="s">
        <v>279</v>
      </c>
      <c r="E30" s="12" t="s">
        <v>278</v>
      </c>
      <c r="F30" s="12" t="s">
        <v>278</v>
      </c>
      <c r="G30" s="44" t="s">
        <v>260</v>
      </c>
      <c r="H30" s="44" t="s">
        <v>279</v>
      </c>
      <c r="I30" s="123" t="s">
        <v>304</v>
      </c>
      <c r="J30" s="124"/>
    </row>
    <row r="31" spans="1:10" x14ac:dyDescent="0.25">
      <c r="A31" s="95" t="s">
        <v>294</v>
      </c>
      <c r="B31" s="44" t="s">
        <v>294</v>
      </c>
      <c r="C31" s="12" t="s">
        <v>261</v>
      </c>
      <c r="D31" s="44" t="s">
        <v>279</v>
      </c>
      <c r="E31" s="12" t="s">
        <v>278</v>
      </c>
      <c r="F31" s="12" t="s">
        <v>278</v>
      </c>
      <c r="G31" s="12" t="s">
        <v>261</v>
      </c>
      <c r="H31" s="44" t="s">
        <v>279</v>
      </c>
      <c r="I31" s="123" t="s">
        <v>304</v>
      </c>
      <c r="J31" s="124"/>
    </row>
    <row r="32" spans="1:10" x14ac:dyDescent="0.25">
      <c r="A32" s="44" t="s">
        <v>294</v>
      </c>
      <c r="B32" s="44" t="s">
        <v>294</v>
      </c>
      <c r="C32" s="128" t="s">
        <v>282</v>
      </c>
      <c r="D32" s="44" t="s">
        <v>283</v>
      </c>
      <c r="E32" s="12" t="s">
        <v>278</v>
      </c>
      <c r="F32" s="12" t="s">
        <v>278</v>
      </c>
      <c r="G32" s="128" t="s">
        <v>282</v>
      </c>
      <c r="H32" s="44" t="s">
        <v>283</v>
      </c>
      <c r="I32" s="123" t="s">
        <v>304</v>
      </c>
      <c r="J32" s="124"/>
    </row>
    <row r="33" spans="1:10" x14ac:dyDescent="0.25">
      <c r="A33" s="44" t="s">
        <v>294</v>
      </c>
      <c r="B33" s="44" t="s">
        <v>294</v>
      </c>
      <c r="C33" s="19" t="s">
        <v>284</v>
      </c>
      <c r="D33" s="44" t="s">
        <v>283</v>
      </c>
      <c r="E33" s="12" t="s">
        <v>278</v>
      </c>
      <c r="F33" s="12" t="s">
        <v>278</v>
      </c>
      <c r="G33" s="19" t="s">
        <v>284</v>
      </c>
      <c r="H33" s="44" t="s">
        <v>283</v>
      </c>
      <c r="I33" s="123" t="s">
        <v>304</v>
      </c>
      <c r="J33" s="124"/>
    </row>
    <row r="34" spans="1:10" x14ac:dyDescent="0.25">
      <c r="A34" s="44" t="s">
        <v>294</v>
      </c>
      <c r="B34" s="44" t="s">
        <v>294</v>
      </c>
      <c r="C34" s="19" t="s">
        <v>285</v>
      </c>
      <c r="D34" s="44" t="s">
        <v>283</v>
      </c>
      <c r="E34" s="12" t="s">
        <v>278</v>
      </c>
      <c r="F34" s="12" t="s">
        <v>278</v>
      </c>
      <c r="G34" s="19" t="s">
        <v>285</v>
      </c>
      <c r="H34" s="44" t="s">
        <v>283</v>
      </c>
      <c r="I34" s="123" t="s">
        <v>304</v>
      </c>
      <c r="J34" s="124"/>
    </row>
    <row r="35" spans="1:10" x14ac:dyDescent="0.25">
      <c r="A35" s="44" t="s">
        <v>294</v>
      </c>
      <c r="B35" s="44" t="s">
        <v>294</v>
      </c>
      <c r="C35" s="44" t="s">
        <v>269</v>
      </c>
      <c r="D35" s="44" t="s">
        <v>280</v>
      </c>
      <c r="E35" s="12" t="s">
        <v>278</v>
      </c>
      <c r="F35" s="12" t="s">
        <v>278</v>
      </c>
      <c r="G35" s="12" t="s">
        <v>262</v>
      </c>
      <c r="H35" s="44" t="s">
        <v>280</v>
      </c>
      <c r="I35" s="123" t="s">
        <v>304</v>
      </c>
      <c r="J35" s="124"/>
    </row>
    <row r="36" spans="1:10" x14ac:dyDescent="0.25">
      <c r="A36" s="44" t="s">
        <v>297</v>
      </c>
      <c r="B36" s="44" t="s">
        <v>297</v>
      </c>
      <c r="C36" s="44" t="s">
        <v>305</v>
      </c>
      <c r="D36" s="44" t="s">
        <v>281</v>
      </c>
      <c r="E36" s="12" t="s">
        <v>278</v>
      </c>
      <c r="F36" s="12" t="s">
        <v>278</v>
      </c>
      <c r="G36" s="44" t="s">
        <v>263</v>
      </c>
      <c r="H36" s="44" t="s">
        <v>281</v>
      </c>
      <c r="I36" s="123" t="s">
        <v>304</v>
      </c>
      <c r="J36" s="124"/>
    </row>
    <row r="37" spans="1:10" x14ac:dyDescent="0.25">
      <c r="A37" s="44" t="s">
        <v>294</v>
      </c>
      <c r="B37" s="44" t="s">
        <v>294</v>
      </c>
      <c r="C37" s="19" t="s">
        <v>286</v>
      </c>
      <c r="D37" s="44" t="s">
        <v>281</v>
      </c>
      <c r="E37" s="12" t="s">
        <v>278</v>
      </c>
      <c r="F37" s="12" t="s">
        <v>278</v>
      </c>
      <c r="G37" s="19" t="s">
        <v>286</v>
      </c>
      <c r="H37" s="44" t="s">
        <v>281</v>
      </c>
      <c r="I37" s="123" t="s">
        <v>304</v>
      </c>
      <c r="J37" s="124"/>
    </row>
    <row r="38" spans="1:10" x14ac:dyDescent="0.25">
      <c r="A38" s="44" t="s">
        <v>294</v>
      </c>
      <c r="B38" s="44" t="s">
        <v>294</v>
      </c>
      <c r="C38" s="129" t="s">
        <v>287</v>
      </c>
      <c r="D38" s="44" t="s">
        <v>281</v>
      </c>
      <c r="E38" s="12" t="s">
        <v>278</v>
      </c>
      <c r="F38" s="12" t="s">
        <v>278</v>
      </c>
      <c r="G38" s="129" t="s">
        <v>287</v>
      </c>
      <c r="H38" s="44" t="s">
        <v>281</v>
      </c>
      <c r="I38" s="123" t="s">
        <v>304</v>
      </c>
      <c r="J38" s="124"/>
    </row>
    <row r="39" spans="1:10" x14ac:dyDescent="0.25">
      <c r="A39" s="44" t="s">
        <v>294</v>
      </c>
      <c r="B39" s="44" t="s">
        <v>294</v>
      </c>
      <c r="C39" s="129" t="s">
        <v>288</v>
      </c>
      <c r="D39" s="44" t="s">
        <v>281</v>
      </c>
      <c r="E39" s="12" t="s">
        <v>278</v>
      </c>
      <c r="F39" s="12" t="s">
        <v>278</v>
      </c>
      <c r="G39" s="129" t="s">
        <v>288</v>
      </c>
      <c r="H39" s="44" t="s">
        <v>281</v>
      </c>
      <c r="I39" s="123" t="s">
        <v>304</v>
      </c>
      <c r="J39" s="124"/>
    </row>
    <row r="40" spans="1:10" x14ac:dyDescent="0.25">
      <c r="A40" s="44" t="s">
        <v>294</v>
      </c>
      <c r="B40" s="44" t="s">
        <v>294</v>
      </c>
      <c r="C40" s="129" t="s">
        <v>289</v>
      </c>
      <c r="D40" s="44" t="s">
        <v>281</v>
      </c>
      <c r="E40" s="12" t="s">
        <v>278</v>
      </c>
      <c r="F40" s="12" t="s">
        <v>278</v>
      </c>
      <c r="G40" s="129" t="s">
        <v>289</v>
      </c>
      <c r="H40" s="44" t="s">
        <v>281</v>
      </c>
      <c r="I40" s="123" t="s">
        <v>304</v>
      </c>
      <c r="J40" s="124"/>
    </row>
    <row r="41" spans="1:10" x14ac:dyDescent="0.25">
      <c r="A41" s="44" t="s">
        <v>294</v>
      </c>
      <c r="B41" s="44" t="s">
        <v>294</v>
      </c>
      <c r="C41" s="19" t="s">
        <v>290</v>
      </c>
      <c r="D41" s="44" t="s">
        <v>281</v>
      </c>
      <c r="E41" s="12" t="s">
        <v>278</v>
      </c>
      <c r="F41" s="12" t="s">
        <v>278</v>
      </c>
      <c r="G41" s="19" t="s">
        <v>290</v>
      </c>
      <c r="H41" s="44" t="s">
        <v>281</v>
      </c>
      <c r="I41" s="123" t="s">
        <v>304</v>
      </c>
      <c r="J41" s="124"/>
    </row>
  </sheetData>
  <mergeCells count="4">
    <mergeCell ref="A1:D1"/>
    <mergeCell ref="B4:C4"/>
    <mergeCell ref="B15:C15"/>
    <mergeCell ref="B25:C25"/>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6"/>
  <sheetViews>
    <sheetView workbookViewId="0">
      <selection activeCell="B37" sqref="B37"/>
    </sheetView>
  </sheetViews>
  <sheetFormatPr defaultColWidth="9.1796875" defaultRowHeight="12.5" x14ac:dyDescent="0.25"/>
  <cols>
    <col min="1" max="1" width="18.54296875" style="83" customWidth="1"/>
    <col min="2" max="2" width="34.6328125" style="83" bestFit="1" customWidth="1"/>
    <col min="3" max="3" width="40.54296875" style="83" bestFit="1" customWidth="1"/>
    <col min="4" max="4" width="99.54296875" style="83" bestFit="1" customWidth="1"/>
    <col min="5" max="5" width="25.54296875" style="83" bestFit="1" customWidth="1"/>
    <col min="6" max="6" width="48.453125" style="84" bestFit="1" customWidth="1"/>
    <col min="7" max="16384" width="9.1796875" style="83"/>
  </cols>
  <sheetData>
    <row r="1" spans="1:5" ht="13" thickBot="1" x14ac:dyDescent="0.3">
      <c r="A1" s="180" t="s">
        <v>197</v>
      </c>
      <c r="B1" s="181"/>
      <c r="C1" s="182"/>
    </row>
    <row r="2" spans="1:5" ht="13" thickBot="1" x14ac:dyDescent="0.3"/>
    <row r="3" spans="1:5" ht="13" thickBot="1" x14ac:dyDescent="0.3">
      <c r="A3" s="180" t="s">
        <v>198</v>
      </c>
      <c r="B3" s="181"/>
      <c r="C3" s="182"/>
    </row>
    <row r="4" spans="1:5" x14ac:dyDescent="0.25">
      <c r="A4" s="15" t="s">
        <v>184</v>
      </c>
      <c r="B4" s="15" t="s">
        <v>199</v>
      </c>
      <c r="C4" s="15" t="s">
        <v>55</v>
      </c>
    </row>
    <row r="5" spans="1:5" x14ac:dyDescent="0.25">
      <c r="A5" s="19" t="s">
        <v>186</v>
      </c>
      <c r="B5" s="19" t="s">
        <v>307</v>
      </c>
      <c r="C5" s="138" t="s">
        <v>200</v>
      </c>
    </row>
    <row r="6" spans="1:5" ht="23" x14ac:dyDescent="0.25">
      <c r="A6" s="139" t="s">
        <v>187</v>
      </c>
      <c r="B6" s="140" t="s">
        <v>203</v>
      </c>
      <c r="C6" s="138" t="s">
        <v>200</v>
      </c>
    </row>
    <row r="7" spans="1:5" x14ac:dyDescent="0.25">
      <c r="A7" s="187"/>
      <c r="B7" s="187"/>
      <c r="C7" s="187"/>
    </row>
    <row r="8" spans="1:5" x14ac:dyDescent="0.25">
      <c r="A8" s="139" t="s">
        <v>186</v>
      </c>
      <c r="B8" s="139" t="s">
        <v>308</v>
      </c>
      <c r="C8" s="138" t="s">
        <v>200</v>
      </c>
    </row>
    <row r="9" spans="1:5" ht="23" x14ac:dyDescent="0.25">
      <c r="A9" s="139" t="s">
        <v>187</v>
      </c>
      <c r="B9" s="140" t="s">
        <v>203</v>
      </c>
      <c r="C9" s="138" t="s">
        <v>200</v>
      </c>
    </row>
    <row r="10" spans="1:5" x14ac:dyDescent="0.25">
      <c r="A10" s="187"/>
      <c r="B10" s="187"/>
      <c r="C10" s="187"/>
    </row>
    <row r="11" spans="1:5" x14ac:dyDescent="0.25">
      <c r="A11" s="139" t="s">
        <v>186</v>
      </c>
      <c r="B11" s="139" t="s">
        <v>309</v>
      </c>
      <c r="C11" s="138" t="s">
        <v>200</v>
      </c>
    </row>
    <row r="12" spans="1:5" x14ac:dyDescent="0.25">
      <c r="E12" s="85"/>
    </row>
    <row r="13" spans="1:5" ht="13" thickBot="1" x14ac:dyDescent="0.3">
      <c r="E13" s="85"/>
    </row>
    <row r="14" spans="1:5" ht="13" thickBot="1" x14ac:dyDescent="0.3">
      <c r="A14" s="180" t="s">
        <v>201</v>
      </c>
      <c r="B14" s="181"/>
      <c r="C14" s="182"/>
      <c r="E14" s="85"/>
    </row>
    <row r="15" spans="1:5" x14ac:dyDescent="0.25">
      <c r="A15" s="15" t="s">
        <v>184</v>
      </c>
      <c r="B15" s="15" t="s">
        <v>199</v>
      </c>
      <c r="C15" s="15" t="s">
        <v>202</v>
      </c>
      <c r="D15" s="13" t="s">
        <v>17</v>
      </c>
      <c r="E15" s="30"/>
    </row>
    <row r="16" spans="1:5" ht="14.5" customHeight="1" x14ac:dyDescent="0.25">
      <c r="A16" s="96" t="s">
        <v>186</v>
      </c>
      <c r="B16" s="96" t="s">
        <v>307</v>
      </c>
      <c r="C16" s="96" t="s">
        <v>310</v>
      </c>
      <c r="D16" s="110" t="s">
        <v>358</v>
      </c>
      <c r="E16" s="86"/>
    </row>
    <row r="17" spans="1:6" s="105" customFormat="1" ht="29" customHeight="1" x14ac:dyDescent="0.25">
      <c r="A17" s="95" t="s">
        <v>187</v>
      </c>
      <c r="B17" s="103" t="s">
        <v>203</v>
      </c>
      <c r="C17" s="96" t="s">
        <v>311</v>
      </c>
      <c r="D17" s="110" t="s">
        <v>358</v>
      </c>
      <c r="E17" s="130"/>
      <c r="F17" s="104"/>
    </row>
    <row r="18" spans="1:6" x14ac:dyDescent="0.25">
      <c r="A18" s="186"/>
      <c r="B18" s="186"/>
      <c r="C18" s="186"/>
      <c r="D18" s="186"/>
      <c r="E18" s="86"/>
    </row>
    <row r="19" spans="1:6" x14ac:dyDescent="0.25">
      <c r="A19" s="96" t="s">
        <v>186</v>
      </c>
      <c r="B19" s="96" t="s">
        <v>308</v>
      </c>
      <c r="C19" s="96" t="s">
        <v>331</v>
      </c>
      <c r="D19" s="136"/>
      <c r="E19" s="86"/>
    </row>
    <row r="20" spans="1:6" ht="25" x14ac:dyDescent="0.25">
      <c r="A20" s="95" t="s">
        <v>187</v>
      </c>
      <c r="B20" s="103" t="s">
        <v>203</v>
      </c>
      <c r="C20" s="96" t="s">
        <v>332</v>
      </c>
      <c r="D20" s="136"/>
      <c r="E20" s="86"/>
    </row>
    <row r="21" spans="1:6" x14ac:dyDescent="0.25">
      <c r="A21" s="186"/>
      <c r="B21" s="186"/>
      <c r="C21" s="186"/>
      <c r="D21" s="186"/>
      <c r="E21" s="86"/>
    </row>
    <row r="22" spans="1:6" x14ac:dyDescent="0.25">
      <c r="A22" s="12" t="s">
        <v>186</v>
      </c>
      <c r="B22" s="12" t="s">
        <v>309</v>
      </c>
      <c r="C22" s="12" t="s">
        <v>340</v>
      </c>
      <c r="D22" s="136"/>
      <c r="E22" s="86"/>
    </row>
    <row r="23" spans="1:6" x14ac:dyDescent="0.25">
      <c r="A23" s="86"/>
      <c r="B23" s="118"/>
      <c r="C23" s="86"/>
      <c r="D23" s="86"/>
      <c r="E23" s="86"/>
    </row>
    <row r="25" spans="1:6" x14ac:dyDescent="0.25">
      <c r="A25" s="20" t="s">
        <v>21</v>
      </c>
      <c r="B25" s="20" t="s">
        <v>174</v>
      </c>
    </row>
    <row r="26" spans="1:6" x14ac:dyDescent="0.25">
      <c r="A26" s="87"/>
      <c r="B26" s="87">
        <v>0.02</v>
      </c>
    </row>
  </sheetData>
  <mergeCells count="7">
    <mergeCell ref="A18:D18"/>
    <mergeCell ref="A21:D21"/>
    <mergeCell ref="A1:C1"/>
    <mergeCell ref="A14:C14"/>
    <mergeCell ref="A3:C3"/>
    <mergeCell ref="A7:C7"/>
    <mergeCell ref="A10:C10"/>
  </mergeCells>
  <phoneticPr fontId="2"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X22"/>
  <sheetViews>
    <sheetView zoomScale="78" zoomScaleNormal="78" workbookViewId="0">
      <selection activeCell="A4" sqref="A4"/>
    </sheetView>
  </sheetViews>
  <sheetFormatPr defaultRowHeight="12.5" x14ac:dyDescent="0.25"/>
  <cols>
    <col min="1" max="1" width="16.453125" bestFit="1" customWidth="1"/>
    <col min="2" max="2" width="37.6328125" bestFit="1" customWidth="1"/>
    <col min="3" max="3" width="42.36328125" bestFit="1" customWidth="1"/>
    <col min="4" max="4" width="43.36328125" bestFit="1" customWidth="1"/>
    <col min="5" max="5" width="52.7265625" customWidth="1"/>
    <col min="6" max="6" width="11.453125" bestFit="1" customWidth="1"/>
    <col min="7" max="7" width="12" bestFit="1" customWidth="1"/>
    <col min="8" max="8" width="12.81640625" bestFit="1" customWidth="1"/>
    <col min="9" max="9" width="17.6328125" bestFit="1" customWidth="1"/>
    <col min="10" max="10" width="15.90625" bestFit="1" customWidth="1"/>
    <col min="11" max="11" width="14.54296875" bestFit="1" customWidth="1"/>
    <col min="12" max="12" width="51.26953125" bestFit="1" customWidth="1"/>
    <col min="13" max="13" width="37.6328125" customWidth="1"/>
    <col min="14" max="14" width="14.7265625" customWidth="1"/>
    <col min="15" max="15" width="8" bestFit="1" customWidth="1"/>
    <col min="16" max="17" width="8.453125" bestFit="1" customWidth="1"/>
    <col min="18" max="18" width="31.7265625" bestFit="1" customWidth="1"/>
    <col min="19" max="19" width="9.90625" bestFit="1" customWidth="1"/>
    <col min="20" max="20" width="18.90625" bestFit="1" customWidth="1"/>
    <col min="21" max="21" width="14.1796875" bestFit="1" customWidth="1"/>
    <col min="22" max="22" width="128.1796875" customWidth="1"/>
    <col min="23" max="23" width="11.26953125" bestFit="1" customWidth="1"/>
    <col min="24" max="24" width="58.08984375" style="22" bestFit="1" customWidth="1"/>
  </cols>
  <sheetData>
    <row r="1" spans="1:24" ht="13" thickBot="1" x14ac:dyDescent="0.3">
      <c r="A1" s="180" t="s">
        <v>204</v>
      </c>
      <c r="B1" s="181"/>
      <c r="C1" s="182"/>
    </row>
    <row r="2" spans="1:24" x14ac:dyDescent="0.25">
      <c r="F2" s="191" t="s">
        <v>205</v>
      </c>
      <c r="G2" s="191"/>
      <c r="H2" s="191"/>
      <c r="I2" s="188" t="s">
        <v>206</v>
      </c>
      <c r="J2" s="189"/>
      <c r="K2" s="189"/>
      <c r="L2" s="188" t="s">
        <v>207</v>
      </c>
      <c r="M2" s="189"/>
      <c r="N2" s="189"/>
      <c r="O2" s="189"/>
      <c r="P2" s="189"/>
      <c r="Q2" s="190"/>
      <c r="R2" s="188" t="s">
        <v>208</v>
      </c>
      <c r="S2" s="189"/>
      <c r="T2" s="189"/>
      <c r="U2" s="190"/>
      <c r="V2" s="188" t="s">
        <v>209</v>
      </c>
      <c r="W2" s="190"/>
    </row>
    <row r="3" spans="1:24" s="111" customFormat="1" ht="46" x14ac:dyDescent="0.25">
      <c r="A3" s="131" t="s">
        <v>184</v>
      </c>
      <c r="B3" s="131" t="s">
        <v>199</v>
      </c>
      <c r="C3" s="131" t="s">
        <v>202</v>
      </c>
      <c r="D3" s="131" t="s">
        <v>210</v>
      </c>
      <c r="E3" s="131" t="s">
        <v>108</v>
      </c>
      <c r="F3" s="132" t="s">
        <v>211</v>
      </c>
      <c r="G3" s="132" t="s">
        <v>212</v>
      </c>
      <c r="H3" s="131" t="s">
        <v>213</v>
      </c>
      <c r="I3" s="132" t="s">
        <v>214</v>
      </c>
      <c r="J3" s="132" t="s">
        <v>215</v>
      </c>
      <c r="K3" s="132" t="s">
        <v>216</v>
      </c>
      <c r="L3" s="133" t="s">
        <v>217</v>
      </c>
      <c r="M3" s="133" t="s">
        <v>218</v>
      </c>
      <c r="N3" s="132" t="s">
        <v>219</v>
      </c>
      <c r="O3" s="132" t="s">
        <v>220</v>
      </c>
      <c r="P3" s="132" t="s">
        <v>221</v>
      </c>
      <c r="Q3" s="132" t="s">
        <v>222</v>
      </c>
      <c r="R3" s="134" t="s">
        <v>217</v>
      </c>
      <c r="S3" s="134" t="s">
        <v>218</v>
      </c>
      <c r="T3" s="134" t="s">
        <v>223</v>
      </c>
      <c r="U3" s="133" t="s">
        <v>224</v>
      </c>
      <c r="V3" s="133" t="s">
        <v>225</v>
      </c>
      <c r="W3" s="133" t="s">
        <v>226</v>
      </c>
      <c r="X3" s="132" t="s">
        <v>17</v>
      </c>
    </row>
    <row r="4" spans="1:24" ht="37.5" x14ac:dyDescent="0.25">
      <c r="A4" s="113" t="s">
        <v>186</v>
      </c>
      <c r="B4" s="113" t="s">
        <v>292</v>
      </c>
      <c r="C4" s="113" t="s">
        <v>312</v>
      </c>
      <c r="D4" s="113" t="s">
        <v>320</v>
      </c>
      <c r="E4" s="113" t="s">
        <v>321</v>
      </c>
      <c r="F4" s="113" t="s">
        <v>59</v>
      </c>
      <c r="G4" s="113" t="s">
        <v>59</v>
      </c>
      <c r="H4" s="113" t="s">
        <v>59</v>
      </c>
      <c r="I4" s="113" t="s">
        <v>59</v>
      </c>
      <c r="J4" s="113" t="s">
        <v>59</v>
      </c>
      <c r="K4" s="113" t="s">
        <v>59</v>
      </c>
      <c r="L4" s="113" t="s">
        <v>59</v>
      </c>
      <c r="M4" s="113" t="s">
        <v>322</v>
      </c>
      <c r="N4" s="113" t="s">
        <v>59</v>
      </c>
      <c r="O4" s="113" t="s">
        <v>59</v>
      </c>
      <c r="P4" s="113" t="s">
        <v>59</v>
      </c>
      <c r="Q4" s="113" t="s">
        <v>59</v>
      </c>
      <c r="R4" s="113" t="s">
        <v>59</v>
      </c>
      <c r="S4" s="113" t="s">
        <v>59</v>
      </c>
      <c r="T4" s="113" t="s">
        <v>59</v>
      </c>
      <c r="U4" s="113" t="s">
        <v>59</v>
      </c>
      <c r="V4" s="113" t="s">
        <v>59</v>
      </c>
      <c r="W4" s="113" t="s">
        <v>59</v>
      </c>
      <c r="X4" s="115" t="s">
        <v>329</v>
      </c>
    </row>
    <row r="5" spans="1:24" ht="78.5" customHeight="1" x14ac:dyDescent="0.25">
      <c r="A5" s="113" t="s">
        <v>186</v>
      </c>
      <c r="B5" s="113" t="s">
        <v>292</v>
      </c>
      <c r="C5" s="113" t="s">
        <v>312</v>
      </c>
      <c r="D5" s="113" t="s">
        <v>344</v>
      </c>
      <c r="E5" s="113" t="s">
        <v>292</v>
      </c>
      <c r="F5" s="113" t="s">
        <v>59</v>
      </c>
      <c r="G5" s="113" t="s">
        <v>59</v>
      </c>
      <c r="H5" s="113" t="s">
        <v>59</v>
      </c>
      <c r="I5" s="113" t="s">
        <v>59</v>
      </c>
      <c r="J5" s="113" t="s">
        <v>59</v>
      </c>
      <c r="K5" s="113" t="s">
        <v>59</v>
      </c>
      <c r="L5" s="113" t="s">
        <v>59</v>
      </c>
      <c r="M5" s="113" t="s">
        <v>59</v>
      </c>
      <c r="N5" s="113" t="s">
        <v>59</v>
      </c>
      <c r="O5" s="113" t="s">
        <v>59</v>
      </c>
      <c r="P5" s="113" t="s">
        <v>59</v>
      </c>
      <c r="Q5" s="113" t="s">
        <v>59</v>
      </c>
      <c r="R5" s="113" t="s">
        <v>59</v>
      </c>
      <c r="S5" s="113" t="s">
        <v>59</v>
      </c>
      <c r="T5" s="113" t="s">
        <v>59</v>
      </c>
      <c r="U5" s="113" t="s">
        <v>59</v>
      </c>
      <c r="V5" s="113" t="s">
        <v>59</v>
      </c>
      <c r="W5" s="113" t="s">
        <v>59</v>
      </c>
      <c r="X5" s="115" t="s">
        <v>323</v>
      </c>
    </row>
    <row r="6" spans="1:24" ht="37.5" x14ac:dyDescent="0.25">
      <c r="A6" s="113" t="s">
        <v>186</v>
      </c>
      <c r="B6" s="113" t="s">
        <v>292</v>
      </c>
      <c r="C6" s="113" t="s">
        <v>312</v>
      </c>
      <c r="D6" s="113" t="s">
        <v>325</v>
      </c>
      <c r="E6" s="113" t="s">
        <v>321</v>
      </c>
      <c r="F6" s="113" t="s">
        <v>59</v>
      </c>
      <c r="G6" s="113" t="s">
        <v>59</v>
      </c>
      <c r="H6" s="113" t="s">
        <v>59</v>
      </c>
      <c r="I6" s="113" t="s">
        <v>59</v>
      </c>
      <c r="J6" s="113" t="s">
        <v>59</v>
      </c>
      <c r="K6" s="113" t="s">
        <v>59</v>
      </c>
      <c r="L6" s="113" t="s">
        <v>59</v>
      </c>
      <c r="M6" s="113" t="s">
        <v>59</v>
      </c>
      <c r="N6" s="113" t="s">
        <v>59</v>
      </c>
      <c r="O6" s="113" t="s">
        <v>59</v>
      </c>
      <c r="P6" s="113" t="s">
        <v>59</v>
      </c>
      <c r="Q6" s="113" t="s">
        <v>59</v>
      </c>
      <c r="R6" s="113" t="s">
        <v>59</v>
      </c>
      <c r="S6" s="113" t="s">
        <v>59</v>
      </c>
      <c r="T6" s="113" t="s">
        <v>59</v>
      </c>
      <c r="U6" s="113" t="s">
        <v>59</v>
      </c>
      <c r="V6" s="113" t="s">
        <v>326</v>
      </c>
      <c r="W6" s="113" t="s">
        <v>59</v>
      </c>
      <c r="X6" s="115" t="s">
        <v>330</v>
      </c>
    </row>
    <row r="7" spans="1:24" ht="37.5" x14ac:dyDescent="0.25">
      <c r="A7" s="108" t="s">
        <v>187</v>
      </c>
      <c r="B7" s="135" t="s">
        <v>203</v>
      </c>
      <c r="C7" s="113" t="s">
        <v>313</v>
      </c>
      <c r="D7" s="113" t="s">
        <v>320</v>
      </c>
      <c r="E7" s="113" t="s">
        <v>327</v>
      </c>
      <c r="F7" s="113" t="s">
        <v>59</v>
      </c>
      <c r="G7" s="113" t="s">
        <v>59</v>
      </c>
      <c r="H7" s="113" t="s">
        <v>59</v>
      </c>
      <c r="I7" s="113" t="s">
        <v>59</v>
      </c>
      <c r="J7" s="113" t="s">
        <v>59</v>
      </c>
      <c r="K7" s="113" t="s">
        <v>59</v>
      </c>
      <c r="L7" s="113" t="s">
        <v>59</v>
      </c>
      <c r="M7" s="113" t="s">
        <v>322</v>
      </c>
      <c r="N7" s="113" t="s">
        <v>59</v>
      </c>
      <c r="O7" s="113" t="s">
        <v>59</v>
      </c>
      <c r="P7" s="113" t="s">
        <v>59</v>
      </c>
      <c r="Q7" s="113" t="s">
        <v>59</v>
      </c>
      <c r="R7" s="113" t="s">
        <v>59</v>
      </c>
      <c r="S7" s="113" t="s">
        <v>59</v>
      </c>
      <c r="T7" s="113" t="s">
        <v>59</v>
      </c>
      <c r="U7" s="113" t="s">
        <v>59</v>
      </c>
      <c r="V7" s="113" t="s">
        <v>59</v>
      </c>
      <c r="W7" s="113" t="s">
        <v>59</v>
      </c>
      <c r="X7" s="115" t="s">
        <v>329</v>
      </c>
    </row>
    <row r="8" spans="1:24" ht="90" customHeight="1" x14ac:dyDescent="0.25">
      <c r="A8" s="108" t="s">
        <v>187</v>
      </c>
      <c r="B8" s="135" t="s">
        <v>203</v>
      </c>
      <c r="C8" s="113" t="s">
        <v>313</v>
      </c>
      <c r="D8" s="113" t="s">
        <v>344</v>
      </c>
      <c r="E8" s="113" t="s">
        <v>314</v>
      </c>
      <c r="F8" s="113" t="s">
        <v>59</v>
      </c>
      <c r="G8" s="113" t="s">
        <v>59</v>
      </c>
      <c r="H8" s="113" t="s">
        <v>59</v>
      </c>
      <c r="I8" s="113" t="s">
        <v>59</v>
      </c>
      <c r="J8" s="113" t="s">
        <v>59</v>
      </c>
      <c r="K8" s="113" t="s">
        <v>59</v>
      </c>
      <c r="L8" s="113" t="s">
        <v>59</v>
      </c>
      <c r="M8" s="113" t="s">
        <v>59</v>
      </c>
      <c r="N8" s="113" t="s">
        <v>59</v>
      </c>
      <c r="O8" s="113" t="s">
        <v>59</v>
      </c>
      <c r="P8" s="113" t="s">
        <v>59</v>
      </c>
      <c r="Q8" s="113" t="s">
        <v>59</v>
      </c>
      <c r="R8" s="113" t="s">
        <v>59</v>
      </c>
      <c r="S8" s="113" t="s">
        <v>59</v>
      </c>
      <c r="T8" s="113" t="s">
        <v>59</v>
      </c>
      <c r="U8" s="113" t="s">
        <v>59</v>
      </c>
      <c r="V8" s="113" t="s">
        <v>59</v>
      </c>
      <c r="W8" s="113" t="s">
        <v>59</v>
      </c>
      <c r="X8" s="115" t="s">
        <v>328</v>
      </c>
    </row>
    <row r="9" spans="1:24" s="114" customFormat="1" ht="37.5" x14ac:dyDescent="0.25">
      <c r="A9" s="108" t="s">
        <v>187</v>
      </c>
      <c r="B9" s="135" t="s">
        <v>203</v>
      </c>
      <c r="C9" s="113" t="s">
        <v>313</v>
      </c>
      <c r="D9" s="113" t="s">
        <v>325</v>
      </c>
      <c r="E9" s="113" t="s">
        <v>327</v>
      </c>
      <c r="F9" s="113" t="s">
        <v>59</v>
      </c>
      <c r="G9" s="113" t="s">
        <v>59</v>
      </c>
      <c r="H9" s="113" t="s">
        <v>59</v>
      </c>
      <c r="I9" s="113" t="s">
        <v>59</v>
      </c>
      <c r="J9" s="113" t="s">
        <v>59</v>
      </c>
      <c r="K9" s="113" t="s">
        <v>59</v>
      </c>
      <c r="L9" s="113" t="s">
        <v>59</v>
      </c>
      <c r="M9" s="113" t="s">
        <v>59</v>
      </c>
      <c r="N9" s="113" t="s">
        <v>59</v>
      </c>
      <c r="O9" s="113" t="s">
        <v>59</v>
      </c>
      <c r="P9" s="113" t="s">
        <v>59</v>
      </c>
      <c r="Q9" s="113" t="s">
        <v>59</v>
      </c>
      <c r="R9" s="113" t="s">
        <v>59</v>
      </c>
      <c r="S9" s="113" t="s">
        <v>59</v>
      </c>
      <c r="T9" s="113" t="s">
        <v>59</v>
      </c>
      <c r="U9" s="113" t="s">
        <v>59</v>
      </c>
      <c r="V9" s="113" t="s">
        <v>326</v>
      </c>
      <c r="W9" s="113" t="s">
        <v>59</v>
      </c>
      <c r="X9" s="115" t="s">
        <v>330</v>
      </c>
    </row>
    <row r="10" spans="1:24" x14ac:dyDescent="0.25">
      <c r="A10" s="113" t="s">
        <v>186</v>
      </c>
      <c r="B10" s="113" t="s">
        <v>308</v>
      </c>
      <c r="C10" s="113" t="s">
        <v>331</v>
      </c>
      <c r="D10" s="113" t="s">
        <v>320</v>
      </c>
      <c r="E10" s="113" t="s">
        <v>321</v>
      </c>
      <c r="F10" s="113" t="s">
        <v>59</v>
      </c>
      <c r="G10" s="113" t="s">
        <v>59</v>
      </c>
      <c r="H10" s="113" t="s">
        <v>59</v>
      </c>
      <c r="I10" s="113" t="s">
        <v>59</v>
      </c>
      <c r="J10" s="113" t="s">
        <v>59</v>
      </c>
      <c r="K10" s="113" t="s">
        <v>59</v>
      </c>
      <c r="L10" s="113" t="s">
        <v>59</v>
      </c>
      <c r="M10" s="113" t="s">
        <v>335</v>
      </c>
      <c r="N10" s="113" t="s">
        <v>59</v>
      </c>
      <c r="O10" s="113" t="s">
        <v>59</v>
      </c>
      <c r="P10" s="113" t="s">
        <v>59</v>
      </c>
      <c r="Q10" s="113" t="s">
        <v>59</v>
      </c>
      <c r="R10" s="113" t="s">
        <v>59</v>
      </c>
      <c r="S10" s="113" t="s">
        <v>59</v>
      </c>
      <c r="T10" s="113" t="s">
        <v>59</v>
      </c>
      <c r="U10" s="113" t="s">
        <v>59</v>
      </c>
      <c r="V10" s="113" t="s">
        <v>59</v>
      </c>
      <c r="W10" s="113" t="s">
        <v>59</v>
      </c>
      <c r="X10" s="115" t="s">
        <v>336</v>
      </c>
    </row>
    <row r="11" spans="1:24" ht="75" x14ac:dyDescent="0.25">
      <c r="A11" s="113" t="s">
        <v>186</v>
      </c>
      <c r="B11" s="113" t="s">
        <v>308</v>
      </c>
      <c r="C11" s="113" t="s">
        <v>331</v>
      </c>
      <c r="D11" s="113" t="s">
        <v>333</v>
      </c>
      <c r="E11" s="113" t="s">
        <v>299</v>
      </c>
      <c r="F11" s="113" t="s">
        <v>59</v>
      </c>
      <c r="G11" s="113" t="s">
        <v>59</v>
      </c>
      <c r="H11" s="113" t="s">
        <v>59</v>
      </c>
      <c r="I11" s="113" t="s">
        <v>59</v>
      </c>
      <c r="J11" s="113" t="s">
        <v>59</v>
      </c>
      <c r="K11" s="113" t="s">
        <v>59</v>
      </c>
      <c r="L11" s="113" t="s">
        <v>59</v>
      </c>
      <c r="M11" s="113" t="s">
        <v>59</v>
      </c>
      <c r="N11" s="113" t="s">
        <v>59</v>
      </c>
      <c r="O11" s="113" t="s">
        <v>59</v>
      </c>
      <c r="P11" s="113" t="s">
        <v>59</v>
      </c>
      <c r="Q11" s="113" t="s">
        <v>59</v>
      </c>
      <c r="R11" s="113" t="s">
        <v>59</v>
      </c>
      <c r="S11" s="113" t="s">
        <v>59</v>
      </c>
      <c r="T11" s="113" t="s">
        <v>59</v>
      </c>
      <c r="U11" s="113" t="s">
        <v>59</v>
      </c>
      <c r="V11" s="113" t="s">
        <v>59</v>
      </c>
      <c r="W11" s="113" t="s">
        <v>59</v>
      </c>
      <c r="X11" s="115" t="s">
        <v>334</v>
      </c>
    </row>
    <row r="12" spans="1:24" x14ac:dyDescent="0.25">
      <c r="A12" s="113" t="s">
        <v>186</v>
      </c>
      <c r="B12" s="113" t="s">
        <v>308</v>
      </c>
      <c r="C12" s="113" t="s">
        <v>331</v>
      </c>
      <c r="D12" s="113" t="s">
        <v>325</v>
      </c>
      <c r="E12" s="113" t="s">
        <v>321</v>
      </c>
      <c r="F12" s="113" t="s">
        <v>59</v>
      </c>
      <c r="G12" s="113" t="s">
        <v>59</v>
      </c>
      <c r="H12" s="113" t="s">
        <v>59</v>
      </c>
      <c r="I12" s="113" t="s">
        <v>59</v>
      </c>
      <c r="J12" s="113" t="s">
        <v>59</v>
      </c>
      <c r="K12" s="113" t="s">
        <v>59</v>
      </c>
      <c r="L12" s="113" t="s">
        <v>59</v>
      </c>
      <c r="M12" s="113" t="s">
        <v>59</v>
      </c>
      <c r="N12" s="113" t="s">
        <v>59</v>
      </c>
      <c r="O12" s="113" t="s">
        <v>59</v>
      </c>
      <c r="P12" s="113" t="s">
        <v>59</v>
      </c>
      <c r="Q12" s="113" t="s">
        <v>59</v>
      </c>
      <c r="R12" s="113" t="s">
        <v>59</v>
      </c>
      <c r="S12" s="113" t="s">
        <v>59</v>
      </c>
      <c r="T12" s="113" t="s">
        <v>59</v>
      </c>
      <c r="U12" s="113" t="s">
        <v>59</v>
      </c>
      <c r="V12" s="113" t="s">
        <v>337</v>
      </c>
      <c r="W12" s="113" t="s">
        <v>59</v>
      </c>
      <c r="X12" s="115" t="s">
        <v>338</v>
      </c>
    </row>
    <row r="13" spans="1:24" ht="25" x14ac:dyDescent="0.25">
      <c r="A13" s="108" t="s">
        <v>187</v>
      </c>
      <c r="B13" s="135" t="s">
        <v>203</v>
      </c>
      <c r="C13" s="113" t="s">
        <v>332</v>
      </c>
      <c r="D13" s="113" t="s">
        <v>320</v>
      </c>
      <c r="E13" s="113" t="s">
        <v>327</v>
      </c>
      <c r="F13" s="113" t="s">
        <v>59</v>
      </c>
      <c r="G13" s="113" t="s">
        <v>59</v>
      </c>
      <c r="H13" s="113" t="s">
        <v>59</v>
      </c>
      <c r="I13" s="113" t="s">
        <v>59</v>
      </c>
      <c r="J13" s="113" t="s">
        <v>59</v>
      </c>
      <c r="K13" s="113" t="s">
        <v>59</v>
      </c>
      <c r="L13" s="113" t="s">
        <v>59</v>
      </c>
      <c r="M13" s="113" t="s">
        <v>335</v>
      </c>
      <c r="N13" s="113" t="s">
        <v>59</v>
      </c>
      <c r="O13" s="113" t="s">
        <v>59</v>
      </c>
      <c r="P13" s="113" t="s">
        <v>59</v>
      </c>
      <c r="Q13" s="113" t="s">
        <v>59</v>
      </c>
      <c r="R13" s="113" t="s">
        <v>59</v>
      </c>
      <c r="S13" s="113" t="s">
        <v>59</v>
      </c>
      <c r="T13" s="113" t="s">
        <v>59</v>
      </c>
      <c r="U13" s="113" t="s">
        <v>59</v>
      </c>
      <c r="V13" s="113" t="s">
        <v>59</v>
      </c>
      <c r="W13" s="113" t="s">
        <v>59</v>
      </c>
      <c r="X13" s="115" t="s">
        <v>336</v>
      </c>
    </row>
    <row r="14" spans="1:24" ht="75" x14ac:dyDescent="0.25">
      <c r="A14" s="108" t="s">
        <v>187</v>
      </c>
      <c r="B14" s="135" t="s">
        <v>203</v>
      </c>
      <c r="C14" s="113" t="s">
        <v>332</v>
      </c>
      <c r="D14" s="113" t="s">
        <v>333</v>
      </c>
      <c r="E14" s="113" t="s">
        <v>315</v>
      </c>
      <c r="F14" s="113" t="s">
        <v>59</v>
      </c>
      <c r="G14" s="113" t="s">
        <v>59</v>
      </c>
      <c r="H14" s="113" t="s">
        <v>59</v>
      </c>
      <c r="I14" s="113" t="s">
        <v>59</v>
      </c>
      <c r="J14" s="113" t="s">
        <v>59</v>
      </c>
      <c r="K14" s="113" t="s">
        <v>59</v>
      </c>
      <c r="L14" s="113" t="s">
        <v>59</v>
      </c>
      <c r="M14" s="113" t="s">
        <v>59</v>
      </c>
      <c r="N14" s="113" t="s">
        <v>59</v>
      </c>
      <c r="O14" s="113" t="s">
        <v>59</v>
      </c>
      <c r="P14" s="113" t="s">
        <v>59</v>
      </c>
      <c r="Q14" s="113" t="s">
        <v>59</v>
      </c>
      <c r="R14" s="113" t="s">
        <v>59</v>
      </c>
      <c r="S14" s="113" t="s">
        <v>59</v>
      </c>
      <c r="T14" s="113" t="s">
        <v>59</v>
      </c>
      <c r="U14" s="113" t="s">
        <v>59</v>
      </c>
      <c r="V14" s="113" t="s">
        <v>59</v>
      </c>
      <c r="W14" s="113" t="s">
        <v>59</v>
      </c>
      <c r="X14" s="115" t="s">
        <v>334</v>
      </c>
    </row>
    <row r="15" spans="1:24" ht="25" x14ac:dyDescent="0.25">
      <c r="A15" s="108" t="s">
        <v>187</v>
      </c>
      <c r="B15" s="135" t="s">
        <v>203</v>
      </c>
      <c r="C15" s="113" t="s">
        <v>332</v>
      </c>
      <c r="D15" s="113" t="s">
        <v>325</v>
      </c>
      <c r="E15" s="113" t="s">
        <v>327</v>
      </c>
      <c r="F15" s="113" t="s">
        <v>59</v>
      </c>
      <c r="G15" s="113" t="s">
        <v>59</v>
      </c>
      <c r="H15" s="113" t="s">
        <v>59</v>
      </c>
      <c r="I15" s="113" t="s">
        <v>59</v>
      </c>
      <c r="J15" s="113" t="s">
        <v>59</v>
      </c>
      <c r="K15" s="113" t="s">
        <v>59</v>
      </c>
      <c r="L15" s="113" t="s">
        <v>59</v>
      </c>
      <c r="M15" s="113" t="s">
        <v>59</v>
      </c>
      <c r="N15" s="113" t="s">
        <v>59</v>
      </c>
      <c r="O15" s="113" t="s">
        <v>59</v>
      </c>
      <c r="P15" s="113" t="s">
        <v>59</v>
      </c>
      <c r="Q15" s="113" t="s">
        <v>59</v>
      </c>
      <c r="R15" s="113" t="s">
        <v>59</v>
      </c>
      <c r="S15" s="113" t="s">
        <v>59</v>
      </c>
      <c r="T15" s="113" t="s">
        <v>59</v>
      </c>
      <c r="U15" s="113" t="s">
        <v>59</v>
      </c>
      <c r="V15" s="113" t="s">
        <v>337</v>
      </c>
      <c r="W15" s="113" t="s">
        <v>59</v>
      </c>
      <c r="X15" s="115" t="s">
        <v>338</v>
      </c>
    </row>
    <row r="16" spans="1:24" x14ac:dyDescent="0.25">
      <c r="A16" s="113" t="s">
        <v>186</v>
      </c>
      <c r="B16" s="113" t="s">
        <v>309</v>
      </c>
      <c r="C16" s="113" t="s">
        <v>340</v>
      </c>
      <c r="D16" s="113" t="s">
        <v>320</v>
      </c>
      <c r="E16" s="113" t="s">
        <v>321</v>
      </c>
      <c r="F16" s="113" t="s">
        <v>59</v>
      </c>
      <c r="G16" s="113" t="s">
        <v>59</v>
      </c>
      <c r="H16" s="113" t="s">
        <v>59</v>
      </c>
      <c r="I16" s="113" t="s">
        <v>59</v>
      </c>
      <c r="J16" s="113" t="s">
        <v>59</v>
      </c>
      <c r="K16" s="113" t="s">
        <v>59</v>
      </c>
      <c r="L16" s="113" t="s">
        <v>59</v>
      </c>
      <c r="M16" s="113" t="s">
        <v>341</v>
      </c>
      <c r="N16" s="113" t="s">
        <v>59</v>
      </c>
      <c r="O16" s="113" t="s">
        <v>59</v>
      </c>
      <c r="P16" s="113" t="s">
        <v>59</v>
      </c>
      <c r="Q16" s="113" t="s">
        <v>59</v>
      </c>
      <c r="R16" s="113" t="s">
        <v>59</v>
      </c>
      <c r="S16" s="113" t="s">
        <v>59</v>
      </c>
      <c r="T16" s="113" t="s">
        <v>59</v>
      </c>
      <c r="U16" s="113" t="s">
        <v>59</v>
      </c>
      <c r="V16" s="113" t="s">
        <v>59</v>
      </c>
      <c r="W16" s="113" t="s">
        <v>59</v>
      </c>
      <c r="X16" s="115" t="s">
        <v>336</v>
      </c>
    </row>
    <row r="17" spans="1:24" ht="87.5" x14ac:dyDescent="0.25">
      <c r="A17" s="113" t="s">
        <v>186</v>
      </c>
      <c r="B17" s="113" t="s">
        <v>309</v>
      </c>
      <c r="C17" s="113" t="s">
        <v>340</v>
      </c>
      <c r="D17" s="113" t="s">
        <v>343</v>
      </c>
      <c r="E17" s="113" t="s">
        <v>302</v>
      </c>
      <c r="F17" s="113" t="s">
        <v>59</v>
      </c>
      <c r="G17" s="113" t="s">
        <v>59</v>
      </c>
      <c r="H17" s="113" t="s">
        <v>59</v>
      </c>
      <c r="I17" s="113" t="s">
        <v>59</v>
      </c>
      <c r="J17" s="113" t="s">
        <v>59</v>
      </c>
      <c r="K17" s="113" t="s">
        <v>59</v>
      </c>
      <c r="L17" s="113" t="s">
        <v>59</v>
      </c>
      <c r="M17" s="113" t="s">
        <v>59</v>
      </c>
      <c r="N17" s="113" t="s">
        <v>59</v>
      </c>
      <c r="O17" s="113" t="s">
        <v>59</v>
      </c>
      <c r="P17" s="113" t="s">
        <v>59</v>
      </c>
      <c r="Q17" s="113" t="s">
        <v>59</v>
      </c>
      <c r="R17" s="113" t="s">
        <v>59</v>
      </c>
      <c r="S17" s="113" t="s">
        <v>59</v>
      </c>
      <c r="T17" s="113" t="s">
        <v>59</v>
      </c>
      <c r="U17" s="113" t="s">
        <v>59</v>
      </c>
      <c r="V17" s="113" t="s">
        <v>59</v>
      </c>
      <c r="W17" s="113" t="s">
        <v>59</v>
      </c>
      <c r="X17" s="115" t="s">
        <v>342</v>
      </c>
    </row>
    <row r="18" spans="1:24" x14ac:dyDescent="0.25">
      <c r="A18" s="113" t="s">
        <v>186</v>
      </c>
      <c r="B18" s="113" t="s">
        <v>309</v>
      </c>
      <c r="C18" s="113" t="s">
        <v>340</v>
      </c>
      <c r="D18" s="113" t="s">
        <v>325</v>
      </c>
      <c r="E18" s="113" t="s">
        <v>321</v>
      </c>
      <c r="F18" s="113" t="s">
        <v>59</v>
      </c>
      <c r="G18" s="113" t="s">
        <v>59</v>
      </c>
      <c r="H18" s="113" t="s">
        <v>59</v>
      </c>
      <c r="I18" s="113" t="s">
        <v>59</v>
      </c>
      <c r="J18" s="113" t="s">
        <v>59</v>
      </c>
      <c r="K18" s="113" t="s">
        <v>59</v>
      </c>
      <c r="L18" s="113" t="s">
        <v>59</v>
      </c>
      <c r="M18" s="113" t="s">
        <v>59</v>
      </c>
      <c r="N18" s="113" t="s">
        <v>59</v>
      </c>
      <c r="O18" s="113" t="s">
        <v>59</v>
      </c>
      <c r="P18" s="113" t="s">
        <v>59</v>
      </c>
      <c r="Q18" s="113" t="s">
        <v>59</v>
      </c>
      <c r="R18" s="113" t="s">
        <v>59</v>
      </c>
      <c r="S18" s="113" t="s">
        <v>59</v>
      </c>
      <c r="T18" s="113" t="s">
        <v>59</v>
      </c>
      <c r="U18" s="113" t="s">
        <v>59</v>
      </c>
      <c r="V18" s="113" t="s">
        <v>345</v>
      </c>
      <c r="W18" s="113" t="s">
        <v>59</v>
      </c>
      <c r="X18" s="115" t="s">
        <v>338</v>
      </c>
    </row>
    <row r="21" spans="1:24" x14ac:dyDescent="0.25">
      <c r="A21" s="20" t="s">
        <v>21</v>
      </c>
      <c r="B21" s="20" t="s">
        <v>174</v>
      </c>
    </row>
    <row r="22" spans="1:24" x14ac:dyDescent="0.25">
      <c r="A22" s="19"/>
      <c r="B22" s="19">
        <v>0.125</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O39" sqref="O39"/>
    </sheetView>
  </sheetViews>
  <sheetFormatPr defaultRowHeight="12.5" x14ac:dyDescent="0.25"/>
  <cols>
    <col min="1" max="1" width="16.26953125" bestFit="1" customWidth="1"/>
    <col min="2" max="2" width="15.26953125" customWidth="1"/>
    <col min="3" max="3" width="39.1796875" customWidth="1"/>
  </cols>
  <sheetData>
    <row r="1" spans="1:3" ht="13" thickBot="1" x14ac:dyDescent="0.3">
      <c r="A1" s="180" t="s">
        <v>112</v>
      </c>
      <c r="B1" s="181"/>
      <c r="C1" s="182"/>
    </row>
    <row r="3" spans="1:3" ht="37.5" x14ac:dyDescent="0.25">
      <c r="A3" s="31" t="s">
        <v>228</v>
      </c>
      <c r="B3" s="31" t="s">
        <v>159</v>
      </c>
      <c r="C3" s="31" t="s">
        <v>55</v>
      </c>
    </row>
    <row r="4" spans="1:3" x14ac:dyDescent="0.25">
      <c r="A4" s="44" t="s">
        <v>153</v>
      </c>
      <c r="B4" s="12"/>
      <c r="C4" s="12"/>
    </row>
    <row r="5" spans="1:3" x14ac:dyDescent="0.25">
      <c r="A5" s="12"/>
      <c r="B5" s="12"/>
      <c r="C5" s="21"/>
    </row>
    <row r="6" spans="1:3" x14ac:dyDescent="0.25">
      <c r="A6" s="12"/>
      <c r="B6" s="12"/>
      <c r="C6" s="12"/>
    </row>
    <row r="9" spans="1:3" x14ac:dyDescent="0.25">
      <c r="A9" s="20" t="s">
        <v>21</v>
      </c>
      <c r="B9" s="20" t="s">
        <v>174</v>
      </c>
    </row>
    <row r="10" spans="1:3" x14ac:dyDescent="0.25">
      <c r="A10" s="19"/>
      <c r="B10" s="19"/>
    </row>
  </sheetData>
  <mergeCells count="1">
    <mergeCell ref="A1:C1"/>
  </mergeCells>
  <phoneticPr fontId="2"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P18"/>
  <sheetViews>
    <sheetView workbookViewId="0">
      <selection activeCell="E4" sqref="E4:E5"/>
    </sheetView>
  </sheetViews>
  <sheetFormatPr defaultRowHeight="12.5" x14ac:dyDescent="0.25"/>
  <cols>
    <col min="1" max="1" width="21.81640625" bestFit="1" customWidth="1"/>
    <col min="2" max="2" width="27.81640625" bestFit="1" customWidth="1"/>
    <col min="3" max="3" width="16.453125" bestFit="1" customWidth="1"/>
    <col min="4" max="4" width="14.7265625" bestFit="1" customWidth="1"/>
    <col min="5" max="5" width="22.81640625" customWidth="1"/>
    <col min="6" max="6" width="20.26953125" customWidth="1"/>
    <col min="8" max="8" width="22.26953125" bestFit="1" customWidth="1"/>
    <col min="30" max="30" width="23.453125" bestFit="1" customWidth="1"/>
  </cols>
  <sheetData>
    <row r="1" spans="1:16" ht="13" thickBot="1" x14ac:dyDescent="0.3">
      <c r="A1" s="180" t="s">
        <v>114</v>
      </c>
      <c r="B1" s="181"/>
      <c r="C1" s="181"/>
      <c r="D1" s="182"/>
    </row>
    <row r="3" spans="1:16" x14ac:dyDescent="0.25">
      <c r="A3" s="13" t="s">
        <v>229</v>
      </c>
      <c r="B3" s="13" t="s">
        <v>230</v>
      </c>
      <c r="C3" s="13" t="s">
        <v>91</v>
      </c>
      <c r="D3" s="13" t="s">
        <v>231</v>
      </c>
      <c r="E3" s="13" t="s">
        <v>232</v>
      </c>
      <c r="F3" s="13" t="s">
        <v>233</v>
      </c>
    </row>
    <row r="4" spans="1:16" x14ac:dyDescent="0.25">
      <c r="A4" s="18" t="s">
        <v>234</v>
      </c>
      <c r="B4" s="43"/>
      <c r="C4" s="44"/>
      <c r="D4" s="12"/>
      <c r="E4" s="12"/>
      <c r="F4" s="12" t="s">
        <v>153</v>
      </c>
    </row>
    <row r="5" spans="1:16" x14ac:dyDescent="0.25">
      <c r="A5" s="18" t="s">
        <v>234</v>
      </c>
      <c r="B5" s="12"/>
      <c r="C5" s="12"/>
      <c r="D5" s="12"/>
      <c r="E5" s="12"/>
      <c r="F5" s="12" t="s">
        <v>153</v>
      </c>
    </row>
    <row r="8" spans="1:16" ht="13" x14ac:dyDescent="0.3">
      <c r="A8" s="13" t="s">
        <v>235</v>
      </c>
      <c r="B8" s="41" t="s">
        <v>236</v>
      </c>
      <c r="C8" s="41" t="s">
        <v>237</v>
      </c>
      <c r="D8" s="41" t="s">
        <v>238</v>
      </c>
      <c r="E8" s="41" t="s">
        <v>239</v>
      </c>
      <c r="F8" s="41" t="s">
        <v>240</v>
      </c>
      <c r="G8" s="41" t="s">
        <v>241</v>
      </c>
      <c r="H8" s="41" t="s">
        <v>242</v>
      </c>
      <c r="I8" s="29"/>
      <c r="J8" s="29"/>
      <c r="K8" s="29"/>
      <c r="L8" s="29"/>
      <c r="M8" s="29"/>
      <c r="N8" s="29"/>
      <c r="O8" s="29"/>
      <c r="P8" s="29"/>
    </row>
    <row r="9" spans="1:16" x14ac:dyDescent="0.25">
      <c r="A9" s="13" t="s">
        <v>243</v>
      </c>
      <c r="B9" s="42"/>
      <c r="C9" s="42"/>
      <c r="D9" s="42"/>
      <c r="E9" s="42"/>
      <c r="F9" s="42"/>
      <c r="G9" s="42"/>
      <c r="H9" s="42"/>
      <c r="I9" s="29"/>
      <c r="J9" s="29"/>
      <c r="K9" s="29"/>
      <c r="L9" s="29"/>
      <c r="M9" s="29"/>
      <c r="N9" s="29"/>
      <c r="O9" s="29"/>
      <c r="P9" s="29"/>
    </row>
    <row r="10" spans="1:16" x14ac:dyDescent="0.25">
      <c r="A10" s="13" t="s">
        <v>243</v>
      </c>
      <c r="B10" s="42"/>
      <c r="C10" s="42"/>
      <c r="D10" s="42"/>
      <c r="E10" s="42"/>
      <c r="F10" s="42"/>
      <c r="G10" s="42"/>
      <c r="H10" s="42"/>
    </row>
    <row r="11" spans="1:16" x14ac:dyDescent="0.25">
      <c r="A11" s="13" t="s">
        <v>243</v>
      </c>
      <c r="B11" s="42"/>
      <c r="C11" s="42"/>
      <c r="D11" s="42"/>
      <c r="E11" s="42"/>
      <c r="F11" s="42"/>
      <c r="G11" s="42"/>
      <c r="H11" s="42"/>
    </row>
    <row r="15" spans="1:16" ht="13" x14ac:dyDescent="0.3">
      <c r="B15" s="40" t="s">
        <v>244</v>
      </c>
      <c r="C15" s="192" t="s">
        <v>245</v>
      </c>
      <c r="D15" s="192"/>
      <c r="E15" s="192"/>
      <c r="F15" s="192"/>
      <c r="G15" s="192"/>
    </row>
    <row r="16" spans="1:16" x14ac:dyDescent="0.25">
      <c r="B16" s="40" t="s">
        <v>246</v>
      </c>
      <c r="C16" s="192"/>
      <c r="D16" s="192"/>
      <c r="E16" s="192"/>
      <c r="F16" s="192"/>
      <c r="G16" s="192"/>
    </row>
    <row r="17" spans="2:7" x14ac:dyDescent="0.25">
      <c r="B17" s="40" t="s">
        <v>247</v>
      </c>
      <c r="C17" s="192"/>
      <c r="D17" s="192"/>
      <c r="E17" s="192"/>
      <c r="F17" s="192"/>
      <c r="G17" s="192"/>
    </row>
    <row r="18" spans="2:7" x14ac:dyDescent="0.25">
      <c r="B18" s="40" t="s">
        <v>248</v>
      </c>
      <c r="C18" s="192"/>
      <c r="D18" s="192"/>
      <c r="E18" s="192"/>
      <c r="F18" s="192"/>
      <c r="G18" s="192"/>
    </row>
  </sheetData>
  <mergeCells count="2">
    <mergeCell ref="A1:D1"/>
    <mergeCell ref="C15:G18"/>
  </mergeCells>
  <phoneticPr fontId="2"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5" x14ac:dyDescent="0.25"/>
  <cols>
    <col min="1" max="1" width="15.1796875" bestFit="1" customWidth="1"/>
    <col min="2" max="2" width="48" customWidth="1"/>
  </cols>
  <sheetData>
    <row r="1" spans="1:2" x14ac:dyDescent="0.25">
      <c r="A1" s="193" t="s">
        <v>249</v>
      </c>
      <c r="B1" s="194"/>
    </row>
    <row r="2" spans="1:2" x14ac:dyDescent="0.25">
      <c r="A2" s="65" t="s">
        <v>250</v>
      </c>
      <c r="B2" s="80" t="s">
        <v>153</v>
      </c>
    </row>
    <row r="3" spans="1:2" x14ac:dyDescent="0.25">
      <c r="A3" s="65" t="s">
        <v>251</v>
      </c>
      <c r="B3" s="80" t="s">
        <v>153</v>
      </c>
    </row>
    <row r="4" spans="1:2" ht="13" thickBot="1" x14ac:dyDescent="0.3">
      <c r="A4" s="66" t="s">
        <v>252</v>
      </c>
      <c r="B4" s="81" t="s">
        <v>153</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6" ma:contentTypeDescription="Create a new document." ma:contentTypeScope="" ma:versionID="1b979859d078cc672b9adf7e36302b82">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f2f53a803b1261375c1d215b331f25c"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B321FC-9D76-436D-84FC-68C6D71D3C06}">
  <ds:schemaRefs>
    <ds:schemaRef ds:uri="http://schemas.microsoft.com/office/2006/metadata/properties"/>
    <ds:schemaRef ds:uri="http://schemas.microsoft.com/office/infopath/2007/PartnerControls"/>
    <ds:schemaRef ds:uri="6d0617fb-1757-47f7-87ee-4de08b985d90"/>
  </ds:schemaRefs>
</ds:datastoreItem>
</file>

<file path=customXml/itemProps2.xml><?xml version="1.0" encoding="utf-8"?>
<ds:datastoreItem xmlns:ds="http://schemas.openxmlformats.org/officeDocument/2006/customXml" ds:itemID="{D76DCACD-45D8-4428-9F15-EDA4F604D3CC}">
  <ds:schemaRefs>
    <ds:schemaRef ds:uri="http://schemas.microsoft.com/sharepoint/v3/contenttype/forms"/>
  </ds:schemaRefs>
</ds:datastoreItem>
</file>

<file path=customXml/itemProps3.xml><?xml version="1.0" encoding="utf-8"?>
<ds:datastoreItem xmlns:ds="http://schemas.openxmlformats.org/officeDocument/2006/customXml" ds:itemID="{9395CB4D-C50E-46A2-9B09-1D218745B1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569788-0767-4c16-bd44-94994fd42c43"/>
    <ds:schemaRef ds:uri="6d0617fb-1757-47f7-87ee-4de08b985d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14</vt:i4>
      </vt:variant>
    </vt:vector>
  </HeadingPairs>
  <TitlesOfParts>
    <vt:vector size="29" baseType="lpstr">
      <vt:lpstr>Version Control</vt:lpstr>
      <vt:lpstr>Functional Specification</vt:lpstr>
      <vt:lpstr>Title</vt:lpstr>
      <vt:lpstr>DTD Review Checklist</vt:lpstr>
      <vt:lpstr>AppConfig</vt:lpstr>
      <vt:lpstr>Overview</vt:lpstr>
      <vt:lpstr>1.0 DB Schema</vt:lpstr>
      <vt:lpstr>2.0 Ifb &amp; PHP</vt:lpstr>
      <vt:lpstr>3.0 Mapping</vt:lpstr>
      <vt:lpstr>3.1 Mapping Details</vt:lpstr>
      <vt:lpstr>4.0 Worklet &amp; workflow</vt:lpstr>
      <vt:lpstr>4.1 Session Details</vt:lpstr>
      <vt:lpstr>5.0 Stored Procedure</vt:lpstr>
      <vt:lpstr>6.0 Data Update</vt:lpstr>
      <vt:lpstr>6.1 Data update Details</vt:lpstr>
      <vt:lpstr>AppCRN</vt:lpstr>
      <vt:lpstr>AppDateReviewed</vt:lpstr>
      <vt:lpstr>AppDevDReviewed</vt:lpstr>
      <vt:lpstr>AppDevNameReviewed</vt:lpstr>
      <vt:lpstr>AppMA</vt:lpstr>
      <vt:lpstr>AppPPRD</vt:lpstr>
      <vt:lpstr>AppReviewedBy</vt:lpstr>
      <vt:lpstr>Area</vt:lpstr>
      <vt:lpstr>CRNIRN</vt:lpstr>
      <vt:lpstr>DateReviewed</vt:lpstr>
      <vt:lpstr>DevDReviewed</vt:lpstr>
      <vt:lpstr>Entity</vt:lpstr>
      <vt:lpstr>MA</vt:lpstr>
      <vt:lpstr>PPRD</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Rakotoasimbahoaka, M.</cp:lastModifiedBy>
  <cp:revision/>
  <dcterms:created xsi:type="dcterms:W3CDTF">2009-06-01T12:18:44Z</dcterms:created>
  <dcterms:modified xsi:type="dcterms:W3CDTF">2019-07-05T12:22:37Z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