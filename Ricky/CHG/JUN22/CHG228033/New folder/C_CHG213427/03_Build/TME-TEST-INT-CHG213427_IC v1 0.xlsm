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J:\General\04_RELEASE_MANAGEMENT\2021-06-Release PROD FEB22\02_Development\Cross\C_CHG213427\03_Build\"/>
    </mc:Choice>
  </mc:AlternateContent>
  <xr:revisionPtr revIDLastSave="0" documentId="13_ncr:1_{9EC50F81-CBD1-45BE-8512-FD866FF25C1C}" xr6:coauthVersionLast="46" xr6:coauthVersionMax="46" xr10:uidLastSave="{00000000-0000-0000-0000-000000000000}"/>
  <bookViews>
    <workbookView xWindow="-120" yWindow="-120" windowWidth="29040" windowHeight="15840" activeTab="2" xr2:uid="{00000000-000D-0000-FFFF-FFFF00000000}"/>
  </bookViews>
  <sheets>
    <sheet name="Cover" sheetId="20" r:id="rId1"/>
    <sheet name="Version Control" sheetId="23" r:id="rId2"/>
    <sheet name="Test Cycle 1" sheetId="24" r:id="rId3"/>
    <sheet name="AppConfig" sheetId="26" state="hidden" r:id="rId4"/>
    <sheet name="Screenshot" sheetId="25" r:id="rId5"/>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1'!$F$3</definedName>
    <definedName name="DTested">'Test Cycle 1'!$F$2</definedName>
    <definedName name="dTestedBy">'Test Cycle 1'!$H$2</definedName>
    <definedName name="Entity">'Test Cycle 1'!$F$1</definedName>
    <definedName name="MA">Cover!$K$25</definedName>
    <definedName name="PPRD">'Version Control'!$B$11</definedName>
    <definedName name="ReviewedBy">'Test Cycle 1'!$H$3</definedName>
    <definedName name="TestedBy">'Test Cycle 1'!$H$2</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 i="26" l="1"/>
  <c r="B9" i="26"/>
  <c r="B8" i="26"/>
  <c r="B7" i="26"/>
  <c r="B6" i="26"/>
  <c r="B5" i="26"/>
  <c r="B4" i="26"/>
  <c r="B3" i="26"/>
  <c r="B2" i="26"/>
  <c r="A14" i="23"/>
  <c r="A32" i="23"/>
  <c r="C3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00000000-0006-0000-0200-000001000000}">
      <text>
        <r>
          <rPr>
            <b/>
            <sz val="8"/>
            <color indexed="81"/>
            <rFont val="Tahoma"/>
            <family val="2"/>
          </rPr>
          <t>bruneau.melier:</t>
        </r>
        <r>
          <rPr>
            <sz val="8"/>
            <color indexed="81"/>
            <rFont val="Tahoma"/>
            <family val="2"/>
          </rPr>
          <t xml:space="preserve">
give the name of the mapping being tested </t>
        </r>
      </text>
    </comment>
    <comment ref="F1" authorId="0" shapeId="0" xr:uid="{00000000-0006-0000-0200-000002000000}">
      <text>
        <r>
          <rPr>
            <b/>
            <sz val="8"/>
            <color indexed="81"/>
            <rFont val="Tahoma"/>
            <family val="2"/>
          </rPr>
          <t>bruneau.melier:</t>
        </r>
        <r>
          <rPr>
            <sz val="8"/>
            <color indexed="81"/>
            <rFont val="Tahoma"/>
            <family val="2"/>
          </rPr>
          <t xml:space="preserve">
give the name of the entity being tested</t>
        </r>
      </text>
    </comment>
    <comment ref="B2" authorId="0" shapeId="0" xr:uid="{00000000-0006-0000-0200-000003000000}">
      <text>
        <r>
          <rPr>
            <b/>
            <sz val="8"/>
            <color indexed="81"/>
            <rFont val="Tahoma"/>
            <family val="2"/>
          </rPr>
          <t>bruneau.melier:</t>
        </r>
        <r>
          <rPr>
            <sz val="8"/>
            <color indexed="81"/>
            <rFont val="Tahoma"/>
            <family val="2"/>
          </rPr>
          <t xml:space="preserve">
give the name of the mapping being tested </t>
        </r>
      </text>
    </comment>
    <comment ref="F2" authorId="0" shapeId="0" xr:uid="{00000000-0006-0000-0200-000004000000}">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0000000-0006-0000-0200-000005000000}">
      <text>
        <r>
          <rPr>
            <b/>
            <sz val="8"/>
            <color indexed="81"/>
            <rFont val="Tahoma"/>
            <family val="2"/>
          </rPr>
          <t>bruneau.melier:</t>
        </r>
        <r>
          <rPr>
            <sz val="8"/>
            <color indexed="81"/>
            <rFont val="Tahoma"/>
            <family val="2"/>
          </rPr>
          <t xml:space="preserve">
give the name of the developer/tester</t>
        </r>
      </text>
    </comment>
    <comment ref="B3" authorId="0" shapeId="0" xr:uid="{00000000-0006-0000-0200-000006000000}">
      <text>
        <r>
          <rPr>
            <b/>
            <sz val="8"/>
            <color indexed="81"/>
            <rFont val="Tahoma"/>
            <family val="2"/>
          </rPr>
          <t>bruneau.melier:</t>
        </r>
        <r>
          <rPr>
            <sz val="8"/>
            <color indexed="81"/>
            <rFont val="Tahoma"/>
            <family val="2"/>
          </rPr>
          <t xml:space="preserve">
indicate the status of the test script </t>
        </r>
      </text>
    </comment>
    <comment ref="F3" authorId="0" shapeId="0" xr:uid="{00000000-0006-0000-0200-000007000000}">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00000000-0006-0000-0200-000008000000}">
      <text>
        <r>
          <rPr>
            <b/>
            <sz val="8"/>
            <color indexed="81"/>
            <rFont val="Tahoma"/>
            <family val="2"/>
          </rPr>
          <t>bruneau.melier:</t>
        </r>
        <r>
          <rPr>
            <sz val="8"/>
            <color indexed="81"/>
            <rFont val="Tahoma"/>
            <family val="2"/>
          </rPr>
          <t xml:space="preserve">
give the name of the reviewer of the test script </t>
        </r>
      </text>
    </comment>
    <comment ref="B4" authorId="0" shapeId="0" xr:uid="{00000000-0006-0000-0200-000009000000}">
      <text>
        <r>
          <rPr>
            <b/>
            <sz val="8"/>
            <color indexed="81"/>
            <rFont val="Tahoma"/>
            <family val="2"/>
          </rPr>
          <t>bruneau.melier:</t>
        </r>
        <r>
          <rPr>
            <sz val="8"/>
            <color indexed="81"/>
            <rFont val="Tahoma"/>
            <family val="2"/>
          </rPr>
          <t xml:space="preserve">
give a description of the purpose of the test script </t>
        </r>
      </text>
    </comment>
    <comment ref="A5"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5"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5"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00000000-0006-0000-0200-000012000000}">
      <text>
        <r>
          <rPr>
            <b/>
            <sz val="8"/>
            <color indexed="81"/>
            <rFont val="Tahoma"/>
            <family val="2"/>
          </rPr>
          <t>bruneau.melier:</t>
        </r>
        <r>
          <rPr>
            <sz val="8"/>
            <color indexed="81"/>
            <rFont val="Tahoma"/>
            <family val="2"/>
          </rPr>
          <t xml:space="preserve">
Takes the value of Not Executed, WIP, Passed or Failed</t>
        </r>
      </text>
    </comment>
    <comment ref="J5" authorId="0" shapeId="0" xr:uid="{00000000-0006-0000-0200-000013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<sst xmlns="http://schemas.openxmlformats.org/spreadsheetml/2006/main" count="219" uniqueCount="126">
  <si>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</si>
  <si>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</si>
  <si>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</si>
  <si>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</si>
  <si>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</si>
  <si>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</si>
  <si>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</si>
  <si>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</si>
  <si>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</si>
  <si>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</si>
  <si>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</si>
  <si>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</si>
  <si>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</si>
  <si>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</si>
  <si>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</si>
  <si>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</si>
  <si>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</si>
  <si>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</si>
  <si>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</si>
  <si>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</si>
  <si>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</si>
  <si>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</si>
  <si>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</si>
  <si>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</si>
  <si>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</si>
  <si>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</si>
  <si>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</si>
  <si>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</si>
  <si>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</si>
  <si>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</si>
  <si>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</si>
  <si>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</si>
  <si>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</si>
  <si>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</si>
  <si>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</si>
  <si>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</si>
  <si>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</si>
  <si>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</si>
  <si>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</si>
  <si>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</si>
  <si>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</si>
  <si>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</si>
  <si>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</si>
  <si>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</si>
  <si>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</si>
  <si>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</si>
  <si>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</si>
  <si>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</si>
  <si>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</si>
  <si>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</si>
  <si>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</si>
  <si>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</si>
  <si>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</si>
  <si>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</si>
  <si>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</si>
  <si>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</si>
  <si>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</si>
  <si>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</si>
  <si>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</si>
  <si>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</si>
  <si>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</si>
  <si>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</si>
  <si>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</si>
  <si>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</si>
  <si>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</si>
  <si>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</si>
  <si>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</si>
  <si>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</si>
  <si>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</si>
  <si>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</si>
  <si>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</si>
  <si>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</si>
  <si>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</si>
  <si>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</si>
  <si>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</si>
  <si>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</si>
  <si>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</si>
  <si>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</si>
  <si>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</si>
  <si>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 xml:space="preserve">Test Case completed </t>
  </si>
  <si>
    <t>Send Email for columns creation</t>
  </si>
  <si>
    <t>TMEC: RI - Enhancements on Contracts &amp; Contract Terms (IC)</t>
  </si>
  <si>
    <t>CHG213427</t>
  </si>
  <si>
    <t>CT</t>
  </si>
  <si>
    <t>Check if X_CONTRACT_ITEM_ID correctly populated</t>
  </si>
  <si>
    <t>Reset Test Data on Sales App</t>
  </si>
  <si>
    <t>Launch the update script</t>
  </si>
  <si>
    <t>Informatica Server &amp; SIEBEL_OLTP_DEV14</t>
  </si>
  <si>
    <t>BEGIN
UPDATE S_DOC_AGREE_XM
SET X_CONTRACT_ITEM_ID = NULL
WHERE ROW_ID IN ('1-7S2RWZ')
END
GO</t>
  </si>
  <si>
    <t>1 Record updated</t>
  </si>
  <si>
    <t>1  Record updated</t>
  </si>
  <si>
    <t>Reset Error Table</t>
  </si>
  <si>
    <t>Launch Script to delete errors</t>
  </si>
  <si>
    <t>SIEBEL_OLTP_DEV14</t>
  </si>
  <si>
    <t>DELETE FROM WC_ERRORS_G WHERE FILE_NAME LIKE '%ITIC0202_20211130_10%'</t>
  </si>
  <si>
    <t>4 rows affected</t>
  </si>
  <si>
    <t>Place FF in \\10.186.26.27\Interfaces_IP14\Italy\IUNP</t>
  </si>
  <si>
    <t>Informatica Server</t>
  </si>
  <si>
    <t>N/A</t>
  </si>
  <si>
    <t>FF correctly placed</t>
  </si>
  <si>
    <t>Register FF</t>
  </si>
  <si>
    <t>Open Workflow Manager. Launch EIM_INTERFACE--&gt;RUN_EIM_PROCESS_GENERIC--&gt;
wrk_Pre_Etl_java
Launch Script to verify FF registration</t>
  </si>
  <si>
    <t>Informatica &amp; SIEBEL_OLAP_DEV81</t>
  </si>
  <si>
    <t>FF correctly registered</t>
  </si>
  <si>
    <t xml:space="preserve">
 SELECT * FROM WC_ETL_FILES_G WHERE FILENAME LIKE '%ITIC0202_20211130_10%'</t>
  </si>
  <si>
    <t>Load FF &amp; Check Errors</t>
  </si>
  <si>
    <t>Informatica &amp; SIEBEL_OLTP_DEV14</t>
  </si>
  <si>
    <t>Refer to Screenshot 1. 4 errors returned</t>
  </si>
  <si>
    <t>Check Loaded Test Data</t>
  </si>
  <si>
    <t>Launch Script to check loaded data</t>
  </si>
  <si>
    <t>Launch EIM_INTERFACE--&gt;RUN_EIM_PROCESS_JAVA--&gt;
wrk_ContractIncentives_Interface
Launch Script to perform length, numeric  check and load correct data</t>
  </si>
  <si>
    <t xml:space="preserve">	SELECT S_DOC_AGREE_XM.ROW_ID, S_DOC_AGREE_XM.NAME, S_DOC_AGREE_XM.TYPE,S_DOC_AGREE_XM.X_CONTRACT_ITEM_ID,* 
	FROM S_DOC_AGREE 
	INNER JOIN S_ORG_EXT ON S_DOC_AGREE.TARGET_OU_ID = S_ORG_EXT.ROW_ID
	INNER JOIN S_BU ON S_BU.ROW_ID = S_DOC_AGREE.BU_ID
	INNER JOIN S_BU BU2 ON BU2.ROW_ID = S_ORG_EXT.BU_ID
	INNER JOIN S_DOC_AGREE_XM ON S_DOC_AGREE_XM.PAR_ROW_ID = S_DOC_AGREE.ROW_ID
	WHERE S_DOC_AGREE.NAME IN ('1-469876907')</t>
  </si>
  <si>
    <t>IF_ROW_STAT  should be IMPORTED 
1 RECORDS should be updated  in S_DOC_AGREE_XM with values for  X_CONTRACT_ITEM_ID populated correctly</t>
  </si>
  <si>
    <t>Check Data on Screen</t>
  </si>
  <si>
    <t>Siebel Sales Application</t>
  </si>
  <si>
    <t>SELECT FIELD_NAME,FIELD_VALUE,FAILURE_DESCRIPTION,* FROM WC_ERRORS_G WHERE FILE_NAME LIKE '%ITIC0202_20211130_10%'</t>
  </si>
  <si>
    <t>SCREENSHOT 1</t>
  </si>
  <si>
    <t>SCREENSHOT 2</t>
  </si>
  <si>
    <t>SCREENSHOT3</t>
  </si>
  <si>
    <t>Login Sales App as 'CSTADMITA'. 
Navigate to Administration Data--&gt;Template Agreements . Query for '1-469876907' as Agreement Index.
Go to 'Incentives' tab, check the value for 'Contract Item'</t>
  </si>
  <si>
    <t xml:space="preserve"> Refer to Screenshot 3. Fields are correctly populated</t>
  </si>
  <si>
    <t xml:space="preserve"> Refer to Screenshot 3 . Fields are correctly populated</t>
  </si>
  <si>
    <t>Y</t>
  </si>
  <si>
    <t>FDE_INT_CONTRACT_INCENTIVES_PRE, FDE_INT_CONTRACT_INCENTIVES</t>
  </si>
  <si>
    <t>JTI_DWH_ETLComplete_Incremental, RUN_EIM_PROCESS_JAVA</t>
  </si>
  <si>
    <t>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</si>
</sst>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48" x14ac:knownFonts="1">
    <font>
      <sz val="10"/>
      <name val="Arial"/>
    </font>
    <font>
      <sz val="11"/>
      <color theme="1"/>
      <name val="Calibri"/>
      <family val="2"/>
      <scheme val="minor"/>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1"/>
      <color indexed="9"/>
      <name val="Book Antiqua"/>
      <family val="1"/>
    </font>
    <font>
      <b/>
      <sz val="12"/>
      <name val="Book Antiqua"/>
      <family val="1"/>
    </font>
    <font>
      <b/>
      <sz val="10"/>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sz val="10"/>
      <color theme="10"/>
      <name val="Arial"/>
      <family val="2"/>
    </font>
    <font>
      <b/>
      <sz val="10"/>
      <color theme="0"/>
      <name val="Arial"/>
      <family val="2"/>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theme="6" tint="-0.249977111117893"/>
        <bgColor indexed="64"/>
      </patternFill>
    </fill>
    <fill>
      <patternFill patternType="solid">
        <fgColor rgb="FF00B0F0"/>
        <bgColor indexed="64"/>
      </patternFill>
    </fill>
    <fill>
      <patternFill patternType="solid">
        <fgColor rgb="FF99FFCC"/>
        <bgColor indexed="64"/>
      </patternFill>
    </fill>
    <fill>
      <patternFill patternType="solid">
        <fgColor theme="0"/>
        <bgColor indexed="64"/>
      </patternFill>
    </fill>
  </fills>
  <borders count="17">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4">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0" fillId="20" borderId="1" applyNumberFormat="0" applyAlignment="0" applyProtection="0"/>
    <xf numFmtId="0" fontId="11" fillId="20" borderId="2" applyNumberFormat="0" applyAlignment="0" applyProtection="0"/>
    <xf numFmtId="0" fontId="3" fillId="0" borderId="0" applyFont="0" applyFill="0" applyBorder="0" applyAlignment="0" applyProtection="0"/>
    <xf numFmtId="0" fontId="12" fillId="7" borderId="2" applyNumberFormat="0" applyAlignment="0" applyProtection="0"/>
    <xf numFmtId="0" fontId="6" fillId="0" borderId="4" applyNumberFormat="0" applyFill="0" applyAlignment="0" applyProtection="0"/>
    <xf numFmtId="0" fontId="13" fillId="0" borderId="0" applyNumberFormat="0" applyFill="0" applyBorder="0" applyAlignment="0" applyProtection="0"/>
    <xf numFmtId="0" fontId="14" fillId="4" borderId="0" applyNumberFormat="0" applyBorder="0" applyAlignment="0" applyProtection="0"/>
    <xf numFmtId="0" fontId="44" fillId="0" borderId="0" applyNumberFormat="0" applyFill="0" applyBorder="0" applyAlignment="0" applyProtection="0">
      <alignment vertical="top"/>
      <protection locked="0"/>
    </xf>
    <xf numFmtId="0" fontId="45" fillId="0" borderId="0"/>
    <xf numFmtId="0" fontId="3" fillId="0" borderId="0"/>
    <xf numFmtId="0" fontId="45" fillId="0" borderId="0"/>
    <xf numFmtId="0" fontId="45" fillId="0" borderId="0"/>
    <xf numFmtId="0" fontId="38" fillId="0" borderId="0"/>
    <xf numFmtId="0" fontId="3" fillId="0" borderId="0"/>
    <xf numFmtId="0" fontId="3" fillId="22" borderId="9" applyNumberFormat="0" applyFont="0" applyAlignment="0" applyProtection="0"/>
    <xf numFmtId="0" fontId="15" fillId="3" borderId="0" applyNumberFormat="0" applyBorder="0" applyAlignment="0" applyProtection="0"/>
    <xf numFmtId="0" fontId="3" fillId="0" borderId="0"/>
    <xf numFmtId="0" fontId="16" fillId="0" borderId="0"/>
    <xf numFmtId="0" fontId="17" fillId="0" borderId="0" applyNumberFormat="0" applyFill="0" applyBorder="0" applyAlignment="0" applyProtection="0"/>
    <xf numFmtId="0" fontId="18" fillId="0" borderId="5" applyNumberFormat="0" applyFill="0" applyAlignment="0" applyProtection="0"/>
    <xf numFmtId="0" fontId="19" fillId="0" borderId="6" applyNumberFormat="0" applyFill="0" applyAlignment="0" applyProtection="0"/>
    <xf numFmtId="0" fontId="20" fillId="0" borderId="7" applyNumberFormat="0" applyFill="0" applyAlignment="0" applyProtection="0"/>
    <xf numFmtId="0" fontId="20" fillId="0" borderId="0" applyNumberFormat="0" applyFill="0" applyBorder="0" applyAlignment="0" applyProtection="0"/>
    <xf numFmtId="0" fontId="21" fillId="0" borderId="8" applyNumberFormat="0" applyFill="0" applyAlignment="0" applyProtection="0"/>
    <xf numFmtId="0" fontId="22" fillId="0" borderId="0" applyNumberFormat="0" applyFill="0" applyBorder="0" applyAlignment="0" applyProtection="0"/>
    <xf numFmtId="0" fontId="23" fillId="21" borderId="3" applyNumberFormat="0" applyAlignment="0" applyProtection="0"/>
    <xf numFmtId="0" fontId="1" fillId="0" borderId="0"/>
    <xf numFmtId="0" fontId="1" fillId="0" borderId="0"/>
    <xf numFmtId="0" fontId="1" fillId="0" borderId="0"/>
  </cellStyleXfs>
  <cellXfs count="110">
    <xf numFmtId="0" fontId="0" fillId="0" borderId="0" xfId="0"/>
    <xf numFmtId="0" fontId="4" fillId="0" borderId="0" xfId="38" applyFont="1" applyAlignment="1">
      <alignment vertical="center"/>
    </xf>
    <xf numFmtId="0" fontId="3" fillId="0" borderId="0" xfId="38" applyAlignment="1">
      <alignment vertical="center"/>
    </xf>
    <xf numFmtId="0" fontId="3" fillId="0" borderId="0" xfId="38" applyFont="1" applyAlignment="1">
      <alignment vertical="center"/>
    </xf>
    <xf numFmtId="0" fontId="3" fillId="23" borderId="0" xfId="38" applyFill="1" applyAlignment="1">
      <alignment vertical="center"/>
    </xf>
    <xf numFmtId="0" fontId="4" fillId="23" borderId="0" xfId="38" applyFont="1" applyFill="1" applyAlignment="1">
      <alignment vertical="center"/>
    </xf>
    <xf numFmtId="0" fontId="26" fillId="0" borderId="0" xfId="27" applyFont="1" applyAlignment="1">
      <alignment vertical="center"/>
    </xf>
    <xf numFmtId="0" fontId="27" fillId="0" borderId="0" xfId="27" applyFont="1" applyAlignment="1">
      <alignment vertical="center"/>
    </xf>
    <xf numFmtId="0" fontId="29" fillId="0" borderId="0" xfId="27" applyFont="1" applyAlignment="1">
      <alignment vertical="center"/>
    </xf>
    <xf numFmtId="164" fontId="30" fillId="23" borderId="0" xfId="27" applyNumberFormat="1" applyFont="1" applyFill="1" applyAlignment="1">
      <alignment vertical="center"/>
    </xf>
    <xf numFmtId="164" fontId="3" fillId="23" borderId="0" xfId="27" applyNumberFormat="1" applyFill="1" applyAlignment="1">
      <alignment vertical="center"/>
    </xf>
    <xf numFmtId="0" fontId="2" fillId="0" borderId="0" xfId="34" applyFont="1" applyAlignment="1">
      <alignment vertical="center"/>
    </xf>
    <xf numFmtId="0" fontId="3" fillId="0" borderId="0" xfId="34" applyAlignment="1">
      <alignment vertical="center"/>
    </xf>
    <xf numFmtId="164" fontId="3" fillId="23" borderId="0" xfId="27" applyNumberFormat="1" applyFill="1" applyBorder="1" applyAlignment="1">
      <alignment vertical="center"/>
    </xf>
    <xf numFmtId="164" fontId="30" fillId="23" borderId="0" xfId="27" applyNumberFormat="1" applyFont="1" applyFill="1" applyBorder="1" applyAlignment="1">
      <alignment vertical="center"/>
    </xf>
    <xf numFmtId="0" fontId="3" fillId="0" borderId="0" xfId="27" applyFont="1" applyAlignment="1">
      <alignment vertical="center"/>
    </xf>
    <xf numFmtId="0" fontId="30" fillId="0" borderId="0" xfId="27" applyFont="1" applyAlignment="1">
      <alignment vertical="center"/>
    </xf>
    <xf numFmtId="0" fontId="31" fillId="0" borderId="0" xfId="27" applyFont="1" applyAlignment="1">
      <alignment vertical="center"/>
    </xf>
    <xf numFmtId="0" fontId="24" fillId="0" borderId="0" xfId="27" applyFont="1" applyAlignment="1">
      <alignment vertical="center"/>
    </xf>
    <xf numFmtId="0" fontId="32" fillId="0" borderId="0" xfId="27" applyFont="1" applyAlignment="1">
      <alignment vertical="center"/>
    </xf>
    <xf numFmtId="165" fontId="32" fillId="0" borderId="0" xfId="27" applyNumberFormat="1" applyFont="1" applyAlignment="1">
      <alignment horizontal="left" vertical="center"/>
    </xf>
    <xf numFmtId="0" fontId="4" fillId="23" borderId="0" xfId="38" applyFont="1" applyFill="1" applyAlignment="1">
      <alignment horizontal="center" vertical="center" wrapText="1"/>
    </xf>
    <xf numFmtId="0" fontId="4" fillId="24" borderId="10" xfId="38" applyFont="1" applyFill="1" applyBorder="1" applyAlignment="1">
      <alignment horizontal="center" vertical="center" wrapText="1"/>
    </xf>
    <xf numFmtId="0" fontId="34" fillId="0" borderId="10" xfId="38" applyFont="1" applyBorder="1" applyAlignment="1">
      <alignment vertical="center" wrapText="1"/>
    </xf>
    <xf numFmtId="0" fontId="4" fillId="23" borderId="0" xfId="38" applyFont="1" applyFill="1" applyAlignment="1">
      <alignment vertical="center" wrapText="1"/>
    </xf>
    <xf numFmtId="0" fontId="4" fillId="24" borderId="10" xfId="38" applyFont="1" applyFill="1" applyBorder="1" applyAlignment="1">
      <alignment vertical="center"/>
    </xf>
    <xf numFmtId="0" fontId="34" fillId="0" borderId="10" xfId="38" applyFont="1" applyBorder="1" applyAlignment="1">
      <alignment horizontal="left" vertical="center" wrapText="1"/>
    </xf>
    <xf numFmtId="0" fontId="4" fillId="24" borderId="10" xfId="38" applyFont="1" applyFill="1" applyBorder="1" applyAlignment="1">
      <alignment vertical="center" wrapText="1"/>
    </xf>
    <xf numFmtId="0" fontId="36" fillId="23" borderId="11" xfId="38" applyFont="1" applyFill="1" applyBorder="1" applyAlignment="1">
      <alignment horizontal="right" vertical="center"/>
    </xf>
    <xf numFmtId="0" fontId="3" fillId="23" borderId="0" xfId="38" applyFont="1" applyFill="1" applyAlignment="1">
      <alignment vertical="center"/>
    </xf>
    <xf numFmtId="0" fontId="4" fillId="24" borderId="12" xfId="38" applyFont="1" applyFill="1" applyBorder="1" applyAlignment="1">
      <alignment vertical="center"/>
    </xf>
    <xf numFmtId="0" fontId="38" fillId="0" borderId="0" xfId="37" applyBorder="1"/>
    <xf numFmtId="0" fontId="38" fillId="0" borderId="0" xfId="37"/>
    <xf numFmtId="0" fontId="3" fillId="0" borderId="0" xfId="37" applyFont="1"/>
    <xf numFmtId="0" fontId="39" fillId="25" borderId="10" xfId="37" applyFont="1" applyFill="1" applyBorder="1" applyAlignment="1">
      <alignment horizontal="right" wrapText="1"/>
    </xf>
    <xf numFmtId="0" fontId="38" fillId="0" borderId="10" xfId="37" applyBorder="1" applyAlignment="1">
      <alignment wrapText="1"/>
    </xf>
    <xf numFmtId="0" fontId="38" fillId="0" borderId="10" xfId="37" applyBorder="1"/>
    <xf numFmtId="14" fontId="38" fillId="0" borderId="10" xfId="37" applyNumberFormat="1" applyBorder="1" applyAlignment="1">
      <alignment horizontal="right" wrapText="1"/>
    </xf>
    <xf numFmtId="14" fontId="38" fillId="0" borderId="10" xfId="37" applyNumberFormat="1" applyBorder="1" applyAlignment="1">
      <alignment wrapText="1"/>
    </xf>
    <xf numFmtId="0" fontId="38" fillId="0" borderId="10" xfId="37" applyFont="1" applyBorder="1" applyAlignment="1">
      <alignment wrapText="1"/>
    </xf>
    <xf numFmtId="0" fontId="4" fillId="24" borderId="13" xfId="38" applyFont="1" applyFill="1" applyBorder="1" applyAlignment="1">
      <alignment vertical="center"/>
    </xf>
    <xf numFmtId="0" fontId="3" fillId="23" borderId="0" xfId="38" applyFont="1" applyFill="1" applyBorder="1" applyAlignment="1">
      <alignment vertical="center"/>
    </xf>
    <xf numFmtId="0" fontId="3" fillId="23" borderId="0" xfId="38" applyFill="1" applyBorder="1" applyAlignment="1">
      <alignment vertical="center"/>
    </xf>
    <xf numFmtId="0" fontId="3" fillId="0" borderId="0" xfId="38" applyBorder="1" applyAlignment="1">
      <alignment vertical="center"/>
    </xf>
    <xf numFmtId="0" fontId="30" fillId="0" borderId="10" xfId="37" applyFont="1" applyFill="1" applyBorder="1" applyAlignment="1">
      <alignment vertical="top"/>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 fillId="0" borderId="0" xfId="38" applyAlignment="1">
      <alignment vertical="center" wrapText="1"/>
    </xf>
    <xf numFmtId="0" fontId="3" fillId="0" borderId="0" xfId="38" applyFont="1" applyAlignment="1">
      <alignment vertical="center" wrapText="1"/>
    </xf>
    <xf numFmtId="0" fontId="3" fillId="23" borderId="0" xfId="38" applyFill="1" applyAlignment="1">
      <alignment vertical="center" wrapText="1"/>
    </xf>
    <xf numFmtId="0" fontId="3" fillId="23" borderId="0" xfId="38" applyNumberFormat="1" applyFill="1" applyAlignment="1">
      <alignment vertical="center" wrapText="1"/>
    </xf>
    <xf numFmtId="15" fontId="34" fillId="0" borderId="10" xfId="38" applyNumberFormat="1" applyFont="1" applyBorder="1" applyAlignment="1">
      <alignment horizontal="left" vertical="center" wrapText="1"/>
    </xf>
    <xf numFmtId="15" fontId="44" fillId="0" borderId="10" xfId="32" applyNumberFormat="1" applyBorder="1" applyAlignment="1" applyProtection="1">
      <alignment horizontal="left" vertical="center" wrapText="1"/>
    </xf>
    <xf numFmtId="0" fontId="3" fillId="23" borderId="0" xfId="38" applyFill="1" applyBorder="1" applyAlignment="1">
      <alignment vertical="center" wrapText="1"/>
    </xf>
    <xf numFmtId="0" fontId="3" fillId="0" borderId="0" xfId="38" applyBorder="1" applyAlignment="1">
      <alignment vertical="center" wrapText="1"/>
    </xf>
    <xf numFmtId="0" fontId="30" fillId="0" borderId="10" xfId="37" applyFont="1" applyFill="1" applyBorder="1" applyAlignment="1">
      <alignment wrapText="1"/>
    </xf>
    <xf numFmtId="15" fontId="46" fillId="0" borderId="10" xfId="32" applyNumberFormat="1" applyFont="1" applyBorder="1" applyAlignment="1" applyProtection="1">
      <alignment horizontal="left" vertical="center" wrapText="1"/>
    </xf>
    <xf numFmtId="0" fontId="38" fillId="0" borderId="0" xfId="37" applyAlignment="1">
      <alignment horizontal="left" vertical="top"/>
    </xf>
    <xf numFmtId="0" fontId="30" fillId="26" borderId="10" xfId="37" applyFont="1" applyFill="1" applyBorder="1" applyAlignment="1">
      <alignment vertical="top" wrapText="1"/>
    </xf>
    <xf numFmtId="0" fontId="30" fillId="26" borderId="10" xfId="37" applyFont="1" applyFill="1" applyBorder="1" applyAlignment="1">
      <alignment horizontal="left" vertical="top" wrapText="1"/>
    </xf>
    <xf numFmtId="0" fontId="30" fillId="26" borderId="10" xfId="37" applyFont="1" applyFill="1" applyBorder="1"/>
    <xf numFmtId="0" fontId="30" fillId="26" borderId="10" xfId="37" applyFont="1" applyFill="1" applyBorder="1" applyAlignment="1">
      <alignment wrapText="1"/>
    </xf>
    <xf numFmtId="0" fontId="41" fillId="26" borderId="10" xfId="37" applyFont="1" applyFill="1" applyBorder="1" applyAlignment="1">
      <alignment vertical="top" wrapText="1"/>
    </xf>
    <xf numFmtId="0" fontId="0" fillId="0" borderId="0" xfId="0" applyAlignment="1">
      <alignment horizontal="center"/>
    </xf>
    <xf numFmtId="0" fontId="47" fillId="27" borderId="0" xfId="0" applyFont="1" applyFill="1"/>
    <xf numFmtId="0" fontId="47" fillId="27" borderId="0" xfId="0" applyFont="1" applyFill="1" applyAlignment="1">
      <alignment horizontal="center"/>
    </xf>
    <xf numFmtId="0" fontId="4" fillId="28" borderId="10" xfId="0" applyFont="1" applyFill="1" applyBorder="1"/>
    <xf numFmtId="0" fontId="0" fillId="28" borderId="10" xfId="0" applyFill="1" applyBorder="1" applyAlignment="1">
      <alignment horizontal="center"/>
    </xf>
    <xf numFmtId="14" fontId="0" fillId="28" borderId="10" xfId="0" applyNumberFormat="1" applyFill="1" applyBorder="1" applyAlignment="1">
      <alignment horizontal="center"/>
    </xf>
    <xf numFmtId="14" fontId="3" fillId="28" borderId="10" xfId="0" quotePrefix="1" applyNumberFormat="1" applyFont="1" applyFill="1" applyBorder="1" applyAlignment="1">
      <alignment horizontal="center"/>
    </xf>
    <xf numFmtId="0" fontId="3" fillId="28" borderId="10" xfId="0" applyFont="1" applyFill="1" applyBorder="1" applyAlignment="1">
      <alignment horizontal="center"/>
    </xf>
    <xf numFmtId="166" fontId="0" fillId="28" borderId="10" xfId="0" applyNumberFormat="1" applyFill="1" applyBorder="1" applyAlignment="1">
      <alignment horizontal="center"/>
    </xf>
    <xf numFmtId="49" fontId="4" fillId="24" borderId="10" xfId="37" applyNumberFormat="1" applyFont="1" applyFill="1" applyBorder="1" applyAlignment="1">
      <alignment horizontal="center" vertical="top"/>
    </xf>
    <xf numFmtId="0" fontId="39" fillId="25" borderId="10" xfId="37" applyFont="1" applyFill="1" applyBorder="1" applyAlignment="1">
      <alignment horizontal="right" vertical="top" wrapText="1"/>
    </xf>
    <xf numFmtId="0" fontId="4" fillId="0" borderId="0" xfId="0" applyFont="1" applyFill="1"/>
    <xf numFmtId="0" fontId="0" fillId="0" borderId="0" xfId="0" applyFill="1"/>
    <xf numFmtId="17" fontId="33" fillId="23" borderId="0" xfId="38" applyNumberFormat="1" applyFont="1" applyFill="1" applyAlignment="1">
      <alignment vertical="center" wrapText="1"/>
    </xf>
    <xf numFmtId="0" fontId="30" fillId="0" borderId="10" xfId="37" applyFont="1" applyBorder="1" applyAlignment="1">
      <alignment wrapText="1"/>
    </xf>
    <xf numFmtId="0" fontId="38" fillId="29" borderId="10" xfId="37" applyFill="1" applyBorder="1" applyAlignment="1">
      <alignment horizontal="left" vertical="top" wrapText="1"/>
    </xf>
    <xf numFmtId="0" fontId="38" fillId="0" borderId="10" xfId="37" applyBorder="1" applyAlignment="1">
      <alignment vertical="top" wrapText="1"/>
    </xf>
    <xf numFmtId="0" fontId="38" fillId="0" borderId="0" xfId="37"/>
    <xf numFmtId="0" fontId="3" fillId="0" borderId="0" xfId="37" applyFont="1"/>
    <xf numFmtId="0" fontId="38" fillId="0" borderId="10" xfId="37" applyBorder="1" applyAlignment="1">
      <alignment wrapText="1"/>
    </xf>
    <xf numFmtId="0" fontId="38" fillId="0" borderId="10" xfId="37" applyBorder="1"/>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0" fillId="0" borderId="10" xfId="37" applyFont="1" applyBorder="1" applyAlignment="1">
      <alignment vertical="top"/>
    </xf>
    <xf numFmtId="0" fontId="30" fillId="0" borderId="10" xfId="37" applyFont="1" applyBorder="1"/>
    <xf numFmtId="0" fontId="38" fillId="0" borderId="10" xfId="37" applyBorder="1" applyAlignment="1">
      <alignment horizontal="left" vertical="top" wrapText="1"/>
    </xf>
    <xf numFmtId="0" fontId="29" fillId="0" borderId="0" xfId="27" applyFont="1" applyAlignment="1">
      <alignment horizontal="right" vertical="center"/>
    </xf>
    <xf numFmtId="0" fontId="31" fillId="0" borderId="0" xfId="27" applyFont="1" applyAlignment="1">
      <alignment horizontal="left" vertical="center"/>
    </xf>
    <xf numFmtId="0" fontId="27" fillId="0" borderId="0" xfId="27" applyFont="1" applyAlignment="1">
      <alignment horizontal="right" vertical="center"/>
    </xf>
    <xf numFmtId="0" fontId="27" fillId="0" borderId="0" xfId="27" applyFont="1" applyAlignment="1">
      <alignment horizontal="left" vertical="center" wrapText="1"/>
    </xf>
    <xf numFmtId="0" fontId="28" fillId="0" borderId="0" xfId="27" applyFont="1" applyAlignment="1">
      <alignment horizontal="right" vertical="center"/>
    </xf>
    <xf numFmtId="0" fontId="28" fillId="0" borderId="0" xfId="27" applyFont="1" applyAlignment="1">
      <alignment horizontal="left" vertical="center" wrapText="1"/>
    </xf>
    <xf numFmtId="164" fontId="7" fillId="23" borderId="14" xfId="27" applyNumberFormat="1" applyFont="1" applyFill="1" applyBorder="1" applyAlignment="1">
      <alignment horizontal="center" vertical="center"/>
    </xf>
    <xf numFmtId="0" fontId="24" fillId="0" borderId="0" xfId="27" applyFont="1" applyAlignment="1">
      <alignment horizontal="center" vertical="center"/>
    </xf>
    <xf numFmtId="0" fontId="25" fillId="0" borderId="0" xfId="27" applyFont="1" applyAlignment="1">
      <alignment horizontal="center" vertical="center"/>
    </xf>
    <xf numFmtId="0" fontId="26" fillId="0" borderId="0" xfId="27" applyFont="1" applyAlignment="1">
      <alignment horizontal="right" vertical="center"/>
    </xf>
    <xf numFmtId="0" fontId="26" fillId="0" borderId="0" xfId="27" applyFont="1" applyAlignment="1">
      <alignment horizontal="left" vertical="center"/>
    </xf>
    <xf numFmtId="0" fontId="35" fillId="23" borderId="11" xfId="38" applyFont="1" applyFill="1" applyBorder="1" applyAlignment="1">
      <alignment horizontal="left" vertical="center"/>
    </xf>
    <xf numFmtId="0" fontId="33" fillId="23" borderId="0" xfId="38" applyFont="1" applyFill="1" applyAlignment="1">
      <alignment vertical="center"/>
    </xf>
    <xf numFmtId="0" fontId="33" fillId="24" borderId="15" xfId="38" applyFont="1" applyFill="1" applyBorder="1" applyAlignment="1">
      <alignment horizontal="center" vertical="center" wrapText="1"/>
    </xf>
    <xf numFmtId="0" fontId="45" fillId="0" borderId="15" xfId="36" applyBorder="1"/>
    <xf numFmtId="0" fontId="38" fillId="0" borderId="12" xfId="37" applyFont="1" applyBorder="1" applyAlignment="1">
      <alignment horizontal="center" wrapText="1"/>
    </xf>
    <xf numFmtId="0" fontId="38" fillId="0" borderId="15" xfId="37" applyFont="1" applyBorder="1" applyAlignment="1">
      <alignment horizontal="center" wrapText="1"/>
    </xf>
    <xf numFmtId="0" fontId="38" fillId="0" borderId="16" xfId="37" applyFont="1" applyBorder="1" applyAlignment="1">
      <alignment horizontal="center" wrapText="1"/>
    </xf>
    <xf numFmtId="0" fontId="40" fillId="0" borderId="10" xfId="37" applyFont="1" applyBorder="1" applyAlignment="1">
      <alignment horizontal="left" wrapText="1"/>
    </xf>
    <xf numFmtId="0" fontId="38" fillId="0" borderId="10" xfId="37" applyFont="1" applyBorder="1" applyAlignment="1">
      <alignment horizontal="left" wrapText="1"/>
    </xf>
    <xf numFmtId="0" fontId="38" fillId="0" borderId="10" xfId="37" applyBorder="1" applyAlignment="1">
      <alignment horizontal="left" wrapText="1"/>
    </xf>
  </cellXfs>
  <cellStyles count="54">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ormal" xfId="0" builtinId="0"/>
    <cellStyle name="Normal 2" xfId="33" xr:uid="{00000000-0005-0000-0000-000021000000}"/>
    <cellStyle name="Normal 2 2" xfId="34" xr:uid="{00000000-0005-0000-0000-000022000000}"/>
    <cellStyle name="Normal 2 3" xfId="51" xr:uid="{00000000-0005-0000-0000-000023000000}"/>
    <cellStyle name="Normal 3" xfId="35" xr:uid="{00000000-0005-0000-0000-000024000000}"/>
    <cellStyle name="Normal 3 2" xfId="36" xr:uid="{00000000-0005-0000-0000-000025000000}"/>
    <cellStyle name="Normal 3 2 2" xfId="53" xr:uid="{00000000-0005-0000-0000-000026000000}"/>
    <cellStyle name="Normal 3 3" xfId="52" xr:uid="{00000000-0005-0000-0000-000027000000}"/>
    <cellStyle name="Normal 4" xfId="37" xr:uid="{00000000-0005-0000-0000-000028000000}"/>
    <cellStyle name="Normal_Analytics_Test Script_CR_XXXX_Template" xfId="38" xr:uid="{00000000-0005-0000-0000-000029000000}"/>
    <cellStyle name="Notiz" xfId="39" xr:uid="{00000000-0005-0000-0000-00002A000000}"/>
    <cellStyle name="Schlecht" xfId="40" xr:uid="{00000000-0005-0000-0000-00002B000000}"/>
    <cellStyle name="Standard 2" xfId="41" xr:uid="{00000000-0005-0000-0000-00002C000000}"/>
    <cellStyle name="Style 1" xfId="42" xr:uid="{00000000-0005-0000-0000-00002D000000}"/>
    <cellStyle name="Überschrift" xfId="43" xr:uid="{00000000-0005-0000-0000-00002E000000}"/>
    <cellStyle name="Überschrift 1" xfId="44" xr:uid="{00000000-0005-0000-0000-00002F000000}"/>
    <cellStyle name="Überschrift 2" xfId="45" xr:uid="{00000000-0005-0000-0000-000030000000}"/>
    <cellStyle name="Überschrift 3" xfId="46" xr:uid="{00000000-0005-0000-0000-000031000000}"/>
    <cellStyle name="Überschrift 4" xfId="47" xr:uid="{00000000-0005-0000-0000-000032000000}"/>
    <cellStyle name="Verknüpfte Zelle" xfId="48" xr:uid="{00000000-0005-0000-0000-000033000000}"/>
    <cellStyle name="Warnender Text" xfId="49" xr:uid="{00000000-0005-0000-0000-000034000000}"/>
    <cellStyle name="Zelle überprüfen" xfId="50" xr:uid="{00000000-0005-0000-0000-00003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00000000-0008-0000-0000-000001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0000000-0008-0000-0000-000002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00000000-0008-0000-0000-000003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00000000-0008-0000-0000-000004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00000000-0008-0000-0000-000005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952500</xdr:colOff>
          <xdr:row>7</xdr:row>
          <xdr:rowOff>85725</xdr:rowOff>
        </xdr:from>
        <xdr:to>
          <xdr:col>2</xdr:col>
          <xdr:colOff>2524125</xdr:colOff>
          <xdr:row>7</xdr:row>
          <xdr:rowOff>600075</xdr:rowOff>
        </xdr:to>
        <xdr:sp macro="" textlink="">
          <xdr:nvSpPr>
            <xdr:cNvPr id="10276" name="Object 36" hidden="1">
              <a:extLst>
                <a:ext uri="{63B3BB69-23CF-44E3-9099-C40C66FF867C}">
                  <a14:compatExt spid="_x0000_s10276"/>
                </a:ext>
                <a:ext uri="{FF2B5EF4-FFF2-40B4-BE49-F238E27FC236}">
                  <a16:creationId xmlns:a16="http://schemas.microsoft.com/office/drawing/2014/main" id="{00000000-0008-0000-0200-000024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1076325</xdr:colOff>
          <xdr:row>14</xdr:row>
          <xdr:rowOff>57150</xdr:rowOff>
        </xdr:from>
        <xdr:to>
          <xdr:col>2</xdr:col>
          <xdr:colOff>2647950</xdr:colOff>
          <xdr:row>14</xdr:row>
          <xdr:rowOff>571500</xdr:rowOff>
        </xdr:to>
        <xdr:sp macro="" textlink="">
          <xdr:nvSpPr>
            <xdr:cNvPr id="10277" name="Object 37" hidden="1">
              <a:extLst>
                <a:ext uri="{63B3BB69-23CF-44E3-9099-C40C66FF867C}">
                  <a14:compatExt spid="_x0000_s10277"/>
                </a:ext>
                <a:ext uri="{FF2B5EF4-FFF2-40B4-BE49-F238E27FC236}">
                  <a16:creationId xmlns:a16="http://schemas.microsoft.com/office/drawing/2014/main" id="{00000000-0008-0000-0200-000025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8</xdr:col>
      <xdr:colOff>209550</xdr:colOff>
      <xdr:row>11</xdr:row>
      <xdr:rowOff>24983</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65100"/>
          <a:ext cx="7772400" cy="1612483"/>
        </a:xfrm>
        <a:prstGeom prst="rect">
          <a:avLst/>
        </a:prstGeom>
      </xdr:spPr>
    </xdr:pic>
    <xdr:clientData/>
  </xdr:twoCellAnchor>
  <xdr:twoCellAnchor editAs="oneCell">
    <xdr:from>
      <xdr:col>0</xdr:col>
      <xdr:colOff>0</xdr:colOff>
      <xdr:row>13</xdr:row>
      <xdr:rowOff>0</xdr:rowOff>
    </xdr:from>
    <xdr:to>
      <xdr:col>8</xdr:col>
      <xdr:colOff>209550</xdr:colOff>
      <xdr:row>33</xdr:row>
      <xdr:rowOff>9172</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2076450"/>
          <a:ext cx="7772400" cy="3190522"/>
        </a:xfrm>
        <a:prstGeom prst="rect">
          <a:avLst/>
        </a:prstGeom>
      </xdr:spPr>
    </xdr:pic>
    <xdr:clientData/>
  </xdr:twoCellAnchor>
  <xdr:twoCellAnchor editAs="oneCell">
    <xdr:from>
      <xdr:col>0</xdr:col>
      <xdr:colOff>0</xdr:colOff>
      <xdr:row>35</xdr:row>
      <xdr:rowOff>0</xdr:rowOff>
    </xdr:from>
    <xdr:to>
      <xdr:col>8</xdr:col>
      <xdr:colOff>209550</xdr:colOff>
      <xdr:row>48</xdr:row>
      <xdr:rowOff>81733</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5575300"/>
          <a:ext cx="7772400" cy="214548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topLeftCell="A20" zoomScale="66" workbookViewId="0">
      <selection activeCell="K23" sqref="K23:S23"/>
    </sheetView>
  </sheetViews>
  <sheetFormatPr defaultColWidth="9.140625" defaultRowHeight="12.75" x14ac:dyDescent="0.2"/>
  <cols>
    <col min="1" max="9" width="10.7109375" style="12" customWidth="1"/>
    <col min="10" max="10" width="2.7109375" style="12" customWidth="1"/>
    <col min="11" max="19" width="10.7109375" style="12" customWidth="1"/>
    <col min="20" max="16384" width="9.140625" style="12"/>
  </cols>
  <sheetData>
    <row r="1" spans="1:19" s="11" customFormat="1" ht="13.5" x14ac:dyDescent="0.2">
      <c r="A1" s="9"/>
      <c r="B1" s="10"/>
      <c r="C1" s="10"/>
      <c r="D1" s="10"/>
      <c r="E1" s="10"/>
      <c r="F1" s="10"/>
      <c r="G1" s="10"/>
      <c r="H1" s="10"/>
      <c r="I1" s="10"/>
      <c r="J1" s="10"/>
      <c r="K1" s="10"/>
      <c r="L1" s="10"/>
      <c r="M1" s="10"/>
      <c r="N1" s="10"/>
      <c r="O1" s="10"/>
      <c r="P1" s="10"/>
      <c r="Q1" s="10"/>
      <c r="R1" s="10"/>
      <c r="S1" s="10"/>
    </row>
    <row r="2" spans="1:19" s="11" customFormat="1" x14ac:dyDescent="0.2">
      <c r="A2" s="10"/>
      <c r="B2" s="10"/>
      <c r="C2" s="10"/>
      <c r="D2" s="10"/>
      <c r="E2" s="10"/>
      <c r="F2" s="10"/>
      <c r="G2" s="10"/>
      <c r="H2" s="10"/>
      <c r="I2" s="10"/>
      <c r="J2" s="10"/>
      <c r="K2" s="10"/>
      <c r="L2" s="10"/>
      <c r="M2" s="10"/>
      <c r="N2" s="10"/>
      <c r="O2" s="10"/>
      <c r="P2" s="10"/>
      <c r="Q2" s="10"/>
      <c r="R2" s="10"/>
      <c r="S2" s="10"/>
    </row>
    <row r="3" spans="1:19" s="11" customFormat="1" x14ac:dyDescent="0.2">
      <c r="A3" s="10"/>
      <c r="B3" s="10"/>
      <c r="C3" s="10"/>
      <c r="D3" s="10"/>
      <c r="E3" s="10"/>
      <c r="F3" s="10"/>
      <c r="G3" s="10"/>
      <c r="H3" s="10"/>
      <c r="I3" s="10"/>
      <c r="J3" s="10"/>
      <c r="K3" s="10"/>
      <c r="L3" s="10"/>
      <c r="M3" s="10"/>
      <c r="N3" s="10"/>
      <c r="O3" s="10"/>
      <c r="P3" s="10"/>
      <c r="Q3" s="10"/>
      <c r="R3" s="10"/>
      <c r="S3" s="10"/>
    </row>
    <row r="4" spans="1:19" s="11" customFormat="1" x14ac:dyDescent="0.2">
      <c r="A4" s="10"/>
      <c r="B4" s="10"/>
      <c r="C4" s="10"/>
      <c r="D4" s="10"/>
      <c r="E4" s="10"/>
      <c r="F4" s="10"/>
      <c r="G4" s="10"/>
      <c r="H4" s="10"/>
      <c r="I4" s="10"/>
      <c r="J4" s="10"/>
      <c r="K4" s="10"/>
      <c r="L4" s="10"/>
      <c r="M4" s="10"/>
      <c r="N4" s="10"/>
      <c r="O4" s="10"/>
      <c r="P4" s="10"/>
      <c r="Q4" s="10"/>
      <c r="R4" s="10"/>
      <c r="S4" s="10"/>
    </row>
    <row r="5" spans="1:19" s="11" customFormat="1" x14ac:dyDescent="0.2">
      <c r="A5" s="10"/>
      <c r="B5" s="10"/>
      <c r="C5" s="10"/>
      <c r="D5" s="10"/>
      <c r="E5" s="10"/>
      <c r="F5" s="10"/>
      <c r="G5" s="10"/>
      <c r="H5" s="10"/>
      <c r="I5" s="10"/>
      <c r="J5" s="10"/>
      <c r="K5" s="10"/>
      <c r="L5" s="10"/>
      <c r="M5" s="10"/>
      <c r="N5" s="10"/>
      <c r="O5" s="10"/>
      <c r="P5" s="10"/>
      <c r="Q5" s="10"/>
      <c r="R5" s="10"/>
      <c r="S5" s="10"/>
    </row>
    <row r="6" spans="1:19" x14ac:dyDescent="0.2">
      <c r="A6" s="10"/>
      <c r="B6" s="10"/>
      <c r="C6" s="10"/>
      <c r="D6" s="10"/>
      <c r="E6" s="10"/>
      <c r="F6" s="10"/>
      <c r="G6" s="10"/>
      <c r="H6" s="10"/>
      <c r="I6" s="10"/>
      <c r="J6" s="10"/>
      <c r="K6" s="10"/>
      <c r="L6" s="10"/>
      <c r="M6" s="10"/>
      <c r="N6" s="10"/>
      <c r="O6" s="10"/>
      <c r="P6" s="10"/>
      <c r="Q6" s="10"/>
      <c r="R6" s="10"/>
      <c r="S6" s="10"/>
    </row>
    <row r="7" spans="1:19" ht="12.75" customHeight="1" x14ac:dyDescent="0.2">
      <c r="A7" s="10"/>
      <c r="B7" s="10"/>
      <c r="C7" s="10"/>
      <c r="D7" s="10"/>
      <c r="E7" s="10"/>
      <c r="F7" s="10"/>
      <c r="G7" s="10"/>
      <c r="H7" s="10"/>
      <c r="I7" s="10"/>
      <c r="J7" s="10"/>
      <c r="K7" s="10"/>
      <c r="L7" s="10"/>
      <c r="M7" s="10"/>
      <c r="N7" s="10"/>
      <c r="O7" s="10"/>
      <c r="P7" s="10"/>
      <c r="Q7" s="10"/>
      <c r="R7" s="10"/>
      <c r="S7" s="10"/>
    </row>
    <row r="8" spans="1:19" ht="9.75" customHeight="1" x14ac:dyDescent="0.2">
      <c r="A8" s="10"/>
      <c r="B8" s="10"/>
      <c r="C8" s="10"/>
      <c r="D8" s="10"/>
      <c r="E8" s="10"/>
      <c r="F8" s="10"/>
      <c r="G8" s="10"/>
      <c r="H8" s="10"/>
      <c r="I8" s="10"/>
      <c r="J8" s="10"/>
      <c r="K8" s="10"/>
      <c r="L8" s="10"/>
      <c r="M8" s="10"/>
      <c r="N8" s="10"/>
      <c r="O8" s="10"/>
      <c r="P8" s="10"/>
      <c r="Q8" s="10"/>
      <c r="R8" s="10"/>
      <c r="S8" s="10"/>
    </row>
    <row r="9" spans="1:19" x14ac:dyDescent="0.2">
      <c r="A9" s="10"/>
      <c r="B9" s="10"/>
      <c r="C9" s="10"/>
      <c r="D9" s="10"/>
      <c r="E9" s="10"/>
      <c r="F9" s="10"/>
      <c r="G9" s="10"/>
      <c r="H9" s="10"/>
      <c r="I9" s="10"/>
      <c r="J9" s="10"/>
      <c r="K9" s="10"/>
      <c r="L9" s="10"/>
      <c r="M9" s="10"/>
      <c r="N9" s="10"/>
      <c r="O9" s="10"/>
      <c r="P9" s="10"/>
      <c r="Q9" s="10"/>
      <c r="R9" s="10"/>
      <c r="S9" s="10"/>
    </row>
    <row r="10" spans="1:19" ht="13.5" x14ac:dyDescent="0.2">
      <c r="A10" s="9"/>
      <c r="B10" s="9"/>
      <c r="C10" s="9"/>
      <c r="D10" s="9"/>
      <c r="E10" s="9"/>
      <c r="F10" s="9"/>
      <c r="G10" s="9"/>
      <c r="H10" s="9"/>
      <c r="I10" s="9"/>
      <c r="J10" s="9"/>
      <c r="K10" s="9"/>
      <c r="L10" s="9"/>
      <c r="M10" s="10"/>
      <c r="N10" s="10"/>
      <c r="O10" s="10"/>
      <c r="P10" s="10"/>
      <c r="Q10" s="10"/>
      <c r="R10" s="10"/>
      <c r="S10" s="10"/>
    </row>
    <row r="11" spans="1:19" ht="13.5" x14ac:dyDescent="0.2">
      <c r="A11" s="9"/>
      <c r="B11" s="9"/>
      <c r="C11" s="9"/>
      <c r="D11" s="9"/>
      <c r="E11" s="9"/>
      <c r="F11" s="9"/>
      <c r="G11" s="9"/>
      <c r="H11" s="9"/>
      <c r="I11" s="9"/>
      <c r="J11" s="9"/>
      <c r="K11" s="9"/>
      <c r="L11" s="9"/>
      <c r="M11" s="10"/>
      <c r="N11" s="10"/>
      <c r="O11" s="10"/>
      <c r="P11" s="10"/>
      <c r="Q11" s="10"/>
      <c r="R11" s="10"/>
      <c r="S11" s="10"/>
    </row>
    <row r="12" spans="1:19" ht="13.5" x14ac:dyDescent="0.2">
      <c r="A12" s="9"/>
      <c r="B12" s="9"/>
      <c r="C12" s="9"/>
      <c r="D12" s="9"/>
      <c r="E12" s="9"/>
      <c r="F12" s="9"/>
      <c r="G12" s="9"/>
      <c r="H12" s="9"/>
      <c r="I12" s="9"/>
      <c r="J12" s="9"/>
      <c r="K12" s="9"/>
      <c r="L12" s="9"/>
      <c r="M12" s="10"/>
      <c r="N12" s="10"/>
      <c r="O12" s="10"/>
      <c r="P12" s="10"/>
      <c r="Q12" s="10"/>
      <c r="R12" s="10"/>
      <c r="S12" s="10"/>
    </row>
    <row r="13" spans="1:19" ht="30.75" thickBot="1" x14ac:dyDescent="0.25">
      <c r="A13" s="95" t="s">
        <v>2</v>
      </c>
      <c r="B13" s="95"/>
      <c r="C13" s="95"/>
      <c r="D13" s="95"/>
      <c r="E13" s="95"/>
      <c r="F13" s="95"/>
      <c r="G13" s="95"/>
      <c r="H13" s="95"/>
      <c r="I13" s="95"/>
      <c r="J13" s="95"/>
      <c r="K13" s="95"/>
      <c r="L13" s="95"/>
      <c r="M13" s="95"/>
      <c r="N13" s="95"/>
      <c r="O13" s="95"/>
      <c r="P13" s="95"/>
      <c r="Q13" s="95"/>
      <c r="R13" s="95"/>
      <c r="S13" s="95"/>
    </row>
    <row r="14" spans="1:19" ht="14.25" thickTop="1" x14ac:dyDescent="0.2">
      <c r="A14" s="9"/>
      <c r="B14" s="9"/>
      <c r="C14" s="9"/>
      <c r="D14" s="9"/>
      <c r="E14" s="9"/>
      <c r="F14" s="9"/>
      <c r="G14" s="9"/>
      <c r="H14" s="9"/>
      <c r="I14" s="9"/>
      <c r="J14" s="9"/>
      <c r="K14" s="9"/>
      <c r="L14" s="9"/>
      <c r="M14" s="10"/>
      <c r="N14" s="10"/>
      <c r="O14" s="10"/>
      <c r="P14" s="10"/>
      <c r="Q14" s="10"/>
      <c r="R14" s="10"/>
      <c r="S14" s="10"/>
    </row>
    <row r="15" spans="1:19" ht="13.5" x14ac:dyDescent="0.2">
      <c r="A15" s="9"/>
      <c r="B15" s="9"/>
      <c r="C15" s="9"/>
      <c r="D15" s="9"/>
      <c r="E15" s="9"/>
      <c r="F15" s="9"/>
      <c r="G15" s="9"/>
      <c r="H15" s="9"/>
      <c r="I15" s="9"/>
      <c r="J15" s="9"/>
      <c r="K15" s="9"/>
      <c r="L15" s="9"/>
      <c r="M15" s="10"/>
      <c r="N15" s="10"/>
      <c r="O15" s="10"/>
      <c r="P15" s="10"/>
      <c r="Q15" s="10"/>
      <c r="R15" s="13"/>
      <c r="S15" s="13"/>
    </row>
    <row r="16" spans="1:19" ht="13.5" x14ac:dyDescent="0.2">
      <c r="A16" s="14"/>
      <c r="B16" s="14"/>
      <c r="C16" s="14"/>
      <c r="D16" s="14"/>
      <c r="E16" s="14"/>
      <c r="F16" s="14"/>
      <c r="G16" s="14"/>
      <c r="H16" s="14"/>
      <c r="I16" s="14"/>
      <c r="J16" s="14"/>
      <c r="K16" s="14"/>
      <c r="L16" s="14"/>
      <c r="M16" s="13"/>
      <c r="N16" s="13"/>
      <c r="O16" s="13"/>
      <c r="P16" s="13"/>
      <c r="Q16" s="13"/>
      <c r="R16" s="13"/>
      <c r="S16" s="13"/>
    </row>
    <row r="17" spans="1:19" ht="13.5" x14ac:dyDescent="0.2">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
      <c r="A18" s="96" t="s">
        <v>17</v>
      </c>
      <c r="B18" s="96"/>
      <c r="C18" s="96"/>
      <c r="D18" s="96"/>
      <c r="E18" s="96"/>
      <c r="F18" s="96"/>
      <c r="G18" s="96"/>
      <c r="H18" s="96"/>
      <c r="I18" s="96"/>
      <c r="J18" s="96"/>
      <c r="K18" s="96"/>
      <c r="L18" s="96"/>
      <c r="M18" s="96"/>
      <c r="N18" s="96"/>
      <c r="O18" s="96"/>
      <c r="P18" s="96"/>
      <c r="Q18" s="96"/>
      <c r="R18" s="96"/>
      <c r="S18" s="96"/>
    </row>
    <row r="19" spans="1:19" s="15" customFormat="1" ht="40.700000000000003" customHeight="1" x14ac:dyDescent="0.2">
      <c r="A19" s="97" t="s">
        <v>1</v>
      </c>
      <c r="B19" s="97"/>
      <c r="C19" s="97"/>
      <c r="D19" s="97"/>
      <c r="E19" s="97"/>
      <c r="F19" s="97"/>
      <c r="G19" s="97"/>
      <c r="H19" s="97"/>
      <c r="I19" s="97"/>
      <c r="J19" s="97"/>
      <c r="K19" s="97"/>
      <c r="L19" s="97"/>
      <c r="M19" s="97"/>
      <c r="N19" s="97"/>
      <c r="O19" s="97"/>
      <c r="P19" s="97"/>
      <c r="Q19" s="97"/>
      <c r="R19" s="97"/>
      <c r="S19" s="97"/>
    </row>
    <row r="20" spans="1:19" s="15" customFormat="1" ht="13.5" x14ac:dyDescent="0.2">
      <c r="A20" s="16"/>
      <c r="B20" s="16"/>
      <c r="C20" s="16"/>
      <c r="D20" s="16"/>
      <c r="E20" s="16"/>
      <c r="F20" s="16"/>
      <c r="G20" s="16"/>
      <c r="H20" s="16"/>
      <c r="I20" s="16"/>
      <c r="J20" s="16"/>
    </row>
    <row r="21" spans="1:19" s="15" customFormat="1" ht="58.7" customHeight="1" x14ac:dyDescent="0.2">
      <c r="A21" s="98" t="s">
        <v>73</v>
      </c>
      <c r="B21" s="98"/>
      <c r="C21" s="98"/>
      <c r="D21" s="98"/>
      <c r="E21" s="98"/>
      <c r="F21" s="98"/>
      <c r="G21" s="98"/>
      <c r="H21" s="98"/>
      <c r="I21" s="98"/>
      <c r="J21" s="6"/>
      <c r="K21" s="99" t="s">
        <v>82</v>
      </c>
      <c r="L21" s="99"/>
      <c r="M21" s="99"/>
      <c r="N21" s="99"/>
      <c r="O21" s="99"/>
      <c r="P21" s="99"/>
      <c r="Q21" s="99"/>
      <c r="R21" s="99"/>
      <c r="S21" s="99"/>
    </row>
    <row r="22" spans="1:19" s="15" customFormat="1" ht="13.5" x14ac:dyDescent="0.2">
      <c r="A22" s="16"/>
      <c r="B22" s="16"/>
      <c r="C22" s="16"/>
      <c r="D22" s="16"/>
      <c r="E22" s="16"/>
      <c r="F22" s="16"/>
      <c r="G22" s="16"/>
      <c r="H22" s="16"/>
      <c r="I22" s="16"/>
      <c r="J22" s="16"/>
    </row>
    <row r="23" spans="1:19" s="15" customFormat="1" ht="70.150000000000006" customHeight="1" x14ac:dyDescent="0.2">
      <c r="A23" s="91" t="s">
        <v>18</v>
      </c>
      <c r="B23" s="91"/>
      <c r="C23" s="91"/>
      <c r="D23" s="91"/>
      <c r="E23" s="91"/>
      <c r="F23" s="91"/>
      <c r="G23" s="91"/>
      <c r="H23" s="91"/>
      <c r="I23" s="91"/>
      <c r="J23" s="7"/>
      <c r="K23" s="92" t="s">
        <v>81</v>
      </c>
      <c r="L23" s="92"/>
      <c r="M23" s="92"/>
      <c r="N23" s="92"/>
      <c r="O23" s="92"/>
      <c r="P23" s="92"/>
      <c r="Q23" s="92"/>
      <c r="R23" s="92"/>
      <c r="S23" s="92"/>
    </row>
    <row r="24" spans="1:19" s="15" customFormat="1" ht="13.5" x14ac:dyDescent="0.2">
      <c r="A24" s="16"/>
      <c r="B24" s="16"/>
      <c r="C24" s="16"/>
      <c r="D24" s="16"/>
      <c r="E24" s="16"/>
      <c r="F24" s="16"/>
      <c r="G24" s="16"/>
      <c r="H24" s="16"/>
      <c r="I24" s="16"/>
      <c r="J24" s="16"/>
    </row>
    <row r="25" spans="1:19" s="15" customFormat="1" ht="70.150000000000006" customHeight="1" x14ac:dyDescent="0.2">
      <c r="A25" s="93" t="s">
        <v>3</v>
      </c>
      <c r="B25" s="93"/>
      <c r="C25" s="93"/>
      <c r="D25" s="93"/>
      <c r="E25" s="93"/>
      <c r="F25" s="93"/>
      <c r="G25" s="93"/>
      <c r="H25" s="93"/>
      <c r="I25" s="93"/>
      <c r="J25" s="7"/>
      <c r="K25" s="94" t="s">
        <v>83</v>
      </c>
      <c r="L25" s="94"/>
      <c r="M25" s="94"/>
      <c r="N25" s="94"/>
      <c r="O25" s="94"/>
      <c r="P25" s="94"/>
      <c r="Q25" s="94"/>
      <c r="R25" s="94"/>
      <c r="S25" s="94"/>
    </row>
    <row r="26" spans="1:19" s="15" customFormat="1" ht="13.5" x14ac:dyDescent="0.2">
      <c r="A26" s="16"/>
      <c r="B26" s="16"/>
      <c r="C26" s="16"/>
      <c r="D26" s="16"/>
      <c r="E26" s="16"/>
      <c r="F26" s="16"/>
      <c r="G26" s="16"/>
      <c r="H26" s="16"/>
      <c r="I26" s="16"/>
      <c r="J26" s="16"/>
    </row>
    <row r="27" spans="1:19" ht="27" customHeight="1" x14ac:dyDescent="0.2">
      <c r="A27" s="89" t="s">
        <v>13</v>
      </c>
      <c r="B27" s="89"/>
      <c r="C27" s="89"/>
      <c r="D27" s="89"/>
      <c r="E27" s="89"/>
      <c r="F27" s="89"/>
      <c r="G27" s="89"/>
      <c r="H27" s="89"/>
      <c r="I27" s="89"/>
      <c r="K27" s="90" t="s">
        <v>19</v>
      </c>
      <c r="L27" s="90"/>
      <c r="M27" s="90"/>
      <c r="N27" s="90"/>
      <c r="O27" s="90"/>
      <c r="P27" s="90"/>
      <c r="Q27" s="90"/>
      <c r="R27" s="90"/>
      <c r="S27" s="90"/>
    </row>
    <row r="28" spans="1:19" ht="27" customHeight="1" x14ac:dyDescent="0.2">
      <c r="A28" s="89"/>
      <c r="B28" s="89"/>
      <c r="C28" s="89"/>
      <c r="D28" s="89"/>
      <c r="E28" s="89"/>
      <c r="F28" s="89"/>
      <c r="G28" s="89"/>
      <c r="H28" s="89"/>
      <c r="I28" s="89"/>
      <c r="K28" s="90"/>
      <c r="L28" s="90"/>
      <c r="M28" s="90"/>
      <c r="N28" s="90"/>
      <c r="O28" s="17"/>
      <c r="P28" s="17"/>
      <c r="Q28" s="17"/>
      <c r="R28" s="17"/>
      <c r="S28" s="17"/>
    </row>
    <row r="29" spans="1:19" ht="27" customHeight="1" x14ac:dyDescent="0.2">
      <c r="A29" s="89"/>
      <c r="B29" s="89"/>
      <c r="C29" s="89"/>
      <c r="D29" s="89"/>
      <c r="E29" s="89"/>
      <c r="F29" s="89"/>
      <c r="G29" s="89"/>
      <c r="H29" s="89"/>
      <c r="I29" s="89"/>
      <c r="K29" s="90"/>
      <c r="L29" s="90"/>
      <c r="M29" s="90"/>
      <c r="N29" s="90"/>
      <c r="O29" s="90"/>
      <c r="P29" s="90"/>
      <c r="Q29" s="90"/>
      <c r="R29" s="90"/>
      <c r="S29" s="90"/>
    </row>
    <row r="30" spans="1:19" s="15" customFormat="1" ht="30.75" x14ac:dyDescent="0.2">
      <c r="A30" s="8"/>
      <c r="B30" s="18"/>
      <c r="C30" s="18"/>
      <c r="D30" s="18"/>
      <c r="E30" s="18"/>
      <c r="F30" s="18"/>
      <c r="G30" s="18"/>
      <c r="H30" s="18"/>
      <c r="I30" s="18"/>
      <c r="J30" s="18"/>
      <c r="K30" s="18"/>
      <c r="L30" s="18"/>
      <c r="M30" s="18"/>
      <c r="N30" s="18"/>
      <c r="O30" s="18"/>
      <c r="P30" s="18"/>
      <c r="Q30" s="18"/>
    </row>
    <row r="31" spans="1:19" x14ac:dyDescent="0.2">
      <c r="A31" s="10"/>
      <c r="B31" s="10"/>
      <c r="C31" s="10"/>
      <c r="D31" s="10"/>
      <c r="E31" s="10"/>
      <c r="F31" s="10"/>
      <c r="G31" s="10"/>
      <c r="H31" s="10"/>
      <c r="I31" s="10"/>
      <c r="J31" s="10"/>
      <c r="K31" s="10"/>
      <c r="L31" s="10"/>
      <c r="M31" s="10"/>
      <c r="N31" s="10"/>
      <c r="O31" s="10"/>
      <c r="P31" s="10"/>
      <c r="Q31" s="10"/>
      <c r="R31" s="10"/>
      <c r="S31" s="10"/>
    </row>
    <row r="32" spans="1:19" x14ac:dyDescent="0.2">
      <c r="A32" s="10"/>
      <c r="B32" s="10"/>
      <c r="C32" s="10"/>
      <c r="D32" s="10"/>
      <c r="E32" s="10"/>
      <c r="F32" s="10"/>
      <c r="G32" s="10"/>
      <c r="H32" s="10"/>
      <c r="I32" s="10"/>
      <c r="J32" s="10"/>
      <c r="K32" s="10"/>
      <c r="L32" s="10"/>
      <c r="M32" s="10"/>
      <c r="N32" s="10"/>
      <c r="O32" s="10"/>
      <c r="P32" s="10"/>
      <c r="Q32" s="10"/>
      <c r="R32" s="10"/>
      <c r="S32" s="10"/>
    </row>
    <row r="33" spans="1:19" x14ac:dyDescent="0.2">
      <c r="A33" s="10"/>
      <c r="B33" s="10"/>
      <c r="C33" s="10"/>
      <c r="D33" s="10"/>
      <c r="E33" s="10"/>
      <c r="F33" s="10"/>
      <c r="G33" s="10"/>
      <c r="H33" s="10"/>
      <c r="I33" s="10"/>
      <c r="J33" s="10"/>
      <c r="K33" s="10"/>
      <c r="L33" s="10"/>
      <c r="M33" s="10"/>
      <c r="N33" s="10"/>
      <c r="O33" s="10"/>
      <c r="P33" s="10"/>
      <c r="Q33" s="10"/>
      <c r="R33" s="10"/>
      <c r="S33" s="10"/>
    </row>
    <row r="34" spans="1:19" x14ac:dyDescent="0.2">
      <c r="A34" s="10"/>
      <c r="B34" s="10"/>
      <c r="C34" s="10"/>
      <c r="D34" s="10"/>
      <c r="E34" s="10"/>
      <c r="F34" s="10"/>
      <c r="G34" s="10"/>
      <c r="H34" s="10"/>
      <c r="I34" s="10"/>
      <c r="J34" s="10"/>
      <c r="K34" s="10"/>
      <c r="L34" s="10"/>
      <c r="M34" s="10"/>
      <c r="N34" s="10"/>
      <c r="O34" s="10"/>
      <c r="P34" s="10"/>
      <c r="Q34" s="10"/>
      <c r="R34" s="10"/>
      <c r="S34" s="10"/>
    </row>
    <row r="35" spans="1:19" x14ac:dyDescent="0.2">
      <c r="A35" s="10"/>
      <c r="B35" s="10"/>
      <c r="C35" s="10"/>
      <c r="D35" s="10"/>
      <c r="E35" s="10"/>
      <c r="F35" s="10"/>
      <c r="G35" s="10"/>
      <c r="H35" s="10"/>
      <c r="I35" s="10"/>
      <c r="J35" s="10"/>
      <c r="K35" s="10"/>
      <c r="L35" s="10"/>
      <c r="M35" s="10"/>
      <c r="N35" s="10"/>
      <c r="O35" s="10"/>
      <c r="P35" s="10"/>
      <c r="Q35" s="10"/>
      <c r="R35" s="10"/>
      <c r="S35" s="10"/>
    </row>
    <row r="36" spans="1:19" x14ac:dyDescent="0.2">
      <c r="A36" s="10"/>
      <c r="B36" s="10"/>
      <c r="C36" s="10"/>
      <c r="D36" s="10"/>
      <c r="E36" s="10"/>
      <c r="F36" s="10"/>
      <c r="G36" s="10"/>
      <c r="H36" s="10"/>
      <c r="I36" s="10"/>
      <c r="J36" s="10"/>
      <c r="K36" s="10"/>
      <c r="L36" s="10"/>
      <c r="M36" s="10"/>
      <c r="N36" s="10"/>
      <c r="O36" s="10"/>
      <c r="P36" s="10"/>
      <c r="Q36" s="10"/>
      <c r="R36" s="10"/>
      <c r="S36" s="10"/>
    </row>
    <row r="37" spans="1:19" s="15" customFormat="1" ht="15.75" x14ac:dyDescent="0.2">
      <c r="A37" s="19" t="s">
        <v>4</v>
      </c>
      <c r="C37" s="20">
        <f ca="1">TODAY()</f>
        <v>44532</v>
      </c>
      <c r="D37" s="16"/>
      <c r="E37" s="16"/>
      <c r="F37" s="16"/>
      <c r="G37" s="16"/>
      <c r="H37" s="16"/>
      <c r="I37" s="16"/>
      <c r="J37" s="16"/>
    </row>
  </sheetData>
  <mergeCells count="15">
    <mergeCell ref="A13:S13"/>
    <mergeCell ref="A18:S18"/>
    <mergeCell ref="A19:S19"/>
    <mergeCell ref="A21:I21"/>
    <mergeCell ref="K21:S21"/>
    <mergeCell ref="A28:I28"/>
    <mergeCell ref="K28:N28"/>
    <mergeCell ref="A29:I29"/>
    <mergeCell ref="K29:S29"/>
    <mergeCell ref="A23:I23"/>
    <mergeCell ref="K23:S23"/>
    <mergeCell ref="A25:I25"/>
    <mergeCell ref="K25:S25"/>
    <mergeCell ref="A27:I27"/>
    <mergeCell ref="K27:S27"/>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opLeftCell="A15" workbookViewId="0">
      <selection activeCell="B41" sqref="B41"/>
    </sheetView>
  </sheetViews>
  <sheetFormatPr defaultColWidth="8" defaultRowHeight="12.75" x14ac:dyDescent="0.2"/>
  <cols>
    <col min="1" max="1" width="54.140625" style="2" customWidth="1"/>
    <col min="2" max="2" width="86.42578125" style="47" customWidth="1"/>
    <col min="3" max="3" width="25.140625" style="2" bestFit="1" customWidth="1"/>
    <col min="4" max="16384" width="8" style="2"/>
  </cols>
  <sheetData>
    <row r="1" spans="1:3" hidden="1" x14ac:dyDescent="0.2">
      <c r="A1" s="1" t="s">
        <v>5</v>
      </c>
    </row>
    <row r="2" spans="1:3" hidden="1" x14ac:dyDescent="0.2">
      <c r="A2" s="3" t="s">
        <v>20</v>
      </c>
      <c r="B2" s="48" t="s">
        <v>6</v>
      </c>
    </row>
    <row r="3" spans="1:3" hidden="1" x14ac:dyDescent="0.2">
      <c r="A3" s="3" t="s">
        <v>20</v>
      </c>
      <c r="B3" s="48" t="s">
        <v>6</v>
      </c>
    </row>
    <row r="4" spans="1:3" hidden="1" x14ac:dyDescent="0.2">
      <c r="A4" s="3" t="s">
        <v>21</v>
      </c>
      <c r="B4" s="48" t="s">
        <v>7</v>
      </c>
    </row>
    <row r="5" spans="1:3" hidden="1" x14ac:dyDescent="0.2">
      <c r="A5" s="3" t="s">
        <v>22</v>
      </c>
      <c r="B5" s="48" t="s">
        <v>7</v>
      </c>
    </row>
    <row r="6" spans="1:3" x14ac:dyDescent="0.2">
      <c r="A6" s="5"/>
      <c r="B6" s="49"/>
      <c r="C6" s="4"/>
    </row>
    <row r="7" spans="1:3" x14ac:dyDescent="0.2">
      <c r="A7" s="29"/>
      <c r="B7" s="49"/>
      <c r="C7" s="4"/>
    </row>
    <row r="8" spans="1:3" ht="27.75" x14ac:dyDescent="0.2">
      <c r="A8" s="100" t="s">
        <v>1</v>
      </c>
      <c r="B8" s="100"/>
      <c r="C8" s="28" t="s">
        <v>8</v>
      </c>
    </row>
    <row r="9" spans="1:3" x14ac:dyDescent="0.2">
      <c r="A9" s="4"/>
      <c r="B9" s="49"/>
      <c r="C9" s="4"/>
    </row>
    <row r="10" spans="1:3" x14ac:dyDescent="0.2">
      <c r="A10" s="5" t="s">
        <v>9</v>
      </c>
      <c r="B10" s="101" t="s">
        <v>10</v>
      </c>
      <c r="C10" s="101"/>
    </row>
    <row r="11" spans="1:3" x14ac:dyDescent="0.2">
      <c r="A11" s="24" t="s">
        <v>11</v>
      </c>
      <c r="B11" s="76">
        <v>44593</v>
      </c>
      <c r="C11" s="21"/>
    </row>
    <row r="12" spans="1:3" x14ac:dyDescent="0.2">
      <c r="A12" s="29"/>
      <c r="B12" s="49"/>
      <c r="C12" s="4"/>
    </row>
    <row r="13" spans="1:3" x14ac:dyDescent="0.2">
      <c r="A13" s="29"/>
      <c r="B13" s="49"/>
      <c r="C13" s="4"/>
    </row>
    <row r="14" spans="1:3" ht="19.7" customHeight="1" x14ac:dyDescent="0.2">
      <c r="A14" s="25" t="str">
        <f>CONCATENATE("To be Performed by Tester : ",'Test Cycle 1'!H2)</f>
        <v xml:space="preserve">To be Performed by Tester : </v>
      </c>
      <c r="B14" s="50"/>
      <c r="C14" s="4"/>
    </row>
    <row r="15" spans="1:3" ht="21.95" customHeight="1" x14ac:dyDescent="0.25">
      <c r="A15" s="30" t="s">
        <v>23</v>
      </c>
      <c r="B15" s="102"/>
      <c r="C15" s="103"/>
    </row>
    <row r="16" spans="1:3" ht="39.75" customHeight="1" x14ac:dyDescent="0.2">
      <c r="A16" s="27" t="s">
        <v>24</v>
      </c>
      <c r="B16" s="27" t="s">
        <v>12</v>
      </c>
      <c r="C16" s="22" t="s">
        <v>25</v>
      </c>
    </row>
    <row r="17" spans="1:3" x14ac:dyDescent="0.2">
      <c r="A17" s="23" t="s">
        <v>26</v>
      </c>
      <c r="B17" s="51"/>
      <c r="C17" s="26" t="s">
        <v>122</v>
      </c>
    </row>
    <row r="18" spans="1:3" x14ac:dyDescent="0.2">
      <c r="A18" s="23" t="s">
        <v>27</v>
      </c>
      <c r="B18" s="51"/>
      <c r="C18" s="26" t="s">
        <v>122</v>
      </c>
    </row>
    <row r="19" spans="1:3" x14ac:dyDescent="0.2">
      <c r="A19" s="23" t="s">
        <v>28</v>
      </c>
      <c r="B19" s="51"/>
      <c r="C19" s="26" t="s">
        <v>98</v>
      </c>
    </row>
    <row r="20" spans="1:3" x14ac:dyDescent="0.2">
      <c r="A20" s="23" t="s">
        <v>75</v>
      </c>
      <c r="B20" s="52"/>
      <c r="C20" s="26" t="s">
        <v>122</v>
      </c>
    </row>
    <row r="21" spans="1:3" x14ac:dyDescent="0.2">
      <c r="A21" s="23" t="s">
        <v>76</v>
      </c>
      <c r="B21" s="51"/>
      <c r="C21" s="26" t="s">
        <v>98</v>
      </c>
    </row>
    <row r="22" spans="1:3" x14ac:dyDescent="0.2">
      <c r="A22" s="23" t="s">
        <v>78</v>
      </c>
      <c r="B22" s="51"/>
      <c r="C22" s="26" t="s">
        <v>122</v>
      </c>
    </row>
    <row r="23" spans="1:3" x14ac:dyDescent="0.2">
      <c r="A23" s="23" t="s">
        <v>77</v>
      </c>
      <c r="B23" s="56"/>
      <c r="C23" s="26" t="s">
        <v>122</v>
      </c>
    </row>
    <row r="24" spans="1:3" x14ac:dyDescent="0.2">
      <c r="A24" s="23" t="s">
        <v>29</v>
      </c>
      <c r="B24" s="51"/>
      <c r="C24" s="26" t="s">
        <v>98</v>
      </c>
    </row>
    <row r="25" spans="1:3" x14ac:dyDescent="0.2">
      <c r="A25" s="23" t="s">
        <v>30</v>
      </c>
      <c r="B25" s="51"/>
      <c r="C25" s="26" t="s">
        <v>122</v>
      </c>
    </row>
    <row r="26" spans="1:3" ht="25.5" x14ac:dyDescent="0.2">
      <c r="A26" s="23" t="s">
        <v>31</v>
      </c>
      <c r="B26" s="26"/>
      <c r="C26" s="26" t="s">
        <v>122</v>
      </c>
    </row>
    <row r="27" spans="1:3" x14ac:dyDescent="0.2">
      <c r="A27" s="23" t="s">
        <v>54</v>
      </c>
      <c r="B27" s="26"/>
      <c r="C27" s="26" t="s">
        <v>122</v>
      </c>
    </row>
    <row r="28" spans="1:3" x14ac:dyDescent="0.2">
      <c r="A28" s="23" t="s">
        <v>79</v>
      </c>
      <c r="B28" s="51"/>
      <c r="C28" s="26" t="s">
        <v>122</v>
      </c>
    </row>
    <row r="29" spans="1:3" x14ac:dyDescent="0.2">
      <c r="A29" s="23" t="s">
        <v>80</v>
      </c>
      <c r="B29" s="51"/>
      <c r="C29" s="26" t="s">
        <v>98</v>
      </c>
    </row>
    <row r="30" spans="1:3" x14ac:dyDescent="0.2">
      <c r="A30" s="41"/>
      <c r="B30" s="53"/>
      <c r="C30" s="42"/>
    </row>
    <row r="31" spans="1:3" x14ac:dyDescent="0.2">
      <c r="A31" s="43"/>
      <c r="B31" s="54"/>
      <c r="C31" s="43"/>
    </row>
    <row r="32" spans="1:3" x14ac:dyDescent="0.2">
      <c r="A32" s="40" t="str">
        <f>CONCATENATE("To be Performed by Reviewer : ",'Test Cycle 1'!H3)</f>
        <v xml:space="preserve">To be Performed by Reviewer : </v>
      </c>
      <c r="B32" s="50"/>
      <c r="C32" s="4"/>
    </row>
    <row r="33" spans="1:3" ht="15" x14ac:dyDescent="0.25">
      <c r="A33" s="30" t="s">
        <v>23</v>
      </c>
      <c r="B33" s="102"/>
      <c r="C33" s="103"/>
    </row>
    <row r="34" spans="1:3" ht="25.5" x14ac:dyDescent="0.2">
      <c r="A34" s="27" t="s">
        <v>24</v>
      </c>
      <c r="B34" s="27"/>
      <c r="C34" s="22" t="s">
        <v>25</v>
      </c>
    </row>
    <row r="35" spans="1:3" x14ac:dyDescent="0.2">
      <c r="A35" s="23" t="s">
        <v>32</v>
      </c>
      <c r="B35" s="51"/>
      <c r="C35" s="26"/>
    </row>
    <row r="36" spans="1:3" x14ac:dyDescent="0.2">
      <c r="A36" s="23" t="s">
        <v>33</v>
      </c>
      <c r="B36" s="51"/>
      <c r="C36" s="26"/>
    </row>
    <row r="37" spans="1:3" x14ac:dyDescent="0.2">
      <c r="A37" s="23" t="s">
        <v>74</v>
      </c>
      <c r="B37" s="51"/>
      <c r="C37" s="26"/>
    </row>
    <row r="38" spans="1:3" x14ac:dyDescent="0.2">
      <c r="A38" s="23" t="s">
        <v>34</v>
      </c>
      <c r="B38" s="51"/>
      <c r="C38" s="26"/>
    </row>
  </sheetData>
  <mergeCells count="4">
    <mergeCell ref="A8:B8"/>
    <mergeCell ref="B10:C10"/>
    <mergeCell ref="B15:C15"/>
    <mergeCell ref="B33:C33"/>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C35"/>
  <sheetViews>
    <sheetView tabSelected="1" topLeftCell="B1" zoomScale="80" zoomScaleNormal="80" workbookViewId="0">
      <selection activeCell="C9" sqref="C9"/>
    </sheetView>
  </sheetViews>
  <sheetFormatPr defaultColWidth="9.140625" defaultRowHeight="16.5" x14ac:dyDescent="0.3"/>
  <cols>
    <col min="1" max="1" width="22.85546875" style="32" customWidth="1"/>
    <col min="2" max="2" width="37.140625" style="32" customWidth="1"/>
    <col min="3" max="3" width="54.28515625" style="32" customWidth="1"/>
    <col min="4" max="4" width="23.42578125" style="32" bestFit="1" customWidth="1"/>
    <col min="5" max="5" width="41.42578125" style="57" customWidth="1"/>
    <col min="6" max="6" width="36.85546875" style="32" customWidth="1"/>
    <col min="7" max="7" width="39.42578125" style="32" customWidth="1"/>
    <col min="8" max="8" width="36.85546875" style="32" customWidth="1"/>
    <col min="9" max="9" width="25" style="32" customWidth="1"/>
    <col min="10" max="10" width="23.42578125" style="32" customWidth="1"/>
    <col min="11" max="11" width="32" style="32" customWidth="1"/>
    <col min="12" max="12" width="30.85546875" style="32" customWidth="1"/>
    <col min="13" max="22" width="9.140625" style="31"/>
    <col min="23" max="23" width="17.140625" style="31" bestFit="1" customWidth="1"/>
    <col min="24" max="24" width="9.140625" style="31"/>
    <col min="25" max="25" width="14.28515625" style="31" bestFit="1" customWidth="1"/>
    <col min="26" max="48" width="9.140625" style="31"/>
    <col min="49" max="49" width="9" style="31" customWidth="1"/>
    <col min="50" max="52" width="9.140625" style="31" hidden="1" customWidth="1"/>
    <col min="53" max="53" width="27.7109375" style="31" customWidth="1"/>
    <col min="54" max="16384" width="9.140625" style="31"/>
  </cols>
  <sheetData>
    <row r="1" spans="1:55" s="32" customFormat="1" x14ac:dyDescent="0.3">
      <c r="A1" s="34" t="s">
        <v>43</v>
      </c>
      <c r="B1" s="104" t="s">
        <v>123</v>
      </c>
      <c r="C1" s="105"/>
      <c r="D1" s="106"/>
      <c r="E1" s="73" t="s">
        <v>44</v>
      </c>
      <c r="F1" s="35" t="s">
        <v>125</v>
      </c>
      <c r="G1" s="36"/>
      <c r="H1" s="36"/>
      <c r="M1" s="31"/>
      <c r="N1" s="31"/>
      <c r="O1" s="31"/>
      <c r="P1" s="31"/>
      <c r="Q1" s="31"/>
      <c r="R1" s="31"/>
      <c r="S1" s="31"/>
      <c r="T1" s="31"/>
      <c r="U1" s="31"/>
      <c r="V1" s="31"/>
      <c r="W1" s="31"/>
      <c r="X1" s="31"/>
      <c r="Y1" s="31"/>
      <c r="Z1" s="31"/>
      <c r="AA1" s="31"/>
      <c r="AB1" s="31"/>
      <c r="AC1" s="31"/>
      <c r="AD1" s="31"/>
      <c r="AE1" s="31"/>
      <c r="AF1" s="31"/>
      <c r="AG1" s="31"/>
      <c r="AH1" s="31"/>
      <c r="AI1" s="31"/>
      <c r="AJ1" s="31"/>
      <c r="AK1" s="31"/>
      <c r="AL1" s="31"/>
      <c r="AM1" s="31"/>
      <c r="AN1" s="31"/>
      <c r="AO1" s="31"/>
      <c r="AP1" s="31"/>
      <c r="AQ1" s="31"/>
      <c r="AR1" s="31"/>
      <c r="AS1" s="31"/>
      <c r="AT1" s="31"/>
      <c r="AU1" s="31"/>
      <c r="AV1" s="31"/>
      <c r="AW1" s="31"/>
      <c r="AX1" s="31"/>
      <c r="AY1" s="31"/>
      <c r="AZ1" s="31"/>
      <c r="BA1" s="33" t="s">
        <v>35</v>
      </c>
      <c r="BB1" s="33" t="s">
        <v>35</v>
      </c>
      <c r="BC1" s="32" t="s">
        <v>36</v>
      </c>
    </row>
    <row r="2" spans="1:55" s="32" customFormat="1" x14ac:dyDescent="0.3">
      <c r="A2" s="34" t="s">
        <v>46</v>
      </c>
      <c r="B2" s="104" t="s">
        <v>124</v>
      </c>
      <c r="C2" s="105"/>
      <c r="D2" s="106"/>
      <c r="E2" s="73" t="s">
        <v>47</v>
      </c>
      <c r="F2" s="37">
        <v>44532</v>
      </c>
      <c r="G2" s="34" t="s">
        <v>48</v>
      </c>
      <c r="H2" s="39"/>
      <c r="M2" s="31"/>
      <c r="N2" s="31"/>
      <c r="O2" s="31"/>
      <c r="P2" s="31"/>
      <c r="Q2" s="31"/>
      <c r="R2" s="31"/>
      <c r="S2" s="31"/>
      <c r="T2" s="31"/>
      <c r="U2" s="31"/>
      <c r="V2" s="31"/>
      <c r="W2" s="31"/>
      <c r="X2" s="31"/>
      <c r="Y2" s="31"/>
      <c r="Z2" s="31"/>
      <c r="AA2" s="31"/>
      <c r="AB2" s="31"/>
      <c r="AC2" s="31"/>
      <c r="AD2" s="31"/>
      <c r="AE2" s="31"/>
      <c r="AF2" s="31"/>
      <c r="AG2" s="31"/>
      <c r="AH2" s="31"/>
      <c r="AI2" s="31"/>
      <c r="AJ2" s="31"/>
      <c r="AK2" s="31"/>
      <c r="AL2" s="31"/>
      <c r="AM2" s="31"/>
      <c r="AN2" s="31"/>
      <c r="AO2" s="31"/>
      <c r="AP2" s="31"/>
      <c r="AQ2" s="31"/>
      <c r="AR2" s="31"/>
      <c r="AS2" s="31"/>
      <c r="AT2" s="31"/>
      <c r="AU2" s="31"/>
      <c r="AV2" s="31"/>
      <c r="AW2" s="31"/>
      <c r="AX2" s="31"/>
      <c r="AY2" s="31"/>
      <c r="AZ2" s="31"/>
      <c r="BA2" s="33" t="s">
        <v>37</v>
      </c>
      <c r="BB2" s="33" t="s">
        <v>37</v>
      </c>
      <c r="BC2" s="32" t="s">
        <v>38</v>
      </c>
    </row>
    <row r="3" spans="1:55" s="32" customFormat="1" ht="26.25" customHeight="1" x14ac:dyDescent="0.3">
      <c r="A3" s="34" t="s">
        <v>50</v>
      </c>
      <c r="B3" s="107" t="s">
        <v>41</v>
      </c>
      <c r="C3" s="107"/>
      <c r="D3" s="107"/>
      <c r="E3" s="73" t="s">
        <v>51</v>
      </c>
      <c r="F3" s="38"/>
      <c r="G3" s="34" t="s">
        <v>52</v>
      </c>
      <c r="H3" s="35"/>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3" t="s">
        <v>39</v>
      </c>
      <c r="BB3" s="33" t="s">
        <v>40</v>
      </c>
      <c r="BC3" s="32" t="s">
        <v>15</v>
      </c>
    </row>
    <row r="4" spans="1:55" s="32" customFormat="1" ht="19.7" customHeight="1" x14ac:dyDescent="0.3">
      <c r="A4" s="34" t="s">
        <v>53</v>
      </c>
      <c r="B4" s="108" t="s">
        <v>84</v>
      </c>
      <c r="C4" s="109"/>
      <c r="D4" s="109"/>
      <c r="E4" s="109"/>
      <c r="F4" s="109"/>
      <c r="G4" s="109"/>
      <c r="H4" s="109"/>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3" t="s">
        <v>41</v>
      </c>
      <c r="BB4" s="33" t="s">
        <v>15</v>
      </c>
      <c r="BC4" s="32" t="s">
        <v>16</v>
      </c>
    </row>
    <row r="5" spans="1:55" s="32" customFormat="1" x14ac:dyDescent="0.3">
      <c r="A5" s="72" t="s">
        <v>65</v>
      </c>
      <c r="B5" s="72" t="s">
        <v>66</v>
      </c>
      <c r="C5" s="72" t="s">
        <v>67</v>
      </c>
      <c r="D5" s="72" t="s">
        <v>68</v>
      </c>
      <c r="E5" s="72" t="s">
        <v>69</v>
      </c>
      <c r="F5" s="72" t="s">
        <v>70</v>
      </c>
      <c r="G5" s="72" t="s">
        <v>71</v>
      </c>
      <c r="H5" s="72" t="s">
        <v>72</v>
      </c>
      <c r="I5" s="72" t="s">
        <v>63</v>
      </c>
      <c r="J5" s="72" t="s">
        <v>64</v>
      </c>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3" t="s">
        <v>42</v>
      </c>
      <c r="AZ5" s="33" t="s">
        <v>16</v>
      </c>
    </row>
    <row r="6" spans="1:55" s="80" customFormat="1" ht="81" x14ac:dyDescent="0.3">
      <c r="A6" s="86">
        <v>1</v>
      </c>
      <c r="B6" s="79" t="s">
        <v>85</v>
      </c>
      <c r="C6" s="84" t="s">
        <v>86</v>
      </c>
      <c r="D6" s="84" t="s">
        <v>87</v>
      </c>
      <c r="E6" s="85" t="s">
        <v>88</v>
      </c>
      <c r="F6" s="85" t="s">
        <v>89</v>
      </c>
      <c r="G6" s="85" t="s">
        <v>88</v>
      </c>
      <c r="H6" s="84" t="s">
        <v>90</v>
      </c>
      <c r="I6" s="83"/>
      <c r="J6" s="82"/>
      <c r="AY6" s="81" t="s">
        <v>45</v>
      </c>
    </row>
    <row r="7" spans="1:55" s="80" customFormat="1" ht="49.5" x14ac:dyDescent="0.3">
      <c r="A7" s="86">
        <v>2</v>
      </c>
      <c r="B7" s="79" t="s">
        <v>91</v>
      </c>
      <c r="C7" s="88" t="s">
        <v>92</v>
      </c>
      <c r="D7" s="88" t="s">
        <v>93</v>
      </c>
      <c r="E7" s="88" t="s">
        <v>94</v>
      </c>
      <c r="F7" s="88" t="s">
        <v>95</v>
      </c>
      <c r="G7" s="88" t="s">
        <v>94</v>
      </c>
      <c r="H7" s="88" t="s">
        <v>95</v>
      </c>
      <c r="I7" s="83"/>
      <c r="J7" s="82"/>
      <c r="AY7" s="81" t="s">
        <v>49</v>
      </c>
    </row>
    <row r="8" spans="1:55" s="80" customFormat="1" ht="49.5" x14ac:dyDescent="0.3">
      <c r="A8" s="84">
        <v>3</v>
      </c>
      <c r="B8" s="88" t="s">
        <v>96</v>
      </c>
      <c r="C8" s="78"/>
      <c r="D8" s="84" t="s">
        <v>97</v>
      </c>
      <c r="E8" s="85" t="s">
        <v>98</v>
      </c>
      <c r="F8" s="84" t="s">
        <v>99</v>
      </c>
      <c r="G8" s="85" t="s">
        <v>98</v>
      </c>
      <c r="H8" s="84" t="s">
        <v>99</v>
      </c>
      <c r="I8" s="83"/>
      <c r="J8" s="77"/>
      <c r="K8" s="83"/>
      <c r="L8" s="77"/>
      <c r="M8" s="87"/>
    </row>
    <row r="9" spans="1:55" s="80" customFormat="1" ht="66" x14ac:dyDescent="0.3">
      <c r="A9" s="86">
        <v>4</v>
      </c>
      <c r="B9" s="79" t="s">
        <v>100</v>
      </c>
      <c r="C9" s="88" t="s">
        <v>101</v>
      </c>
      <c r="D9" s="84" t="s">
        <v>102</v>
      </c>
      <c r="E9" s="85" t="s">
        <v>104</v>
      </c>
      <c r="F9" s="84" t="s">
        <v>103</v>
      </c>
      <c r="G9" s="85" t="s">
        <v>104</v>
      </c>
      <c r="H9" s="84" t="s">
        <v>103</v>
      </c>
      <c r="I9" s="83"/>
      <c r="J9" s="77"/>
      <c r="K9" s="83"/>
      <c r="L9" s="77"/>
      <c r="M9" s="87"/>
    </row>
    <row r="10" spans="1:55" s="80" customFormat="1" ht="67.5" x14ac:dyDescent="0.3">
      <c r="A10" s="86">
        <v>5</v>
      </c>
      <c r="B10" s="79" t="s">
        <v>105</v>
      </c>
      <c r="C10" s="84" t="s">
        <v>110</v>
      </c>
      <c r="D10" s="84" t="s">
        <v>106</v>
      </c>
      <c r="E10" s="85" t="s">
        <v>115</v>
      </c>
      <c r="F10" s="85" t="s">
        <v>107</v>
      </c>
      <c r="G10" s="85" t="s">
        <v>115</v>
      </c>
      <c r="H10" s="85" t="s">
        <v>107</v>
      </c>
      <c r="I10" s="83"/>
      <c r="J10" s="77"/>
      <c r="K10" s="83"/>
      <c r="L10" s="77"/>
      <c r="M10" s="87"/>
    </row>
    <row r="11" spans="1:55" s="80" customFormat="1" ht="229.5" x14ac:dyDescent="0.3">
      <c r="A11" s="84">
        <v>6</v>
      </c>
      <c r="B11" s="79" t="s">
        <v>108</v>
      </c>
      <c r="C11" s="84" t="s">
        <v>109</v>
      </c>
      <c r="D11" s="84" t="s">
        <v>93</v>
      </c>
      <c r="E11" s="85" t="s">
        <v>111</v>
      </c>
      <c r="F11" s="85" t="s">
        <v>112</v>
      </c>
      <c r="G11" s="85" t="s">
        <v>111</v>
      </c>
      <c r="H11" s="85" t="s">
        <v>112</v>
      </c>
      <c r="I11" s="83"/>
      <c r="J11" s="77"/>
      <c r="K11" s="83" t="s">
        <v>15</v>
      </c>
      <c r="L11" s="77"/>
      <c r="M11" s="87"/>
    </row>
    <row r="12" spans="1:55" s="80" customFormat="1" ht="54" x14ac:dyDescent="0.3">
      <c r="A12" s="86">
        <v>7</v>
      </c>
      <c r="B12" s="79" t="s">
        <v>113</v>
      </c>
      <c r="C12" s="84" t="s">
        <v>119</v>
      </c>
      <c r="D12" s="84" t="s">
        <v>114</v>
      </c>
      <c r="E12" s="85" t="s">
        <v>98</v>
      </c>
      <c r="F12" s="85" t="s">
        <v>120</v>
      </c>
      <c r="G12" s="85" t="s">
        <v>98</v>
      </c>
      <c r="H12" s="85" t="s">
        <v>121</v>
      </c>
      <c r="I12" s="83"/>
      <c r="J12" s="77"/>
      <c r="K12" s="83"/>
      <c r="L12" s="77"/>
      <c r="M12" s="87"/>
    </row>
    <row r="13" spans="1:55" s="80" customFormat="1" ht="81" x14ac:dyDescent="0.3">
      <c r="A13" s="86">
        <v>7</v>
      </c>
      <c r="B13" s="79" t="s">
        <v>85</v>
      </c>
      <c r="C13" s="84" t="s">
        <v>86</v>
      </c>
      <c r="D13" s="84" t="s">
        <v>87</v>
      </c>
      <c r="E13" s="85" t="s">
        <v>88</v>
      </c>
      <c r="F13" s="85" t="s">
        <v>89</v>
      </c>
      <c r="G13" s="85" t="s">
        <v>88</v>
      </c>
      <c r="H13" s="84" t="s">
        <v>90</v>
      </c>
      <c r="I13" s="83"/>
      <c r="J13" s="82"/>
      <c r="AY13" s="81" t="s">
        <v>45</v>
      </c>
    </row>
    <row r="14" spans="1:55" s="80" customFormat="1" ht="49.5" x14ac:dyDescent="0.3">
      <c r="A14" s="86">
        <v>8</v>
      </c>
      <c r="B14" s="79" t="s">
        <v>91</v>
      </c>
      <c r="C14" s="88" t="s">
        <v>92</v>
      </c>
      <c r="D14" s="88" t="s">
        <v>93</v>
      </c>
      <c r="E14" s="88" t="s">
        <v>94</v>
      </c>
      <c r="F14" s="88" t="s">
        <v>95</v>
      </c>
      <c r="G14" s="88" t="s">
        <v>94</v>
      </c>
      <c r="H14" s="88" t="s">
        <v>95</v>
      </c>
      <c r="I14" s="83"/>
      <c r="J14" s="82"/>
      <c r="AY14" s="81" t="s">
        <v>49</v>
      </c>
    </row>
    <row r="15" spans="1:55" s="80" customFormat="1" ht="49.5" x14ac:dyDescent="0.3">
      <c r="A15" s="84">
        <v>9</v>
      </c>
      <c r="B15" s="88" t="s">
        <v>96</v>
      </c>
      <c r="C15" s="78"/>
      <c r="D15" s="84" t="s">
        <v>97</v>
      </c>
      <c r="E15" s="85" t="s">
        <v>98</v>
      </c>
      <c r="F15" s="84" t="s">
        <v>99</v>
      </c>
      <c r="G15" s="85" t="s">
        <v>98</v>
      </c>
      <c r="H15" s="84" t="s">
        <v>99</v>
      </c>
      <c r="I15" s="83"/>
      <c r="J15" s="77"/>
      <c r="K15" s="83"/>
      <c r="L15" s="77"/>
      <c r="M15" s="87"/>
    </row>
    <row r="16" spans="1:55" s="80" customFormat="1" ht="66" x14ac:dyDescent="0.3">
      <c r="A16" s="86">
        <v>10</v>
      </c>
      <c r="B16" s="79" t="s">
        <v>100</v>
      </c>
      <c r="C16" s="88" t="s">
        <v>101</v>
      </c>
      <c r="D16" s="84" t="s">
        <v>102</v>
      </c>
      <c r="E16" s="85" t="s">
        <v>104</v>
      </c>
      <c r="F16" s="84" t="s">
        <v>103</v>
      </c>
      <c r="G16" s="85" t="s">
        <v>104</v>
      </c>
      <c r="H16" s="84" t="s">
        <v>103</v>
      </c>
      <c r="I16" s="83"/>
      <c r="J16" s="77"/>
      <c r="K16" s="83"/>
      <c r="L16" s="77"/>
      <c r="M16" s="87"/>
    </row>
    <row r="17" spans="1:13" s="80" customFormat="1" ht="67.5" x14ac:dyDescent="0.3">
      <c r="A17" s="86">
        <v>11</v>
      </c>
      <c r="B17" s="79" t="s">
        <v>105</v>
      </c>
      <c r="C17" s="84" t="s">
        <v>110</v>
      </c>
      <c r="D17" s="84" t="s">
        <v>106</v>
      </c>
      <c r="E17" s="85" t="s">
        <v>115</v>
      </c>
      <c r="F17" s="85" t="s">
        <v>107</v>
      </c>
      <c r="G17" s="85" t="s">
        <v>115</v>
      </c>
      <c r="H17" s="85" t="s">
        <v>107</v>
      </c>
      <c r="I17" s="83"/>
      <c r="J17" s="77"/>
      <c r="K17" s="83"/>
      <c r="L17" s="77"/>
      <c r="M17" s="87"/>
    </row>
    <row r="18" spans="1:13" s="80" customFormat="1" ht="229.5" x14ac:dyDescent="0.3">
      <c r="A18" s="84">
        <v>12</v>
      </c>
      <c r="B18" s="79" t="s">
        <v>108</v>
      </c>
      <c r="C18" s="84" t="s">
        <v>109</v>
      </c>
      <c r="D18" s="84" t="s">
        <v>93</v>
      </c>
      <c r="E18" s="85" t="s">
        <v>111</v>
      </c>
      <c r="F18" s="85" t="s">
        <v>112</v>
      </c>
      <c r="G18" s="85" t="s">
        <v>111</v>
      </c>
      <c r="H18" s="85" t="s">
        <v>112</v>
      </c>
      <c r="I18" s="83"/>
      <c r="J18" s="77"/>
      <c r="K18" s="83" t="s">
        <v>15</v>
      </c>
      <c r="L18" s="77"/>
      <c r="M18" s="87"/>
    </row>
    <row r="19" spans="1:13" s="80" customFormat="1" ht="54" x14ac:dyDescent="0.3">
      <c r="A19" s="86">
        <v>7</v>
      </c>
      <c r="B19" s="79" t="s">
        <v>113</v>
      </c>
      <c r="C19" s="84" t="s">
        <v>119</v>
      </c>
      <c r="D19" s="84" t="s">
        <v>114</v>
      </c>
      <c r="E19" s="85" t="s">
        <v>98</v>
      </c>
      <c r="F19" s="85" t="s">
        <v>120</v>
      </c>
      <c r="G19" s="85" t="s">
        <v>98</v>
      </c>
      <c r="H19" s="85" t="s">
        <v>121</v>
      </c>
      <c r="I19" s="83"/>
      <c r="J19" s="77"/>
      <c r="K19" s="83"/>
      <c r="L19" s="77"/>
      <c r="M19" s="87"/>
    </row>
    <row r="20" spans="1:13" s="32" customFormat="1" ht="30" customHeight="1" x14ac:dyDescent="0.3">
      <c r="A20" s="45">
        <v>14</v>
      </c>
      <c r="B20" s="45"/>
      <c r="C20" s="45"/>
      <c r="D20" s="45"/>
      <c r="E20" s="46"/>
      <c r="F20" s="45"/>
      <c r="G20" s="46"/>
      <c r="H20" s="45"/>
      <c r="I20" s="36"/>
      <c r="J20" s="55"/>
    </row>
    <row r="21" spans="1:13" s="32" customFormat="1" ht="19.5" customHeight="1" x14ac:dyDescent="0.3">
      <c r="A21" s="58"/>
      <c r="B21" s="58"/>
      <c r="C21" s="58"/>
      <c r="D21" s="58"/>
      <c r="E21" s="59"/>
      <c r="F21" s="62"/>
      <c r="G21" s="59"/>
      <c r="H21" s="58"/>
      <c r="I21" s="60"/>
      <c r="J21" s="61"/>
    </row>
    <row r="22" spans="1:13" s="32" customFormat="1" x14ac:dyDescent="0.3">
      <c r="A22" s="45">
        <v>14</v>
      </c>
      <c r="B22" s="45"/>
      <c r="C22" s="45"/>
      <c r="D22" s="45"/>
      <c r="E22" s="46"/>
      <c r="F22" s="45"/>
      <c r="G22" s="46"/>
      <c r="H22" s="45"/>
      <c r="I22" s="36"/>
      <c r="J22" s="55"/>
    </row>
    <row r="23" spans="1:13" s="32" customFormat="1" ht="30.75" customHeight="1" x14ac:dyDescent="0.3">
      <c r="A23" s="45">
        <v>15</v>
      </c>
      <c r="B23" s="45"/>
      <c r="C23" s="45"/>
      <c r="D23" s="45"/>
      <c r="E23" s="46"/>
      <c r="F23" s="45"/>
      <c r="G23" s="46"/>
      <c r="H23" s="45"/>
      <c r="I23" s="36"/>
      <c r="J23" s="55"/>
    </row>
    <row r="24" spans="1:13" s="32" customFormat="1" ht="29.25" customHeight="1" x14ac:dyDescent="0.3">
      <c r="A24" s="45">
        <v>16</v>
      </c>
      <c r="B24" s="45"/>
      <c r="C24" s="45"/>
      <c r="D24" s="45"/>
      <c r="E24" s="46"/>
      <c r="F24" s="45"/>
      <c r="G24" s="46"/>
      <c r="H24" s="45"/>
      <c r="I24" s="36"/>
      <c r="J24" s="55"/>
    </row>
    <row r="25" spans="1:13" s="32" customFormat="1" ht="28.5" customHeight="1" x14ac:dyDescent="0.3">
      <c r="A25" s="45">
        <v>17</v>
      </c>
      <c r="B25" s="45"/>
      <c r="C25" s="45"/>
      <c r="D25" s="45"/>
      <c r="E25" s="46"/>
      <c r="F25" s="45"/>
      <c r="G25" s="46"/>
      <c r="H25" s="45"/>
      <c r="I25" s="36"/>
      <c r="J25" s="55"/>
    </row>
    <row r="26" spans="1:13" s="32" customFormat="1" x14ac:dyDescent="0.3">
      <c r="A26" s="58"/>
      <c r="B26" s="58"/>
      <c r="C26" s="58"/>
      <c r="D26" s="58"/>
      <c r="E26" s="59"/>
      <c r="F26" s="62"/>
      <c r="G26" s="59"/>
      <c r="H26" s="58"/>
      <c r="I26" s="60"/>
      <c r="J26" s="61"/>
    </row>
    <row r="27" spans="1:13" s="32" customFormat="1" ht="18.75" customHeight="1" x14ac:dyDescent="0.3">
      <c r="A27" s="44">
        <v>18</v>
      </c>
      <c r="B27" s="45"/>
      <c r="C27" s="45"/>
      <c r="D27" s="45"/>
      <c r="E27" s="46"/>
      <c r="F27" s="45"/>
      <c r="G27" s="46"/>
      <c r="H27" s="45"/>
      <c r="I27" s="36"/>
      <c r="J27" s="36"/>
    </row>
    <row r="28" spans="1:13" s="32" customFormat="1" ht="24.75" customHeight="1" x14ac:dyDescent="0.3">
      <c r="A28" s="45">
        <v>19</v>
      </c>
      <c r="B28" s="45"/>
      <c r="C28" s="45"/>
      <c r="D28" s="45"/>
      <c r="E28" s="46"/>
      <c r="F28" s="45"/>
      <c r="G28" s="46"/>
      <c r="H28" s="45"/>
      <c r="I28" s="36"/>
      <c r="J28" s="55"/>
    </row>
    <row r="29" spans="1:13" s="32" customFormat="1" ht="23.25" customHeight="1" x14ac:dyDescent="0.3">
      <c r="A29" s="45">
        <v>20</v>
      </c>
      <c r="B29" s="45"/>
      <c r="C29" s="45"/>
      <c r="D29" s="45"/>
      <c r="E29" s="46"/>
      <c r="F29" s="45"/>
      <c r="G29" s="46"/>
      <c r="H29" s="45"/>
      <c r="I29" s="36"/>
      <c r="J29" s="55"/>
    </row>
    <row r="30" spans="1:13" s="32" customFormat="1" ht="25.5" customHeight="1" x14ac:dyDescent="0.3">
      <c r="A30" s="45">
        <v>21</v>
      </c>
      <c r="B30" s="45"/>
      <c r="C30" s="45"/>
      <c r="D30" s="45"/>
      <c r="E30" s="46"/>
      <c r="F30" s="45"/>
      <c r="G30" s="46"/>
      <c r="H30" s="45"/>
      <c r="I30" s="36"/>
      <c r="J30" s="55"/>
    </row>
    <row r="31" spans="1:13" s="32" customFormat="1" x14ac:dyDescent="0.3">
      <c r="E31" s="57"/>
    </row>
    <row r="33" spans="5:5" s="32" customFormat="1" x14ac:dyDescent="0.3">
      <c r="E33" s="57"/>
    </row>
    <row r="34" spans="5:5" s="32" customFormat="1" ht="111.75" customHeight="1" x14ac:dyDescent="0.3">
      <c r="E34" s="57"/>
    </row>
    <row r="35" spans="5:5" s="32" customFormat="1" ht="111.75" customHeight="1" x14ac:dyDescent="0.3">
      <c r="E35" s="57"/>
    </row>
  </sheetData>
  <mergeCells count="4">
    <mergeCell ref="B1:D1"/>
    <mergeCell ref="B2:D2"/>
    <mergeCell ref="B3:D3"/>
    <mergeCell ref="B4:H4"/>
  </mergeCells>
  <dataValidations count="2">
    <dataValidation type="list" allowBlank="1" showInputMessage="1" showErrorMessage="1" sqref="I27:I30 I6:I11 I22:I25 I13:I18 I20" xr:uid="{00000000-0002-0000-0200-000000000000}">
      <formula1>$BB$1:$BB$5</formula1>
    </dataValidation>
    <dataValidation type="list" allowBlank="1" showInputMessage="1" showErrorMessage="1" sqref="B3:D3" xr:uid="{00000000-0002-0000-0200-000001000000}">
      <formula1>$BA$1:$BA$8</formula1>
    </dataValidation>
  </dataValidations>
  <pageMargins left="0.75" right="0.75" top="1" bottom="1" header="0.5" footer="0.5"/>
  <pageSetup paperSize="9" scale="13" orientation="landscape" r:id="rId1"/>
  <headerFooter alignWithMargins="0"/>
  <drawing r:id="rId2"/>
  <legacyDrawing r:id="rId3"/>
  <oleObjects>
    <mc:AlternateContent xmlns:mc="http://schemas.openxmlformats.org/markup-compatibility/2006">
      <mc:Choice Requires="x14">
        <oleObject progId="Packager Shell Object" shapeId="10276" r:id="rId4">
          <objectPr defaultSize="0" r:id="rId5">
            <anchor moveWithCells="1">
              <from>
                <xdr:col>2</xdr:col>
                <xdr:colOff>952500</xdr:colOff>
                <xdr:row>7</xdr:row>
                <xdr:rowOff>85725</xdr:rowOff>
              </from>
              <to>
                <xdr:col>2</xdr:col>
                <xdr:colOff>2524125</xdr:colOff>
                <xdr:row>7</xdr:row>
                <xdr:rowOff>600075</xdr:rowOff>
              </to>
            </anchor>
          </objectPr>
        </oleObject>
      </mc:Choice>
      <mc:Fallback>
        <oleObject progId="Packager Shell Object" shapeId="10276" r:id="rId4"/>
      </mc:Fallback>
    </mc:AlternateContent>
    <mc:AlternateContent xmlns:mc="http://schemas.openxmlformats.org/markup-compatibility/2006">
      <mc:Choice Requires="x14">
        <oleObject progId="Packager Shell Object" shapeId="10277" r:id="rId6">
          <objectPr defaultSize="0" r:id="rId7">
            <anchor moveWithCells="1">
              <from>
                <xdr:col>2</xdr:col>
                <xdr:colOff>1076325</xdr:colOff>
                <xdr:row>14</xdr:row>
                <xdr:rowOff>57150</xdr:rowOff>
              </from>
              <to>
                <xdr:col>2</xdr:col>
                <xdr:colOff>2647950</xdr:colOff>
                <xdr:row>14</xdr:row>
                <xdr:rowOff>571500</xdr:rowOff>
              </to>
            </anchor>
          </objectPr>
        </oleObject>
      </mc:Choice>
      <mc:Fallback>
        <oleObject progId="Packager Shell Object" shapeId="10277" r:id="rId6"/>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2.75" outlineLevelRow="1" x14ac:dyDescent="0.2"/>
  <cols>
    <col min="1" max="1" width="27.140625" customWidth="1"/>
    <col min="2" max="2" width="59.85546875" style="63" customWidth="1"/>
    <col min="3" max="3" width="24.42578125" customWidth="1"/>
  </cols>
  <sheetData>
    <row r="1" spans="1:2" x14ac:dyDescent="0.2">
      <c r="A1" s="64" t="s">
        <v>61</v>
      </c>
      <c r="B1" s="65" t="s">
        <v>0</v>
      </c>
    </row>
    <row r="2" spans="1:2" outlineLevel="1" x14ac:dyDescent="0.2">
      <c r="A2" s="66" t="s">
        <v>55</v>
      </c>
      <c r="B2" s="71">
        <f>PPRD</f>
        <v>44593</v>
      </c>
    </row>
    <row r="3" spans="1:2" x14ac:dyDescent="0.2">
      <c r="A3" s="66" t="s">
        <v>58</v>
      </c>
      <c r="B3" s="67" t="str">
        <f>CRN</f>
        <v>CHG213427</v>
      </c>
    </row>
    <row r="4" spans="1:2" x14ac:dyDescent="0.2">
      <c r="A4" s="66" t="s">
        <v>59</v>
      </c>
      <c r="B4" s="67" t="str">
        <f>MA</f>
        <v>CT</v>
      </c>
    </row>
    <row r="5" spans="1:2" x14ac:dyDescent="0.2">
      <c r="A5" s="66" t="s">
        <v>60</v>
      </c>
      <c r="B5" s="67" t="str">
        <f>Area</f>
        <v>Data</v>
      </c>
    </row>
    <row r="6" spans="1:2" x14ac:dyDescent="0.2">
      <c r="A6" s="66" t="s">
        <v>44</v>
      </c>
      <c r="B6" s="67" t="str">
        <f>Entity</f>
        <v>IC</v>
      </c>
    </row>
    <row r="7" spans="1:2" x14ac:dyDescent="0.2">
      <c r="A7" s="66" t="s">
        <v>56</v>
      </c>
      <c r="B7" s="68">
        <f>DTested</f>
        <v>44532</v>
      </c>
    </row>
    <row r="8" spans="1:2" x14ac:dyDescent="0.2">
      <c r="A8" s="66" t="s">
        <v>57</v>
      </c>
      <c r="B8" s="69">
        <f>DReviewed</f>
        <v>0</v>
      </c>
    </row>
    <row r="9" spans="1:2" x14ac:dyDescent="0.2">
      <c r="A9" s="66" t="s">
        <v>48</v>
      </c>
      <c r="B9" s="67">
        <f>TestedBy</f>
        <v>0</v>
      </c>
    </row>
    <row r="10" spans="1:2" x14ac:dyDescent="0.2">
      <c r="A10" s="66" t="s">
        <v>52</v>
      </c>
      <c r="B10" s="67">
        <f>ReviewedBy</f>
        <v>0</v>
      </c>
    </row>
    <row r="12" spans="1:2" x14ac:dyDescent="0.2">
      <c r="A12" s="66" t="s">
        <v>62</v>
      </c>
      <c r="B12" s="70"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220"/>
  <sheetViews>
    <sheetView topLeftCell="A34" workbookViewId="0">
      <selection activeCell="E54" sqref="E54"/>
    </sheetView>
  </sheetViews>
  <sheetFormatPr defaultColWidth="9.140625" defaultRowHeight="12.75" x14ac:dyDescent="0.2"/>
  <cols>
    <col min="1" max="1" width="44" style="75" bestFit="1" customWidth="1"/>
    <col min="2" max="16384" width="9.140625" style="75"/>
  </cols>
  <sheetData>
    <row r="1" spans="1:1" x14ac:dyDescent="0.2">
      <c r="A1" s="74" t="s">
        <v>116</v>
      </c>
    </row>
    <row r="13" spans="1:1" x14ac:dyDescent="0.2">
      <c r="A13" s="74" t="s">
        <v>117</v>
      </c>
    </row>
    <row r="30" spans="1:1" x14ac:dyDescent="0.2">
      <c r="A30" s="74"/>
    </row>
    <row r="35" spans="1:1" x14ac:dyDescent="0.2">
      <c r="A35" s="74" t="s">
        <v>118</v>
      </c>
    </row>
    <row r="55" spans="1:1" x14ac:dyDescent="0.2">
      <c r="A55" s="74"/>
    </row>
    <row r="70" spans="1:1" x14ac:dyDescent="0.2">
      <c r="A70" s="74"/>
    </row>
    <row r="105" spans="1:1" x14ac:dyDescent="0.2">
      <c r="A105" s="74"/>
    </row>
    <row r="146" spans="1:1" x14ac:dyDescent="0.2">
      <c r="A146" s="74"/>
    </row>
    <row r="185" spans="1:1" x14ac:dyDescent="0.2">
      <c r="A185" s="74"/>
    </row>
    <row r="220" spans="1:1" x14ac:dyDescent="0.2">
      <c r="A220" s="74"/>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Cover</vt:lpstr>
      <vt:lpstr>Version Control</vt:lpstr>
      <vt:lpstr>Test Cycle 1</vt:lpstr>
      <vt:lpstr>AppConfig</vt:lpstr>
      <vt:lpstr>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Seeburn, Vikram</cp:lastModifiedBy>
  <cp:lastPrinted>2013-10-17T06:50:38Z</cp:lastPrinted>
  <dcterms:created xsi:type="dcterms:W3CDTF">2006-03-30T08:28:02Z</dcterms:created>
  <dcterms:modified xsi:type="dcterms:W3CDTF">2021-12-02T12:35:54Z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