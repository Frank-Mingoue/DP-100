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nithin.a.krishna\Desktop\JTI\October Fest\Contracts and Conract Terms\"/>
    </mc:Choice>
  </mc:AlternateContent>
  <xr:revisionPtr revIDLastSave="0" documentId="13_ncr:1_{C70C2562-2D34-4A13-A394-0C1188BFD91F}" xr6:coauthVersionLast="46" xr6:coauthVersionMax="46" xr10:uidLastSave="{00000000-0000-0000-0000-000000000000}"/>
  <bookViews>
    <workbookView xWindow="-110" yWindow="-110" windowWidth="19420" windowHeight="10420" tabRatio="926" activeTab="2" xr2:uid="{00000000-000D-0000-FFFF-FFFF00000000}"/>
  </bookViews>
  <sheets>
    <sheet name="Cover" sheetId="20" r:id="rId1"/>
    <sheet name="Version Control" sheetId="14" r:id="rId2"/>
    <sheet name="Test Cycle 1" sheetId="9" r:id="rId3"/>
    <sheet name="AppConfig" sheetId="23" state="hidden" r:id="rId4"/>
    <sheet name="SALES SCREENSHOT" sheetId="22" r:id="rId5"/>
  </sheets>
  <definedNames>
    <definedName name="AppArea">AppConfig!$B$5</definedName>
    <definedName name="AppCRN">AppConfig!$B$3</definedName>
    <definedName name="AppDReviewed">AppConfig!$B$8</definedName>
    <definedName name="AppDTested">AppConfig!$B$7</definedName>
    <definedName name="AppMA">AppConfig!$B$4</definedName>
    <definedName name="AppPPRD">AppConfig!$B$2</definedName>
    <definedName name="AppReviewedBy">AppConfig!$B$10</definedName>
    <definedName name="AppTestedBy">AppConfig!$B$9</definedName>
    <definedName name="Area">Cover!$K$24</definedName>
    <definedName name="CRN">Cover!$K$19</definedName>
    <definedName name="dClear">#REF!</definedName>
    <definedName name="dCustoName">#REF!</definedName>
    <definedName name="dDateRev">#REF!</definedName>
    <definedName name="dDefectLog">#REF!</definedName>
    <definedName name="dDefectLogStatus">#REF!</definedName>
    <definedName name="dDelay">#REF!</definedName>
    <definedName name="dDelay2">#REF!</definedName>
    <definedName name="dDeveloper">Cover!$K$24</definedName>
    <definedName name="dDeveloperFirstName">'Test Cycle 1'!$C$3</definedName>
    <definedName name="dDFLGFile">#REF!</definedName>
    <definedName name="dDFLgStatus">#REF!</definedName>
    <definedName name="dDFLgTab">#REF!</definedName>
    <definedName name="dDropDown">#REF!</definedName>
    <definedName name="dExpectedResult">#REF!</definedName>
    <definedName name="dFunctional">Cover!$K$22</definedName>
    <definedName name="dKOCheck">#REF!</definedName>
    <definedName name="dKOComments">#REF!</definedName>
    <definedName name="dKODescription">#REF!</definedName>
    <definedName name="dLCopyToRow" localSheetId="2">#REF!</definedName>
    <definedName name="dLetters">#REF!</definedName>
    <definedName name="dLSearchRow">#REF!</definedName>
    <definedName name="dLSearchRowNew" localSheetId="2">#REF!</definedName>
    <definedName name="dMatch1">#REF!</definedName>
    <definedName name="dObjectReviewed">Cover!$K$20</definedName>
    <definedName name="dPeerReviewerFirstName">'Test Cycle 1'!$C$4</definedName>
    <definedName name="dProjName">#REF!</definedName>
    <definedName name="dPRSheet1">#REF!</definedName>
    <definedName name="dRangeG" localSheetId="2">'Test Cycle 1'!#REF!</definedName>
    <definedName name="dReleaseDependent">Cover!$K$25</definedName>
    <definedName name="DReviewed">'Version Control'!$C$27</definedName>
    <definedName name="dReviewedBy">#REF!</definedName>
    <definedName name="dSearch">#REF!</definedName>
    <definedName name="dSearchColumn">#REF!</definedName>
    <definedName name="dSevColumn">#REF!</definedName>
    <definedName name="dSeverity">#REF!</definedName>
    <definedName name="dTestCycle">'Test Cycle 1'!$E$2</definedName>
    <definedName name="DTested">'Test Cycle 1'!$C$3</definedName>
    <definedName name="dTMA">Cover!$K$19</definedName>
    <definedName name="dTMADes">#REF!</definedName>
    <definedName name="dValue1">#REF!</definedName>
    <definedName name="dWho">#REF!</definedName>
    <definedName name="dwks1">#REF!</definedName>
    <definedName name="dwks2" localSheetId="2">#REF!</definedName>
    <definedName name="dWorksheet1">#REF!</definedName>
    <definedName name="dWorksheet2">#REF!</definedName>
    <definedName name="dWorksheet3">#REF!</definedName>
    <definedName name="dWorksheet4">#REF!</definedName>
    <definedName name="Entity1">AppConfig!$B$6</definedName>
    <definedName name="InfoDialog">"Dialogfeldrahmen 1"</definedName>
    <definedName name="LSearchRow">#REF!</definedName>
    <definedName name="MA">Cover!$K$22</definedName>
    <definedName name="PPRD">'Version Control'!$B$7</definedName>
    <definedName name="_xlnm.Print_Area" localSheetId="0">Cover!$A$1:$S$34</definedName>
    <definedName name="_xlnm.Print_Area" localSheetId="2">'Test Cycle 1'!$A$2:$H$26</definedName>
    <definedName name="_xlnm.Print_Titles" localSheetId="2">'Test Cycle 1'!$8:$9</definedName>
    <definedName name="ReviewedBy">'Test Cycle 1'!$C$4</definedName>
    <definedName name="TestedBy">'Test Cycle 1'!$C$3</definedName>
    <definedName name="TestWrkSht1">AppConfig!$B$12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9" l="1"/>
  <c r="H8" i="9" s="1"/>
  <c r="A1" i="14"/>
  <c r="B10" i="23"/>
  <c r="B9" i="23"/>
  <c r="B7" i="23"/>
  <c r="B8" i="23"/>
  <c r="B5" i="23"/>
  <c r="B4" i="23"/>
  <c r="B3" i="23"/>
  <c r="B2" i="23"/>
  <c r="C5" i="9"/>
  <c r="A4" i="14"/>
  <c r="A2" i="9" s="1"/>
  <c r="E4" i="9"/>
  <c r="B10" i="14"/>
  <c r="B27" i="14" s="1"/>
  <c r="B39" i="14"/>
  <c r="C34" i="20"/>
  <c r="B21" i="14" l="1"/>
</calcChain>
</file>

<file path=xl/sharedStrings.xml><?xml version="1.0" encoding="utf-8"?>
<sst xmlns="http://schemas.openxmlformats.org/spreadsheetml/2006/main" count="431" uniqueCount="234">
  <si>
    <t xml:space="preserve"> </t>
  </si>
  <si>
    <t>Values</t>
  </si>
  <si>
    <t>Review Rating</t>
  </si>
  <si>
    <t>Step</t>
  </si>
  <si>
    <t>Role</t>
  </si>
  <si>
    <t>Module</t>
  </si>
  <si>
    <t>Test Condition / Action / Description</t>
  </si>
  <si>
    <t>Expected Result</t>
  </si>
  <si>
    <t>Priority</t>
  </si>
  <si>
    <t>TEST CYCLE</t>
  </si>
  <si>
    <t>Developer FirstName:</t>
  </si>
  <si>
    <t>Indicates Test Script mainsteps</t>
  </si>
  <si>
    <t>PeerReviewer FirstName:</t>
  </si>
  <si>
    <t>Planned PROD Release:</t>
  </si>
  <si>
    <t>UNIT TEST SCRIPT</t>
  </si>
  <si>
    <t>Reserved for Tester</t>
  </si>
  <si>
    <t>Trade Marketing Excellence Programme</t>
  </si>
  <si>
    <t>Print Date:</t>
  </si>
  <si>
    <t>NO</t>
  </si>
  <si>
    <t>Document Control</t>
  </si>
  <si>
    <t>Project:</t>
  </si>
  <si>
    <t>JTI</t>
  </si>
  <si>
    <t>Planned Prod Release Date:</t>
  </si>
  <si>
    <t>Actual UAT Release:</t>
  </si>
  <si>
    <t>Contributing Team</t>
  </si>
  <si>
    <t>Market Requirement</t>
  </si>
  <si>
    <t>Doc Name</t>
  </si>
  <si>
    <t>Team</t>
  </si>
  <si>
    <t>Version</t>
  </si>
  <si>
    <t>Comments</t>
  </si>
  <si>
    <t>-</t>
  </si>
  <si>
    <t>Technical Design</t>
  </si>
  <si>
    <t>Unit Test Script</t>
  </si>
  <si>
    <t>Peer Review</t>
  </si>
  <si>
    <t>Internal</t>
  </si>
  <si>
    <t>Completion Date</t>
  </si>
  <si>
    <t>PeerReviewer FirstName</t>
  </si>
  <si>
    <t>REVIEW TYPE
Completed ?</t>
  </si>
  <si>
    <t>Physical Audit By</t>
  </si>
  <si>
    <t>Date</t>
  </si>
  <si>
    <t>Audit Type</t>
  </si>
  <si>
    <t>Document Summary</t>
  </si>
  <si>
    <t>CR Title / Description</t>
  </si>
  <si>
    <t>Other Information / Comments</t>
  </si>
  <si>
    <t>T E S T  S C R I P T  in SharePoint</t>
  </si>
  <si>
    <t>Test Cycle 1</t>
  </si>
  <si>
    <t>ReleaseLog</t>
  </si>
  <si>
    <t>Refer to Proposed Solution</t>
  </si>
  <si>
    <t>V1</t>
  </si>
  <si>
    <t>DEVELOPMENT</t>
  </si>
  <si>
    <t>x</t>
  </si>
  <si>
    <t>Sales</t>
  </si>
  <si>
    <t>Log into the Sales Application</t>
  </si>
  <si>
    <t>Sales Screenshot</t>
  </si>
  <si>
    <t>Reserved for DEVELOPMENT Team</t>
  </si>
  <si>
    <t>CHANGE REQUEST</t>
  </si>
  <si>
    <t>Markets Mandatory Testing</t>
  </si>
  <si>
    <t>Local Administrator - Mandatory Markets Testing</t>
  </si>
  <si>
    <t>Doc Review / Uploaded in TS Library</t>
  </si>
  <si>
    <t>PEER REVIEW Completed?</t>
  </si>
  <si>
    <t>Parameter Name</t>
  </si>
  <si>
    <t>Planned PROD Release Date</t>
  </si>
  <si>
    <t>Change Request Number</t>
  </si>
  <si>
    <t>Market Affected</t>
  </si>
  <si>
    <t>Area</t>
  </si>
  <si>
    <t>Entity</t>
  </si>
  <si>
    <t>Date Tested</t>
  </si>
  <si>
    <t>Date Reviewed</t>
  </si>
  <si>
    <t>Developer First Name</t>
  </si>
  <si>
    <t>Reviewer First Name</t>
  </si>
  <si>
    <t>Test Worksheet</t>
  </si>
  <si>
    <t>ODC</t>
  </si>
  <si>
    <t>CR Title:</t>
  </si>
  <si>
    <t>CR #:</t>
  </si>
  <si>
    <t>Markets Affected:</t>
  </si>
  <si>
    <t>Markets Mandatory Testing:</t>
  </si>
  <si>
    <t>AREA:</t>
  </si>
  <si>
    <t>Caroline Riviere</t>
  </si>
  <si>
    <t>CHG213437</t>
  </si>
  <si>
    <t>TMEC:  RI - Enhancements on Contracts &amp;  Contract Terms</t>
  </si>
  <si>
    <t>All - Central Team</t>
  </si>
  <si>
    <t>ITA, CSY, ESN</t>
  </si>
  <si>
    <t>FEB, 2021</t>
  </si>
  <si>
    <t>S_UnitTestScript_CHG213427_v1.xlsm</t>
  </si>
  <si>
    <t>Navigate to Site Map</t>
  </si>
  <si>
    <t>A view with a list of all available screens (responsibility-dependent) will be displayed.</t>
  </si>
  <si>
    <t>A new line is created.</t>
  </si>
  <si>
    <t>Click on Administration Data - Agreement List</t>
  </si>
  <si>
    <t>User is directed to Administration Data - Agreement List</t>
  </si>
  <si>
    <t>User is Navigated to Administraction - Data&gt;&gt;Contract Terms View</t>
  </si>
  <si>
    <t>2 fields are available in the Top Applet and are editable.</t>
  </si>
  <si>
    <t>Verify in the top Details applet that 2 fields are presnent - JTI Total Amount Limit and JTI Total Points Limit and are available for editing.</t>
  </si>
  <si>
    <t>Drilldown on any of the editable Agreement Records by clicking on the Agreement Name in the top list applet</t>
  </si>
  <si>
    <t>Scroll down to the Contract Terms Applet[Second Applet] and Click on the 'New' Button</t>
  </si>
  <si>
    <t>A Popup applet with a set of Contract Terms Records is opened.</t>
  </si>
  <si>
    <t>Select any one of the records in the top applet and Click on 'Add Terms'</t>
  </si>
  <si>
    <t>The Select record has been associated to the Contract Terms List Applet and is shown in the applet.</t>
  </si>
  <si>
    <t>Scroll down to the Distribution Applet[Third Applet] and Click on the 'New' Button.</t>
  </si>
  <si>
    <t>A Popup applet with a set of Distribution Records that are associated to the Same Contract is opened.[The Same records which are Available in the Administration Data&gt;&gt;Distribution]</t>
  </si>
  <si>
    <t>The Select record has been associated to the Distribution List Applet and is shown in the applet.</t>
  </si>
  <si>
    <t>Input values for both JTI Total Amount Limit and JTI Total Points Limit and Save the Record.
JTI Total Amount Limit = '0'
JTI Total Points Limit = '0'</t>
  </si>
  <si>
    <t>A Validation Error Popup and record is not Saved.</t>
  </si>
  <si>
    <t>Record is saved.</t>
  </si>
  <si>
    <t>Contract Template Header</t>
  </si>
  <si>
    <t>On the Top Applet, Change the Status to 'Active'.</t>
  </si>
  <si>
    <t>An Error pops us with the warning to Input 'Benefit Type'.</t>
  </si>
  <si>
    <t>Populate Benefit Type for the Contract Terms records.</t>
  </si>
  <si>
    <t>Benefit Type populated for Contract Terms Records.</t>
  </si>
  <si>
    <t>Make Sure that the Unit Price Field is Read only for Records with Benefit Type='Points' and 'Nb of Points' field is read only for Records with Benefit Type='Payment'</t>
  </si>
  <si>
    <t>Unit Price is Read only when Benefit Type='Points' and
Nb of Points is read only when Benefit Type='Payment'.</t>
  </si>
  <si>
    <t>Validate Total Amount Limit</t>
  </si>
  <si>
    <t>Contract Amounts saved.</t>
  </si>
  <si>
    <t>Update the Amount Field in Top applet with Value: '1000' and Save the Record.</t>
  </si>
  <si>
    <t>In the Top Applet, Change the Status to 'Active'.</t>
  </si>
  <si>
    <t>A validation Message is raised as “Sum of Contract Amount exceeds in 500 the Total Amount Limit</t>
  </si>
  <si>
    <t>Validate Total Points Limit</t>
  </si>
  <si>
    <t>A validation Message is raised as “Sum of Points Amount exceeds in 50 the Total Points Limit".</t>
  </si>
  <si>
    <t>Record is saved and no error is shown.</t>
  </si>
  <si>
    <t>Change the Status back to 'Modify'</t>
  </si>
  <si>
    <t>Status is changed to Modify.</t>
  </si>
  <si>
    <t>new Contract Terms Records is associated to the List Applet.</t>
  </si>
  <si>
    <t>Update the Unit Price for the records added In step 7 and 10 as '1500' and '3000' respectively.</t>
  </si>
  <si>
    <t>Product Distribution</t>
  </si>
  <si>
    <t>2 more distribution records are added</t>
  </si>
  <si>
    <t>Select any one of the Contract Terms Items in the Second applet.</t>
  </si>
  <si>
    <t>Contract Terms Item is Selected.</t>
  </si>
  <si>
    <t>Contract Name of the record that has been selected at step 25 is  populated at the 'Contract Item' field in the Distribution Applet for records added at step 27 and 28.</t>
  </si>
  <si>
    <t>Select any one of the newly created Distribution item in the Distribution applet at Contract Terms view and click on Delete Selected.</t>
  </si>
  <si>
    <t>The Record is removed from the Distribution applet.</t>
  </si>
  <si>
    <t>Navigate to the Administration - Data &gt;&gt; Template Agreement - Distribution and verify if the Name of the Contract Term selected at step 25 has been populated for the distribution record added at step 27 and 28.</t>
  </si>
  <si>
    <t>The Record is available in the  Administration - Data &gt;&gt; Template Agreement - Distribution and its Contract Name is set to "".</t>
  </si>
  <si>
    <t>Deploy Contract from Template</t>
  </si>
  <si>
    <t>Select any of the Accounts from 'Target Accounts' and Click on the commit Button.</t>
  </si>
  <si>
    <t>Account is committed to the Template and the committed record is available in the bottom applet.</t>
  </si>
  <si>
    <t>Make sure that end date for the template is is a future Date.</t>
  </si>
  <si>
    <t>End date is in the future.</t>
  </si>
  <si>
    <t>Change the Status to 'Active.'</t>
  </si>
  <si>
    <t>Contract Template is Activated.</t>
  </si>
  <si>
    <t>Navigate to the Accounts - Outlet Visits and Click on 'Create Visit'</t>
  </si>
  <si>
    <t>New Visit is created.</t>
  </si>
  <si>
    <t>Click on the 'Start Visit' button in the landing View.</t>
  </si>
  <si>
    <t>Visit Started.</t>
  </si>
  <si>
    <t>Click on '+' button available in the bottom applet.</t>
  </si>
  <si>
    <t>A pop up is shown.</t>
  </si>
  <si>
    <t>Drilldown on the resulting record by clicking on the 'Activity Type'</t>
  </si>
  <si>
    <t>User is Navigate to the Contracts&gt;&gt;Agreement List &gt;&gt; Contract Terms</t>
  </si>
  <si>
    <t>Contract Terms Items are properly inherited from the Template.</t>
  </si>
  <si>
    <t>Field values are properly inherited from the Template.</t>
  </si>
  <si>
    <t>Scroll down to Distribution applet and Click on New Button.</t>
  </si>
  <si>
    <t>A popup applet with Distribution records are show.</t>
  </si>
  <si>
    <t>Select any of the Distribution applet and Click on OK.</t>
  </si>
  <si>
    <t>Distribution records are associated with the corresponding Contract Terms item.</t>
  </si>
  <si>
    <t>Update the Amount Field in Top applet with Value: '100' and Save the Record.</t>
  </si>
  <si>
    <t>Record is saved</t>
  </si>
  <si>
    <t>Click on the 'Submit' button.</t>
  </si>
  <si>
    <t>Update the Values for 'Amount' as '1000' and Save the record in the top applet.</t>
  </si>
  <si>
    <t>Update the Value for 'Amount' to '500' and Update the value of 'Points Amount' to '100' in the top applet.</t>
  </si>
  <si>
    <t>Record is Saved.</t>
  </si>
  <si>
    <t>A validation Message is raised as “Sum of Points Amount exceeds in 60 the Total Points Limit".</t>
  </si>
  <si>
    <t>Update the 'Points Amount' to 10 and Save the record</t>
  </si>
  <si>
    <t>Record is Saved</t>
  </si>
  <si>
    <t>Status is Changed to 'Pending' and record is made Read Only.</t>
  </si>
  <si>
    <t>Verify that for Records with Benefit Type='Points', Unit Price Field is a read only</t>
  </si>
  <si>
    <t>Records with Benefit Type='Points', Unit Price is read only</t>
  </si>
  <si>
    <t>Verify that for Records with Benefit Type='Payment', 'Nb of Points' Field is a read only</t>
  </si>
  <si>
    <t>Records with Benefit Type='Payment', Nb of Points field is read only</t>
  </si>
  <si>
    <t>Navigate to the Contracts - Agreement List</t>
  </si>
  <si>
    <t>User is directed to Contracts&gt;&gt;Agreement List</t>
  </si>
  <si>
    <t>Drilldown on Any contract Record with Status='Draft'</t>
  </si>
  <si>
    <t>User is directed to the Contract &gt;&gt; Contract Terms</t>
  </si>
  <si>
    <t>Create a new record in Contract Terms [2nd Applet] and Populate the Benefit Type value</t>
  </si>
  <si>
    <t>New Record is Created and Benefit Type is populated</t>
  </si>
  <si>
    <t>Navigate to Contracts - Agreement List Again</t>
  </si>
  <si>
    <t>Record Selected.</t>
  </si>
  <si>
    <t>Click on Copy/Renew button in the Applet.</t>
  </si>
  <si>
    <t>A new version is created.</t>
  </si>
  <si>
    <t>Select the newly added Record and Drilldown.</t>
  </si>
  <si>
    <t>Verify that all the fields from the Record created at step 63 is properly inherited in the newly created record</t>
  </si>
  <si>
    <t>All fileds are properly inherited.</t>
  </si>
  <si>
    <t>Deploy Contract without Template</t>
  </si>
  <si>
    <t>Click on + button in the top Applet</t>
  </si>
  <si>
    <t>Populate all the Necessary fields</t>
  </si>
  <si>
    <t>All necessary fields are populated.</t>
  </si>
  <si>
    <t>Navigate to the Contract - Agreement List</t>
  </si>
  <si>
    <t>User is navigated to the Contract&gt;&gt;Agreement List</t>
  </si>
  <si>
    <t>Drilldown on the newly created record</t>
  </si>
  <si>
    <t>Scrolldown to the Contract Terms Applet[2nd Applet] and Click on the New Button</t>
  </si>
  <si>
    <t>A popup applet with available contract Terms records are displayed</t>
  </si>
  <si>
    <t>Select any two records and Click on Add Items.</t>
  </si>
  <si>
    <t>New records are associated to the Contract Terms</t>
  </si>
  <si>
    <t>Select any record from the two available records and Click on Delete Selected.</t>
  </si>
  <si>
    <t>Selected Record is deleted.</t>
  </si>
  <si>
    <t>Navigate to the Distribution Tab in the same screen</t>
  </si>
  <si>
    <t>User is Navigated to the Contracts&gt;&gt;Agreement List - Distribution View</t>
  </si>
  <si>
    <t>Click on the New Button in the Distribution applet.</t>
  </si>
  <si>
    <t>A popup with available records are shown.</t>
  </si>
  <si>
    <t>Select any three records from the Applet and Click on Add Items</t>
  </si>
  <si>
    <t>Selected Records has been added to the Distribution applet</t>
  </si>
  <si>
    <t>Navigate back to the Contract Terms View</t>
  </si>
  <si>
    <t>User is navigated to the Contract Terms View</t>
  </si>
  <si>
    <t>Select the Contract Item in the Second applet, Scroll down to the Distribution Applet and Click on New button</t>
  </si>
  <si>
    <t>Select any two records from the Applet and Click on OK</t>
  </si>
  <si>
    <t>Select any record in the Distribution applet and Click on Delete Selected.</t>
  </si>
  <si>
    <t>The Selected Record has been deleted.</t>
  </si>
  <si>
    <t>The record is still available.</t>
  </si>
  <si>
    <t>Record is updated with the Values</t>
  </si>
  <si>
    <t>Scroll up to the Contract Applet [first Applet] and Populate the Values for the fields as follows.
JTI Points Limit: 200
JTI Amount Limit: 1000
Amount: 600
Points Total: 150</t>
  </si>
  <si>
    <t>Scroll up to the Contract Applet [first Applet] and Change the Status to 'Active'</t>
  </si>
  <si>
    <t>Navigate to the Distribution Tab in the same screen and Verify if the record deleted in the previous step is still available in the view and the Contract Term field is set to ''.</t>
  </si>
  <si>
    <t xml:space="preserve">Scroll down to the Contract Terms Applet[Second Applet] and Update the following Fields:
Unit Price: 500
and Save record.
</t>
  </si>
  <si>
    <t>A validation Message is raised as “Sum of Contract Amount exceeds in 100 the Total Amount Limit</t>
  </si>
  <si>
    <t xml:space="preserve">Scroll down to the Contract Terms Applet[Second Applet] and Update the following Fields:
Unit Price: 100
Nb of Points: 100
and Save record.
</t>
  </si>
  <si>
    <t>Passed</t>
  </si>
  <si>
    <t>Inherit Contract Terms from Copy/Renew</t>
  </si>
  <si>
    <t>Repeat Step 7 with values:
JTI Total Amount Limit = '5000'
JTI Total Points Limit = '200'</t>
  </si>
  <si>
    <t>Repeat step 9-10 to add one more records to the Contract Terms Applet.</t>
  </si>
  <si>
    <t>Update the Contract Terms created at steps 10 and 14 with the following value:
Nb of Points: 150 and 100 Respectively.</t>
  </si>
  <si>
    <t>Update the record created at step 14 with the following value.
Nb of Points: 10</t>
  </si>
  <si>
    <t>Click on Administration Data &gt;&gt; Agreement List</t>
  </si>
  <si>
    <t>Repeat steps 30-31 to add 2 more records.</t>
  </si>
  <si>
    <t>Navigate to theAdministration - Data &gt;&gt; Template Agreement - Distribution and verify that the record deleted at step 35 is still available in the view and the Contract Name is set to "".</t>
  </si>
  <si>
    <t>Click on Administration Data - Agreement List&gt;&gt;Target Accounts for the record selected in the step 5.</t>
  </si>
  <si>
    <t>Navigate to Accounts and query for the account selected at the step 41.</t>
  </si>
  <si>
    <t>Select the type as 'Create Contract' and Choose the template which is activated at the Step:43 and Click on OK</t>
  </si>
  <si>
    <t xml:space="preserve">Make sure that all the contract terms associated at Template chosen at step 48 are available in the Contract Terms applet with field values including 'Benefit Type' for all the records. </t>
  </si>
  <si>
    <t>Make sure that fields ''JTI Total Amount Limit' and 'JTI Total Points Limit' are same as the template Chosen at step 48.</t>
  </si>
  <si>
    <t>Select any one of the records in the popup applet and Click on 'OK'</t>
  </si>
  <si>
    <t>Repeat steps 62-63 to add 1 more records.</t>
  </si>
  <si>
    <t>1 more distribution records are added</t>
  </si>
  <si>
    <t>Navigate to the Administration - Data &gt;&gt; Template Agreement - Distribution and verify if the Name of the Contract Term selected at step 61 has been populated for the distribution record added at step 63 and 64.</t>
  </si>
  <si>
    <t>Contract Name of the record that has been selected at step 25 is  populated at the 'Contract Item' field in the Distribution Applet for records added at step 63 and 64.</t>
  </si>
  <si>
    <t>Navigate to theAdministration - Data &gt;&gt; Template Agreement - Distribution and verify that the record deleted at step 66 is still available in the view and the Contract Name is set to "".</t>
  </si>
  <si>
    <t>Accouunt selected at step 41 is retrieved.</t>
  </si>
  <si>
    <t>Query for the record selected at step 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</si>
</sst>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409]d\-mmm\-yyyy;@"/>
    <numFmt numFmtId="165" formatCode="_-* #,##0.00\ _B_F_-;\-* #,##0.00\ _B_F_-;_-* &quot;-&quot;??\ _B_F_-;_-@_-"/>
    <numFmt numFmtId="166" formatCode="mm/dd/yy"/>
    <numFmt numFmtId="167" formatCode="dd\-mmm\-yyyy"/>
    <numFmt numFmtId="168" formatCode="mmm\-yyyy"/>
    <numFmt numFmtId="169" formatCode="[$-409]d\-mmm\-yy;@"/>
  </numFmts>
  <fonts count="64" x14ac:knownFonts="1">
    <font>
      <sz val="10"/>
      <name val="Arial"/>
    </font>
    <font>
      <sz val="8"/>
      <name val="Arial"/>
      <family val="2"/>
    </font>
    <font>
      <sz val="9"/>
      <name val="Arial"/>
      <family val="2"/>
    </font>
    <font>
      <b/>
      <sz val="9"/>
      <name val="Arial"/>
      <family val="2"/>
    </font>
    <font>
      <sz val="10"/>
      <name val="Arial"/>
      <family val="2"/>
    </font>
    <font>
      <b/>
      <sz val="10"/>
      <name val="Arial"/>
      <family val="2"/>
    </font>
    <font>
      <b/>
      <sz val="11"/>
      <name val="Calibri"/>
      <family val="2"/>
    </font>
    <font>
      <sz val="11"/>
      <color indexed="8"/>
      <name val="Calibri"/>
      <family val="2"/>
    </font>
    <font>
      <b/>
      <sz val="11"/>
      <color indexed="8"/>
      <name val="Calibri"/>
      <family val="2"/>
    </font>
    <font>
      <b/>
      <i/>
      <sz val="24"/>
      <color indexed="57"/>
      <name val="Arial"/>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sz val="16"/>
      <name val="Arial"/>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4"/>
      <name val="Arial"/>
      <family val="2"/>
    </font>
    <font>
      <b/>
      <sz val="10"/>
      <color indexed="12"/>
      <name val="Arial"/>
      <family val="2"/>
    </font>
    <font>
      <b/>
      <sz val="12"/>
      <color indexed="12"/>
      <name val="Arial"/>
      <family val="2"/>
    </font>
    <font>
      <b/>
      <sz val="14"/>
      <color indexed="12"/>
      <name val="Arial"/>
      <family val="2"/>
    </font>
    <font>
      <sz val="10"/>
      <color indexed="12"/>
      <name val="Arial"/>
      <family val="2"/>
    </font>
    <font>
      <b/>
      <sz val="12"/>
      <color indexed="9"/>
      <name val="Arial"/>
      <family val="2"/>
    </font>
    <font>
      <b/>
      <sz val="8"/>
      <name val="Arial"/>
      <family val="2"/>
    </font>
    <font>
      <b/>
      <sz val="14"/>
      <color indexed="9"/>
      <name val="Arial"/>
      <family val="2"/>
    </font>
    <font>
      <b/>
      <sz val="22"/>
      <name val="Arial"/>
      <family val="2"/>
    </font>
    <font>
      <i/>
      <sz val="14"/>
      <name val="Arial"/>
      <family val="2"/>
    </font>
    <font>
      <b/>
      <sz val="16"/>
      <name val="Calibri"/>
      <family val="2"/>
    </font>
    <font>
      <b/>
      <sz val="15"/>
      <name val="Calibri"/>
      <family val="2"/>
    </font>
    <font>
      <sz val="12"/>
      <name val="Calibri"/>
      <family val="2"/>
    </font>
    <font>
      <sz val="12"/>
      <color indexed="8"/>
      <name val="Calibri"/>
      <family val="2"/>
    </font>
    <font>
      <b/>
      <sz val="12"/>
      <color indexed="8"/>
      <name val="Calibri"/>
      <family val="2"/>
    </font>
    <font>
      <b/>
      <sz val="16"/>
      <color indexed="8"/>
      <name val="Calibri"/>
      <family val="2"/>
    </font>
    <font>
      <b/>
      <sz val="10"/>
      <name val="Calibri"/>
      <family val="2"/>
    </font>
    <font>
      <sz val="11"/>
      <color theme="1"/>
      <name val="Calibri"/>
      <family val="2"/>
      <scheme val="minor"/>
    </font>
    <font>
      <sz val="9"/>
      <name val="Calibri"/>
      <family val="2"/>
      <scheme val="minor"/>
    </font>
    <font>
      <sz val="12"/>
      <name val="Calibri"/>
      <family val="2"/>
      <scheme val="minor"/>
    </font>
    <font>
      <sz val="12"/>
      <color indexed="12"/>
      <name val="Calibri"/>
      <family val="2"/>
      <scheme val="minor"/>
    </font>
    <font>
      <b/>
      <sz val="12"/>
      <color indexed="12"/>
      <name val="Calibri"/>
      <family val="2"/>
      <scheme val="minor"/>
    </font>
    <font>
      <b/>
      <sz val="11"/>
      <color theme="1"/>
      <name val="Calibri"/>
      <family val="2"/>
      <scheme val="minor"/>
    </font>
    <font>
      <b/>
      <sz val="11"/>
      <name val="Calibri"/>
      <family val="2"/>
      <scheme val="minor"/>
    </font>
    <font>
      <b/>
      <sz val="11"/>
      <color rgb="FFFFFF00"/>
      <name val="Calibri"/>
      <family val="2"/>
    </font>
    <font>
      <sz val="10"/>
      <color rgb="FFFFFF00"/>
      <name val="Arial"/>
      <family val="2"/>
    </font>
    <font>
      <sz val="11"/>
      <color rgb="FFFFFF00"/>
      <name val="Calibri"/>
      <family val="2"/>
    </font>
    <font>
      <b/>
      <sz val="10"/>
      <color theme="0"/>
      <name val="Arial"/>
      <family val="2"/>
    </font>
    <font>
      <b/>
      <sz val="12"/>
      <name val="Calibri"/>
      <family val="2"/>
      <scheme val="minor"/>
    </font>
  </fonts>
  <fills count="3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13"/>
        <bgColor indexed="64"/>
      </patternFill>
    </fill>
    <fill>
      <patternFill patternType="solid">
        <fgColor indexed="8"/>
        <bgColor indexed="64"/>
      </patternFill>
    </fill>
    <fill>
      <patternFill patternType="solid">
        <fgColor theme="0"/>
        <bgColor indexed="64"/>
      </patternFill>
    </fill>
    <fill>
      <patternFill patternType="solid">
        <fgColor rgb="FFFFFF00"/>
        <bgColor indexed="64"/>
      </patternFill>
    </fill>
    <fill>
      <patternFill patternType="solid">
        <fgColor rgb="FF00B0F0"/>
        <bgColor indexed="64"/>
      </patternFill>
    </fill>
    <fill>
      <patternFill patternType="solid">
        <fgColor rgb="FF99FFCC"/>
        <bgColor indexed="64"/>
      </patternFill>
    </fill>
  </fills>
  <borders count="41">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top/>
      <bottom style="thick">
        <color indexed="17"/>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49">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10" fillId="12"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3"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13" borderId="0" applyNumberFormat="0" applyBorder="0" applyAlignment="0" applyProtection="0"/>
    <xf numFmtId="0" fontId="10" fillId="14" borderId="0" applyNumberFormat="0" applyBorder="0" applyAlignment="0" applyProtection="0"/>
    <xf numFmtId="0" fontId="10" fillId="19" borderId="0" applyNumberFormat="0" applyBorder="0" applyAlignment="0" applyProtection="0"/>
    <xf numFmtId="0" fontId="11" fillId="20" borderId="1" applyNumberFormat="0" applyAlignment="0" applyProtection="0"/>
    <xf numFmtId="0" fontId="12" fillId="20" borderId="2" applyNumberFormat="0" applyAlignment="0" applyProtection="0"/>
    <xf numFmtId="0" fontId="4" fillId="0" borderId="0" applyFont="0" applyFill="0" applyBorder="0" applyAlignment="0" applyProtection="0"/>
    <xf numFmtId="0" fontId="13" fillId="7" borderId="2" applyNumberFormat="0" applyAlignment="0" applyProtection="0"/>
    <xf numFmtId="0" fontId="8" fillId="0" borderId="4" applyNumberFormat="0" applyFill="0" applyAlignment="0" applyProtection="0"/>
    <xf numFmtId="0" fontId="14" fillId="0" borderId="0" applyNumberFormat="0" applyFill="0" applyBorder="0" applyAlignment="0" applyProtection="0"/>
    <xf numFmtId="0" fontId="15" fillId="4" borderId="0" applyNumberFormat="0" applyBorder="0" applyAlignment="0" applyProtection="0"/>
    <xf numFmtId="0" fontId="52" fillId="0" borderId="0"/>
    <xf numFmtId="0" fontId="4" fillId="0" borderId="0"/>
    <xf numFmtId="0" fontId="52" fillId="0" borderId="0"/>
    <xf numFmtId="0" fontId="4" fillId="0" borderId="0"/>
    <xf numFmtId="0" fontId="4" fillId="0" borderId="0"/>
    <xf numFmtId="0" fontId="4" fillId="22" borderId="9" applyNumberFormat="0" applyFont="0" applyAlignment="0" applyProtection="0"/>
    <xf numFmtId="0" fontId="16" fillId="3" borderId="0" applyNumberFormat="0" applyBorder="0" applyAlignment="0" applyProtection="0"/>
    <xf numFmtId="0" fontId="4" fillId="0" borderId="0"/>
    <xf numFmtId="0" fontId="17" fillId="0" borderId="0"/>
    <xf numFmtId="0" fontId="18" fillId="0" borderId="0" applyNumberFormat="0" applyFill="0" applyBorder="0" applyAlignment="0" applyProtection="0"/>
    <xf numFmtId="0" fontId="19" fillId="0" borderId="5" applyNumberFormat="0" applyFill="0" applyAlignment="0" applyProtection="0"/>
    <xf numFmtId="0" fontId="20" fillId="0" borderId="6" applyNumberFormat="0" applyFill="0" applyAlignment="0" applyProtection="0"/>
    <xf numFmtId="0" fontId="21" fillId="0" borderId="7" applyNumberFormat="0" applyFill="0" applyAlignment="0" applyProtection="0"/>
    <xf numFmtId="0" fontId="21" fillId="0" borderId="0" applyNumberFormat="0" applyFill="0" applyBorder="0" applyAlignment="0" applyProtection="0"/>
    <xf numFmtId="0" fontId="22" fillId="0" borderId="8" applyNumberFormat="0" applyFill="0" applyAlignment="0" applyProtection="0"/>
    <xf numFmtId="0" fontId="23" fillId="0" borderId="0" applyNumberFormat="0" applyFill="0" applyBorder="0" applyAlignment="0" applyProtection="0"/>
    <xf numFmtId="0" fontId="24" fillId="21" borderId="3" applyNumberFormat="0" applyAlignment="0" applyProtection="0"/>
  </cellStyleXfs>
  <cellXfs count="172">
    <xf numFmtId="0" fontId="0" fillId="0" borderId="0" xfId="0"/>
    <xf numFmtId="0" fontId="3" fillId="0" borderId="0" xfId="0" applyFont="1" applyAlignment="1" applyProtection="1">
      <alignment vertical="top"/>
      <protection locked="0"/>
    </xf>
    <xf numFmtId="0" fontId="53" fillId="0" borderId="0" xfId="0" applyFont="1" applyAlignment="1" applyProtection="1">
      <alignment vertical="top" wrapText="1"/>
      <protection locked="0"/>
    </xf>
    <xf numFmtId="0" fontId="53" fillId="0" borderId="0" xfId="0" applyFont="1" applyAlignment="1" applyProtection="1">
      <alignment vertical="top"/>
      <protection locked="0"/>
    </xf>
    <xf numFmtId="0" fontId="4" fillId="0" borderId="0" xfId="35" applyAlignment="1">
      <alignment vertical="center"/>
    </xf>
    <xf numFmtId="0" fontId="4" fillId="23" borderId="0" xfId="35" applyFill="1" applyAlignment="1">
      <alignment vertical="center"/>
    </xf>
    <xf numFmtId="0" fontId="5" fillId="23" borderId="0" xfId="35" applyFont="1" applyFill="1" applyAlignment="1">
      <alignment vertical="center"/>
    </xf>
    <xf numFmtId="0" fontId="25" fillId="23" borderId="0" xfId="35" applyFont="1" applyFill="1" applyAlignment="1">
      <alignment vertical="center"/>
    </xf>
    <xf numFmtId="0" fontId="54" fillId="23" borderId="0" xfId="35" applyFont="1" applyFill="1" applyAlignment="1">
      <alignment vertical="center"/>
    </xf>
    <xf numFmtId="0" fontId="54" fillId="23" borderId="0" xfId="35" applyFont="1" applyFill="1" applyAlignment="1">
      <alignment vertical="center" wrapText="1"/>
    </xf>
    <xf numFmtId="0" fontId="55" fillId="0" borderId="10" xfId="35" applyFont="1" applyBorder="1" applyAlignment="1">
      <alignment vertical="center" wrapText="1"/>
    </xf>
    <xf numFmtId="0" fontId="55" fillId="0" borderId="10" xfId="35" applyFont="1" applyBorder="1" applyAlignment="1">
      <alignment horizontal="left" vertical="center" indent="1"/>
    </xf>
    <xf numFmtId="0" fontId="55" fillId="0" borderId="10" xfId="35" applyFont="1" applyBorder="1" applyAlignment="1">
      <alignment horizontal="center" vertical="center" wrapText="1"/>
    </xf>
    <xf numFmtId="0" fontId="55" fillId="0" borderId="10" xfId="35" applyNumberFormat="1" applyFont="1" applyBorder="1" applyAlignment="1">
      <alignment horizontal="left" vertical="center" indent="1"/>
    </xf>
    <xf numFmtId="0" fontId="54" fillId="23" borderId="0" xfId="35" applyFont="1" applyFill="1" applyBorder="1" applyAlignment="1">
      <alignment vertical="center" wrapText="1"/>
    </xf>
    <xf numFmtId="0" fontId="54" fillId="23" borderId="0" xfId="35" applyFont="1" applyFill="1" applyBorder="1" applyAlignment="1">
      <alignment horizontal="center" vertical="center" wrapText="1"/>
    </xf>
    <xf numFmtId="164" fontId="7" fillId="0" borderId="11" xfId="0" applyNumberFormat="1" applyFont="1" applyBorder="1" applyAlignment="1" applyProtection="1">
      <alignment horizontal="center" vertical="center" wrapText="1" shrinkToFit="1"/>
      <protection locked="0"/>
    </xf>
    <xf numFmtId="0" fontId="28" fillId="0" borderId="0" xfId="27" applyFont="1" applyAlignment="1">
      <alignment vertical="center"/>
    </xf>
    <xf numFmtId="0" fontId="29" fillId="0" borderId="0" xfId="27" applyFont="1" applyAlignment="1">
      <alignment vertical="center"/>
    </xf>
    <xf numFmtId="0" fontId="31" fillId="0" borderId="0" xfId="27" applyFont="1" applyAlignment="1">
      <alignment vertical="center"/>
    </xf>
    <xf numFmtId="165" fontId="32" fillId="23" borderId="0" xfId="27" applyNumberFormat="1" applyFont="1" applyFill="1" applyAlignment="1">
      <alignment vertical="center"/>
    </xf>
    <xf numFmtId="165" fontId="4" fillId="23" borderId="0" xfId="27" applyNumberFormat="1" applyFill="1" applyAlignment="1">
      <alignment vertical="center"/>
    </xf>
    <xf numFmtId="0" fontId="1" fillId="0" borderId="0" xfId="33" applyFont="1" applyAlignment="1">
      <alignment vertical="center"/>
    </xf>
    <xf numFmtId="0" fontId="4" fillId="0" borderId="0" xfId="33" applyAlignment="1">
      <alignment vertical="center"/>
    </xf>
    <xf numFmtId="165" fontId="4" fillId="23" borderId="0" xfId="27" applyNumberFormat="1" applyFill="1" applyBorder="1" applyAlignment="1">
      <alignment vertical="center"/>
    </xf>
    <xf numFmtId="165" fontId="32" fillId="23" borderId="0" xfId="27" applyNumberFormat="1" applyFont="1" applyFill="1" applyBorder="1" applyAlignment="1">
      <alignment vertical="center"/>
    </xf>
    <xf numFmtId="0" fontId="4" fillId="0" borderId="0" xfId="27" applyFont="1" applyAlignment="1">
      <alignment vertical="center"/>
    </xf>
    <xf numFmtId="0" fontId="32" fillId="0" borderId="0" xfId="27" applyFont="1" applyAlignment="1">
      <alignment vertical="center"/>
    </xf>
    <xf numFmtId="0" fontId="33" fillId="0" borderId="0" xfId="27" applyFont="1" applyAlignment="1">
      <alignment vertical="center"/>
    </xf>
    <xf numFmtId="0" fontId="26" fillId="0" borderId="0" xfId="27" applyFont="1" applyAlignment="1">
      <alignment vertical="center"/>
    </xf>
    <xf numFmtId="0" fontId="34" fillId="0" borderId="0" xfId="27" applyFont="1" applyAlignment="1">
      <alignment vertical="center"/>
    </xf>
    <xf numFmtId="166" fontId="34" fillId="0" borderId="0" xfId="27" applyNumberFormat="1" applyFont="1" applyAlignment="1">
      <alignment horizontal="left" vertical="center"/>
    </xf>
    <xf numFmtId="0" fontId="35" fillId="24" borderId="0" xfId="35" applyFont="1" applyFill="1" applyAlignment="1">
      <alignment horizontal="center" vertical="center"/>
    </xf>
    <xf numFmtId="0" fontId="36" fillId="23" borderId="0" xfId="35" applyFont="1" applyFill="1" applyAlignment="1">
      <alignment vertical="center" wrapText="1"/>
    </xf>
    <xf numFmtId="0" fontId="5" fillId="23" borderId="0" xfId="35" applyFont="1" applyFill="1" applyAlignment="1">
      <alignment horizontal="right" vertical="center" wrapText="1"/>
    </xf>
    <xf numFmtId="0" fontId="5" fillId="23" borderId="0" xfId="35" applyFont="1" applyFill="1" applyAlignment="1">
      <alignment horizontal="center" vertical="center" wrapText="1"/>
    </xf>
    <xf numFmtId="0" fontId="5" fillId="25" borderId="10" xfId="35" applyFont="1" applyFill="1" applyBorder="1" applyAlignment="1">
      <alignment vertical="center" wrapText="1"/>
    </xf>
    <xf numFmtId="0" fontId="5" fillId="25" borderId="10" xfId="35" applyFont="1" applyFill="1" applyBorder="1" applyAlignment="1">
      <alignment horizontal="center" vertical="center" wrapText="1"/>
    </xf>
    <xf numFmtId="0" fontId="39" fillId="0" borderId="10" xfId="35" applyFont="1" applyBorder="1" applyAlignment="1">
      <alignment vertical="center" wrapText="1"/>
    </xf>
    <xf numFmtId="15" fontId="39" fillId="0" borderId="10" xfId="35" applyNumberFormat="1" applyFont="1" applyBorder="1" applyAlignment="1">
      <alignment horizontal="left" vertical="center" indent="1"/>
    </xf>
    <xf numFmtId="0" fontId="39" fillId="0" borderId="10" xfId="35" quotePrefix="1" applyFont="1" applyBorder="1" applyAlignment="1">
      <alignment horizontal="center" vertical="center" wrapText="1"/>
    </xf>
    <xf numFmtId="0" fontId="39" fillId="0" borderId="10" xfId="35" applyNumberFormat="1" applyFont="1" applyBorder="1" applyAlignment="1">
      <alignment horizontal="left" vertical="center" indent="1"/>
    </xf>
    <xf numFmtId="0" fontId="39" fillId="0" borderId="10" xfId="35" applyFont="1" applyBorder="1" applyAlignment="1">
      <alignment horizontal="left" vertical="center" wrapText="1"/>
    </xf>
    <xf numFmtId="0" fontId="39" fillId="0" borderId="10" xfId="36" applyFont="1" applyBorder="1" applyAlignment="1">
      <alignment horizontal="left" vertical="center" indent="1"/>
    </xf>
    <xf numFmtId="0" fontId="39" fillId="0" borderId="10" xfId="36" applyFont="1" applyBorder="1" applyAlignment="1">
      <alignment vertical="center" wrapText="1"/>
    </xf>
    <xf numFmtId="0" fontId="40" fillId="25" borderId="10" xfId="35" applyFont="1" applyFill="1" applyBorder="1" applyAlignment="1">
      <alignment vertical="center" wrapText="1"/>
    </xf>
    <xf numFmtId="0" fontId="41" fillId="25" borderId="10" xfId="35" applyFont="1" applyFill="1" applyBorder="1" applyAlignment="1">
      <alignment horizontal="center" vertical="center" wrapText="1"/>
    </xf>
    <xf numFmtId="0" fontId="5" fillId="0" borderId="10" xfId="35" applyFont="1" applyBorder="1" applyAlignment="1">
      <alignment horizontal="center" vertical="center" wrapText="1"/>
    </xf>
    <xf numFmtId="0" fontId="5" fillId="23" borderId="0" xfId="35" applyFont="1" applyFill="1" applyAlignment="1">
      <alignment vertical="center" wrapText="1"/>
    </xf>
    <xf numFmtId="0" fontId="56" fillId="25" borderId="10" xfId="35" applyFont="1" applyFill="1" applyBorder="1" applyAlignment="1">
      <alignment vertical="center" wrapText="1"/>
    </xf>
    <xf numFmtId="0" fontId="5" fillId="25" borderId="10" xfId="35" applyFont="1" applyFill="1" applyBorder="1" applyAlignment="1">
      <alignment vertical="center"/>
    </xf>
    <xf numFmtId="0" fontId="39" fillId="0" borderId="10" xfId="35" applyFont="1" applyBorder="1" applyAlignment="1">
      <alignment horizontal="left" vertical="center" indent="1"/>
    </xf>
    <xf numFmtId="0" fontId="6" fillId="26" borderId="10" xfId="0" applyFont="1" applyFill="1" applyBorder="1" applyAlignment="1" applyProtection="1">
      <alignment horizontal="left" vertical="center" wrapText="1" shrinkToFit="1"/>
      <protection locked="0"/>
    </xf>
    <xf numFmtId="0" fontId="52" fillId="0" borderId="0" xfId="34"/>
    <xf numFmtId="0" fontId="57" fillId="0" borderId="0" xfId="34" applyFont="1"/>
    <xf numFmtId="0" fontId="53" fillId="30" borderId="0" xfId="0" applyFont="1" applyFill="1" applyAlignment="1" applyProtection="1">
      <alignment vertical="top"/>
      <protection locked="0"/>
    </xf>
    <xf numFmtId="0" fontId="53" fillId="30" borderId="0" xfId="0" applyFont="1" applyFill="1" applyAlignment="1" applyProtection="1">
      <alignment vertical="top" wrapText="1"/>
      <protection locked="0"/>
    </xf>
    <xf numFmtId="0" fontId="3" fillId="30" borderId="0" xfId="0" applyFont="1" applyFill="1" applyAlignment="1" applyProtection="1">
      <alignment vertical="top"/>
      <protection locked="0"/>
    </xf>
    <xf numFmtId="0" fontId="2" fillId="30" borderId="0" xfId="0" applyFont="1" applyFill="1" applyAlignment="1" applyProtection="1">
      <alignment horizontal="center" vertical="center"/>
      <protection locked="0"/>
    </xf>
    <xf numFmtId="0" fontId="2" fillId="0" borderId="0" xfId="0" applyFont="1" applyAlignment="1" applyProtection="1">
      <alignment vertical="top"/>
      <protection locked="0"/>
    </xf>
    <xf numFmtId="0" fontId="46" fillId="0" borderId="12" xfId="0" applyFont="1" applyBorder="1" applyAlignment="1" applyProtection="1">
      <alignment horizontal="left" vertical="center" wrapText="1" shrinkToFit="1"/>
      <protection locked="0"/>
    </xf>
    <xf numFmtId="0" fontId="45" fillId="23" borderId="13" xfId="0" applyFont="1" applyFill="1" applyBorder="1" applyAlignment="1" applyProtection="1">
      <alignment horizontal="center" vertical="center" wrapText="1" shrinkToFit="1"/>
      <protection locked="0"/>
    </xf>
    <xf numFmtId="0" fontId="50" fillId="0" borderId="12" xfId="0" applyFont="1" applyBorder="1" applyAlignment="1" applyProtection="1">
      <alignment horizontal="center" vertical="center" wrapText="1" shrinkToFit="1"/>
      <protection locked="0"/>
    </xf>
    <xf numFmtId="0" fontId="47" fillId="0" borderId="14" xfId="0" applyFont="1" applyBorder="1" applyAlignment="1" applyProtection="1">
      <alignment horizontal="center" vertical="center" wrapText="1" shrinkToFit="1"/>
      <protection locked="0"/>
    </xf>
    <xf numFmtId="164" fontId="48" fillId="0" borderId="14" xfId="0" applyNumberFormat="1" applyFont="1" applyBorder="1" applyAlignment="1" applyProtection="1">
      <alignment horizontal="center" vertical="center" wrapText="1" shrinkToFit="1"/>
      <protection locked="0"/>
    </xf>
    <xf numFmtId="1" fontId="6" fillId="27" borderId="10" xfId="0" applyNumberFormat="1" applyFont="1" applyFill="1" applyBorder="1" applyAlignment="1" applyProtection="1">
      <alignment horizontal="centerContinuous" vertical="center" wrapText="1" shrinkToFit="1"/>
      <protection locked="0"/>
    </xf>
    <xf numFmtId="0" fontId="7" fillId="27" borderId="10" xfId="0" applyFont="1" applyFill="1" applyBorder="1" applyAlignment="1" applyProtection="1">
      <alignment horizontal="centerContinuous" vertical="center" wrapText="1" shrinkToFit="1"/>
      <protection locked="0"/>
    </xf>
    <xf numFmtId="0" fontId="6" fillId="26" borderId="10" xfId="0" applyFont="1" applyFill="1" applyBorder="1" applyAlignment="1" applyProtection="1">
      <alignment horizontal="right" vertical="center" wrapText="1" shrinkToFit="1"/>
      <protection locked="0"/>
    </xf>
    <xf numFmtId="1" fontId="6" fillId="27" borderId="10" xfId="0" applyNumberFormat="1" applyFont="1" applyFill="1" applyBorder="1" applyAlignment="1" applyProtection="1">
      <alignment vertical="center" wrapText="1" shrinkToFit="1"/>
      <protection locked="0"/>
    </xf>
    <xf numFmtId="0" fontId="6" fillId="27" borderId="10" xfId="0" applyFont="1" applyFill="1" applyBorder="1" applyAlignment="1" applyProtection="1">
      <alignment vertical="center" wrapText="1" shrinkToFit="1"/>
      <protection locked="0"/>
    </xf>
    <xf numFmtId="0" fontId="6" fillId="27" borderId="10" xfId="0" applyFont="1" applyFill="1" applyBorder="1" applyAlignment="1" applyProtection="1">
      <alignment horizontal="center" vertical="center" wrapText="1" shrinkToFit="1"/>
      <protection locked="0"/>
    </xf>
    <xf numFmtId="0" fontId="6" fillId="27" borderId="10" xfId="0" applyFont="1" applyFill="1" applyBorder="1" applyAlignment="1" applyProtection="1">
      <alignment vertical="center" shrinkToFit="1"/>
      <protection locked="0"/>
    </xf>
    <xf numFmtId="0" fontId="6" fillId="26" borderId="10" xfId="0" applyFont="1" applyFill="1" applyBorder="1" applyAlignment="1" applyProtection="1">
      <alignment horizontal="center" vertical="center" wrapText="1" shrinkToFit="1"/>
      <protection locked="0"/>
    </xf>
    <xf numFmtId="0" fontId="7" fillId="0" borderId="10" xfId="0" applyFont="1" applyBorder="1" applyAlignment="1" applyProtection="1">
      <alignment vertical="center" wrapText="1" shrinkToFit="1"/>
      <protection locked="0"/>
    </xf>
    <xf numFmtId="0" fontId="8" fillId="0" borderId="10" xfId="0" applyFont="1" applyBorder="1" applyAlignment="1" applyProtection="1">
      <alignment horizontal="center" vertical="center" wrapText="1" shrinkToFit="1"/>
      <protection locked="0"/>
    </xf>
    <xf numFmtId="0" fontId="2" fillId="0" borderId="0" xfId="0" applyFont="1" applyAlignment="1" applyProtection="1">
      <alignment horizontal="center" vertical="center"/>
      <protection locked="0"/>
    </xf>
    <xf numFmtId="0" fontId="7" fillId="0" borderId="10" xfId="0" applyFont="1" applyBorder="1" applyAlignment="1">
      <alignment horizontal="center" vertical="center" wrapText="1" shrinkToFit="1"/>
    </xf>
    <xf numFmtId="0" fontId="58" fillId="0" borderId="10" xfId="0" applyFont="1" applyFill="1" applyBorder="1" applyAlignment="1" applyProtection="1">
      <alignment horizontal="center" vertical="center"/>
      <protection locked="0"/>
    </xf>
    <xf numFmtId="0" fontId="8" fillId="0" borderId="10" xfId="0" applyFont="1" applyBorder="1" applyAlignment="1">
      <alignment horizontal="center" vertical="center" wrapText="1" shrinkToFit="1"/>
    </xf>
    <xf numFmtId="0" fontId="7" fillId="0" borderId="10" xfId="0" applyFont="1" applyBorder="1" applyAlignment="1" applyProtection="1">
      <alignment horizontal="left" vertical="center" wrapText="1" shrinkToFit="1"/>
      <protection locked="0"/>
    </xf>
    <xf numFmtId="0" fontId="39" fillId="0" borderId="10" xfId="35" applyFont="1" applyBorder="1" applyAlignment="1">
      <alignment horizontal="center" vertical="center" wrapText="1"/>
    </xf>
    <xf numFmtId="0" fontId="39" fillId="23" borderId="15" xfId="35" applyFont="1" applyFill="1" applyBorder="1" applyAlignment="1">
      <alignment horizontal="left" vertical="center"/>
    </xf>
    <xf numFmtId="0" fontId="39" fillId="23" borderId="16" xfId="35" applyFont="1" applyFill="1" applyBorder="1" applyAlignment="1">
      <alignment horizontal="left" vertical="center"/>
    </xf>
    <xf numFmtId="167" fontId="36" fillId="0" borderId="17" xfId="35" applyNumberFormat="1" applyFont="1" applyBorder="1" applyAlignment="1">
      <alignment horizontal="center" vertical="center" wrapText="1"/>
    </xf>
    <xf numFmtId="0" fontId="5" fillId="25" borderId="15" xfId="35" applyFont="1" applyFill="1" applyBorder="1" applyAlignment="1">
      <alignment vertical="center" wrapText="1"/>
    </xf>
    <xf numFmtId="0" fontId="51" fillId="26" borderId="10" xfId="0" applyFont="1" applyFill="1" applyBorder="1" applyAlignment="1" applyProtection="1">
      <alignment horizontal="center" vertical="center" wrapText="1" shrinkToFit="1"/>
      <protection locked="0"/>
    </xf>
    <xf numFmtId="1" fontId="59" fillId="28" borderId="15" xfId="0" applyNumberFormat="1" applyFont="1" applyFill="1" applyBorder="1" applyAlignment="1" applyProtection="1">
      <alignment vertical="center" wrapText="1" shrinkToFit="1"/>
      <protection locked="0"/>
    </xf>
    <xf numFmtId="1" fontId="59" fillId="28" borderId="16" xfId="0" applyNumberFormat="1" applyFont="1" applyFill="1" applyBorder="1" applyAlignment="1" applyProtection="1">
      <alignment vertical="center" wrapText="1" shrinkToFit="1"/>
      <protection locked="0"/>
    </xf>
    <xf numFmtId="0" fontId="60" fillId="0" borderId="0" xfId="0" applyFont="1" applyAlignment="1" applyProtection="1">
      <alignment vertical="center" wrapText="1" shrinkToFit="1"/>
      <protection locked="0"/>
    </xf>
    <xf numFmtId="1" fontId="59" fillId="28" borderId="10" xfId="0" applyNumberFormat="1" applyFont="1" applyFill="1" applyBorder="1" applyAlignment="1" applyProtection="1">
      <alignment vertical="center" wrapText="1" shrinkToFit="1"/>
      <protection locked="0"/>
    </xf>
    <xf numFmtId="0" fontId="61" fillId="31" borderId="18" xfId="0" applyFont="1" applyFill="1" applyBorder="1" applyAlignment="1">
      <alignment horizontal="center" vertical="center" wrapText="1" shrinkToFit="1"/>
    </xf>
    <xf numFmtId="0" fontId="7" fillId="0" borderId="10" xfId="0" applyFont="1" applyBorder="1" applyAlignment="1">
      <alignment vertical="center" wrapText="1" shrinkToFit="1"/>
    </xf>
    <xf numFmtId="0" fontId="62" fillId="32" borderId="0" xfId="0" applyFont="1" applyFill="1"/>
    <xf numFmtId="0" fontId="62" fillId="32" borderId="0" xfId="0" applyFont="1" applyFill="1" applyAlignment="1">
      <alignment horizontal="center"/>
    </xf>
    <xf numFmtId="0" fontId="5" fillId="33" borderId="10" xfId="0" applyFont="1" applyFill="1" applyBorder="1"/>
    <xf numFmtId="168" fontId="0" fillId="33" borderId="10" xfId="0" applyNumberFormat="1" applyFill="1" applyBorder="1" applyAlignment="1">
      <alignment horizontal="center"/>
    </xf>
    <xf numFmtId="0" fontId="0" fillId="33" borderId="10" xfId="0" applyFill="1" applyBorder="1" applyAlignment="1">
      <alignment horizontal="center"/>
    </xf>
    <xf numFmtId="14" fontId="0" fillId="33" borderId="10" xfId="0" applyNumberFormat="1" applyFill="1" applyBorder="1" applyAlignment="1">
      <alignment horizontal="center"/>
    </xf>
    <xf numFmtId="14" fontId="4" fillId="33" borderId="10" xfId="0" quotePrefix="1" applyNumberFormat="1" applyFont="1" applyFill="1" applyBorder="1" applyAlignment="1">
      <alignment horizontal="center"/>
    </xf>
    <xf numFmtId="0" fontId="0" fillId="0" borderId="0" xfId="0" applyAlignment="1">
      <alignment horizontal="center"/>
    </xf>
    <xf numFmtId="0" fontId="4" fillId="33" borderId="10" xfId="0" applyFont="1" applyFill="1" applyBorder="1" applyAlignment="1">
      <alignment horizontal="center"/>
    </xf>
    <xf numFmtId="169" fontId="39" fillId="0" borderId="10" xfId="36" applyNumberFormat="1" applyFont="1" applyBorder="1" applyAlignment="1">
      <alignment horizontal="center" vertical="center" wrapText="1"/>
    </xf>
    <xf numFmtId="0" fontId="7" fillId="0" borderId="10" xfId="0" applyFont="1" applyBorder="1" applyAlignment="1">
      <alignment vertical="top" wrapText="1" shrinkToFit="1"/>
    </xf>
    <xf numFmtId="0" fontId="58" fillId="31" borderId="10" xfId="0" applyFont="1" applyFill="1" applyBorder="1" applyAlignment="1" applyProtection="1">
      <alignment horizontal="center" vertical="center"/>
      <protection locked="0"/>
    </xf>
    <xf numFmtId="0" fontId="7" fillId="0" borderId="15" xfId="0" applyFont="1" applyBorder="1" applyAlignment="1" applyProtection="1">
      <alignment vertical="center" wrapText="1" shrinkToFit="1"/>
      <protection locked="0"/>
    </xf>
    <xf numFmtId="0" fontId="61" fillId="31" borderId="10" xfId="0" applyFont="1" applyFill="1" applyBorder="1" applyAlignment="1">
      <alignment horizontal="center" vertical="center" wrapText="1" shrinkToFit="1"/>
    </xf>
    <xf numFmtId="0" fontId="53" fillId="0" borderId="10" xfId="0" applyFont="1" applyBorder="1" applyAlignment="1" applyProtection="1">
      <alignment vertical="top"/>
      <protection locked="0"/>
    </xf>
    <xf numFmtId="0" fontId="2" fillId="0" borderId="10" xfId="0" applyFont="1" applyBorder="1" applyAlignment="1" applyProtection="1">
      <alignment horizontal="center" vertical="center"/>
      <protection locked="0"/>
    </xf>
    <xf numFmtId="0" fontId="53" fillId="0" borderId="10" xfId="0" applyFont="1" applyBorder="1" applyAlignment="1" applyProtection="1">
      <alignment vertical="top" wrapText="1"/>
      <protection locked="0"/>
    </xf>
    <xf numFmtId="165" fontId="9" fillId="23" borderId="19" xfId="27" applyNumberFormat="1" applyFont="1" applyFill="1" applyBorder="1" applyAlignment="1">
      <alignment horizontal="center" vertical="center"/>
    </xf>
    <xf numFmtId="0" fontId="26" fillId="0" borderId="0" xfId="27" applyFont="1" applyAlignment="1">
      <alignment horizontal="center" vertical="center"/>
    </xf>
    <xf numFmtId="0" fontId="27" fillId="0" borderId="0" xfId="27" applyFont="1" applyAlignment="1">
      <alignment horizontal="center" vertical="center"/>
    </xf>
    <xf numFmtId="0" fontId="28" fillId="0" borderId="0" xfId="27" applyFont="1" applyAlignment="1">
      <alignment horizontal="right" vertical="center"/>
    </xf>
    <xf numFmtId="0" fontId="28" fillId="0" borderId="0" xfId="27" applyFont="1" applyAlignment="1">
      <alignment horizontal="left" vertical="center"/>
    </xf>
    <xf numFmtId="0" fontId="31" fillId="30" borderId="0" xfId="27" applyFont="1" applyFill="1" applyAlignment="1">
      <alignment horizontal="right" vertical="center"/>
    </xf>
    <xf numFmtId="0" fontId="33" fillId="0" borderId="0" xfId="27" applyFont="1" applyAlignment="1">
      <alignment horizontal="left" vertical="center"/>
    </xf>
    <xf numFmtId="0" fontId="31" fillId="0" borderId="0" xfId="27" applyFont="1" applyAlignment="1">
      <alignment horizontal="right" vertical="center"/>
    </xf>
    <xf numFmtId="0" fontId="29" fillId="0" borderId="0" xfId="27" applyFont="1" applyAlignment="1">
      <alignment horizontal="right" vertical="center"/>
    </xf>
    <xf numFmtId="0" fontId="29" fillId="0" borderId="0" xfId="27" applyFont="1" applyAlignment="1">
      <alignment horizontal="left" vertical="center" wrapText="1"/>
    </xf>
    <xf numFmtId="0" fontId="30" fillId="0" borderId="0" xfId="27" applyFont="1" applyAlignment="1">
      <alignment horizontal="right" vertical="center"/>
    </xf>
    <xf numFmtId="0" fontId="30" fillId="0" borderId="0" xfId="27" applyFont="1" applyAlignment="1">
      <alignment horizontal="left" vertical="center" wrapText="1"/>
    </xf>
    <xf numFmtId="0" fontId="55" fillId="0" borderId="10" xfId="35" applyFont="1" applyBorder="1" applyAlignment="1">
      <alignment horizontal="left" vertical="center" wrapText="1"/>
    </xf>
    <xf numFmtId="0" fontId="36" fillId="25" borderId="10" xfId="35" applyFont="1" applyFill="1" applyBorder="1" applyAlignment="1">
      <alignment horizontal="center" vertical="center" wrapText="1"/>
    </xf>
    <xf numFmtId="0" fontId="5" fillId="25" borderId="10" xfId="35" applyFont="1" applyFill="1" applyBorder="1" applyAlignment="1">
      <alignment vertical="center" wrapText="1"/>
    </xf>
    <xf numFmtId="0" fontId="43" fillId="23" borderId="20" xfId="35" applyFont="1" applyFill="1" applyBorder="1" applyAlignment="1">
      <alignment horizontal="left" vertical="center"/>
    </xf>
    <xf numFmtId="0" fontId="44" fillId="23" borderId="20" xfId="35" applyFont="1" applyFill="1" applyBorder="1" applyAlignment="1">
      <alignment horizontal="right" vertical="center"/>
    </xf>
    <xf numFmtId="0" fontId="36" fillId="23" borderId="0" xfId="35" applyFont="1" applyFill="1" applyAlignment="1">
      <alignment vertical="center"/>
    </xf>
    <xf numFmtId="0" fontId="63" fillId="0" borderId="10" xfId="35" applyFont="1" applyBorder="1" applyAlignment="1">
      <alignment horizontal="center" vertical="center" wrapText="1"/>
    </xf>
    <xf numFmtId="0" fontId="37" fillId="0" borderId="10" xfId="35" applyFont="1" applyBorder="1" applyAlignment="1">
      <alignment horizontal="center" vertical="center"/>
    </xf>
    <xf numFmtId="167" fontId="38" fillId="0" borderId="10" xfId="35" applyNumberFormat="1" applyFont="1" applyBorder="1" applyAlignment="1">
      <alignment horizontal="center" vertical="center" wrapText="1"/>
    </xf>
    <xf numFmtId="0" fontId="0" fillId="0" borderId="10" xfId="0" applyBorder="1"/>
    <xf numFmtId="0" fontId="39" fillId="0" borderId="10" xfId="35" applyFont="1" applyBorder="1" applyAlignment="1">
      <alignment horizontal="left" vertical="center" wrapText="1"/>
    </xf>
    <xf numFmtId="0" fontId="39" fillId="0" borderId="15" xfId="35" applyFont="1" applyBorder="1" applyAlignment="1">
      <alignment horizontal="left" vertical="center"/>
    </xf>
    <xf numFmtId="0" fontId="39" fillId="0" borderId="18" xfId="35" applyFont="1" applyBorder="1" applyAlignment="1">
      <alignment horizontal="left" vertical="center"/>
    </xf>
    <xf numFmtId="0" fontId="39" fillId="0" borderId="16" xfId="35" applyFont="1" applyBorder="1" applyAlignment="1">
      <alignment horizontal="left" vertical="center"/>
    </xf>
    <xf numFmtId="0" fontId="5" fillId="0" borderId="21" xfId="35" applyFont="1" applyBorder="1" applyAlignment="1">
      <alignment horizontal="center" vertical="center"/>
    </xf>
    <xf numFmtId="0" fontId="5" fillId="0" borderId="22" xfId="35" applyFont="1" applyBorder="1" applyAlignment="1">
      <alignment horizontal="center" vertical="center"/>
    </xf>
    <xf numFmtId="0" fontId="5" fillId="0" borderId="17" xfId="35" applyFont="1" applyBorder="1" applyAlignment="1">
      <alignment horizontal="center" vertical="center"/>
    </xf>
    <xf numFmtId="0" fontId="39" fillId="0" borderId="23" xfId="35" applyFont="1" applyBorder="1" applyAlignment="1">
      <alignment horizontal="left" vertical="center" wrapText="1"/>
    </xf>
    <xf numFmtId="0" fontId="39" fillId="0" borderId="24" xfId="35" applyFont="1" applyBorder="1" applyAlignment="1">
      <alignment horizontal="left" vertical="center"/>
    </xf>
    <xf numFmtId="0" fontId="39" fillId="0" borderId="25" xfId="35" applyFont="1" applyBorder="1" applyAlignment="1">
      <alignment horizontal="left" vertical="center"/>
    </xf>
    <xf numFmtId="0" fontId="39" fillId="0" borderId="26" xfId="35" applyFont="1" applyBorder="1" applyAlignment="1">
      <alignment horizontal="left" vertical="center" wrapText="1"/>
    </xf>
    <xf numFmtId="0" fontId="39" fillId="0" borderId="0" xfId="35" applyFont="1" applyBorder="1" applyAlignment="1">
      <alignment horizontal="left" vertical="center"/>
    </xf>
    <xf numFmtId="0" fontId="39" fillId="0" borderId="27" xfId="35" applyFont="1" applyBorder="1" applyAlignment="1">
      <alignment horizontal="left" vertical="center"/>
    </xf>
    <xf numFmtId="0" fontId="39" fillId="0" borderId="28" xfId="35" applyFont="1" applyBorder="1" applyAlignment="1">
      <alignment horizontal="left" vertical="center" wrapText="1"/>
    </xf>
    <xf numFmtId="0" fontId="39" fillId="0" borderId="20" xfId="35" applyFont="1" applyBorder="1" applyAlignment="1">
      <alignment horizontal="left" vertical="center"/>
    </xf>
    <xf numFmtId="0" fontId="39" fillId="0" borderId="29" xfId="35" applyFont="1" applyBorder="1" applyAlignment="1">
      <alignment horizontal="left" vertical="center"/>
    </xf>
    <xf numFmtId="0" fontId="36" fillId="25" borderId="18" xfId="35" applyFont="1" applyFill="1" applyBorder="1" applyAlignment="1">
      <alignment horizontal="left" vertical="center" wrapText="1"/>
    </xf>
    <xf numFmtId="0" fontId="3" fillId="25" borderId="10" xfId="35" applyFont="1" applyFill="1" applyBorder="1" applyAlignment="1">
      <alignment horizontal="center" vertical="center" wrapText="1"/>
    </xf>
    <xf numFmtId="0" fontId="42" fillId="29" borderId="10" xfId="35" applyFont="1" applyFill="1" applyBorder="1" applyAlignment="1">
      <alignment horizontal="center" vertical="center" wrapText="1"/>
    </xf>
    <xf numFmtId="0" fontId="40" fillId="29" borderId="10" xfId="35" applyFont="1" applyFill="1" applyBorder="1" applyAlignment="1">
      <alignment horizontal="center" vertical="center" wrapText="1"/>
    </xf>
    <xf numFmtId="0" fontId="4" fillId="0" borderId="10" xfId="35" applyBorder="1" applyAlignment="1">
      <alignment vertical="center"/>
    </xf>
    <xf numFmtId="1" fontId="6" fillId="28" borderId="10" xfId="0" applyNumberFormat="1" applyFont="1" applyFill="1" applyBorder="1" applyAlignment="1" applyProtection="1">
      <alignment horizontal="center" vertical="center" wrapText="1" shrinkToFit="1"/>
      <protection locked="0"/>
    </xf>
    <xf numFmtId="1" fontId="6" fillId="28" borderId="15" xfId="0" applyNumberFormat="1" applyFont="1" applyFill="1" applyBorder="1" applyAlignment="1" applyProtection="1">
      <alignment horizontal="center" vertical="center" wrapText="1" shrinkToFit="1"/>
      <protection locked="0"/>
    </xf>
    <xf numFmtId="1" fontId="6" fillId="28" borderId="18" xfId="0" applyNumberFormat="1" applyFont="1" applyFill="1" applyBorder="1" applyAlignment="1" applyProtection="1">
      <alignment horizontal="center" vertical="center" wrapText="1" shrinkToFit="1"/>
      <protection locked="0"/>
    </xf>
    <xf numFmtId="1" fontId="6" fillId="28" borderId="16" xfId="0" applyNumberFormat="1" applyFont="1" applyFill="1" applyBorder="1" applyAlignment="1" applyProtection="1">
      <alignment horizontal="center" vertical="center" wrapText="1" shrinkToFit="1"/>
      <protection locked="0"/>
    </xf>
    <xf numFmtId="0" fontId="6" fillId="26" borderId="15" xfId="0" applyFont="1" applyFill="1" applyBorder="1" applyAlignment="1" applyProtection="1">
      <alignment horizontal="center" vertical="center" wrapText="1" shrinkToFit="1"/>
      <protection locked="0"/>
    </xf>
    <xf numFmtId="0" fontId="6" fillId="26" borderId="16" xfId="0" applyFont="1" applyFill="1" applyBorder="1" applyAlignment="1" applyProtection="1">
      <alignment horizontal="center" vertical="center" wrapText="1" shrinkToFit="1"/>
      <protection locked="0"/>
    </xf>
    <xf numFmtId="0" fontId="45" fillId="0" borderId="30" xfId="0" applyFont="1" applyBorder="1" applyAlignment="1" applyProtection="1">
      <alignment horizontal="center" vertical="center" wrapText="1" shrinkToFit="1"/>
      <protection locked="0"/>
    </xf>
    <xf numFmtId="0" fontId="45" fillId="0" borderId="31" xfId="0" applyFont="1" applyBorder="1" applyAlignment="1" applyProtection="1">
      <alignment horizontal="center" vertical="center" wrapText="1" shrinkToFit="1"/>
      <protection locked="0"/>
    </xf>
    <xf numFmtId="0" fontId="6" fillId="26" borderId="32" xfId="0" applyFont="1" applyFill="1" applyBorder="1" applyAlignment="1" applyProtection="1">
      <alignment horizontal="left" vertical="center" wrapText="1" shrinkToFit="1"/>
      <protection locked="0"/>
    </xf>
    <xf numFmtId="0" fontId="6" fillId="26" borderId="10" xfId="0" applyFont="1" applyFill="1" applyBorder="1" applyAlignment="1" applyProtection="1">
      <alignment horizontal="left" vertical="center" wrapText="1" shrinkToFit="1"/>
      <protection locked="0"/>
    </xf>
    <xf numFmtId="0" fontId="49" fillId="28" borderId="33" xfId="0" applyFont="1" applyFill="1" applyBorder="1" applyAlignment="1" applyProtection="1">
      <alignment horizontal="center" vertical="center" wrapText="1" shrinkToFit="1"/>
      <protection locked="0"/>
    </xf>
    <xf numFmtId="0" fontId="49" fillId="28" borderId="34" xfId="0" applyFont="1" applyFill="1" applyBorder="1" applyAlignment="1" applyProtection="1">
      <alignment horizontal="center" vertical="center" wrapText="1" shrinkToFit="1"/>
      <protection locked="0"/>
    </xf>
    <xf numFmtId="0" fontId="50" fillId="0" borderId="35" xfId="0" applyFont="1" applyFill="1" applyBorder="1" applyAlignment="1" applyProtection="1">
      <alignment horizontal="center" vertical="center" wrapText="1" shrinkToFit="1"/>
      <protection locked="0"/>
    </xf>
    <xf numFmtId="0" fontId="50" fillId="0" borderId="36" xfId="0" applyFont="1" applyFill="1" applyBorder="1" applyAlignment="1" applyProtection="1">
      <alignment horizontal="center" vertical="center" wrapText="1" shrinkToFit="1"/>
      <protection locked="0"/>
    </xf>
    <xf numFmtId="0" fontId="48" fillId="0" borderId="37" xfId="0" applyFont="1" applyFill="1" applyBorder="1" applyAlignment="1" applyProtection="1">
      <alignment horizontal="center" vertical="center" wrapText="1" shrinkToFit="1"/>
      <protection locked="0"/>
    </xf>
    <xf numFmtId="0" fontId="48" fillId="0" borderId="38" xfId="0" applyFont="1" applyFill="1" applyBorder="1" applyAlignment="1" applyProtection="1">
      <alignment horizontal="center" vertical="center" wrapText="1" shrinkToFit="1"/>
      <protection locked="0"/>
    </xf>
    <xf numFmtId="0" fontId="6" fillId="26" borderId="39" xfId="0" applyFont="1" applyFill="1" applyBorder="1" applyAlignment="1" applyProtection="1">
      <alignment horizontal="left" vertical="center" wrapText="1" shrinkToFit="1"/>
      <protection locked="0"/>
    </xf>
    <xf numFmtId="0" fontId="6" fillId="26" borderId="40" xfId="0" applyFont="1" applyFill="1" applyBorder="1" applyAlignment="1" applyProtection="1">
      <alignment horizontal="left" vertical="center" wrapText="1" shrinkToFit="1"/>
      <protection locked="0"/>
    </xf>
    <xf numFmtId="0" fontId="8" fillId="31" borderId="10" xfId="0" applyFont="1" applyFill="1" applyBorder="1" applyAlignment="1">
      <alignment horizontal="center" vertical="center" wrapText="1" shrinkToFit="1"/>
    </xf>
    <xf numFmtId="0" fontId="7" fillId="30" borderId="10" xfId="0" applyFont="1" applyFill="1" applyBorder="1" applyAlignment="1" applyProtection="1">
      <alignment vertical="center" wrapText="1" shrinkToFit="1"/>
      <protection locked="0"/>
    </xf>
  </cellXfs>
  <cellStyles count="49">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Normal" xfId="0" builtinId="0"/>
    <cellStyle name="Normal 2" xfId="32" xr:uid="{00000000-0005-0000-0000-000020000000}"/>
    <cellStyle name="Normal 2 2" xfId="33" xr:uid="{00000000-0005-0000-0000-000021000000}"/>
    <cellStyle name="Normal 3" xfId="34" xr:uid="{00000000-0005-0000-0000-000022000000}"/>
    <cellStyle name="Normal_Analytics_Test Script_CR_XXXX_Template" xfId="35" xr:uid="{00000000-0005-0000-0000-000023000000}"/>
    <cellStyle name="Normal_Analytics_Test Script_CR_XXXX_Template 2" xfId="36" xr:uid="{00000000-0005-0000-0000-000024000000}"/>
    <cellStyle name="Notiz" xfId="37" xr:uid="{00000000-0005-0000-0000-000025000000}"/>
    <cellStyle name="Schlecht" xfId="38" xr:uid="{00000000-0005-0000-0000-000026000000}"/>
    <cellStyle name="Standard 2" xfId="39" xr:uid="{00000000-0005-0000-0000-000027000000}"/>
    <cellStyle name="Style 1" xfId="40" xr:uid="{00000000-0005-0000-0000-000028000000}"/>
    <cellStyle name="Überschrift" xfId="41" xr:uid="{00000000-0005-0000-0000-000029000000}"/>
    <cellStyle name="Überschrift 1" xfId="42" xr:uid="{00000000-0005-0000-0000-00002A000000}"/>
    <cellStyle name="Überschrift 2" xfId="43" xr:uid="{00000000-0005-0000-0000-00002B000000}"/>
    <cellStyle name="Überschrift 3" xfId="44" xr:uid="{00000000-0005-0000-0000-00002C000000}"/>
    <cellStyle name="Überschrift 4" xfId="45" xr:uid="{00000000-0005-0000-0000-00002D000000}"/>
    <cellStyle name="Verknüpfte Zelle" xfId="46" xr:uid="{00000000-0005-0000-0000-00002E000000}"/>
    <cellStyle name="Warnender Text" xfId="47" xr:uid="{00000000-0005-0000-0000-00002F000000}"/>
    <cellStyle name="Zelle überprüfen" xfId="48" xr:uid="{00000000-0005-0000-0000-000030000000}"/>
  </cellStyles>
  <dxfs count="8">
    <dxf>
      <fill>
        <patternFill>
          <bgColor rgb="FF92D050"/>
        </patternFill>
      </fill>
    </dxf>
    <dxf>
      <fill>
        <patternFill>
          <bgColor rgb="FFFF0000"/>
        </patternFill>
      </fill>
    </dxf>
    <dxf>
      <fill>
        <patternFill>
          <bgColor rgb="FF92D050"/>
        </patternFill>
      </fill>
    </dxf>
    <dxf>
      <fill>
        <patternFill>
          <bgColor rgb="FFFF0000"/>
        </patternFill>
      </fill>
    </dxf>
    <dxf>
      <fill>
        <patternFill>
          <bgColor indexed="11"/>
        </patternFill>
      </fill>
    </dxf>
    <dxf>
      <fill>
        <patternFill>
          <bgColor indexed="10"/>
        </patternFill>
      </fill>
    </dxf>
    <dxf>
      <fill>
        <patternFill>
          <bgColor rgb="FF92D05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CA5B3124-49C9-47D5-9541-245DA32E823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4C76716F-0781-478A-AD22-6B179F0F211D}"/>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62BB468A-A168-4B9A-A0E5-3486BB5BFD05}"/>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63A00146-CE3B-4931-97D7-8946B3371788}"/>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20843F11-1D97-4D60-A17A-A1EB8F8D32E2}"/>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698500</xdr:colOff>
      <xdr:row>10</xdr:row>
      <xdr:rowOff>114300</xdr:rowOff>
    </xdr:to>
    <xdr:pic>
      <xdr:nvPicPr>
        <xdr:cNvPr id="1030" name="Picture 9">
          <a:extLst>
            <a:ext uri="{FF2B5EF4-FFF2-40B4-BE49-F238E27FC236}">
              <a16:creationId xmlns:a16="http://schemas.microsoft.com/office/drawing/2014/main" id="{0CDA0D9E-E982-468A-AC01-6826971597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627100" cy="1676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584200</xdr:colOff>
      <xdr:row>0</xdr:row>
      <xdr:rowOff>95250</xdr:rowOff>
    </xdr:from>
    <xdr:to>
      <xdr:col>7</xdr:col>
      <xdr:colOff>1689100</xdr:colOff>
      <xdr:row>3</xdr:row>
      <xdr:rowOff>19050</xdr:rowOff>
    </xdr:to>
    <xdr:pic>
      <xdr:nvPicPr>
        <xdr:cNvPr id="2049" name="Picture 9" descr="JTI Logo">
          <a:extLst>
            <a:ext uri="{FF2B5EF4-FFF2-40B4-BE49-F238E27FC236}">
              <a16:creationId xmlns:a16="http://schemas.microsoft.com/office/drawing/2014/main" id="{4A838C07-7CDC-4AF2-925B-DA93F2AB3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95250"/>
          <a:ext cx="1104900" cy="1193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4"/>
  <sheetViews>
    <sheetView showGridLines="0" zoomScale="66" workbookViewId="0">
      <selection activeCell="T22" sqref="T22"/>
    </sheetView>
  </sheetViews>
  <sheetFormatPr defaultColWidth="9.1796875" defaultRowHeight="12.5" x14ac:dyDescent="0.25"/>
  <cols>
    <col min="1" max="9" width="10.7265625" style="23" customWidth="1"/>
    <col min="10" max="10" width="2.7265625" style="23" customWidth="1"/>
    <col min="11" max="19" width="10.7265625" style="23" customWidth="1"/>
    <col min="20" max="16384" width="9.1796875" style="23"/>
  </cols>
  <sheetData>
    <row r="1" spans="1:19" s="22" customFormat="1" ht="13" x14ac:dyDescent="0.25">
      <c r="A1" s="20"/>
      <c r="B1" s="21"/>
      <c r="C1" s="21"/>
      <c r="D1" s="21"/>
      <c r="E1" s="21"/>
      <c r="F1" s="21"/>
      <c r="G1" s="21"/>
      <c r="H1" s="21"/>
      <c r="I1" s="21"/>
      <c r="J1" s="21"/>
      <c r="K1" s="21"/>
      <c r="L1" s="21"/>
      <c r="M1" s="21"/>
      <c r="N1" s="21"/>
      <c r="O1" s="21"/>
      <c r="P1" s="21"/>
      <c r="Q1" s="21"/>
      <c r="R1" s="21"/>
      <c r="S1" s="21"/>
    </row>
    <row r="2" spans="1:19" s="22" customFormat="1" x14ac:dyDescent="0.25">
      <c r="A2" s="21"/>
      <c r="B2" s="21"/>
      <c r="C2" s="21"/>
      <c r="D2" s="21"/>
      <c r="E2" s="21"/>
      <c r="F2" s="21"/>
      <c r="G2" s="21"/>
      <c r="H2" s="21"/>
      <c r="I2" s="21"/>
      <c r="J2" s="21"/>
      <c r="K2" s="21"/>
      <c r="L2" s="21"/>
      <c r="M2" s="21"/>
      <c r="N2" s="21"/>
      <c r="O2" s="21"/>
      <c r="P2" s="21"/>
      <c r="Q2" s="21"/>
      <c r="R2" s="21"/>
      <c r="S2" s="21"/>
    </row>
    <row r="3" spans="1:19" s="22" customFormat="1" x14ac:dyDescent="0.25">
      <c r="A3" s="21"/>
      <c r="B3" s="21"/>
      <c r="C3" s="21"/>
      <c r="D3" s="21"/>
      <c r="E3" s="21"/>
      <c r="F3" s="21"/>
      <c r="G3" s="21"/>
      <c r="H3" s="21"/>
      <c r="I3" s="21"/>
      <c r="J3" s="21"/>
      <c r="K3" s="21"/>
      <c r="L3" s="21"/>
      <c r="M3" s="21"/>
      <c r="N3" s="21"/>
      <c r="O3" s="21"/>
      <c r="P3" s="21"/>
      <c r="Q3" s="21"/>
      <c r="R3" s="21"/>
      <c r="S3" s="21"/>
    </row>
    <row r="4" spans="1:19" s="22" customFormat="1" x14ac:dyDescent="0.25">
      <c r="A4" s="21"/>
      <c r="B4" s="21"/>
      <c r="C4" s="21"/>
      <c r="D4" s="21"/>
      <c r="E4" s="21"/>
      <c r="F4" s="21"/>
      <c r="G4" s="21"/>
      <c r="H4" s="21"/>
      <c r="I4" s="21"/>
      <c r="J4" s="21"/>
      <c r="K4" s="21"/>
      <c r="L4" s="21"/>
      <c r="M4" s="21"/>
      <c r="N4" s="21"/>
      <c r="O4" s="21"/>
      <c r="P4" s="21"/>
      <c r="Q4" s="21"/>
      <c r="R4" s="21"/>
      <c r="S4" s="21"/>
    </row>
    <row r="5" spans="1:19" s="22" customFormat="1" x14ac:dyDescent="0.25">
      <c r="A5" s="21"/>
      <c r="B5" s="21"/>
      <c r="C5" s="21"/>
      <c r="D5" s="21"/>
      <c r="E5" s="21"/>
      <c r="F5" s="21"/>
      <c r="G5" s="21"/>
      <c r="H5" s="21"/>
      <c r="I5" s="21"/>
      <c r="J5" s="21"/>
      <c r="K5" s="21"/>
      <c r="L5" s="21"/>
      <c r="M5" s="21"/>
      <c r="N5" s="21"/>
      <c r="O5" s="21"/>
      <c r="P5" s="21"/>
      <c r="Q5" s="21"/>
      <c r="R5" s="21"/>
      <c r="S5" s="21"/>
    </row>
    <row r="6" spans="1:19" x14ac:dyDescent="0.25">
      <c r="A6" s="21"/>
      <c r="B6" s="21"/>
      <c r="C6" s="21"/>
      <c r="D6" s="21"/>
      <c r="E6" s="21"/>
      <c r="F6" s="21"/>
      <c r="G6" s="21"/>
      <c r="H6" s="21"/>
      <c r="I6" s="21"/>
      <c r="J6" s="21"/>
      <c r="K6" s="21"/>
      <c r="L6" s="21"/>
      <c r="M6" s="21"/>
      <c r="N6" s="21"/>
      <c r="O6" s="21"/>
      <c r="P6" s="21"/>
      <c r="Q6" s="21"/>
      <c r="R6" s="21"/>
      <c r="S6" s="21"/>
    </row>
    <row r="7" spans="1:19" ht="12.75" customHeight="1" x14ac:dyDescent="0.25">
      <c r="A7" s="21"/>
      <c r="B7" s="21"/>
      <c r="C7" s="21"/>
      <c r="D7" s="21"/>
      <c r="E7" s="21"/>
      <c r="F7" s="21"/>
      <c r="G7" s="21"/>
      <c r="H7" s="21"/>
      <c r="I7" s="21"/>
      <c r="J7" s="21"/>
      <c r="K7" s="21"/>
      <c r="L7" s="21"/>
      <c r="M7" s="21"/>
      <c r="N7" s="21"/>
      <c r="O7" s="21"/>
      <c r="P7" s="21"/>
      <c r="Q7" s="21"/>
      <c r="R7" s="21"/>
      <c r="S7" s="21"/>
    </row>
    <row r="8" spans="1:19" ht="9.75" customHeight="1" x14ac:dyDescent="0.25">
      <c r="A8" s="21"/>
      <c r="B8" s="21"/>
      <c r="C8" s="21"/>
      <c r="D8" s="21"/>
      <c r="E8" s="21"/>
      <c r="F8" s="21"/>
      <c r="G8" s="21"/>
      <c r="H8" s="21"/>
      <c r="I8" s="21"/>
      <c r="J8" s="21"/>
      <c r="K8" s="21"/>
      <c r="L8" s="21"/>
      <c r="M8" s="21"/>
      <c r="N8" s="21"/>
      <c r="O8" s="21"/>
      <c r="P8" s="21"/>
      <c r="Q8" s="21"/>
      <c r="R8" s="21"/>
      <c r="S8" s="21"/>
    </row>
    <row r="9" spans="1:19" x14ac:dyDescent="0.25">
      <c r="A9" s="21"/>
      <c r="B9" s="21"/>
      <c r="C9" s="21"/>
      <c r="D9" s="21"/>
      <c r="E9" s="21"/>
      <c r="F9" s="21"/>
      <c r="G9" s="21"/>
      <c r="H9" s="21"/>
      <c r="I9" s="21"/>
      <c r="J9" s="21"/>
      <c r="K9" s="21"/>
      <c r="L9" s="21"/>
      <c r="M9" s="21"/>
      <c r="N9" s="21"/>
      <c r="O9" s="21"/>
      <c r="P9" s="21"/>
      <c r="Q9" s="21"/>
      <c r="R9" s="21"/>
      <c r="S9" s="21"/>
    </row>
    <row r="10" spans="1:19" ht="13" x14ac:dyDescent="0.25">
      <c r="A10" s="20"/>
      <c r="B10" s="20"/>
      <c r="C10" s="20"/>
      <c r="D10" s="20"/>
      <c r="E10" s="20"/>
      <c r="F10" s="20"/>
      <c r="G10" s="20"/>
      <c r="H10" s="20"/>
      <c r="I10" s="20"/>
      <c r="J10" s="20"/>
      <c r="K10" s="20"/>
      <c r="L10" s="20"/>
      <c r="M10" s="21"/>
      <c r="N10" s="21"/>
      <c r="O10" s="21"/>
      <c r="P10" s="21"/>
      <c r="Q10" s="21"/>
      <c r="R10" s="21"/>
      <c r="S10" s="21"/>
    </row>
    <row r="11" spans="1:19" ht="13" x14ac:dyDescent="0.25">
      <c r="A11" s="20"/>
      <c r="B11" s="20"/>
      <c r="C11" s="20"/>
      <c r="D11" s="20"/>
      <c r="E11" s="20"/>
      <c r="F11" s="20"/>
      <c r="G11" s="20"/>
      <c r="H11" s="20"/>
      <c r="I11" s="20"/>
      <c r="J11" s="20"/>
      <c r="K11" s="20"/>
      <c r="L11" s="20"/>
      <c r="M11" s="21"/>
      <c r="N11" s="21"/>
      <c r="O11" s="21"/>
      <c r="P11" s="21"/>
      <c r="Q11" s="21"/>
      <c r="R11" s="21"/>
      <c r="S11" s="21"/>
    </row>
    <row r="12" spans="1:19" ht="13" x14ac:dyDescent="0.25">
      <c r="A12" s="20"/>
      <c r="B12" s="20"/>
      <c r="C12" s="20"/>
      <c r="D12" s="20"/>
      <c r="E12" s="20"/>
      <c r="F12" s="20"/>
      <c r="G12" s="20"/>
      <c r="H12" s="20"/>
      <c r="I12" s="20"/>
      <c r="J12" s="20"/>
      <c r="K12" s="20"/>
      <c r="L12" s="20"/>
      <c r="M12" s="21"/>
      <c r="N12" s="21"/>
      <c r="O12" s="21"/>
      <c r="P12" s="21"/>
      <c r="Q12" s="21"/>
      <c r="R12" s="21"/>
      <c r="S12" s="21"/>
    </row>
    <row r="13" spans="1:19" ht="30" thickBot="1" x14ac:dyDescent="0.3">
      <c r="A13" s="109" t="s">
        <v>16</v>
      </c>
      <c r="B13" s="109"/>
      <c r="C13" s="109"/>
      <c r="D13" s="109"/>
      <c r="E13" s="109"/>
      <c r="F13" s="109"/>
      <c r="G13" s="109"/>
      <c r="H13" s="109"/>
      <c r="I13" s="109"/>
      <c r="J13" s="109"/>
      <c r="K13" s="109"/>
      <c r="L13" s="109"/>
      <c r="M13" s="109"/>
      <c r="N13" s="109"/>
      <c r="O13" s="109"/>
      <c r="P13" s="109"/>
      <c r="Q13" s="109"/>
      <c r="R13" s="109"/>
      <c r="S13" s="109"/>
    </row>
    <row r="14" spans="1:19" ht="13.5" thickTop="1" x14ac:dyDescent="0.25">
      <c r="A14" s="20"/>
      <c r="B14" s="20"/>
      <c r="C14" s="20"/>
      <c r="D14" s="20"/>
      <c r="E14" s="20"/>
      <c r="F14" s="20"/>
      <c r="G14" s="20"/>
      <c r="H14" s="20"/>
      <c r="I14" s="20"/>
      <c r="J14" s="20"/>
      <c r="K14" s="20"/>
      <c r="L14" s="20"/>
      <c r="M14" s="21"/>
      <c r="N14" s="21"/>
      <c r="O14" s="21"/>
      <c r="P14" s="21"/>
      <c r="Q14" s="21"/>
      <c r="R14" s="21"/>
      <c r="S14" s="21"/>
    </row>
    <row r="15" spans="1:19" ht="13" x14ac:dyDescent="0.25">
      <c r="A15" s="25"/>
      <c r="B15" s="25"/>
      <c r="C15" s="25"/>
      <c r="D15" s="25"/>
      <c r="E15" s="25"/>
      <c r="F15" s="25"/>
      <c r="G15" s="25"/>
      <c r="H15" s="25"/>
      <c r="I15" s="25"/>
      <c r="J15" s="25"/>
      <c r="K15" s="25"/>
      <c r="L15" s="25"/>
      <c r="M15" s="24"/>
      <c r="N15" s="24"/>
      <c r="O15" s="24"/>
      <c r="P15" s="24"/>
      <c r="Q15" s="24"/>
      <c r="R15" s="24"/>
      <c r="S15" s="24"/>
    </row>
    <row r="16" spans="1:19" ht="13" x14ac:dyDescent="0.25">
      <c r="A16" s="25"/>
      <c r="B16" s="25"/>
      <c r="C16" s="25"/>
      <c r="D16" s="25"/>
      <c r="E16" s="25"/>
      <c r="F16" s="25"/>
      <c r="G16" s="25"/>
      <c r="H16" s="25"/>
      <c r="I16" s="25"/>
      <c r="J16" s="25"/>
      <c r="K16" s="25"/>
      <c r="L16" s="25"/>
      <c r="M16" s="24"/>
      <c r="N16" s="24"/>
      <c r="O16" s="24"/>
      <c r="P16" s="24"/>
      <c r="Q16" s="24"/>
      <c r="R16" s="24"/>
      <c r="S16" s="24"/>
    </row>
    <row r="17" spans="1:19" s="26" customFormat="1" ht="30.75" customHeight="1" x14ac:dyDescent="0.25">
      <c r="A17" s="110" t="s">
        <v>49</v>
      </c>
      <c r="B17" s="110"/>
      <c r="C17" s="110"/>
      <c r="D17" s="110"/>
      <c r="E17" s="110"/>
      <c r="F17" s="110"/>
      <c r="G17" s="110"/>
      <c r="H17" s="110"/>
      <c r="I17" s="110"/>
      <c r="J17" s="110"/>
      <c r="K17" s="110"/>
      <c r="L17" s="110"/>
      <c r="M17" s="110"/>
      <c r="N17" s="110"/>
      <c r="O17" s="110"/>
      <c r="P17" s="110"/>
      <c r="Q17" s="110"/>
      <c r="R17" s="110"/>
      <c r="S17" s="110"/>
    </row>
    <row r="18" spans="1:19" s="26" customFormat="1" ht="40.5" customHeight="1" x14ac:dyDescent="0.25">
      <c r="A18" s="111" t="s">
        <v>14</v>
      </c>
      <c r="B18" s="111"/>
      <c r="C18" s="111"/>
      <c r="D18" s="111"/>
      <c r="E18" s="111"/>
      <c r="F18" s="111"/>
      <c r="G18" s="111"/>
      <c r="H18" s="111"/>
      <c r="I18" s="111"/>
      <c r="J18" s="111"/>
      <c r="K18" s="111"/>
      <c r="L18" s="111"/>
      <c r="M18" s="111"/>
      <c r="N18" s="111"/>
      <c r="O18" s="111"/>
      <c r="P18" s="111"/>
      <c r="Q18" s="111"/>
      <c r="R18" s="111"/>
      <c r="S18" s="111"/>
    </row>
    <row r="19" spans="1:19" s="26" customFormat="1" ht="58.5" customHeight="1" x14ac:dyDescent="0.25">
      <c r="A19" s="112" t="s">
        <v>73</v>
      </c>
      <c r="B19" s="112"/>
      <c r="C19" s="112"/>
      <c r="D19" s="112"/>
      <c r="E19" s="112"/>
      <c r="F19" s="112"/>
      <c r="G19" s="112"/>
      <c r="H19" s="112"/>
      <c r="I19" s="112"/>
      <c r="J19" s="17"/>
      <c r="K19" s="113" t="s">
        <v>78</v>
      </c>
      <c r="L19" s="113"/>
      <c r="M19" s="113"/>
      <c r="N19" s="113"/>
      <c r="O19" s="113"/>
      <c r="P19" s="113"/>
      <c r="Q19" s="113"/>
      <c r="R19" s="113"/>
      <c r="S19" s="113"/>
    </row>
    <row r="20" spans="1:19" s="26" customFormat="1" ht="79.900000000000006" customHeight="1" x14ac:dyDescent="0.25">
      <c r="A20" s="117" t="s">
        <v>72</v>
      </c>
      <c r="B20" s="117"/>
      <c r="C20" s="117"/>
      <c r="D20" s="117"/>
      <c r="E20" s="117"/>
      <c r="F20" s="117"/>
      <c r="G20" s="117"/>
      <c r="H20" s="117"/>
      <c r="I20" s="117"/>
      <c r="J20" s="18"/>
      <c r="K20" s="118" t="s">
        <v>79</v>
      </c>
      <c r="L20" s="118"/>
      <c r="M20" s="118"/>
      <c r="N20" s="118"/>
      <c r="O20" s="118"/>
      <c r="P20" s="118"/>
      <c r="Q20" s="118"/>
      <c r="R20" s="118"/>
      <c r="S20" s="118"/>
    </row>
    <row r="21" spans="1:19" s="26" customFormat="1" ht="75" customHeight="1" x14ac:dyDescent="0.25">
      <c r="A21" s="119" t="s">
        <v>74</v>
      </c>
      <c r="B21" s="119"/>
      <c r="C21" s="119"/>
      <c r="D21" s="119"/>
      <c r="E21" s="119"/>
      <c r="F21" s="119"/>
      <c r="G21" s="119"/>
      <c r="H21" s="119"/>
      <c r="I21" s="119"/>
      <c r="J21" s="18"/>
      <c r="K21" s="120" t="s">
        <v>80</v>
      </c>
      <c r="L21" s="120"/>
      <c r="M21" s="120"/>
      <c r="N21" s="120"/>
      <c r="O21" s="120"/>
      <c r="P21" s="120"/>
      <c r="Q21" s="120"/>
      <c r="R21" s="120"/>
      <c r="S21" s="120"/>
    </row>
    <row r="22" spans="1:19" s="26" customFormat="1" ht="75" customHeight="1" x14ac:dyDescent="0.25">
      <c r="A22" s="119" t="s">
        <v>75</v>
      </c>
      <c r="B22" s="119"/>
      <c r="C22" s="119"/>
      <c r="D22" s="119"/>
      <c r="E22" s="119"/>
      <c r="F22" s="119"/>
      <c r="G22" s="119"/>
      <c r="H22" s="119"/>
      <c r="I22" s="119"/>
      <c r="J22" s="18"/>
      <c r="K22" s="120" t="s">
        <v>81</v>
      </c>
      <c r="L22" s="120"/>
      <c r="M22" s="120"/>
      <c r="N22" s="120"/>
      <c r="O22" s="120"/>
      <c r="P22" s="120"/>
      <c r="Q22" s="120"/>
      <c r="R22" s="120"/>
      <c r="S22" s="120"/>
    </row>
    <row r="23" spans="1:19" s="26" customFormat="1" ht="13" x14ac:dyDescent="0.25">
      <c r="A23" s="27"/>
      <c r="B23" s="27"/>
      <c r="C23" s="27"/>
      <c r="D23" s="27"/>
      <c r="E23" s="27"/>
      <c r="F23" s="27"/>
      <c r="G23" s="27"/>
      <c r="H23" s="27"/>
      <c r="I23" s="27"/>
      <c r="J23" s="27"/>
    </row>
    <row r="24" spans="1:19" ht="27" customHeight="1" x14ac:dyDescent="0.25">
      <c r="A24" s="116" t="s">
        <v>76</v>
      </c>
      <c r="B24" s="116"/>
      <c r="C24" s="116"/>
      <c r="D24" s="116"/>
      <c r="E24" s="116"/>
      <c r="F24" s="116"/>
      <c r="G24" s="116"/>
      <c r="H24" s="116"/>
      <c r="I24" s="116"/>
      <c r="K24" s="115" t="s">
        <v>51</v>
      </c>
      <c r="L24" s="115"/>
      <c r="M24" s="115"/>
      <c r="N24" s="115"/>
      <c r="O24" s="28"/>
      <c r="P24" s="28"/>
      <c r="Q24" s="28"/>
      <c r="R24" s="28"/>
      <c r="S24" s="28"/>
    </row>
    <row r="25" spans="1:19" ht="27" customHeight="1" x14ac:dyDescent="0.25">
      <c r="A25" s="114"/>
      <c r="B25" s="114"/>
      <c r="C25" s="114"/>
      <c r="D25" s="114"/>
      <c r="E25" s="114"/>
      <c r="F25" s="114"/>
      <c r="G25" s="114"/>
      <c r="H25" s="114"/>
      <c r="I25" s="114"/>
      <c r="K25" s="115"/>
      <c r="L25" s="115"/>
      <c r="M25" s="115"/>
      <c r="N25" s="115"/>
      <c r="O25" s="28"/>
      <c r="P25" s="28"/>
      <c r="Q25" s="28"/>
      <c r="R25" s="28"/>
      <c r="S25" s="28"/>
    </row>
    <row r="26" spans="1:19" ht="27" customHeight="1" x14ac:dyDescent="0.25">
      <c r="A26" s="116"/>
      <c r="B26" s="116"/>
      <c r="C26" s="116"/>
      <c r="D26" s="116"/>
      <c r="E26" s="116"/>
      <c r="F26" s="116"/>
      <c r="G26" s="116"/>
      <c r="H26" s="116"/>
      <c r="I26" s="116"/>
      <c r="K26" s="115"/>
      <c r="L26" s="115"/>
      <c r="M26" s="115"/>
      <c r="N26" s="115"/>
      <c r="O26" s="115"/>
      <c r="P26" s="115"/>
      <c r="Q26" s="115"/>
      <c r="R26" s="115"/>
      <c r="S26" s="115"/>
    </row>
    <row r="27" spans="1:19" s="26" customFormat="1" ht="17.25" customHeight="1" x14ac:dyDescent="0.25">
      <c r="A27" s="19"/>
      <c r="B27" s="29"/>
      <c r="C27" s="29"/>
      <c r="D27" s="29"/>
      <c r="E27" s="29"/>
      <c r="F27" s="29"/>
      <c r="G27" s="29"/>
      <c r="H27" s="29"/>
      <c r="I27" s="29"/>
      <c r="J27" s="29"/>
      <c r="K27" s="29"/>
      <c r="L27" s="29"/>
      <c r="M27" s="29"/>
      <c r="N27" s="29"/>
      <c r="O27" s="29"/>
      <c r="P27" s="29"/>
      <c r="Q27" s="29"/>
    </row>
    <row r="28" spans="1:19" x14ac:dyDescent="0.25">
      <c r="A28" s="21"/>
      <c r="B28" s="21"/>
      <c r="C28" s="21"/>
      <c r="D28" s="21"/>
      <c r="E28" s="21"/>
      <c r="F28" s="21"/>
      <c r="G28" s="21"/>
      <c r="H28" s="21"/>
      <c r="I28" s="21"/>
      <c r="J28" s="21"/>
      <c r="K28" s="21"/>
      <c r="L28" s="21"/>
      <c r="M28" s="21"/>
      <c r="N28" s="21"/>
      <c r="O28" s="21"/>
      <c r="P28" s="21"/>
      <c r="Q28" s="21"/>
      <c r="R28" s="21"/>
      <c r="S28" s="21"/>
    </row>
    <row r="29" spans="1:19" x14ac:dyDescent="0.25">
      <c r="A29" s="21"/>
      <c r="B29" s="21"/>
      <c r="C29" s="21"/>
      <c r="D29" s="21"/>
      <c r="E29" s="21"/>
      <c r="F29" s="21"/>
      <c r="G29" s="21"/>
      <c r="H29" s="21"/>
      <c r="I29" s="21"/>
      <c r="J29" s="21"/>
      <c r="K29" s="21"/>
      <c r="L29" s="21"/>
      <c r="M29" s="21"/>
      <c r="N29" s="21"/>
      <c r="O29" s="21"/>
      <c r="P29" s="21"/>
      <c r="Q29" s="21"/>
      <c r="R29" s="21"/>
      <c r="S29" s="21"/>
    </row>
    <row r="30" spans="1:19" x14ac:dyDescent="0.25">
      <c r="A30" s="21"/>
      <c r="B30" s="21"/>
      <c r="C30" s="21"/>
      <c r="D30" s="21"/>
      <c r="E30" s="21"/>
      <c r="F30" s="21"/>
      <c r="G30" s="21"/>
      <c r="H30" s="21"/>
      <c r="I30" s="21"/>
      <c r="J30" s="21"/>
      <c r="K30" s="21"/>
      <c r="L30" s="21"/>
      <c r="M30" s="21"/>
      <c r="N30" s="21"/>
      <c r="O30" s="21"/>
      <c r="P30" s="21"/>
      <c r="Q30" s="21"/>
      <c r="R30" s="21"/>
      <c r="S30" s="21"/>
    </row>
    <row r="31" spans="1:19" x14ac:dyDescent="0.25">
      <c r="A31" s="21"/>
      <c r="B31" s="21"/>
      <c r="C31" s="21"/>
      <c r="D31" s="21"/>
      <c r="E31" s="21"/>
      <c r="F31" s="21"/>
      <c r="G31" s="21"/>
      <c r="H31" s="21"/>
      <c r="I31" s="21"/>
      <c r="J31" s="21"/>
      <c r="K31" s="21"/>
      <c r="L31" s="21"/>
      <c r="M31" s="21"/>
      <c r="N31" s="21"/>
      <c r="O31" s="21"/>
      <c r="P31" s="21"/>
      <c r="Q31" s="21"/>
      <c r="R31" s="21"/>
      <c r="S31" s="21"/>
    </row>
    <row r="32" spans="1:19" x14ac:dyDescent="0.25">
      <c r="A32" s="21"/>
      <c r="B32" s="21"/>
      <c r="C32" s="21"/>
      <c r="D32" s="21"/>
      <c r="E32" s="21"/>
      <c r="F32" s="21"/>
      <c r="G32" s="21"/>
      <c r="H32" s="21"/>
      <c r="I32" s="21"/>
      <c r="J32" s="21"/>
      <c r="K32" s="21"/>
      <c r="L32" s="21"/>
      <c r="M32" s="21"/>
      <c r="N32" s="21"/>
      <c r="O32" s="21"/>
      <c r="P32" s="21"/>
      <c r="Q32" s="21"/>
      <c r="R32" s="21"/>
      <c r="S32" s="21"/>
    </row>
    <row r="33" spans="1:19" x14ac:dyDescent="0.25">
      <c r="A33" s="21"/>
      <c r="B33" s="21"/>
      <c r="C33" s="21"/>
      <c r="D33" s="21"/>
      <c r="E33" s="21"/>
      <c r="F33" s="21"/>
      <c r="G33" s="21"/>
      <c r="H33" s="21"/>
      <c r="I33" s="21"/>
      <c r="J33" s="21"/>
      <c r="K33" s="21"/>
      <c r="L33" s="21"/>
      <c r="M33" s="21"/>
      <c r="N33" s="21"/>
      <c r="O33" s="21"/>
      <c r="P33" s="21"/>
      <c r="Q33" s="21"/>
      <c r="R33" s="21"/>
      <c r="S33" s="21"/>
    </row>
    <row r="34" spans="1:19" s="26" customFormat="1" ht="15.5" x14ac:dyDescent="0.25">
      <c r="A34" s="30" t="s">
        <v>17</v>
      </c>
      <c r="C34" s="31">
        <f ca="1">TODAY()</f>
        <v>44519</v>
      </c>
      <c r="D34" s="27"/>
      <c r="E34" s="27"/>
      <c r="F34" s="27"/>
      <c r="G34" s="27"/>
      <c r="H34" s="27"/>
      <c r="I34" s="27"/>
      <c r="J34" s="27"/>
    </row>
  </sheetData>
  <mergeCells count="17">
    <mergeCell ref="A25:I25"/>
    <mergeCell ref="K25:N25"/>
    <mergeCell ref="A26:I26"/>
    <mergeCell ref="K26:S26"/>
    <mergeCell ref="A20:I20"/>
    <mergeCell ref="K20:S20"/>
    <mergeCell ref="A22:I22"/>
    <mergeCell ref="K22:S22"/>
    <mergeCell ref="A24:I24"/>
    <mergeCell ref="K24:N24"/>
    <mergeCell ref="A21:I21"/>
    <mergeCell ref="K21:S21"/>
    <mergeCell ref="A13:S13"/>
    <mergeCell ref="A17:S17"/>
    <mergeCell ref="A18:S18"/>
    <mergeCell ref="A19:I19"/>
    <mergeCell ref="K19:S19"/>
  </mergeCells>
  <printOptions horizontalCentered="1" verticalCentered="1"/>
  <pageMargins left="0.75" right="0.75" top="1" bottom="1" header="0.5" footer="0.5"/>
  <pageSetup paperSize="9" scale="6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E43"/>
  <sheetViews>
    <sheetView workbookViewId="0">
      <selection activeCell="A21" sqref="A21"/>
    </sheetView>
  </sheetViews>
  <sheetFormatPr defaultColWidth="8" defaultRowHeight="12.5" x14ac:dyDescent="0.25"/>
  <cols>
    <col min="1" max="1" width="38.453125" style="4" customWidth="1"/>
    <col min="2" max="2" width="21.453125" style="4" bestFit="1" customWidth="1"/>
    <col min="3" max="3" width="10.26953125" style="4" bestFit="1" customWidth="1"/>
    <col min="4" max="4" width="34.453125" style="4" customWidth="1"/>
    <col min="5" max="5" width="12.26953125" style="4" customWidth="1"/>
    <col min="6" max="16384" width="8" style="4"/>
  </cols>
  <sheetData>
    <row r="1" spans="1:5" ht="25.5" customHeight="1" x14ac:dyDescent="0.25">
      <c r="A1" s="32" t="str">
        <f>CRN</f>
        <v>CHG213437</v>
      </c>
      <c r="B1" s="5"/>
      <c r="C1" s="7"/>
      <c r="D1" s="7"/>
      <c r="E1" s="7"/>
    </row>
    <row r="2" spans="1:5" ht="13" x14ac:dyDescent="0.25">
      <c r="A2" s="6"/>
      <c r="B2" s="5"/>
      <c r="C2" s="5"/>
      <c r="D2" s="5"/>
      <c r="E2" s="5"/>
    </row>
    <row r="3" spans="1:5" ht="20" x14ac:dyDescent="0.25">
      <c r="A3" s="7"/>
      <c r="B3" s="7"/>
      <c r="C3" s="7"/>
      <c r="D3" s="7"/>
      <c r="E3" s="7"/>
    </row>
    <row r="4" spans="1:5" ht="28" x14ac:dyDescent="0.25">
      <c r="A4" s="124" t="str">
        <f>Cover!A18</f>
        <v>UNIT TEST SCRIPT</v>
      </c>
      <c r="B4" s="124"/>
      <c r="C4" s="124"/>
      <c r="D4" s="125" t="s">
        <v>19</v>
      </c>
      <c r="E4" s="125"/>
    </row>
    <row r="5" spans="1:5" x14ac:dyDescent="0.25">
      <c r="A5" s="5"/>
      <c r="B5" s="5"/>
      <c r="C5" s="5"/>
      <c r="D5" s="5"/>
      <c r="E5" s="5"/>
    </row>
    <row r="6" spans="1:5" ht="15.5" x14ac:dyDescent="0.25">
      <c r="A6" s="6" t="s">
        <v>20</v>
      </c>
      <c r="B6" s="126" t="s">
        <v>21</v>
      </c>
      <c r="C6" s="126"/>
      <c r="D6" s="126"/>
      <c r="E6" s="8"/>
    </row>
    <row r="7" spans="1:5" ht="15.5" x14ac:dyDescent="0.25">
      <c r="A7" s="48" t="s">
        <v>22</v>
      </c>
      <c r="B7" s="33" t="s">
        <v>82</v>
      </c>
      <c r="C7" s="34"/>
      <c r="D7" s="35"/>
      <c r="E7" s="9"/>
    </row>
    <row r="8" spans="1:5" ht="15.5" x14ac:dyDescent="0.25">
      <c r="A8" s="8"/>
      <c r="B8" s="8"/>
      <c r="C8" s="8"/>
      <c r="D8" s="8"/>
      <c r="E8" s="8"/>
    </row>
    <row r="9" spans="1:5" ht="15.5" x14ac:dyDescent="0.25">
      <c r="A9" s="36" t="s">
        <v>55</v>
      </c>
      <c r="B9" s="49"/>
      <c r="C9" s="8"/>
      <c r="D9" s="37" t="s">
        <v>23</v>
      </c>
      <c r="E9" s="8"/>
    </row>
    <row r="10" spans="1:5" ht="15.5" x14ac:dyDescent="0.25">
      <c r="A10" s="127" t="s">
        <v>24</v>
      </c>
      <c r="B10" s="128" t="str">
        <f>Cover!K24</f>
        <v>Sales</v>
      </c>
      <c r="C10" s="8"/>
      <c r="D10" s="129">
        <v>44522</v>
      </c>
      <c r="E10" s="8"/>
    </row>
    <row r="11" spans="1:5" ht="14.25" customHeight="1" x14ac:dyDescent="0.25">
      <c r="A11" s="127"/>
      <c r="B11" s="128"/>
      <c r="C11" s="8"/>
      <c r="D11" s="129"/>
      <c r="E11" s="8"/>
    </row>
    <row r="12" spans="1:5" ht="15" customHeight="1" x14ac:dyDescent="0.25">
      <c r="A12" s="127"/>
      <c r="B12" s="128"/>
      <c r="C12" s="8"/>
      <c r="D12" s="129"/>
      <c r="E12" s="8"/>
    </row>
    <row r="13" spans="1:5" ht="15.5" x14ac:dyDescent="0.25">
      <c r="A13" s="8"/>
      <c r="B13" s="8"/>
      <c r="C13" s="8"/>
      <c r="D13" s="8"/>
      <c r="E13" s="8"/>
    </row>
    <row r="14" spans="1:5" ht="22" customHeight="1" x14ac:dyDescent="0.25">
      <c r="A14" s="50" t="s">
        <v>25</v>
      </c>
      <c r="B14" s="122"/>
      <c r="C14" s="130"/>
      <c r="D14" s="130"/>
      <c r="E14" s="130"/>
    </row>
    <row r="15" spans="1:5" ht="22" customHeight="1" x14ac:dyDescent="0.25">
      <c r="A15" s="36" t="s">
        <v>26</v>
      </c>
      <c r="B15" s="36" t="s">
        <v>27</v>
      </c>
      <c r="C15" s="37" t="s">
        <v>28</v>
      </c>
      <c r="D15" s="123" t="s">
        <v>29</v>
      </c>
      <c r="E15" s="123"/>
    </row>
    <row r="16" spans="1:5" ht="15" customHeight="1" x14ac:dyDescent="0.25">
      <c r="A16" s="38" t="s">
        <v>46</v>
      </c>
      <c r="B16" s="39" t="s">
        <v>71</v>
      </c>
      <c r="C16" s="40" t="s">
        <v>30</v>
      </c>
      <c r="D16" s="131" t="s">
        <v>47</v>
      </c>
      <c r="E16" s="131"/>
    </row>
    <row r="17" spans="1:5" ht="15" customHeight="1" x14ac:dyDescent="0.25">
      <c r="A17" s="10"/>
      <c r="B17" s="11"/>
      <c r="C17" s="12"/>
      <c r="D17" s="121"/>
      <c r="E17" s="121"/>
    </row>
    <row r="18" spans="1:5" ht="15.5" x14ac:dyDescent="0.25">
      <c r="A18" s="8"/>
      <c r="B18" s="8"/>
      <c r="C18" s="8"/>
      <c r="D18" s="8"/>
      <c r="E18" s="8"/>
    </row>
    <row r="19" spans="1:5" ht="22" customHeight="1" x14ac:dyDescent="0.25">
      <c r="A19" s="36" t="s">
        <v>31</v>
      </c>
      <c r="B19" s="122"/>
      <c r="C19" s="122"/>
      <c r="D19" s="122"/>
      <c r="E19" s="122"/>
    </row>
    <row r="20" spans="1:5" ht="22" customHeight="1" x14ac:dyDescent="0.25">
      <c r="A20" s="36" t="s">
        <v>26</v>
      </c>
      <c r="B20" s="36" t="s">
        <v>27</v>
      </c>
      <c r="C20" s="37" t="s">
        <v>28</v>
      </c>
      <c r="D20" s="123" t="s">
        <v>29</v>
      </c>
      <c r="E20" s="123"/>
    </row>
    <row r="21" spans="1:5" ht="15" customHeight="1" x14ac:dyDescent="0.25">
      <c r="A21" s="38" t="s">
        <v>83</v>
      </c>
      <c r="B21" s="41" t="str">
        <f>B10</f>
        <v>Sales</v>
      </c>
      <c r="C21" s="80" t="s">
        <v>48</v>
      </c>
      <c r="D21" s="81"/>
      <c r="E21" s="82"/>
    </row>
    <row r="22" spans="1:5" ht="15" customHeight="1" x14ac:dyDescent="0.25">
      <c r="A22" s="38"/>
      <c r="B22" s="41"/>
      <c r="C22" s="80"/>
      <c r="D22" s="81"/>
      <c r="E22" s="82"/>
    </row>
    <row r="23" spans="1:5" ht="15" customHeight="1" x14ac:dyDescent="0.25">
      <c r="A23" s="10"/>
      <c r="B23" s="13"/>
      <c r="C23" s="12"/>
      <c r="D23" s="81"/>
      <c r="E23" s="82"/>
    </row>
    <row r="24" spans="1:5" ht="15.5" x14ac:dyDescent="0.25">
      <c r="A24" s="8"/>
      <c r="B24" s="8"/>
      <c r="C24" s="8"/>
      <c r="D24" s="8"/>
      <c r="E24" s="8"/>
    </row>
    <row r="25" spans="1:5" ht="22" customHeight="1" x14ac:dyDescent="0.25">
      <c r="A25" s="45" t="s">
        <v>32</v>
      </c>
      <c r="B25" s="84" t="s">
        <v>33</v>
      </c>
      <c r="C25" s="147" t="s">
        <v>34</v>
      </c>
      <c r="D25" s="147"/>
      <c r="E25" s="148" t="s">
        <v>59</v>
      </c>
    </row>
    <row r="26" spans="1:5" ht="36" customHeight="1" x14ac:dyDescent="0.25">
      <c r="A26" s="36" t="s">
        <v>26</v>
      </c>
      <c r="B26" s="36" t="s">
        <v>27</v>
      </c>
      <c r="C26" s="46" t="s">
        <v>35</v>
      </c>
      <c r="D26" s="36" t="s">
        <v>36</v>
      </c>
      <c r="E26" s="148"/>
    </row>
    <row r="27" spans="1:5" ht="20.149999999999999" customHeight="1" x14ac:dyDescent="0.25">
      <c r="A27" s="42"/>
      <c r="B27" s="51" t="str">
        <f>B10</f>
        <v>Sales</v>
      </c>
      <c r="C27" s="101"/>
      <c r="D27" s="42"/>
      <c r="E27" s="83" t="s">
        <v>18</v>
      </c>
    </row>
    <row r="28" spans="1:5" ht="20.149999999999999" customHeight="1" x14ac:dyDescent="0.25">
      <c r="A28" s="42"/>
      <c r="B28" s="51"/>
      <c r="C28" s="101"/>
      <c r="D28" s="42"/>
      <c r="E28" s="83"/>
    </row>
    <row r="29" spans="1:5" ht="20.149999999999999" customHeight="1" x14ac:dyDescent="0.25">
      <c r="A29" s="42"/>
      <c r="B29" s="51"/>
      <c r="C29" s="101"/>
      <c r="D29" s="42"/>
      <c r="E29" s="83"/>
    </row>
    <row r="30" spans="1:5" ht="15.5" x14ac:dyDescent="0.25">
      <c r="A30" s="8"/>
      <c r="B30" s="8"/>
      <c r="C30" s="8"/>
      <c r="D30" s="8"/>
      <c r="E30" s="8"/>
    </row>
    <row r="31" spans="1:5" ht="22" customHeight="1" x14ac:dyDescent="0.25">
      <c r="A31" s="149" t="s">
        <v>44</v>
      </c>
      <c r="B31" s="150"/>
      <c r="C31" s="150"/>
      <c r="D31" s="150"/>
      <c r="E31" s="148" t="s">
        <v>37</v>
      </c>
    </row>
    <row r="32" spans="1:5" ht="22" customHeight="1" x14ac:dyDescent="0.25">
      <c r="A32" s="36" t="s">
        <v>26</v>
      </c>
      <c r="B32" s="36" t="s">
        <v>38</v>
      </c>
      <c r="C32" s="37" t="s">
        <v>39</v>
      </c>
      <c r="D32" s="36" t="s">
        <v>40</v>
      </c>
      <c r="E32" s="148"/>
    </row>
    <row r="33" spans="1:5" ht="20.149999999999999" customHeight="1" x14ac:dyDescent="0.25">
      <c r="A33" s="42"/>
      <c r="B33" s="43" t="s">
        <v>77</v>
      </c>
      <c r="C33" s="101"/>
      <c r="D33" s="44" t="s">
        <v>58</v>
      </c>
      <c r="E33" s="83" t="s">
        <v>18</v>
      </c>
    </row>
    <row r="34" spans="1:5" ht="20.149999999999999" customHeight="1" x14ac:dyDescent="0.25">
      <c r="A34" s="42"/>
      <c r="B34" s="43"/>
      <c r="C34" s="101"/>
      <c r="D34" s="44"/>
      <c r="E34" s="83"/>
    </row>
    <row r="35" spans="1:5" ht="20.149999999999999" customHeight="1" x14ac:dyDescent="0.25">
      <c r="A35" s="42"/>
      <c r="B35" s="43"/>
      <c r="C35" s="101"/>
      <c r="D35" s="44"/>
      <c r="E35" s="83"/>
    </row>
    <row r="36" spans="1:5" ht="15.5" x14ac:dyDescent="0.25">
      <c r="A36" s="8"/>
      <c r="B36" s="8"/>
      <c r="C36" s="8"/>
      <c r="D36" s="8"/>
      <c r="E36" s="8"/>
    </row>
    <row r="37" spans="1:5" ht="15.5" x14ac:dyDescent="0.25">
      <c r="A37" s="8"/>
      <c r="B37" s="14"/>
      <c r="C37" s="14"/>
      <c r="D37" s="14"/>
      <c r="E37" s="15"/>
    </row>
    <row r="38" spans="1:5" ht="13" x14ac:dyDescent="0.25">
      <c r="A38" s="123" t="s">
        <v>41</v>
      </c>
      <c r="B38" s="123"/>
      <c r="C38" s="151"/>
      <c r="D38" s="151"/>
      <c r="E38" s="151"/>
    </row>
    <row r="39" spans="1:5" ht="22.5" customHeight="1" x14ac:dyDescent="0.25">
      <c r="A39" s="47" t="s">
        <v>42</v>
      </c>
      <c r="B39" s="132" t="str">
        <f>Cover!K20</f>
        <v>TMEC:  RI - Enhancements on Contracts &amp;  Contract Terms</v>
      </c>
      <c r="C39" s="133"/>
      <c r="D39" s="133"/>
      <c r="E39" s="134"/>
    </row>
    <row r="40" spans="1:5" ht="12.75" customHeight="1" x14ac:dyDescent="0.25">
      <c r="A40" s="135" t="s">
        <v>43</v>
      </c>
      <c r="B40" s="138"/>
      <c r="C40" s="139"/>
      <c r="D40" s="139"/>
      <c r="E40" s="140"/>
    </row>
    <row r="41" spans="1:5" ht="12.75" customHeight="1" x14ac:dyDescent="0.25">
      <c r="A41" s="136"/>
      <c r="B41" s="141"/>
      <c r="C41" s="142"/>
      <c r="D41" s="142"/>
      <c r="E41" s="143"/>
    </row>
    <row r="42" spans="1:5" ht="12.75" customHeight="1" x14ac:dyDescent="0.25">
      <c r="A42" s="136"/>
      <c r="B42" s="141"/>
      <c r="C42" s="142"/>
      <c r="D42" s="142"/>
      <c r="E42" s="143"/>
    </row>
    <row r="43" spans="1:5" ht="27" customHeight="1" x14ac:dyDescent="0.25">
      <c r="A43" s="137"/>
      <c r="B43" s="144"/>
      <c r="C43" s="145"/>
      <c r="D43" s="145"/>
      <c r="E43" s="146"/>
    </row>
  </sheetData>
  <mergeCells count="20">
    <mergeCell ref="B39:E39"/>
    <mergeCell ref="A40:A43"/>
    <mergeCell ref="B40:E43"/>
    <mergeCell ref="C25:D25"/>
    <mergeCell ref="E25:E26"/>
    <mergeCell ref="A31:D31"/>
    <mergeCell ref="E31:E32"/>
    <mergeCell ref="A38:E38"/>
    <mergeCell ref="D17:E17"/>
    <mergeCell ref="B19:E19"/>
    <mergeCell ref="D20:E20"/>
    <mergeCell ref="A4:C4"/>
    <mergeCell ref="D4:E4"/>
    <mergeCell ref="B6:D6"/>
    <mergeCell ref="A10:A12"/>
    <mergeCell ref="B10:B12"/>
    <mergeCell ref="D10:D12"/>
    <mergeCell ref="B14:E14"/>
    <mergeCell ref="D15:E15"/>
    <mergeCell ref="D16:E16"/>
  </mergeCells>
  <dataValidations count="1">
    <dataValidation type="list" allowBlank="1" showInputMessage="1" showErrorMessage="1" sqref="E27:E29 E33:E35" xr:uid="{00000000-0002-0000-0100-000000000000}">
      <formula1>"YES,NO,N/A"</formula1>
    </dataValidation>
  </dataValidation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4" tint="0.59999389629810485"/>
    <pageSetUpPr fitToPage="1"/>
  </sheetPr>
  <dimension ref="A1:H113"/>
  <sheetViews>
    <sheetView tabSelected="1" workbookViewId="0">
      <selection activeCell="A2" sqref="A2:B2"/>
    </sheetView>
  </sheetViews>
  <sheetFormatPr defaultColWidth="9.1796875" defaultRowHeight="12" x14ac:dyDescent="0.25"/>
  <cols>
    <col min="1" max="1" width="7.453125" style="3" customWidth="1"/>
    <col min="2" max="2" width="19.54296875" style="3" customWidth="1"/>
    <col min="3" max="3" width="15.453125" style="3" customWidth="1"/>
    <col min="4" max="4" width="53.54296875" style="3" customWidth="1"/>
    <col min="5" max="5" width="29.6328125" style="2" bestFit="1" customWidth="1"/>
    <col min="6" max="6" width="32.26953125" style="1" customWidth="1"/>
    <col min="7" max="7" width="10.54296875" style="75" customWidth="1"/>
    <col min="8" max="8" width="31.7265625" style="3" customWidth="1"/>
    <col min="9" max="16384" width="9.1796875" style="59"/>
  </cols>
  <sheetData>
    <row r="1" spans="1:8" ht="13.5" customHeight="1" thickBot="1" x14ac:dyDescent="0.3">
      <c r="A1" s="55" t="s">
        <v>0</v>
      </c>
      <c r="B1" s="55" t="s">
        <v>0</v>
      </c>
      <c r="C1" s="55" t="s">
        <v>0</v>
      </c>
      <c r="D1" s="55" t="s">
        <v>0</v>
      </c>
      <c r="E1" s="56" t="s">
        <v>0</v>
      </c>
      <c r="F1" s="57"/>
      <c r="G1" s="58"/>
      <c r="H1" s="55"/>
    </row>
    <row r="2" spans="1:8" ht="59.25" customHeight="1" x14ac:dyDescent="0.25">
      <c r="A2" s="158" t="str">
        <f>'Version Control'!A4:C4</f>
        <v>UNIT TEST SCRIPT</v>
      </c>
      <c r="B2" s="159"/>
      <c r="C2" s="60" t="str">
        <f>CRN</f>
        <v>CHG213437</v>
      </c>
      <c r="D2" s="61" t="s">
        <v>9</v>
      </c>
      <c r="E2" s="62">
        <v>1</v>
      </c>
      <c r="F2" s="57"/>
      <c r="G2" s="58"/>
      <c r="H2" s="55"/>
    </row>
    <row r="3" spans="1:8" ht="27.75" customHeight="1" thickBot="1" x14ac:dyDescent="0.3">
      <c r="A3" s="160" t="s">
        <v>10</v>
      </c>
      <c r="B3" s="161"/>
      <c r="C3" s="63"/>
      <c r="D3" s="162" t="s">
        <v>11</v>
      </c>
      <c r="E3" s="163"/>
      <c r="F3" s="57"/>
      <c r="G3" s="58"/>
      <c r="H3" s="55"/>
    </row>
    <row r="4" spans="1:8" ht="27.75" customHeight="1" x14ac:dyDescent="0.25">
      <c r="A4" s="160" t="s">
        <v>12</v>
      </c>
      <c r="B4" s="161"/>
      <c r="C4" s="64"/>
      <c r="D4" s="164" t="s">
        <v>56</v>
      </c>
      <c r="E4" s="166" t="str">
        <f>Cover!K22</f>
        <v>ITA, CSY, ESN</v>
      </c>
      <c r="F4" s="57" t="s">
        <v>0</v>
      </c>
      <c r="G4" s="58" t="s">
        <v>0</v>
      </c>
      <c r="H4" s="55" t="s">
        <v>0</v>
      </c>
    </row>
    <row r="5" spans="1:8" ht="27.75" customHeight="1" thickBot="1" x14ac:dyDescent="0.3">
      <c r="A5" s="168" t="s">
        <v>13</v>
      </c>
      <c r="B5" s="169"/>
      <c r="C5" s="16" t="str">
        <f>'Version Control'!B7</f>
        <v>FEB, 2021</v>
      </c>
      <c r="D5" s="165"/>
      <c r="E5" s="167"/>
      <c r="F5" s="57" t="s">
        <v>0</v>
      </c>
      <c r="G5" s="58" t="s">
        <v>0</v>
      </c>
      <c r="H5" s="55" t="s">
        <v>0</v>
      </c>
    </row>
    <row r="6" spans="1:8" x14ac:dyDescent="0.25">
      <c r="A6" s="55" t="s">
        <v>0</v>
      </c>
      <c r="B6" s="55" t="s">
        <v>0</v>
      </c>
      <c r="C6" s="55" t="s">
        <v>0</v>
      </c>
      <c r="D6" s="55" t="s">
        <v>0</v>
      </c>
      <c r="E6" s="56" t="s">
        <v>0</v>
      </c>
      <c r="F6" s="57" t="s">
        <v>0</v>
      </c>
      <c r="G6" s="58" t="s">
        <v>0</v>
      </c>
      <c r="H6" s="55" t="s">
        <v>0</v>
      </c>
    </row>
    <row r="7" spans="1:8" ht="15.75" customHeight="1" x14ac:dyDescent="0.25">
      <c r="A7" s="55" t="s">
        <v>0</v>
      </c>
      <c r="B7" s="55" t="s">
        <v>0</v>
      </c>
      <c r="C7" s="55" t="s">
        <v>0</v>
      </c>
      <c r="D7" s="55" t="s">
        <v>0</v>
      </c>
      <c r="E7" s="56" t="s">
        <v>0</v>
      </c>
      <c r="F7" s="57" t="s">
        <v>0</v>
      </c>
      <c r="G7" s="58" t="s">
        <v>0</v>
      </c>
      <c r="H7" s="55" t="s">
        <v>0</v>
      </c>
    </row>
    <row r="8" spans="1:8" ht="15.75" customHeight="1" x14ac:dyDescent="0.25">
      <c r="A8" s="65" t="s">
        <v>54</v>
      </c>
      <c r="B8" s="66"/>
      <c r="C8" s="66"/>
      <c r="D8" s="66"/>
      <c r="E8" s="66"/>
      <c r="F8" s="156" t="s">
        <v>15</v>
      </c>
      <c r="G8" s="157"/>
      <c r="H8" s="67" t="str">
        <f>C2</f>
        <v>CHG213437</v>
      </c>
    </row>
    <row r="9" spans="1:8" ht="14.5" x14ac:dyDescent="0.25">
      <c r="A9" s="68" t="s">
        <v>3</v>
      </c>
      <c r="B9" s="69" t="s">
        <v>4</v>
      </c>
      <c r="C9" s="70" t="s">
        <v>5</v>
      </c>
      <c r="D9" s="71" t="s">
        <v>6</v>
      </c>
      <c r="E9" s="69" t="s">
        <v>7</v>
      </c>
      <c r="F9" s="85" t="s">
        <v>2</v>
      </c>
      <c r="G9" s="72" t="s">
        <v>8</v>
      </c>
      <c r="H9" s="52" t="s">
        <v>29</v>
      </c>
    </row>
    <row r="10" spans="1:8" s="88" customFormat="1" ht="14.5" x14ac:dyDescent="0.25">
      <c r="A10" s="89">
        <v>0</v>
      </c>
      <c r="B10" s="153" t="s">
        <v>103</v>
      </c>
      <c r="C10" s="154"/>
      <c r="D10" s="154"/>
      <c r="E10" s="155"/>
      <c r="F10" s="86" t="s">
        <v>50</v>
      </c>
      <c r="G10" s="90"/>
      <c r="H10" s="87" t="s">
        <v>50</v>
      </c>
    </row>
    <row r="11" spans="1:8" ht="43.5" x14ac:dyDescent="0.25">
      <c r="A11" s="104">
        <v>1</v>
      </c>
      <c r="B11" s="78" t="s">
        <v>57</v>
      </c>
      <c r="C11" s="78" t="s">
        <v>51</v>
      </c>
      <c r="D11" s="91" t="s">
        <v>52</v>
      </c>
      <c r="E11" s="91"/>
      <c r="F11" s="77" t="s">
        <v>212</v>
      </c>
      <c r="G11" s="76"/>
      <c r="H11" s="79"/>
    </row>
    <row r="12" spans="1:8" ht="43.5" x14ac:dyDescent="0.25">
      <c r="A12" s="104">
        <v>3</v>
      </c>
      <c r="B12" s="78"/>
      <c r="C12" s="78"/>
      <c r="D12" s="102" t="s">
        <v>84</v>
      </c>
      <c r="E12" s="102" t="s">
        <v>85</v>
      </c>
      <c r="F12" s="77" t="s">
        <v>212</v>
      </c>
      <c r="G12" s="76"/>
      <c r="H12" s="79"/>
    </row>
    <row r="13" spans="1:8" ht="29" x14ac:dyDescent="0.25">
      <c r="A13" s="104">
        <v>4</v>
      </c>
      <c r="B13" s="74"/>
      <c r="C13" s="74"/>
      <c r="D13" s="102" t="s">
        <v>87</v>
      </c>
      <c r="E13" s="102" t="s">
        <v>88</v>
      </c>
      <c r="F13" s="77" t="s">
        <v>212</v>
      </c>
      <c r="G13" s="76"/>
      <c r="H13" s="79"/>
    </row>
    <row r="14" spans="1:8" ht="43.5" x14ac:dyDescent="0.25">
      <c r="A14" s="104">
        <v>5</v>
      </c>
      <c r="B14" s="74"/>
      <c r="C14" s="74"/>
      <c r="D14" s="102" t="s">
        <v>92</v>
      </c>
      <c r="E14" s="102" t="s">
        <v>89</v>
      </c>
      <c r="F14" s="77" t="s">
        <v>212</v>
      </c>
      <c r="G14" s="76"/>
      <c r="H14" s="79"/>
    </row>
    <row r="15" spans="1:8" ht="43.5" x14ac:dyDescent="0.25">
      <c r="A15" s="104">
        <v>6</v>
      </c>
      <c r="B15" s="74"/>
      <c r="C15" s="74"/>
      <c r="D15" s="102" t="s">
        <v>91</v>
      </c>
      <c r="E15" s="102" t="s">
        <v>90</v>
      </c>
      <c r="F15" s="77" t="s">
        <v>212</v>
      </c>
      <c r="G15" s="76"/>
      <c r="H15" s="79"/>
    </row>
    <row r="16" spans="1:8" ht="58" x14ac:dyDescent="0.25">
      <c r="A16" s="104">
        <v>7</v>
      </c>
      <c r="B16" s="74"/>
      <c r="C16" s="74"/>
      <c r="D16" s="102" t="s">
        <v>100</v>
      </c>
      <c r="E16" s="102" t="s">
        <v>101</v>
      </c>
      <c r="F16" s="77" t="s">
        <v>212</v>
      </c>
      <c r="G16" s="76"/>
      <c r="H16" s="79"/>
    </row>
    <row r="17" spans="1:8" ht="43.5" x14ac:dyDescent="0.25">
      <c r="A17" s="104">
        <v>8</v>
      </c>
      <c r="B17" s="74"/>
      <c r="C17" s="74"/>
      <c r="D17" s="102" t="s">
        <v>214</v>
      </c>
      <c r="E17" s="102" t="s">
        <v>102</v>
      </c>
      <c r="F17" s="77" t="s">
        <v>212</v>
      </c>
      <c r="G17" s="76"/>
      <c r="H17" s="79"/>
    </row>
    <row r="18" spans="1:8" ht="43.5" x14ac:dyDescent="0.25">
      <c r="A18" s="104">
        <v>9</v>
      </c>
      <c r="B18" s="74"/>
      <c r="C18" s="74"/>
      <c r="D18" s="102" t="s">
        <v>93</v>
      </c>
      <c r="E18" s="73" t="s">
        <v>94</v>
      </c>
      <c r="F18" s="77" t="s">
        <v>212</v>
      </c>
      <c r="G18" s="76"/>
      <c r="H18" s="79"/>
    </row>
    <row r="19" spans="1:8" ht="58" x14ac:dyDescent="0.25">
      <c r="A19" s="104">
        <v>10</v>
      </c>
      <c r="B19" s="74"/>
      <c r="C19" s="74"/>
      <c r="D19" s="73" t="s">
        <v>95</v>
      </c>
      <c r="E19" s="73" t="s">
        <v>96</v>
      </c>
      <c r="F19" s="77" t="s">
        <v>212</v>
      </c>
      <c r="G19" s="76"/>
      <c r="H19" s="79"/>
    </row>
    <row r="20" spans="1:8" ht="29" x14ac:dyDescent="0.25">
      <c r="A20" s="104">
        <v>11</v>
      </c>
      <c r="B20" s="74"/>
      <c r="C20" s="74"/>
      <c r="D20" s="73" t="s">
        <v>104</v>
      </c>
      <c r="E20" s="73" t="s">
        <v>105</v>
      </c>
      <c r="F20" s="77" t="s">
        <v>212</v>
      </c>
      <c r="G20" s="76"/>
      <c r="H20" s="79"/>
    </row>
    <row r="21" spans="1:8" ht="29" x14ac:dyDescent="0.25">
      <c r="A21" s="104">
        <v>12</v>
      </c>
      <c r="B21" s="74"/>
      <c r="C21" s="74"/>
      <c r="D21" s="73" t="s">
        <v>106</v>
      </c>
      <c r="E21" s="73" t="s">
        <v>107</v>
      </c>
      <c r="F21" s="77" t="s">
        <v>212</v>
      </c>
      <c r="G21" s="76"/>
      <c r="H21" s="79"/>
    </row>
    <row r="22" spans="1:8" ht="58" x14ac:dyDescent="0.25">
      <c r="A22" s="104">
        <v>13</v>
      </c>
      <c r="B22" s="74"/>
      <c r="C22" s="74"/>
      <c r="D22" s="73" t="s">
        <v>108</v>
      </c>
      <c r="E22" s="73" t="s">
        <v>109</v>
      </c>
      <c r="F22" s="77" t="s">
        <v>212</v>
      </c>
      <c r="G22" s="76"/>
      <c r="H22" s="79"/>
    </row>
    <row r="23" spans="1:8" s="88" customFormat="1" ht="14.5" x14ac:dyDescent="0.25">
      <c r="A23" s="86">
        <v>0</v>
      </c>
      <c r="B23" s="152" t="s">
        <v>110</v>
      </c>
      <c r="C23" s="152"/>
      <c r="D23" s="152"/>
      <c r="E23" s="152"/>
      <c r="F23" s="103"/>
      <c r="G23" s="105"/>
      <c r="H23" s="89" t="s">
        <v>50</v>
      </c>
    </row>
    <row r="24" spans="1:8" ht="43.5" x14ac:dyDescent="0.25">
      <c r="A24" s="104">
        <v>14</v>
      </c>
      <c r="B24" s="170" t="s">
        <v>57</v>
      </c>
      <c r="C24" s="170" t="s">
        <v>51</v>
      </c>
      <c r="D24" s="73" t="s">
        <v>215</v>
      </c>
      <c r="E24" s="73" t="s">
        <v>120</v>
      </c>
      <c r="F24" s="77" t="s">
        <v>212</v>
      </c>
      <c r="G24" s="76"/>
      <c r="H24" s="79"/>
    </row>
    <row r="25" spans="1:8" ht="29" x14ac:dyDescent="0.25">
      <c r="A25" s="104">
        <v>15</v>
      </c>
      <c r="B25" s="74"/>
      <c r="C25" s="74"/>
      <c r="D25" s="73" t="s">
        <v>121</v>
      </c>
      <c r="E25" s="73" t="s">
        <v>111</v>
      </c>
      <c r="F25" s="77" t="s">
        <v>212</v>
      </c>
      <c r="G25" s="76"/>
      <c r="H25" s="79"/>
    </row>
    <row r="26" spans="1:8" ht="29" x14ac:dyDescent="0.25">
      <c r="A26" s="104">
        <v>16</v>
      </c>
      <c r="B26" s="74"/>
      <c r="C26" s="74"/>
      <c r="D26" s="73" t="s">
        <v>112</v>
      </c>
      <c r="E26" s="73" t="s">
        <v>102</v>
      </c>
      <c r="F26" s="77" t="s">
        <v>212</v>
      </c>
      <c r="G26" s="76"/>
      <c r="H26" s="79"/>
    </row>
    <row r="27" spans="1:8" ht="58" x14ac:dyDescent="0.25">
      <c r="A27" s="104">
        <v>17</v>
      </c>
      <c r="B27" s="74"/>
      <c r="C27" s="74"/>
      <c r="D27" s="73" t="s">
        <v>113</v>
      </c>
      <c r="E27" s="73" t="s">
        <v>114</v>
      </c>
      <c r="F27" s="77" t="s">
        <v>212</v>
      </c>
      <c r="G27" s="76"/>
      <c r="H27" s="79"/>
    </row>
    <row r="28" spans="1:8" ht="29" x14ac:dyDescent="0.25">
      <c r="A28" s="104">
        <v>18</v>
      </c>
      <c r="B28" s="74"/>
      <c r="C28" s="74"/>
      <c r="D28" s="73" t="s">
        <v>152</v>
      </c>
      <c r="E28" s="73" t="s">
        <v>102</v>
      </c>
      <c r="F28" s="77" t="s">
        <v>212</v>
      </c>
      <c r="G28" s="76"/>
      <c r="H28" s="79"/>
    </row>
    <row r="29" spans="1:8" ht="29" x14ac:dyDescent="0.25">
      <c r="A29" s="104">
        <v>19</v>
      </c>
      <c r="B29" s="106"/>
      <c r="C29" s="106"/>
      <c r="D29" s="73" t="s">
        <v>113</v>
      </c>
      <c r="E29" s="73" t="s">
        <v>117</v>
      </c>
      <c r="F29" s="77" t="s">
        <v>212</v>
      </c>
      <c r="G29" s="76"/>
      <c r="H29" s="79"/>
    </row>
    <row r="30" spans="1:8" x14ac:dyDescent="0.25">
      <c r="A30" s="59"/>
      <c r="B30" s="59"/>
      <c r="C30" s="59"/>
      <c r="D30" s="59"/>
      <c r="E30" s="59"/>
      <c r="F30" s="59"/>
      <c r="G30" s="107"/>
      <c r="H30" s="106"/>
    </row>
    <row r="31" spans="1:8" s="88" customFormat="1" ht="14.5" x14ac:dyDescent="0.25">
      <c r="A31" s="86">
        <v>0</v>
      </c>
      <c r="B31" s="152" t="s">
        <v>115</v>
      </c>
      <c r="C31" s="152"/>
      <c r="D31" s="152"/>
      <c r="E31" s="152"/>
      <c r="F31" s="103"/>
      <c r="G31" s="105"/>
      <c r="H31" s="89" t="s">
        <v>50</v>
      </c>
    </row>
    <row r="32" spans="1:8" ht="43.5" x14ac:dyDescent="0.25">
      <c r="A32" s="104">
        <v>20</v>
      </c>
      <c r="B32" s="170" t="s">
        <v>57</v>
      </c>
      <c r="C32" s="170" t="s">
        <v>51</v>
      </c>
      <c r="D32" s="73" t="s">
        <v>118</v>
      </c>
      <c r="E32" s="73" t="s">
        <v>119</v>
      </c>
      <c r="F32" s="77" t="s">
        <v>212</v>
      </c>
      <c r="G32" s="107"/>
      <c r="H32" s="106"/>
    </row>
    <row r="33" spans="1:8" ht="43.5" x14ac:dyDescent="0.25">
      <c r="A33" s="104">
        <v>21</v>
      </c>
      <c r="B33" s="106"/>
      <c r="C33" s="106"/>
      <c r="D33" s="73" t="s">
        <v>216</v>
      </c>
      <c r="E33" s="73" t="s">
        <v>102</v>
      </c>
      <c r="F33" s="77" t="s">
        <v>212</v>
      </c>
      <c r="G33" s="107"/>
      <c r="H33" s="106"/>
    </row>
    <row r="34" spans="1:8" ht="43.5" x14ac:dyDescent="0.25">
      <c r="A34" s="104">
        <v>22</v>
      </c>
      <c r="B34" s="106"/>
      <c r="C34" s="106"/>
      <c r="D34" s="73" t="s">
        <v>113</v>
      </c>
      <c r="E34" s="73" t="s">
        <v>116</v>
      </c>
      <c r="F34" s="77" t="s">
        <v>212</v>
      </c>
      <c r="G34" s="107"/>
      <c r="H34" s="106"/>
    </row>
    <row r="35" spans="1:8" ht="29" x14ac:dyDescent="0.25">
      <c r="A35" s="104">
        <v>23</v>
      </c>
      <c r="B35" s="106"/>
      <c r="C35" s="106"/>
      <c r="D35" s="73" t="s">
        <v>217</v>
      </c>
      <c r="E35" s="73" t="s">
        <v>102</v>
      </c>
      <c r="F35" s="77" t="s">
        <v>212</v>
      </c>
      <c r="G35" s="107"/>
      <c r="H35" s="106"/>
    </row>
    <row r="36" spans="1:8" ht="29" x14ac:dyDescent="0.25">
      <c r="A36" s="104">
        <v>24</v>
      </c>
      <c r="B36" s="106"/>
      <c r="C36" s="106"/>
      <c r="D36" s="73" t="s">
        <v>113</v>
      </c>
      <c r="E36" s="73" t="s">
        <v>117</v>
      </c>
      <c r="F36" s="77" t="s">
        <v>212</v>
      </c>
      <c r="G36" s="107"/>
      <c r="H36" s="106"/>
    </row>
    <row r="37" spans="1:8" s="88" customFormat="1" ht="14.5" x14ac:dyDescent="0.25">
      <c r="A37" s="104"/>
      <c r="B37" s="152" t="s">
        <v>122</v>
      </c>
      <c r="C37" s="152"/>
      <c r="D37" s="152"/>
      <c r="E37" s="152"/>
      <c r="F37" s="103"/>
      <c r="G37" s="105"/>
      <c r="H37" s="89" t="s">
        <v>50</v>
      </c>
    </row>
    <row r="38" spans="1:8" ht="43.5" x14ac:dyDescent="0.25">
      <c r="A38" s="104">
        <v>25</v>
      </c>
      <c r="B38" s="78" t="s">
        <v>57</v>
      </c>
      <c r="C38" s="78" t="s">
        <v>51</v>
      </c>
      <c r="D38" s="91" t="s">
        <v>52</v>
      </c>
      <c r="E38" s="91"/>
      <c r="F38" s="77" t="s">
        <v>212</v>
      </c>
      <c r="G38" s="107"/>
      <c r="H38" s="106"/>
    </row>
    <row r="39" spans="1:8" ht="43.5" x14ac:dyDescent="0.25">
      <c r="A39" s="104">
        <v>27</v>
      </c>
      <c r="B39" s="106"/>
      <c r="C39" s="106"/>
      <c r="D39" s="102" t="s">
        <v>84</v>
      </c>
      <c r="E39" s="102" t="s">
        <v>85</v>
      </c>
      <c r="F39" s="77" t="s">
        <v>212</v>
      </c>
      <c r="G39" s="107"/>
      <c r="H39" s="106"/>
    </row>
    <row r="40" spans="1:8" ht="29" x14ac:dyDescent="0.25">
      <c r="A40" s="104">
        <v>28</v>
      </c>
      <c r="B40" s="106"/>
      <c r="C40" s="106"/>
      <c r="D40" s="102" t="s">
        <v>218</v>
      </c>
      <c r="E40" s="102" t="s">
        <v>88</v>
      </c>
      <c r="F40" s="77" t="s">
        <v>212</v>
      </c>
      <c r="G40" s="107"/>
      <c r="H40" s="106"/>
    </row>
    <row r="41" spans="1:8" ht="43.5" x14ac:dyDescent="0.25">
      <c r="A41" s="104">
        <v>29</v>
      </c>
      <c r="B41" s="106"/>
      <c r="C41" s="106"/>
      <c r="D41" s="102" t="s">
        <v>92</v>
      </c>
      <c r="E41" s="102" t="s">
        <v>89</v>
      </c>
      <c r="F41" s="77" t="s">
        <v>212</v>
      </c>
      <c r="G41" s="107"/>
      <c r="H41" s="106"/>
    </row>
    <row r="42" spans="1:8" ht="29" x14ac:dyDescent="0.25">
      <c r="A42" s="104">
        <v>30</v>
      </c>
      <c r="B42" s="106"/>
      <c r="C42" s="106"/>
      <c r="D42" s="102" t="s">
        <v>124</v>
      </c>
      <c r="E42" s="102" t="s">
        <v>125</v>
      </c>
      <c r="F42" s="77" t="s">
        <v>212</v>
      </c>
      <c r="G42" s="107"/>
      <c r="H42" s="106"/>
    </row>
    <row r="43" spans="1:8" ht="101.5" x14ac:dyDescent="0.25">
      <c r="A43" s="104">
        <v>31</v>
      </c>
      <c r="B43" s="106"/>
      <c r="C43" s="106"/>
      <c r="D43" s="102" t="s">
        <v>97</v>
      </c>
      <c r="E43" s="73" t="s">
        <v>98</v>
      </c>
      <c r="F43" s="77" t="s">
        <v>212</v>
      </c>
      <c r="G43" s="107"/>
      <c r="H43" s="106"/>
    </row>
    <row r="44" spans="1:8" ht="43.5" x14ac:dyDescent="0.25">
      <c r="A44" s="104">
        <v>32</v>
      </c>
      <c r="B44" s="106"/>
      <c r="C44" s="106"/>
      <c r="D44" s="73" t="s">
        <v>95</v>
      </c>
      <c r="E44" s="73" t="s">
        <v>99</v>
      </c>
      <c r="F44" s="77" t="s">
        <v>212</v>
      </c>
      <c r="G44" s="107"/>
      <c r="H44" s="106"/>
    </row>
    <row r="45" spans="1:8" ht="29" x14ac:dyDescent="0.25">
      <c r="A45" s="104">
        <v>33</v>
      </c>
      <c r="B45" s="106"/>
      <c r="C45" s="106"/>
      <c r="D45" s="73" t="s">
        <v>219</v>
      </c>
      <c r="E45" s="73" t="s">
        <v>123</v>
      </c>
      <c r="F45" s="77" t="s">
        <v>212</v>
      </c>
      <c r="G45" s="107"/>
      <c r="H45" s="106"/>
    </row>
    <row r="46" spans="1:8" ht="72.5" x14ac:dyDescent="0.25">
      <c r="A46" s="104">
        <v>34</v>
      </c>
      <c r="B46" s="106"/>
      <c r="C46" s="106"/>
      <c r="D46" s="73" t="s">
        <v>129</v>
      </c>
      <c r="E46" s="73" t="s">
        <v>126</v>
      </c>
      <c r="F46" s="77" t="s">
        <v>212</v>
      </c>
      <c r="G46" s="107"/>
      <c r="H46" s="106"/>
    </row>
    <row r="47" spans="1:8" ht="43.5" x14ac:dyDescent="0.25">
      <c r="A47" s="104">
        <v>35</v>
      </c>
      <c r="B47" s="106"/>
      <c r="C47" s="106"/>
      <c r="D47" s="73" t="s">
        <v>127</v>
      </c>
      <c r="E47" s="73" t="s">
        <v>128</v>
      </c>
      <c r="F47" s="77" t="s">
        <v>212</v>
      </c>
      <c r="G47" s="107"/>
      <c r="H47" s="106"/>
    </row>
    <row r="48" spans="1:8" ht="72.5" x14ac:dyDescent="0.25">
      <c r="A48" s="104">
        <v>36</v>
      </c>
      <c r="B48" s="106"/>
      <c r="C48" s="106"/>
      <c r="D48" s="73" t="s">
        <v>220</v>
      </c>
      <c r="E48" s="73" t="s">
        <v>130</v>
      </c>
      <c r="F48" s="77" t="s">
        <v>212</v>
      </c>
      <c r="G48" s="107"/>
      <c r="H48" s="106"/>
    </row>
    <row r="49" spans="1:8" s="88" customFormat="1" ht="14.5" x14ac:dyDescent="0.25">
      <c r="A49" s="104"/>
      <c r="B49" s="152" t="s">
        <v>131</v>
      </c>
      <c r="C49" s="152"/>
      <c r="D49" s="152"/>
      <c r="E49" s="152"/>
      <c r="F49" s="105"/>
      <c r="G49" s="105"/>
      <c r="H49" s="89" t="s">
        <v>50</v>
      </c>
    </row>
    <row r="50" spans="1:8" ht="43.5" x14ac:dyDescent="0.25">
      <c r="A50" s="104">
        <v>37</v>
      </c>
      <c r="B50" s="78" t="s">
        <v>57</v>
      </c>
      <c r="C50" s="78" t="s">
        <v>51</v>
      </c>
      <c r="D50" s="91" t="s">
        <v>52</v>
      </c>
      <c r="E50" s="91"/>
      <c r="F50" s="77" t="s">
        <v>212</v>
      </c>
      <c r="G50" s="107"/>
      <c r="H50" s="106"/>
    </row>
    <row r="51" spans="1:8" ht="43.5" x14ac:dyDescent="0.25">
      <c r="A51" s="104">
        <v>39</v>
      </c>
      <c r="B51" s="106"/>
      <c r="C51" s="106"/>
      <c r="D51" s="102" t="s">
        <v>84</v>
      </c>
      <c r="E51" s="102" t="s">
        <v>85</v>
      </c>
      <c r="F51" s="77" t="s">
        <v>212</v>
      </c>
      <c r="G51" s="107"/>
      <c r="H51" s="106"/>
    </row>
    <row r="52" spans="1:8" ht="29" x14ac:dyDescent="0.25">
      <c r="A52" s="104">
        <v>40</v>
      </c>
      <c r="B52" s="106"/>
      <c r="C52" s="106"/>
      <c r="D52" s="102" t="s">
        <v>221</v>
      </c>
      <c r="E52" s="102" t="s">
        <v>88</v>
      </c>
      <c r="F52" s="77" t="s">
        <v>212</v>
      </c>
      <c r="G52" s="107"/>
      <c r="H52" s="106"/>
    </row>
    <row r="53" spans="1:8" ht="58" x14ac:dyDescent="0.25">
      <c r="A53" s="104">
        <v>41</v>
      </c>
      <c r="B53" s="106"/>
      <c r="C53" s="106"/>
      <c r="D53" s="73" t="s">
        <v>132</v>
      </c>
      <c r="E53" s="73" t="s">
        <v>133</v>
      </c>
      <c r="F53" s="77" t="s">
        <v>212</v>
      </c>
      <c r="G53" s="107"/>
      <c r="H53" s="106"/>
    </row>
    <row r="54" spans="1:8" ht="14.5" x14ac:dyDescent="0.25">
      <c r="A54" s="104">
        <v>42</v>
      </c>
      <c r="B54" s="106"/>
      <c r="C54" s="106"/>
      <c r="D54" s="73" t="s">
        <v>134</v>
      </c>
      <c r="E54" s="73" t="s">
        <v>135</v>
      </c>
      <c r="F54" s="77" t="s">
        <v>212</v>
      </c>
      <c r="G54" s="107"/>
      <c r="H54" s="106"/>
    </row>
    <row r="55" spans="1:8" ht="14.5" x14ac:dyDescent="0.25">
      <c r="A55" s="104">
        <v>43</v>
      </c>
      <c r="B55" s="106"/>
      <c r="C55" s="106"/>
      <c r="D55" s="73" t="s">
        <v>136</v>
      </c>
      <c r="E55" s="73" t="s">
        <v>137</v>
      </c>
      <c r="F55" s="77" t="s">
        <v>212</v>
      </c>
      <c r="G55" s="107"/>
      <c r="H55" s="106"/>
    </row>
    <row r="56" spans="1:8" ht="29" x14ac:dyDescent="0.25">
      <c r="A56" s="104">
        <v>44</v>
      </c>
      <c r="B56" s="106"/>
      <c r="C56" s="106"/>
      <c r="D56" s="73" t="s">
        <v>222</v>
      </c>
      <c r="E56" s="73" t="s">
        <v>232</v>
      </c>
      <c r="F56" s="77" t="s">
        <v>212</v>
      </c>
      <c r="G56" s="107"/>
      <c r="H56" s="106"/>
    </row>
    <row r="57" spans="1:8" ht="29" x14ac:dyDescent="0.25">
      <c r="A57" s="104">
        <v>45</v>
      </c>
      <c r="B57" s="106"/>
      <c r="C57" s="106"/>
      <c r="D57" s="73" t="s">
        <v>138</v>
      </c>
      <c r="E57" s="73" t="s">
        <v>139</v>
      </c>
      <c r="F57" s="77" t="s">
        <v>212</v>
      </c>
      <c r="G57" s="107"/>
      <c r="H57" s="106"/>
    </row>
    <row r="58" spans="1:8" ht="14.5" x14ac:dyDescent="0.25">
      <c r="A58" s="104">
        <v>46</v>
      </c>
      <c r="B58" s="106"/>
      <c r="C58" s="106"/>
      <c r="D58" s="73" t="s">
        <v>140</v>
      </c>
      <c r="E58" s="73" t="s">
        <v>141</v>
      </c>
      <c r="F58" s="77" t="s">
        <v>212</v>
      </c>
      <c r="G58" s="107"/>
      <c r="H58" s="106"/>
    </row>
    <row r="59" spans="1:8" ht="14.5" x14ac:dyDescent="0.25">
      <c r="A59" s="104">
        <v>47</v>
      </c>
      <c r="B59" s="106"/>
      <c r="C59" s="106"/>
      <c r="D59" s="73" t="s">
        <v>142</v>
      </c>
      <c r="E59" s="73" t="s">
        <v>143</v>
      </c>
      <c r="F59" s="77" t="s">
        <v>212</v>
      </c>
      <c r="G59" s="107"/>
      <c r="H59" s="106"/>
    </row>
    <row r="60" spans="1:8" ht="29" x14ac:dyDescent="0.25">
      <c r="A60" s="104">
        <v>48</v>
      </c>
      <c r="B60" s="106"/>
      <c r="C60" s="106"/>
      <c r="D60" s="73" t="s">
        <v>223</v>
      </c>
      <c r="E60" s="73" t="s">
        <v>86</v>
      </c>
      <c r="F60" s="77" t="s">
        <v>212</v>
      </c>
      <c r="G60" s="107"/>
      <c r="H60" s="106"/>
    </row>
    <row r="61" spans="1:8" ht="43.5" x14ac:dyDescent="0.25">
      <c r="A61" s="104">
        <v>49</v>
      </c>
      <c r="B61" s="106"/>
      <c r="C61" s="106"/>
      <c r="D61" s="73" t="s">
        <v>144</v>
      </c>
      <c r="E61" s="73" t="s">
        <v>145</v>
      </c>
      <c r="F61" s="77" t="s">
        <v>212</v>
      </c>
      <c r="G61" s="107"/>
      <c r="H61" s="106"/>
    </row>
    <row r="62" spans="1:8" ht="43.5" x14ac:dyDescent="0.25">
      <c r="A62" s="104">
        <v>50</v>
      </c>
      <c r="B62" s="106"/>
      <c r="C62" s="106"/>
      <c r="D62" s="73" t="s">
        <v>224</v>
      </c>
      <c r="E62" s="73" t="s">
        <v>146</v>
      </c>
      <c r="F62" s="77" t="s">
        <v>212</v>
      </c>
      <c r="G62" s="107"/>
      <c r="H62" s="106"/>
    </row>
    <row r="63" spans="1:8" ht="29" x14ac:dyDescent="0.25">
      <c r="A63" s="104">
        <v>51</v>
      </c>
      <c r="B63" s="106"/>
      <c r="C63" s="106"/>
      <c r="D63" s="73" t="s">
        <v>225</v>
      </c>
      <c r="E63" s="73" t="s">
        <v>147</v>
      </c>
      <c r="F63" s="77" t="s">
        <v>212</v>
      </c>
      <c r="G63" s="107"/>
      <c r="H63" s="106"/>
    </row>
    <row r="64" spans="1:8" ht="29" x14ac:dyDescent="0.25">
      <c r="A64" s="104">
        <v>52</v>
      </c>
      <c r="B64" s="106"/>
      <c r="C64" s="106"/>
      <c r="D64" s="73" t="s">
        <v>148</v>
      </c>
      <c r="E64" s="73" t="s">
        <v>149</v>
      </c>
      <c r="F64" s="77" t="s">
        <v>212</v>
      </c>
      <c r="G64" s="107"/>
      <c r="H64" s="106"/>
    </row>
    <row r="65" spans="1:8" ht="58" x14ac:dyDescent="0.25">
      <c r="A65" s="104">
        <v>53</v>
      </c>
      <c r="B65" s="106"/>
      <c r="C65" s="106"/>
      <c r="D65" s="73" t="s">
        <v>150</v>
      </c>
      <c r="E65" s="73" t="s">
        <v>151</v>
      </c>
      <c r="F65" s="77" t="s">
        <v>212</v>
      </c>
      <c r="G65" s="107"/>
      <c r="H65" s="106"/>
    </row>
    <row r="66" spans="1:8" ht="29" x14ac:dyDescent="0.25">
      <c r="A66" s="104">
        <v>54</v>
      </c>
      <c r="B66" s="106"/>
      <c r="C66" s="106"/>
      <c r="D66" s="73" t="s">
        <v>155</v>
      </c>
      <c r="E66" s="73" t="s">
        <v>153</v>
      </c>
      <c r="F66" s="77" t="s">
        <v>212</v>
      </c>
      <c r="G66" s="107"/>
      <c r="H66" s="106"/>
    </row>
    <row r="67" spans="1:8" ht="58" x14ac:dyDescent="0.25">
      <c r="A67" s="104">
        <v>55</v>
      </c>
      <c r="B67" s="106"/>
      <c r="C67" s="106"/>
      <c r="D67" s="73" t="s">
        <v>154</v>
      </c>
      <c r="E67" s="73" t="s">
        <v>114</v>
      </c>
      <c r="F67" s="77" t="s">
        <v>212</v>
      </c>
      <c r="G67" s="107"/>
      <c r="H67" s="106"/>
    </row>
    <row r="68" spans="1:8" ht="29" x14ac:dyDescent="0.25">
      <c r="A68" s="104">
        <v>56</v>
      </c>
      <c r="B68" s="106"/>
      <c r="C68" s="106"/>
      <c r="D68" s="73" t="s">
        <v>156</v>
      </c>
      <c r="E68" s="73" t="s">
        <v>157</v>
      </c>
      <c r="F68" s="77" t="s">
        <v>212</v>
      </c>
      <c r="G68" s="107"/>
      <c r="H68" s="106"/>
    </row>
    <row r="69" spans="1:8" ht="43.5" x14ac:dyDescent="0.25">
      <c r="A69" s="104">
        <v>57</v>
      </c>
      <c r="B69" s="106"/>
      <c r="C69" s="106"/>
      <c r="D69" s="73" t="s">
        <v>154</v>
      </c>
      <c r="E69" s="73" t="s">
        <v>158</v>
      </c>
      <c r="F69" s="77" t="s">
        <v>212</v>
      </c>
      <c r="G69" s="107"/>
      <c r="H69" s="106"/>
    </row>
    <row r="70" spans="1:8" ht="14.5" x14ac:dyDescent="0.25">
      <c r="A70" s="104">
        <v>58</v>
      </c>
      <c r="B70" s="106"/>
      <c r="C70" s="106"/>
      <c r="D70" s="73" t="s">
        <v>159</v>
      </c>
      <c r="E70" s="73" t="s">
        <v>160</v>
      </c>
      <c r="F70" s="77" t="s">
        <v>212</v>
      </c>
      <c r="G70" s="107"/>
      <c r="H70" s="106"/>
    </row>
    <row r="71" spans="1:8" ht="43.5" x14ac:dyDescent="0.25">
      <c r="A71" s="104">
        <v>59</v>
      </c>
      <c r="B71" s="106"/>
      <c r="C71" s="106"/>
      <c r="D71" s="73" t="s">
        <v>162</v>
      </c>
      <c r="E71" s="73" t="s">
        <v>163</v>
      </c>
      <c r="F71" s="77" t="s">
        <v>212</v>
      </c>
      <c r="G71" s="107"/>
      <c r="H71" s="106"/>
    </row>
    <row r="72" spans="1:8" ht="43.5" x14ac:dyDescent="0.25">
      <c r="A72" s="104">
        <v>60</v>
      </c>
      <c r="B72" s="106"/>
      <c r="C72" s="106"/>
      <c r="D72" s="73" t="s">
        <v>164</v>
      </c>
      <c r="E72" s="73" t="s">
        <v>165</v>
      </c>
      <c r="F72" s="77" t="s">
        <v>212</v>
      </c>
      <c r="G72" s="107"/>
      <c r="H72" s="106"/>
    </row>
    <row r="73" spans="1:8" ht="29" x14ac:dyDescent="0.25">
      <c r="A73" s="104">
        <v>61</v>
      </c>
      <c r="B73" s="106"/>
      <c r="C73" s="106"/>
      <c r="D73" s="102" t="s">
        <v>124</v>
      </c>
      <c r="E73" s="102" t="s">
        <v>125</v>
      </c>
      <c r="F73" s="77" t="s">
        <v>212</v>
      </c>
      <c r="G73" s="107"/>
      <c r="H73" s="106"/>
    </row>
    <row r="74" spans="1:8" ht="101.5" x14ac:dyDescent="0.25">
      <c r="A74" s="104">
        <v>62</v>
      </c>
      <c r="B74" s="106"/>
      <c r="C74" s="106"/>
      <c r="D74" s="102" t="s">
        <v>97</v>
      </c>
      <c r="E74" s="73" t="s">
        <v>98</v>
      </c>
      <c r="F74" s="77" t="s">
        <v>212</v>
      </c>
      <c r="G74" s="107"/>
      <c r="H74" s="106"/>
    </row>
    <row r="75" spans="1:8" ht="43.5" x14ac:dyDescent="0.25">
      <c r="A75" s="104">
        <v>63</v>
      </c>
      <c r="B75" s="106"/>
      <c r="C75" s="106"/>
      <c r="D75" s="73" t="s">
        <v>226</v>
      </c>
      <c r="E75" s="73" t="s">
        <v>99</v>
      </c>
      <c r="F75" s="77" t="s">
        <v>212</v>
      </c>
      <c r="G75" s="107"/>
      <c r="H75" s="106"/>
    </row>
    <row r="76" spans="1:8" ht="29" x14ac:dyDescent="0.25">
      <c r="A76" s="104">
        <v>64</v>
      </c>
      <c r="B76" s="106"/>
      <c r="C76" s="106"/>
      <c r="D76" s="171" t="s">
        <v>227</v>
      </c>
      <c r="E76" s="73" t="s">
        <v>228</v>
      </c>
      <c r="F76" s="77" t="s">
        <v>212</v>
      </c>
      <c r="G76" s="107"/>
      <c r="H76" s="106"/>
    </row>
    <row r="77" spans="1:8" ht="72.5" x14ac:dyDescent="0.25">
      <c r="A77" s="104">
        <v>65</v>
      </c>
      <c r="B77" s="106"/>
      <c r="C77" s="106"/>
      <c r="D77" s="73" t="s">
        <v>229</v>
      </c>
      <c r="E77" s="73" t="s">
        <v>230</v>
      </c>
      <c r="F77" s="77" t="s">
        <v>212</v>
      </c>
      <c r="G77" s="107"/>
      <c r="H77" s="106"/>
    </row>
    <row r="78" spans="1:8" ht="43.5" x14ac:dyDescent="0.25">
      <c r="A78" s="104">
        <v>66</v>
      </c>
      <c r="B78" s="106"/>
      <c r="C78" s="106"/>
      <c r="D78" s="73" t="s">
        <v>127</v>
      </c>
      <c r="E78" s="73" t="s">
        <v>128</v>
      </c>
      <c r="F78" s="77" t="s">
        <v>212</v>
      </c>
      <c r="G78" s="107"/>
      <c r="H78" s="106"/>
    </row>
    <row r="79" spans="1:8" ht="72.5" x14ac:dyDescent="0.25">
      <c r="A79" s="104">
        <v>67</v>
      </c>
      <c r="B79" s="106"/>
      <c r="C79" s="106"/>
      <c r="D79" s="73" t="s">
        <v>231</v>
      </c>
      <c r="E79" s="73" t="s">
        <v>130</v>
      </c>
      <c r="F79" s="77" t="s">
        <v>212</v>
      </c>
      <c r="G79" s="107"/>
      <c r="H79" s="106"/>
    </row>
    <row r="80" spans="1:8" ht="29" x14ac:dyDescent="0.25">
      <c r="A80" s="104">
        <v>68</v>
      </c>
      <c r="B80" s="106"/>
      <c r="C80" s="106"/>
      <c r="D80" s="73" t="s">
        <v>154</v>
      </c>
      <c r="E80" s="73" t="s">
        <v>161</v>
      </c>
      <c r="F80" s="77" t="s">
        <v>212</v>
      </c>
      <c r="G80" s="107"/>
      <c r="H80" s="106"/>
    </row>
    <row r="81" spans="1:8" s="88" customFormat="1" ht="14.5" x14ac:dyDescent="0.25">
      <c r="A81" s="104"/>
      <c r="B81" s="152" t="s">
        <v>179</v>
      </c>
      <c r="C81" s="152"/>
      <c r="D81" s="152"/>
      <c r="E81" s="152"/>
      <c r="F81" s="89" t="s">
        <v>50</v>
      </c>
      <c r="G81" s="105"/>
      <c r="H81" s="89" t="s">
        <v>50</v>
      </c>
    </row>
    <row r="82" spans="1:8" ht="43.5" x14ac:dyDescent="0.25">
      <c r="A82" s="3">
        <v>69</v>
      </c>
      <c r="B82" s="78" t="s">
        <v>57</v>
      </c>
      <c r="C82" s="78" t="s">
        <v>51</v>
      </c>
      <c r="D82" s="91" t="s">
        <v>52</v>
      </c>
      <c r="E82" s="91"/>
      <c r="F82" s="77" t="s">
        <v>212</v>
      </c>
      <c r="G82" s="107"/>
      <c r="H82" s="106"/>
    </row>
    <row r="83" spans="1:8" ht="43.5" x14ac:dyDescent="0.25">
      <c r="A83" s="3">
        <v>71</v>
      </c>
      <c r="B83" s="106"/>
      <c r="C83" s="106"/>
      <c r="D83" s="102" t="s">
        <v>84</v>
      </c>
      <c r="E83" s="102" t="s">
        <v>85</v>
      </c>
      <c r="F83" s="77" t="s">
        <v>212</v>
      </c>
      <c r="G83" s="107"/>
      <c r="H83" s="106"/>
    </row>
    <row r="84" spans="1:8" ht="29" x14ac:dyDescent="0.25">
      <c r="A84" s="3">
        <v>72</v>
      </c>
      <c r="B84" s="106"/>
      <c r="C84" s="106"/>
      <c r="D84" s="102" t="s">
        <v>183</v>
      </c>
      <c r="E84" s="102" t="s">
        <v>184</v>
      </c>
      <c r="F84" s="77" t="s">
        <v>212</v>
      </c>
      <c r="G84" s="107"/>
      <c r="H84" s="106"/>
    </row>
    <row r="85" spans="1:8" ht="14.5" x14ac:dyDescent="0.25">
      <c r="A85" s="3">
        <v>73</v>
      </c>
      <c r="B85" s="106"/>
      <c r="C85" s="106"/>
      <c r="D85" s="102" t="s">
        <v>180</v>
      </c>
      <c r="E85" s="102" t="s">
        <v>86</v>
      </c>
      <c r="F85" s="77" t="s">
        <v>212</v>
      </c>
      <c r="G85" s="107"/>
      <c r="H85" s="106"/>
    </row>
    <row r="86" spans="1:8" ht="14.5" x14ac:dyDescent="0.25">
      <c r="A86" s="3">
        <v>74</v>
      </c>
      <c r="B86" s="106"/>
      <c r="C86" s="106"/>
      <c r="D86" s="102" t="s">
        <v>181</v>
      </c>
      <c r="E86" s="102" t="s">
        <v>182</v>
      </c>
      <c r="F86" s="77" t="s">
        <v>212</v>
      </c>
      <c r="G86" s="107"/>
      <c r="H86" s="106"/>
    </row>
    <row r="87" spans="1:8" ht="29" x14ac:dyDescent="0.25">
      <c r="A87" s="3">
        <v>75</v>
      </c>
      <c r="B87" s="106"/>
      <c r="C87" s="106"/>
      <c r="D87" s="102" t="s">
        <v>185</v>
      </c>
      <c r="E87" s="102" t="s">
        <v>169</v>
      </c>
      <c r="F87" s="77" t="s">
        <v>212</v>
      </c>
      <c r="G87" s="107"/>
      <c r="H87" s="106"/>
    </row>
    <row r="88" spans="1:8" ht="43.5" x14ac:dyDescent="0.25">
      <c r="A88" s="3">
        <v>76</v>
      </c>
      <c r="B88" s="106"/>
      <c r="C88" s="106"/>
      <c r="D88" s="102" t="s">
        <v>186</v>
      </c>
      <c r="E88" s="102" t="s">
        <v>187</v>
      </c>
      <c r="F88" s="77" t="s">
        <v>212</v>
      </c>
      <c r="G88" s="107"/>
      <c r="H88" s="106"/>
    </row>
    <row r="89" spans="1:8" ht="29" x14ac:dyDescent="0.25">
      <c r="A89" s="3">
        <v>77</v>
      </c>
      <c r="B89" s="106"/>
      <c r="C89" s="106"/>
      <c r="D89" s="102" t="s">
        <v>188</v>
      </c>
      <c r="E89" s="102" t="s">
        <v>189</v>
      </c>
      <c r="F89" s="77" t="s">
        <v>212</v>
      </c>
      <c r="G89" s="107"/>
      <c r="H89" s="106"/>
    </row>
    <row r="90" spans="1:8" ht="29" x14ac:dyDescent="0.25">
      <c r="A90" s="3">
        <v>78</v>
      </c>
      <c r="B90" s="106"/>
      <c r="C90" s="106"/>
      <c r="D90" s="102" t="s">
        <v>190</v>
      </c>
      <c r="E90" s="102" t="s">
        <v>191</v>
      </c>
      <c r="F90" s="77" t="s">
        <v>212</v>
      </c>
      <c r="G90" s="107"/>
      <c r="H90" s="106"/>
    </row>
    <row r="91" spans="1:8" ht="43.5" x14ac:dyDescent="0.25">
      <c r="A91" s="3">
        <v>79</v>
      </c>
      <c r="B91" s="106"/>
      <c r="C91" s="106"/>
      <c r="D91" s="102" t="s">
        <v>192</v>
      </c>
      <c r="E91" s="102" t="s">
        <v>193</v>
      </c>
      <c r="F91" s="77" t="s">
        <v>212</v>
      </c>
      <c r="G91" s="107"/>
      <c r="H91" s="106"/>
    </row>
    <row r="92" spans="1:8" ht="29" x14ac:dyDescent="0.25">
      <c r="A92" s="3">
        <v>80</v>
      </c>
      <c r="B92" s="106"/>
      <c r="C92" s="106"/>
      <c r="D92" s="102" t="s">
        <v>194</v>
      </c>
      <c r="E92" s="102" t="s">
        <v>195</v>
      </c>
      <c r="F92" s="77" t="s">
        <v>212</v>
      </c>
      <c r="G92" s="107"/>
      <c r="H92" s="106"/>
    </row>
    <row r="93" spans="1:8" ht="29" x14ac:dyDescent="0.25">
      <c r="A93" s="3">
        <v>81</v>
      </c>
      <c r="B93" s="106"/>
      <c r="C93" s="106"/>
      <c r="D93" s="102" t="s">
        <v>196</v>
      </c>
      <c r="E93" s="102" t="s">
        <v>197</v>
      </c>
      <c r="F93" s="77" t="s">
        <v>212</v>
      </c>
      <c r="G93" s="107"/>
      <c r="H93" s="106"/>
    </row>
    <row r="94" spans="1:8" ht="29" x14ac:dyDescent="0.25">
      <c r="A94" s="3">
        <v>82</v>
      </c>
      <c r="B94" s="106"/>
      <c r="C94" s="106"/>
      <c r="D94" s="102" t="s">
        <v>198</v>
      </c>
      <c r="E94" s="102" t="s">
        <v>199</v>
      </c>
      <c r="F94" s="77" t="s">
        <v>212</v>
      </c>
      <c r="G94" s="107"/>
      <c r="H94" s="106"/>
    </row>
    <row r="95" spans="1:8" ht="101.5" x14ac:dyDescent="0.25">
      <c r="A95" s="3">
        <v>83</v>
      </c>
      <c r="B95" s="106"/>
      <c r="C95" s="106"/>
      <c r="D95" s="102" t="s">
        <v>200</v>
      </c>
      <c r="E95" s="102" t="s">
        <v>98</v>
      </c>
      <c r="F95" s="77" t="s">
        <v>212</v>
      </c>
      <c r="G95" s="107"/>
      <c r="H95" s="106"/>
    </row>
    <row r="96" spans="1:8" ht="29" x14ac:dyDescent="0.25">
      <c r="A96" s="3">
        <v>84</v>
      </c>
      <c r="B96" s="106"/>
      <c r="C96" s="106"/>
      <c r="D96" s="102" t="s">
        <v>201</v>
      </c>
      <c r="E96" s="102" t="s">
        <v>197</v>
      </c>
      <c r="F96" s="77" t="s">
        <v>212</v>
      </c>
      <c r="G96" s="107"/>
      <c r="H96" s="106"/>
    </row>
    <row r="97" spans="1:8" ht="29" x14ac:dyDescent="0.25">
      <c r="A97" s="3">
        <v>85</v>
      </c>
      <c r="B97" s="106"/>
      <c r="C97" s="106"/>
      <c r="D97" s="102" t="s">
        <v>202</v>
      </c>
      <c r="E97" s="108" t="s">
        <v>203</v>
      </c>
      <c r="F97" s="77" t="s">
        <v>212</v>
      </c>
      <c r="G97" s="107"/>
      <c r="H97" s="106"/>
    </row>
    <row r="98" spans="1:8" ht="43.5" x14ac:dyDescent="0.25">
      <c r="A98" s="3">
        <v>86</v>
      </c>
      <c r="B98" s="106"/>
      <c r="C98" s="106"/>
      <c r="D98" s="102" t="s">
        <v>208</v>
      </c>
      <c r="E98" s="108" t="s">
        <v>204</v>
      </c>
      <c r="F98" s="77" t="s">
        <v>212</v>
      </c>
      <c r="G98" s="107"/>
      <c r="H98" s="106"/>
    </row>
    <row r="99" spans="1:8" ht="87" x14ac:dyDescent="0.25">
      <c r="A99" s="3">
        <v>87</v>
      </c>
      <c r="B99" s="106"/>
      <c r="C99" s="106"/>
      <c r="D99" s="102" t="s">
        <v>206</v>
      </c>
      <c r="E99" s="108" t="s">
        <v>205</v>
      </c>
      <c r="F99" s="77" t="s">
        <v>212</v>
      </c>
      <c r="G99" s="107"/>
      <c r="H99" s="106"/>
    </row>
    <row r="100" spans="1:8" ht="72.5" x14ac:dyDescent="0.25">
      <c r="A100" s="3">
        <v>88</v>
      </c>
      <c r="B100" s="106"/>
      <c r="C100" s="106"/>
      <c r="D100" s="102" t="s">
        <v>209</v>
      </c>
      <c r="E100" s="108" t="s">
        <v>160</v>
      </c>
      <c r="F100" s="77" t="s">
        <v>212</v>
      </c>
      <c r="G100" s="107"/>
      <c r="H100" s="106"/>
    </row>
    <row r="101" spans="1:8" ht="58" x14ac:dyDescent="0.25">
      <c r="A101" s="3">
        <v>89</v>
      </c>
      <c r="B101" s="106"/>
      <c r="C101" s="106"/>
      <c r="D101" s="102" t="s">
        <v>207</v>
      </c>
      <c r="E101" s="73" t="s">
        <v>210</v>
      </c>
      <c r="F101" s="77" t="s">
        <v>212</v>
      </c>
      <c r="G101" s="107"/>
      <c r="H101" s="106"/>
    </row>
    <row r="102" spans="1:8" ht="87" x14ac:dyDescent="0.25">
      <c r="A102" s="3">
        <v>90</v>
      </c>
      <c r="B102" s="106"/>
      <c r="C102" s="106"/>
      <c r="D102" s="102" t="s">
        <v>211</v>
      </c>
      <c r="E102" s="73" t="s">
        <v>116</v>
      </c>
      <c r="F102" s="77" t="s">
        <v>212</v>
      </c>
      <c r="G102" s="107"/>
      <c r="H102" s="106"/>
    </row>
    <row r="103" spans="1:8" s="88" customFormat="1" ht="14.5" x14ac:dyDescent="0.25">
      <c r="A103" s="104"/>
      <c r="B103" s="152" t="s">
        <v>213</v>
      </c>
      <c r="C103" s="152"/>
      <c r="D103" s="152"/>
      <c r="E103" s="152"/>
      <c r="F103" s="89" t="s">
        <v>50</v>
      </c>
      <c r="G103" s="105"/>
      <c r="H103" s="89" t="s">
        <v>50</v>
      </c>
    </row>
    <row r="104" spans="1:8" ht="43.5" x14ac:dyDescent="0.25">
      <c r="A104" s="3">
        <v>91</v>
      </c>
      <c r="B104" s="78" t="s">
        <v>57</v>
      </c>
      <c r="C104" s="78" t="s">
        <v>51</v>
      </c>
      <c r="D104" s="91" t="s">
        <v>52</v>
      </c>
      <c r="E104" s="91"/>
      <c r="F104" s="77" t="s">
        <v>212</v>
      </c>
      <c r="G104" s="107"/>
      <c r="H104" s="106"/>
    </row>
    <row r="105" spans="1:8" ht="43.5" x14ac:dyDescent="0.25">
      <c r="A105" s="3">
        <v>93</v>
      </c>
      <c r="B105" s="106"/>
      <c r="C105" s="106"/>
      <c r="D105" s="102" t="s">
        <v>84</v>
      </c>
      <c r="E105" s="102" t="s">
        <v>85</v>
      </c>
      <c r="F105" s="77" t="s">
        <v>212</v>
      </c>
      <c r="G105" s="107"/>
      <c r="H105" s="106"/>
    </row>
    <row r="106" spans="1:8" ht="29" x14ac:dyDescent="0.25">
      <c r="A106" s="3">
        <v>94</v>
      </c>
      <c r="B106" s="106"/>
      <c r="C106" s="106"/>
      <c r="D106" s="102" t="s">
        <v>166</v>
      </c>
      <c r="E106" s="102" t="s">
        <v>167</v>
      </c>
      <c r="F106" s="77" t="s">
        <v>212</v>
      </c>
      <c r="G106" s="107"/>
      <c r="H106" s="106"/>
    </row>
    <row r="107" spans="1:8" ht="29" x14ac:dyDescent="0.25">
      <c r="A107" s="3">
        <v>95</v>
      </c>
      <c r="B107" s="106"/>
      <c r="C107" s="106"/>
      <c r="D107" s="102" t="s">
        <v>168</v>
      </c>
      <c r="E107" s="102" t="s">
        <v>169</v>
      </c>
      <c r="F107" s="77" t="s">
        <v>212</v>
      </c>
      <c r="G107" s="107"/>
      <c r="H107" s="106"/>
    </row>
    <row r="108" spans="1:8" ht="29" x14ac:dyDescent="0.25">
      <c r="A108" s="3">
        <v>96</v>
      </c>
      <c r="B108" s="106"/>
      <c r="C108" s="106"/>
      <c r="D108" s="102" t="s">
        <v>170</v>
      </c>
      <c r="E108" s="102" t="s">
        <v>171</v>
      </c>
      <c r="F108" s="77" t="s">
        <v>212</v>
      </c>
      <c r="G108" s="107"/>
      <c r="H108" s="106"/>
    </row>
    <row r="109" spans="1:8" ht="29" x14ac:dyDescent="0.25">
      <c r="A109" s="3">
        <v>97</v>
      </c>
      <c r="B109" s="106"/>
      <c r="C109" s="106"/>
      <c r="D109" s="102" t="s">
        <v>172</v>
      </c>
      <c r="E109" s="102" t="s">
        <v>167</v>
      </c>
      <c r="F109" s="77" t="s">
        <v>212</v>
      </c>
      <c r="G109" s="107"/>
      <c r="H109" s="106"/>
    </row>
    <row r="110" spans="1:8" ht="14.5" x14ac:dyDescent="0.25">
      <c r="A110" s="3">
        <v>98</v>
      </c>
      <c r="B110" s="106"/>
      <c r="C110" s="106"/>
      <c r="D110" s="102" t="s">
        <v>233</v>
      </c>
      <c r="E110" s="102" t="s">
        <v>173</v>
      </c>
      <c r="F110" s="77" t="s">
        <v>212</v>
      </c>
      <c r="G110" s="107"/>
      <c r="H110" s="106"/>
    </row>
    <row r="111" spans="1:8" ht="14.5" x14ac:dyDescent="0.25">
      <c r="A111" s="3">
        <v>99</v>
      </c>
      <c r="B111" s="106"/>
      <c r="C111" s="106"/>
      <c r="D111" s="102" t="s">
        <v>174</v>
      </c>
      <c r="E111" s="102" t="s">
        <v>175</v>
      </c>
      <c r="F111" s="77" t="s">
        <v>212</v>
      </c>
      <c r="G111" s="107"/>
      <c r="H111" s="106"/>
    </row>
    <row r="112" spans="1:8" ht="29" x14ac:dyDescent="0.25">
      <c r="A112" s="3">
        <v>100</v>
      </c>
      <c r="B112" s="106"/>
      <c r="C112" s="106"/>
      <c r="D112" s="102" t="s">
        <v>176</v>
      </c>
      <c r="E112" s="102" t="s">
        <v>169</v>
      </c>
      <c r="F112" s="77" t="s">
        <v>212</v>
      </c>
      <c r="G112" s="107"/>
      <c r="H112" s="106"/>
    </row>
    <row r="113" spans="1:8" ht="29" x14ac:dyDescent="0.25">
      <c r="A113" s="3">
        <v>101</v>
      </c>
      <c r="B113" s="106"/>
      <c r="C113" s="106"/>
      <c r="D113" s="102" t="s">
        <v>177</v>
      </c>
      <c r="E113" s="102" t="s">
        <v>178</v>
      </c>
      <c r="F113" s="77" t="s">
        <v>212</v>
      </c>
      <c r="G113" s="107"/>
      <c r="H113" s="106"/>
    </row>
  </sheetData>
  <mergeCells count="15">
    <mergeCell ref="B103:E103"/>
    <mergeCell ref="B10:E10"/>
    <mergeCell ref="F8:G8"/>
    <mergeCell ref="A2:B2"/>
    <mergeCell ref="A3:B3"/>
    <mergeCell ref="D3:E3"/>
    <mergeCell ref="A4:B4"/>
    <mergeCell ref="D4:D5"/>
    <mergeCell ref="E4:E5"/>
    <mergeCell ref="A5:B5"/>
    <mergeCell ref="B23:E23"/>
    <mergeCell ref="B31:E31"/>
    <mergeCell ref="B37:E37"/>
    <mergeCell ref="B49:E49"/>
    <mergeCell ref="B81:E81"/>
  </mergeCells>
  <conditionalFormatting sqref="F50:F80 F31:F48 F11:F29">
    <cfRule type="cellIs" dxfId="7" priority="77" stopIfTrue="1" operator="equal">
      <formula>"KO"</formula>
    </cfRule>
    <cfRule type="cellIs" dxfId="6" priority="78" stopIfTrue="1" operator="equal">
      <formula>"OK"</formula>
    </cfRule>
  </conditionalFormatting>
  <conditionalFormatting sqref="F9">
    <cfRule type="cellIs" dxfId="5" priority="13" stopIfTrue="1" operator="equal">
      <formula>"Failed"</formula>
    </cfRule>
    <cfRule type="cellIs" dxfId="4" priority="14" stopIfTrue="1" operator="equal">
      <formula>"Passed"</formula>
    </cfRule>
  </conditionalFormatting>
  <conditionalFormatting sqref="F82:F102">
    <cfRule type="cellIs" dxfId="3" priority="3" stopIfTrue="1" operator="equal">
      <formula>"KO"</formula>
    </cfRule>
    <cfRule type="cellIs" dxfId="2" priority="4" stopIfTrue="1" operator="equal">
      <formula>"OK"</formula>
    </cfRule>
  </conditionalFormatting>
  <conditionalFormatting sqref="F104:F113">
    <cfRule type="cellIs" dxfId="1" priority="1" stopIfTrue="1" operator="equal">
      <formula>"KO"</formula>
    </cfRule>
    <cfRule type="cellIs" dxfId="0" priority="2" stopIfTrue="1" operator="equal">
      <formula>"OK"</formula>
    </cfRule>
  </conditionalFormatting>
  <dataValidations count="3">
    <dataValidation type="list" allowBlank="1" showInputMessage="1" showErrorMessage="1" sqref="G10 G23 G31:G32 G37 G49 G81 G103" xr:uid="{00000000-0002-0000-0200-000000000000}">
      <formula1>#REF!</formula1>
    </dataValidation>
    <dataValidation type="list" allowBlank="1" showInputMessage="1" showErrorMessage="1" sqref="F82:F102 F104:F113 F11:F29 F31:F80" xr:uid="{00000000-0002-0000-0200-000001000000}">
      <formula1>"Passed,Failed"</formula1>
    </dataValidation>
    <dataValidation type="list" allowBlank="1" showInputMessage="1" showErrorMessage="1" sqref="G24:G29 G11:G22" xr:uid="{00000000-0002-0000-0200-000002000000}">
      <formula1>"Critical,High,Medium,Low"</formula1>
    </dataValidation>
  </dataValidations>
  <printOptions horizontalCentered="1"/>
  <pageMargins left="0.5" right="0.5" top="0.6" bottom="0.6" header="0.3" footer="0.3"/>
  <pageSetup paperSize="9" scale="91" fitToHeight="10" orientation="landscape" r:id="rId1"/>
  <headerFooter alignWithMargins="0">
    <oddFooter>&amp;L&amp;8© Accenture 2014 All rights reserved.&amp;C&amp;8&amp;P / &amp;N&amp;R&amp;8Print Date: &amp;D</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rgb="FFFF0000"/>
  </sheetPr>
  <dimension ref="A1:B12"/>
  <sheetViews>
    <sheetView workbookViewId="0">
      <selection activeCell="B22" sqref="B22"/>
    </sheetView>
  </sheetViews>
  <sheetFormatPr defaultRowHeight="12.5" x14ac:dyDescent="0.25"/>
  <cols>
    <col min="1" max="1" width="27.26953125" customWidth="1"/>
    <col min="2" max="2" width="35.1796875" customWidth="1"/>
    <col min="3" max="3" width="33.54296875" customWidth="1"/>
  </cols>
  <sheetData>
    <row r="1" spans="1:2" ht="13" x14ac:dyDescent="0.3">
      <c r="A1" s="92" t="s">
        <v>60</v>
      </c>
      <c r="B1" s="93" t="s">
        <v>1</v>
      </c>
    </row>
    <row r="2" spans="1:2" ht="13" x14ac:dyDescent="0.3">
      <c r="A2" s="94" t="s">
        <v>61</v>
      </c>
      <c r="B2" s="95" t="str">
        <f>PPRD</f>
        <v>FEB, 2021</v>
      </c>
    </row>
    <row r="3" spans="1:2" ht="13" x14ac:dyDescent="0.3">
      <c r="A3" s="94" t="s">
        <v>62</v>
      </c>
      <c r="B3" s="96" t="str">
        <f>CRN</f>
        <v>CHG213437</v>
      </c>
    </row>
    <row r="4" spans="1:2" ht="13" x14ac:dyDescent="0.3">
      <c r="A4" s="94" t="s">
        <v>63</v>
      </c>
      <c r="B4" s="96" t="str">
        <f>MA</f>
        <v>ITA, CSY, ESN</v>
      </c>
    </row>
    <row r="5" spans="1:2" ht="13" x14ac:dyDescent="0.3">
      <c r="A5" s="94" t="s">
        <v>64</v>
      </c>
      <c r="B5" s="96" t="str">
        <f>Area</f>
        <v>Sales</v>
      </c>
    </row>
    <row r="6" spans="1:2" ht="13" x14ac:dyDescent="0.3">
      <c r="A6" s="94" t="s">
        <v>65</v>
      </c>
      <c r="B6" s="96" t="s">
        <v>32</v>
      </c>
    </row>
    <row r="7" spans="1:2" ht="13" x14ac:dyDescent="0.3">
      <c r="A7" s="94" t="s">
        <v>66</v>
      </c>
      <c r="B7" s="97">
        <f ca="1">TODAY()</f>
        <v>44519</v>
      </c>
    </row>
    <row r="8" spans="1:2" ht="13" x14ac:dyDescent="0.3">
      <c r="A8" s="94" t="s">
        <v>67</v>
      </c>
      <c r="B8" s="98">
        <f>DReviewed</f>
        <v>0</v>
      </c>
    </row>
    <row r="9" spans="1:2" ht="13" x14ac:dyDescent="0.3">
      <c r="A9" s="94" t="s">
        <v>68</v>
      </c>
      <c r="B9" s="96">
        <f>TestedBy</f>
        <v>0</v>
      </c>
    </row>
    <row r="10" spans="1:2" ht="13" x14ac:dyDescent="0.3">
      <c r="A10" s="94" t="s">
        <v>69</v>
      </c>
      <c r="B10" s="96">
        <f>ReviewedBy</f>
        <v>0</v>
      </c>
    </row>
    <row r="11" spans="1:2" x14ac:dyDescent="0.25">
      <c r="B11" s="99"/>
    </row>
    <row r="12" spans="1:2" ht="13" x14ac:dyDescent="0.3">
      <c r="A12" s="94" t="s">
        <v>70</v>
      </c>
      <c r="B12" s="100" t="s">
        <v>45</v>
      </c>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
  <sheetViews>
    <sheetView workbookViewId="0"/>
  </sheetViews>
  <sheetFormatPr defaultColWidth="9.1796875" defaultRowHeight="14.5" x14ac:dyDescent="0.35"/>
  <cols>
    <col min="1" max="16384" width="9.1796875" style="53"/>
  </cols>
  <sheetData>
    <row r="1" spans="1:1" x14ac:dyDescent="0.35">
      <c r="A1" s="54" t="s">
        <v>53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29</vt:i4>
      </vt:variant>
    </vt:vector>
  </HeadingPairs>
  <TitlesOfParts>
    <vt:vector size="34" baseType="lpstr">
      <vt:lpstr>Cover</vt:lpstr>
      <vt:lpstr>Version Control</vt:lpstr>
      <vt:lpstr>Test Cycle 1</vt:lpstr>
      <vt:lpstr>AppConfig</vt:lpstr>
      <vt:lpstr>SALES SCREENSHOT</vt:lpstr>
      <vt:lpstr>AppArea</vt:lpstr>
      <vt:lpstr>AppCRN</vt:lpstr>
      <vt:lpstr>AppDReviewed</vt:lpstr>
      <vt:lpstr>AppDTested</vt:lpstr>
      <vt:lpstr>AppMA</vt:lpstr>
      <vt:lpstr>AppPPRD</vt:lpstr>
      <vt:lpstr>AppReviewedBy</vt:lpstr>
      <vt:lpstr>AppTestedBy</vt:lpstr>
      <vt:lpstr>Area</vt:lpstr>
      <vt:lpstr>CRN</vt:lpstr>
      <vt:lpstr>dDeveloper</vt:lpstr>
      <vt:lpstr>dDeveloperFirstName</vt:lpstr>
      <vt:lpstr>dFunctional</vt:lpstr>
      <vt:lpstr>dObjectReviewed</vt:lpstr>
      <vt:lpstr>dPeerReviewerFirstName</vt:lpstr>
      <vt:lpstr>dReleaseDependent</vt:lpstr>
      <vt:lpstr>DReviewed</vt:lpstr>
      <vt:lpstr>dTestCycle</vt:lpstr>
      <vt:lpstr>DTested</vt:lpstr>
      <vt:lpstr>dTMA</vt:lpstr>
      <vt:lpstr>Entity1</vt:lpstr>
      <vt:lpstr>MA</vt:lpstr>
      <vt:lpstr>PPRD</vt:lpstr>
      <vt:lpstr>Cover!Print_Area</vt:lpstr>
      <vt:lpstr>'Test Cycle 1'!Print_Area</vt:lpstr>
      <vt:lpstr>'Test Cycle 1'!Print_Titles</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Ramakrishnan Krishna, Nithin</cp:lastModifiedBy>
  <cp:lastPrinted>2013-10-17T06:35:14Z</cp:lastPrinted>
  <dcterms:created xsi:type="dcterms:W3CDTF">2006-03-30T08:28:02Z</dcterms:created>
  <dcterms:modified xsi:type="dcterms:W3CDTF">2021-11-19T08:46:13Z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