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nithin.a.krishna\Desktop\JTI\October Fest\Contracts and Conract Terms\"/>
    </mc:Choice>
  </mc:AlternateContent>
  <xr:revisionPtr revIDLastSave="0" documentId="13_ncr:1_{549034E9-326E-460D-BCD0-D6C80E11FDFD}" xr6:coauthVersionLast="46" xr6:coauthVersionMax="46" xr10:uidLastSave="{00000000-0000-0000-0000-000000000000}"/>
  <bookViews>
    <workbookView xWindow="-110" yWindow="-110" windowWidth="19420" windowHeight="10420" tabRatio="932" xr2:uid="{00000000-000D-0000-FFFF-FFFF00000000}"/>
  </bookViews>
  <sheets>
    <sheet name="Title" sheetId="1" r:id="rId1"/>
    <sheet name="Version Control" sheetId="2" r:id="rId2"/>
    <sheet name="Overview" sheetId="3" r:id="rId3"/>
    <sheet name="DTD Review Crosscheck" sheetId="101" r:id="rId4"/>
    <sheet name="1. View &lt;View Name&gt;" sheetId="114" r:id="rId5"/>
    <sheet name="2. LA &lt;List Applet&gt;" sheetId="112" r:id="rId6"/>
    <sheet name="3. FA" sheetId="108" r:id="rId7"/>
    <sheet name="4. PA &lt;Pick Applet&gt;" sheetId="123" r:id="rId8"/>
    <sheet name="5. BO &lt;BO Name&gt;" sheetId="117" r:id="rId9"/>
    <sheet name="6. BC" sheetId="107" r:id="rId10"/>
    <sheet name="7. Link" sheetId="118" r:id="rId11"/>
    <sheet name="8. PickList &lt;Pick List Name&gt;" sheetId="121" r:id="rId12"/>
    <sheet name="9. Symbolic String" sheetId="120" r:id="rId13"/>
    <sheet name="10. Table Column Creation" sheetId="106" r:id="rId14"/>
    <sheet name="11.1 Script&lt;BC&gt;" sheetId="109" r:id="rId15"/>
    <sheet name="11.2 Script&lt;BC&gt;" sheetId="110" r:id="rId16"/>
    <sheet name="11.3 Script&lt;BC&gt;" sheetId="111" r:id="rId17"/>
    <sheet name="11.4 Script&lt;Applet&gt;" sheetId="119" r:id="rId18"/>
    <sheet name="11.5 Script&lt;Applet&gt;" sheetId="124" r:id="rId19"/>
    <sheet name="11.5. Script&lt;BS&gt;" sheetId="115" r:id="rId20"/>
    <sheet name="12. Integration Object" sheetId="116" r:id="rId21"/>
    <sheet name="13. Message Category" sheetId="122" r:id="rId22"/>
    <sheet name="14. PR Tasks" sheetId="113" r:id="rId23"/>
  </sheets>
  <definedNames>
    <definedName name="_xlnm._FilterDatabase" localSheetId="3" hidden="1">'DTD Review Crosscheck'!$A$4:$E$44</definedName>
    <definedName name="_xlnm.Print_Area" localSheetId="1">'Version Control'!$A$1:$H$6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 i="2" l="1"/>
  <c r="B16" i="2" s="1"/>
  <c r="B38" i="1"/>
</calcChain>
</file>

<file path=xl/sharedStrings.xml><?xml version="1.0" encoding="utf-8"?>
<sst xmlns="http://schemas.openxmlformats.org/spreadsheetml/2006/main" count="2027" uniqueCount="702">
  <si>
    <t>Display Name</t>
  </si>
  <si>
    <t>Description</t>
  </si>
  <si>
    <t>HTML Type</t>
  </si>
  <si>
    <t>Pick Applet</t>
  </si>
  <si>
    <t>MVG Applet</t>
  </si>
  <si>
    <t>Field</t>
  </si>
  <si>
    <t>Trade Marketing Excellence Programme</t>
  </si>
  <si>
    <t>Date:</t>
  </si>
  <si>
    <t>Status:</t>
  </si>
  <si>
    <t>Reviewer Control Section</t>
  </si>
  <si>
    <t>Name</t>
  </si>
  <si>
    <t>First Name</t>
  </si>
  <si>
    <t>Function</t>
  </si>
  <si>
    <t>Document Version</t>
  </si>
  <si>
    <t>Date</t>
  </si>
  <si>
    <t xml:space="preserve">Draft </t>
  </si>
  <si>
    <t>Functional Design</t>
  </si>
  <si>
    <t>Content</t>
  </si>
  <si>
    <t>Worksheet</t>
  </si>
  <si>
    <t>Ownership</t>
  </si>
  <si>
    <t>Area</t>
  </si>
  <si>
    <t>Purpose</t>
  </si>
  <si>
    <r>
      <t xml:space="preserve">Functional design of </t>
    </r>
    <r>
      <rPr>
        <u/>
        <sz val="10"/>
        <rFont val="Arial"/>
        <family val="2"/>
      </rPr>
      <t>one</t>
    </r>
    <r>
      <rPr>
        <sz val="10"/>
        <rFont val="Arial"/>
        <family val="2"/>
      </rPr>
      <t xml:space="preserve"> view
Multiplied with the number of views</t>
    </r>
  </si>
  <si>
    <t>Functional design and configuration of views</t>
  </si>
  <si>
    <t>Read Only</t>
  </si>
  <si>
    <t>View</t>
  </si>
  <si>
    <t>Sequence</t>
  </si>
  <si>
    <t>Visibility Type</t>
  </si>
  <si>
    <t>View Design</t>
  </si>
  <si>
    <t>Comments</t>
  </si>
  <si>
    <t>Applet</t>
  </si>
  <si>
    <t>Caption</t>
  </si>
  <si>
    <t>Text Alignment</t>
  </si>
  <si>
    <t>Field Name</t>
  </si>
  <si>
    <t>List Applet Design</t>
  </si>
  <si>
    <t>Form Applet Design</t>
  </si>
  <si>
    <t>Business Object</t>
  </si>
  <si>
    <t>Thread Applet</t>
  </si>
  <si>
    <t>Thread Field</t>
  </si>
  <si>
    <t>Thread Title</t>
  </si>
  <si>
    <r>
      <t>Overview of all list applets</t>
    </r>
    <r>
      <rPr>
        <sz val="10"/>
        <rFont val="Arial"/>
        <family val="2"/>
      </rPr>
      <t xml:space="preserve">
Multiplied with the number of applets
</t>
    </r>
    <r>
      <rPr>
        <i/>
        <sz val="10"/>
        <color indexed="12"/>
        <rFont val="Arial"/>
        <family val="2"/>
      </rPr>
      <t>Applets are parts of a view</t>
    </r>
  </si>
  <si>
    <t>Functional design and configuration of list applets</t>
  </si>
  <si>
    <t>Functional design and configuration of form applets</t>
  </si>
  <si>
    <r>
      <t xml:space="preserve">Overview of all form applets
Multiplied with the number of applets
</t>
    </r>
    <r>
      <rPr>
        <i/>
        <sz val="10"/>
        <color indexed="12"/>
        <rFont val="Arial"/>
        <family val="2"/>
      </rPr>
      <t>Applets are parts of a view</t>
    </r>
  </si>
  <si>
    <t>Picklist</t>
  </si>
  <si>
    <t>Required</t>
  </si>
  <si>
    <t>Functional Design of all PickApplet
Multiplied with the Number of Applets</t>
  </si>
  <si>
    <t>Functional design and configuration of pickapplets</t>
  </si>
  <si>
    <t>Functional Design of all MVG Applets Multiplied with the Number of Applets</t>
  </si>
  <si>
    <t>Functional design and configuration of MVG Applets</t>
  </si>
  <si>
    <t>Join</t>
  </si>
  <si>
    <r>
      <t xml:space="preserve">Overview of all tree applets.
Multiplied with the number of applets.
</t>
    </r>
    <r>
      <rPr>
        <i/>
        <sz val="10"/>
        <color indexed="12"/>
        <rFont val="Arial"/>
        <family val="2"/>
      </rPr>
      <t>Applets are parts of a view.</t>
    </r>
  </si>
  <si>
    <t>Functional design and configuration of tree applets</t>
  </si>
  <si>
    <r>
      <t xml:space="preserve">Overview of all chart Applets.
Multiplied with the number of applets.
</t>
    </r>
    <r>
      <rPr>
        <i/>
        <sz val="10"/>
        <color indexed="48"/>
        <rFont val="Arial"/>
        <family val="2"/>
      </rPr>
      <t>Applets are parts of a view.</t>
    </r>
  </si>
  <si>
    <t>Functional Design and configuration of chart applets</t>
  </si>
  <si>
    <t>Column</t>
  </si>
  <si>
    <t>Type</t>
  </si>
  <si>
    <t>Script Design</t>
  </si>
  <si>
    <t>Script</t>
  </si>
  <si>
    <t>Event Name:</t>
  </si>
  <si>
    <t>Business Component</t>
  </si>
  <si>
    <t>Description:</t>
  </si>
  <si>
    <t>Scripting</t>
  </si>
  <si>
    <t>Estimation</t>
  </si>
  <si>
    <t>Mandays</t>
  </si>
  <si>
    <t>Dev/Configuration</t>
  </si>
  <si>
    <t>Peer Review</t>
  </si>
  <si>
    <t>Manday</t>
  </si>
  <si>
    <t>Calculated Value</t>
  </si>
  <si>
    <t>Calculated</t>
  </si>
  <si>
    <t>Currency Code Field</t>
  </si>
  <si>
    <t>Dest Field</t>
  </si>
  <si>
    <t>Exchange Date Field</t>
  </si>
  <si>
    <t>Force Active</t>
  </si>
  <si>
    <t>Immediate Post Changes</t>
  </si>
  <si>
    <t>Inactive</t>
  </si>
  <si>
    <t>Link Specification</t>
  </si>
  <si>
    <t>Multivalue Link</t>
  </si>
  <si>
    <t>Multivalued</t>
  </si>
  <si>
    <t>No Copy</t>
  </si>
  <si>
    <t>Post Default Value</t>
  </si>
  <si>
    <t>Predefault Value</t>
  </si>
  <si>
    <t>Precision</t>
  </si>
  <si>
    <t>Text Length</t>
  </si>
  <si>
    <t>Validation</t>
  </si>
  <si>
    <t>Business Component Design</t>
  </si>
  <si>
    <t>Owner Type</t>
  </si>
  <si>
    <t>Private Field</t>
  </si>
  <si>
    <t>Visibility Field</t>
  </si>
  <si>
    <t>Visibility MVField</t>
  </si>
  <si>
    <t>Visibility MVLink</t>
  </si>
  <si>
    <t>Bus Comp View Mode</t>
  </si>
  <si>
    <t>Fields</t>
  </si>
  <si>
    <t>Value</t>
  </si>
  <si>
    <t>Bus Comp User Prop</t>
  </si>
  <si>
    <t>Field User Prop</t>
  </si>
  <si>
    <t>Field Pick Map</t>
  </si>
  <si>
    <t>Constrain</t>
  </si>
  <si>
    <t>No Clear</t>
  </si>
  <si>
    <t>Picklist Field</t>
  </si>
  <si>
    <t>Table</t>
  </si>
  <si>
    <t>Alias</t>
  </si>
  <si>
    <t>Outer Join Flag</t>
  </si>
  <si>
    <t>Join Spec</t>
  </si>
  <si>
    <t>Destination Column</t>
  </si>
  <si>
    <t>Source Field</t>
  </si>
  <si>
    <t>Multi Value Link</t>
  </si>
  <si>
    <t>Auto Primary</t>
  </si>
  <si>
    <t>Check No Match</t>
  </si>
  <si>
    <t>Destination Business Component</t>
  </si>
  <si>
    <t>Destination Link</t>
  </si>
  <si>
    <t>No Associate</t>
  </si>
  <si>
    <t>No Delete</t>
  </si>
  <si>
    <t>No Insert</t>
  </si>
  <si>
    <t>No Update</t>
  </si>
  <si>
    <t>Popup Update Only</t>
  </si>
  <si>
    <t>Primary ID Field</t>
  </si>
  <si>
    <t>Type Field</t>
  </si>
  <si>
    <t>Type Value</t>
  </si>
  <si>
    <t>Use Primary Join</t>
  </si>
  <si>
    <t>TOTAL Estimation</t>
  </si>
  <si>
    <t>Menu Text</t>
  </si>
  <si>
    <t>Menu Text - String Reference</t>
  </si>
  <si>
    <t>Menu Text - String Override</t>
  </si>
  <si>
    <t>Field Name (Name of the field associated to the Pick Map)</t>
  </si>
  <si>
    <t>Join Alias</t>
  </si>
  <si>
    <t>1. Screens + Screen Views</t>
  </si>
  <si>
    <r>
      <t xml:space="preserve">Functional design of screens &amp; screen views in the Laptop application
</t>
    </r>
    <r>
      <rPr>
        <i/>
        <sz val="10"/>
        <color indexed="12"/>
        <rFont val="Arial"/>
        <family val="2"/>
      </rPr>
      <t>An application consists of several screens</t>
    </r>
  </si>
  <si>
    <t>Functional design and configuration of screens &amp; screen views</t>
  </si>
  <si>
    <t>2. Views</t>
  </si>
  <si>
    <t>3. List Applets</t>
  </si>
  <si>
    <t>4. Form Applets</t>
  </si>
  <si>
    <t>5. Tree Applets</t>
  </si>
  <si>
    <t>6. Chart Applets</t>
  </si>
  <si>
    <t>7. Pick Applets</t>
  </si>
  <si>
    <t>8. MVG Applets</t>
  </si>
  <si>
    <t>10. Business Component</t>
  </si>
  <si>
    <t>Functional Design of Business Component</t>
  </si>
  <si>
    <t>Functional design and configuration of Business Component</t>
  </si>
  <si>
    <t>Visibility Applet Type</t>
  </si>
  <si>
    <t>Visibility Applet</t>
  </si>
  <si>
    <t>Thread Title - String Reference</t>
  </si>
  <si>
    <t>View Web Template Item</t>
  </si>
  <si>
    <t>Item Identifier</t>
  </si>
  <si>
    <t>Applet Mode</t>
  </si>
  <si>
    <t>Title</t>
  </si>
  <si>
    <t>Title - String Reference</t>
  </si>
  <si>
    <t>Applet Toggle</t>
  </si>
  <si>
    <t>Auto Toggle Field</t>
  </si>
  <si>
    <t>Auto Toggle Value</t>
  </si>
  <si>
    <t>Applet User Prop</t>
  </si>
  <si>
    <t>Control</t>
  </si>
  <si>
    <t>Caption - String Reference</t>
  </si>
  <si>
    <t>Detail Applet</t>
  </si>
  <si>
    <t>Display Format</t>
  </si>
  <si>
    <t>HTML Bitmap</t>
  </si>
  <si>
    <t>HTML Disabled Bitmap</t>
  </si>
  <si>
    <t>HTML Display Mode</t>
  </si>
  <si>
    <t>HTML Icon Map</t>
  </si>
  <si>
    <t>HTML Only</t>
  </si>
  <si>
    <t>HTML Row Sensitive</t>
  </si>
  <si>
    <t>Method Invoked</t>
  </si>
  <si>
    <t>Runtime</t>
  </si>
  <si>
    <t>Show Pop-up</t>
  </si>
  <si>
    <t>Text Alignment - Language Override</t>
  </si>
  <si>
    <t>Visible</t>
  </si>
  <si>
    <t>Visible - Language Override</t>
  </si>
  <si>
    <t>Hyperlink Field</t>
  </si>
  <si>
    <t>Destination Field</t>
  </si>
  <si>
    <t>Drilldown Object</t>
  </si>
  <si>
    <t>Destination Drilldown Object</t>
  </si>
  <si>
    <t>Dynamic Drilldown Destination</t>
  </si>
  <si>
    <t>List Column</t>
  </si>
  <si>
    <t>Available</t>
  </si>
  <si>
    <t>Available - Language Override</t>
  </si>
  <si>
    <t>Display Name - String Reference</t>
  </si>
  <si>
    <t>HTML List Edit</t>
  </si>
  <si>
    <t>Total Required</t>
  </si>
  <si>
    <t>Show in List</t>
  </si>
  <si>
    <t>Show In List - Language Override</t>
  </si>
  <si>
    <t>Control Locale</t>
  </si>
  <si>
    <t>Language Code</t>
  </si>
  <si>
    <t>Control Name</t>
  </si>
  <si>
    <t>List Column Locale</t>
  </si>
  <si>
    <t>List Column Name</t>
  </si>
  <si>
    <t>ASI UAT</t>
  </si>
  <si>
    <t>CIS UAT</t>
  </si>
  <si>
    <t>RUS UAT</t>
  </si>
  <si>
    <t>LOV TYPE</t>
  </si>
  <si>
    <t>LIC</t>
  </si>
  <si>
    <t>Display Value</t>
  </si>
  <si>
    <t>Order</t>
  </si>
  <si>
    <t>Language</t>
  </si>
  <si>
    <t>Organization</t>
  </si>
  <si>
    <t>LOV</t>
  </si>
  <si>
    <t>Default</t>
  </si>
  <si>
    <t>&lt;End of File&gt;</t>
  </si>
  <si>
    <t>Active</t>
  </si>
  <si>
    <t>Status</t>
  </si>
  <si>
    <t>Business Service</t>
  </si>
  <si>
    <t>Data Type</t>
  </si>
  <si>
    <t>Integration Object</t>
  </si>
  <si>
    <t>Search Specification</t>
  </si>
  <si>
    <t>Post Release Task</t>
  </si>
  <si>
    <t>Visibility Auto All</t>
  </si>
  <si>
    <t>No Merge</t>
  </si>
  <si>
    <t>Sort Specification</t>
  </si>
  <si>
    <t>11. Link</t>
  </si>
  <si>
    <t>12. Pick List</t>
  </si>
  <si>
    <t>Functional Design of Link</t>
  </si>
  <si>
    <t>Functional design and configuration of Link</t>
  </si>
  <si>
    <t>Functional Design of Pick List</t>
  </si>
  <si>
    <t>Functional design and configuration of Pick List</t>
  </si>
  <si>
    <t>Table Design</t>
  </si>
  <si>
    <t>User Name</t>
  </si>
  <si>
    <t>Primary Key</t>
  </si>
  <si>
    <t>User Key Sequence</t>
  </si>
  <si>
    <t>Nullable</t>
  </si>
  <si>
    <t>Translate</t>
  </si>
  <si>
    <t>Translation Table Name</t>
  </si>
  <si>
    <t>Foreign Key Table</t>
  </si>
  <si>
    <t>Use Function Key</t>
  </si>
  <si>
    <t>Physical Type</t>
  </si>
  <si>
    <t>Length</t>
  </si>
  <si>
    <t>Scale</t>
  </si>
  <si>
    <t>LOV Type</t>
  </si>
  <si>
    <t>LOV Bounded</t>
  </si>
  <si>
    <t>Sequence Object</t>
  </si>
  <si>
    <t>Force Case</t>
  </si>
  <si>
    <t>Cascade Clear</t>
  </si>
  <si>
    <t>Primary Child Column</t>
  </si>
  <si>
    <t>Primary Inter Table</t>
  </si>
  <si>
    <t>Transaction Log Code</t>
  </si>
  <si>
    <t>Valid Condition</t>
  </si>
  <si>
    <t>Denormalization Path</t>
  </si>
  <si>
    <t>Primary Child Table</t>
  </si>
  <si>
    <t>Primary Child Join Column</t>
  </si>
  <si>
    <t>Primary Join Column</t>
  </si>
  <si>
    <t>EIM Processing Column Flag</t>
  </si>
  <si>
    <t>FK Column 1:M Rel Name</t>
  </si>
  <si>
    <t>FK Column M:1 Rel Name</t>
  </si>
  <si>
    <t>ASCII Only</t>
  </si>
  <si>
    <t>No Match Value</t>
  </si>
  <si>
    <t>System Field Mapping</t>
  </si>
  <si>
    <t>Symbolic String</t>
  </si>
  <si>
    <t>Column Table Creation</t>
  </si>
  <si>
    <t>Message Category</t>
  </si>
  <si>
    <t>WorkFlow</t>
  </si>
  <si>
    <t>14. WorkFlow</t>
  </si>
  <si>
    <t>13. Symbolic String</t>
  </si>
  <si>
    <t>14. Message Category</t>
  </si>
  <si>
    <t>15. Column Table Creation</t>
  </si>
  <si>
    <t>17. Script</t>
  </si>
  <si>
    <t>Technical Design Screens, Views and Applets</t>
  </si>
  <si>
    <t>SALES</t>
  </si>
  <si>
    <t>External Name Contect</t>
  </si>
  <si>
    <t>Parent Integration Object</t>
  </si>
  <si>
    <t>External Name</t>
  </si>
  <si>
    <t>External Sequence</t>
  </si>
  <si>
    <t>Cardinality</t>
  </si>
  <si>
    <t>XML Container Element</t>
  </si>
  <si>
    <t>XML Tag</t>
  </si>
  <si>
    <t>Integration Component Field</t>
  </si>
  <si>
    <t>User Visible</t>
  </si>
  <si>
    <t>External Data Type</t>
  </si>
  <si>
    <t>External Length</t>
  </si>
  <si>
    <t>External Precision</t>
  </si>
  <si>
    <t>External Required</t>
  </si>
  <si>
    <t>External Scale</t>
  </si>
  <si>
    <t>XML Literal Value</t>
  </si>
  <si>
    <t>XML Parent Field</t>
  </si>
  <si>
    <t>XML Sequence</t>
  </si>
  <si>
    <t>XML Style</t>
  </si>
  <si>
    <t>18. Integration Object</t>
  </si>
  <si>
    <t>19. Post Release Task</t>
  </si>
  <si>
    <t>Title:</t>
  </si>
  <si>
    <t>EU2 UAT</t>
  </si>
  <si>
    <t>Business Object Design</t>
  </si>
  <si>
    <t>Business Object Components</t>
  </si>
  <si>
    <t>Bus Comp</t>
  </si>
  <si>
    <t>Link</t>
  </si>
  <si>
    <t>9. Business Object</t>
  </si>
  <si>
    <t>Functional Design of Business Object</t>
  </si>
  <si>
    <t>Functional design and configuration of Business Object</t>
  </si>
  <si>
    <t>Spain</t>
  </si>
  <si>
    <t>Italy</t>
  </si>
  <si>
    <t>Market Affected:</t>
  </si>
  <si>
    <t>CSY</t>
  </si>
  <si>
    <t>ITA</t>
  </si>
  <si>
    <t>Post Release Tasks</t>
  </si>
  <si>
    <t>Test Script</t>
  </si>
  <si>
    <t>Unit Test</t>
  </si>
  <si>
    <t>EU1 UAT</t>
  </si>
  <si>
    <t>EU3 UAT</t>
  </si>
  <si>
    <t>CEU UAT</t>
  </si>
  <si>
    <t>Non Pilot Impact Analysis - Post Tasks</t>
  </si>
  <si>
    <t>New/Existing</t>
  </si>
  <si>
    <t>Impact</t>
  </si>
  <si>
    <t>ASI PROD</t>
  </si>
  <si>
    <t>EU1 PROD</t>
  </si>
  <si>
    <t>EU2 PROD</t>
  </si>
  <si>
    <t>EU3 PROD</t>
  </si>
  <si>
    <t>CEU PROD</t>
  </si>
  <si>
    <t>CIS PROD</t>
  </si>
  <si>
    <t>RUS PROD</t>
  </si>
  <si>
    <t>Multilingual</t>
  </si>
  <si>
    <t>PLIC</t>
  </si>
  <si>
    <t>Low</t>
  </si>
  <si>
    <t>High</t>
  </si>
  <si>
    <t>Target High</t>
  </si>
  <si>
    <t>Comment</t>
  </si>
  <si>
    <t>DTD Review CheckList</t>
  </si>
  <si>
    <t>Checklist</t>
  </si>
  <si>
    <t>Details</t>
  </si>
  <si>
    <t>Table Column Naming Convention</t>
  </si>
  <si>
    <t>New Boolean Column &gt;&gt; X_&lt;COLUMNNAME&gt;_FLG
New Text Column &gt;&gt; X_&lt;COLUMNNAME&gt;_TEXT
New Date Column &gt;&gt; X_&lt;COLUMNNAME&gt;_DT
New Numeric Column &gt;&gt; X_&lt;COLUMNNAME&gt;_NUM
New LOV Column &gt;&gt; X_&lt;COLUMNNAME&gt;_CD
New ID Column &gt;&gt; X_&lt;COLUMNNAME&gt;_ID
New Attribute Column &gt;&gt; X_ATTRIB_&lt;Number&gt;</t>
  </si>
  <si>
    <t>Runtime Check</t>
  </si>
  <si>
    <t>Level</t>
  </si>
  <si>
    <t>Object Naming Convention</t>
  </si>
  <si>
    <t>All</t>
  </si>
  <si>
    <t>All new Object must have JTI prefix. Ex: JTI Account</t>
  </si>
  <si>
    <t>In List Applets all number and currency controls should be aligned to the right, check boxes centered and all other aligned to the left.</t>
  </si>
  <si>
    <t>In Form Applets controls should be aligned to the left, except for check boxes (centered)</t>
  </si>
  <si>
    <t>List Colums Alignment</t>
  </si>
  <si>
    <t>Control Alignment</t>
  </si>
  <si>
    <t>Upgrade Ancestor</t>
  </si>
  <si>
    <t>Visibity Setup</t>
  </si>
  <si>
    <t>Verify Visibility Applet &amp; Visibility Applet Type</t>
  </si>
  <si>
    <t>Impact Analysis on Post Tasks</t>
  </si>
  <si>
    <t>Post Tasks</t>
  </si>
  <si>
    <t>Verify that Impact Analysis was set on each Post Release Tasks</t>
  </si>
  <si>
    <t>Script Check</t>
  </si>
  <si>
    <t>Use of – in Object/Property Name</t>
  </si>
  <si>
    <t>BC</t>
  </si>
  <si>
    <t>For New Field, verify that same column is not already used by another field</t>
  </si>
  <si>
    <t>Field Creation</t>
  </si>
  <si>
    <t>List Columns/Control Update</t>
  </si>
  <si>
    <t>Verify if there are different List Columns/Controls that uses the same field.</t>
  </si>
  <si>
    <t>Translation Update</t>
  </si>
  <si>
    <t>Verify that Symbolic String to be updated is not used by other Object (Symbolic String Finder Tool)</t>
  </si>
  <si>
    <t>DOC: Change Log</t>
  </si>
  <si>
    <t>Impact on Non-Pilot</t>
  </si>
  <si>
    <t>Proposal</t>
  </si>
  <si>
    <t>DTD Format - Grouping</t>
  </si>
  <si>
    <t>Group similar Object Change together (Applets/BC/etc..)</t>
  </si>
  <si>
    <t>View Web Template</t>
  </si>
  <si>
    <t>Web Template</t>
  </si>
  <si>
    <t>User Layout</t>
  </si>
  <si>
    <t>Associate Applet</t>
  </si>
  <si>
    <t>HTML # of Rows</t>
  </si>
  <si>
    <t>Applet Web Template</t>
  </si>
  <si>
    <t>Primary Business Component</t>
  </si>
  <si>
    <t>Query List Business Component</t>
  </si>
  <si>
    <t>Business Object Name (Name of the Business Object)</t>
  </si>
  <si>
    <t>Table (Name of table)</t>
  </si>
  <si>
    <t>Integration Component</t>
  </si>
  <si>
    <t>Base Object Type</t>
  </si>
  <si>
    <t>Applet Name</t>
  </si>
  <si>
    <t>View Name</t>
  </si>
  <si>
    <t>BC Name</t>
  </si>
  <si>
    <t>IO Name</t>
  </si>
  <si>
    <t>New Column in S_EVT_ACT</t>
  </si>
  <si>
    <t>Verify that New Column in S_EVT_ACT needs to be added in Data CAP Process</t>
  </si>
  <si>
    <t>Dock Object Impacted</t>
  </si>
  <si>
    <t>Tech Arch Intervention?</t>
  </si>
  <si>
    <t>Links</t>
  </si>
  <si>
    <t>Link Name</t>
  </si>
  <si>
    <t>Project</t>
  </si>
  <si>
    <t>Parent Business Component</t>
  </si>
  <si>
    <t>Child Business Component</t>
  </si>
  <si>
    <t>Inter Table</t>
  </si>
  <si>
    <t>Inter Parent Column</t>
  </si>
  <si>
    <t>Inter Child Column</t>
  </si>
  <si>
    <t>Inter Child Delete</t>
  </si>
  <si>
    <t>Cascade Delete</t>
  </si>
  <si>
    <t>Association List Sort Specification</t>
  </si>
  <si>
    <t>No Inter Delete</t>
  </si>
  <si>
    <t>Visibility Rule Applied</t>
  </si>
  <si>
    <t>New Column in S_ORG_EXT</t>
  </si>
  <si>
    <r>
      <t xml:space="preserve">New column should </t>
    </r>
    <r>
      <rPr>
        <b/>
        <sz val="10"/>
        <rFont val="Arial"/>
        <family val="2"/>
      </rPr>
      <t>NOT</t>
    </r>
    <r>
      <rPr>
        <sz val="10"/>
        <rFont val="Arial"/>
        <family val="2"/>
      </rPr>
      <t xml:space="preserve"> be created in S_ORG_EXT
Column should be created in S_ORG_EXT_X instead</t>
    </r>
  </si>
  <si>
    <t>Visibity Applet</t>
  </si>
  <si>
    <t>Verify that Visibility Applet is updated as well when applet in view web template item is updated (for the case where applet in view web template item was the same as the Visibility applet)</t>
  </si>
  <si>
    <t>For fields using new column and having a predefault value, assess impact on existing records.</t>
  </si>
  <si>
    <t>Visibility Check (Bus Comp View Mode)</t>
  </si>
  <si>
    <t>Check if Visibility Applet Type setup v/s Bus Comp View Mode</t>
  </si>
  <si>
    <t>All Date/Numeric/Flag/LOV List Columns/Control should have RUNTIME set to TRUE (at applet level)</t>
  </si>
  <si>
    <t>CR #:</t>
  </si>
  <si>
    <t>Use of comment is properly done on new lines of code</t>
  </si>
  <si>
    <t>Use Switch instead of several nested if/then/else</t>
  </si>
  <si>
    <t>The use of ‘With‘ way to group operations performed within the same business component.</t>
  </si>
  <si>
    <t xml:space="preserve">Only one Return/Exit statement per function </t>
  </si>
  <si>
    <t>All objects set to nothing in finally clause in reverse order of creation</t>
  </si>
  <si>
    <t>ExecuteQuery should be used with ForwardOnly mode</t>
  </si>
  <si>
    <t>When using this.GetFieldValue make sure field is activated (Force Active set to TRUE on BC)</t>
  </si>
  <si>
    <t>Code properly indented to imprve readibility</t>
  </si>
  <si>
    <t>Script Required?</t>
  </si>
  <si>
    <t>Expression</t>
  </si>
  <si>
    <t>27. JS Script</t>
  </si>
  <si>
    <t>Javascript code</t>
  </si>
  <si>
    <t>CSS formatting</t>
  </si>
  <si>
    <t>28. CSS</t>
  </si>
  <si>
    <r>
      <t xml:space="preserve">Upgrade Ancestor should be set for each object cloned when future changes to the source object shall be applied to the cloned object. Kindly note that Upgrade Ancestor should be set </t>
    </r>
    <r>
      <rPr>
        <b/>
        <sz val="10"/>
        <rFont val="Arial"/>
        <family val="2"/>
      </rPr>
      <t>ONLY to VANILLA objects</t>
    </r>
  </si>
  <si>
    <t>System Preference</t>
  </si>
  <si>
    <r>
      <t xml:space="preserve">Verify that new System Pref Name is prefix with </t>
    </r>
    <r>
      <rPr>
        <b/>
        <sz val="10"/>
        <rFont val="Arial"/>
        <family val="2"/>
      </rPr>
      <t>Company</t>
    </r>
    <r>
      <rPr>
        <sz val="10"/>
        <rFont val="Arial"/>
        <family val="2"/>
      </rPr>
      <t xml:space="preserve"> (for those that is going to be used by offline user)</t>
    </r>
  </si>
  <si>
    <t>List Colums Creation</t>
  </si>
  <si>
    <t>Verify that List Column Name &amp; Field Name is not the same for currency fields</t>
  </si>
  <si>
    <r>
      <t xml:space="preserve">When using ParentBusComp method, a check should be done first to verify there is a Parent Bus Comp associated. Example Below:-
</t>
    </r>
    <r>
      <rPr>
        <b/>
        <i/>
        <sz val="10"/>
        <rFont val="Arial"/>
        <family val="2"/>
      </rPr>
      <t>if (this.ParentBusComp() != null &amp;&amp; this.ParentBusComp() != "")</t>
    </r>
  </si>
  <si>
    <t>Personalization/Toggle Check</t>
  </si>
  <si>
    <r>
      <t>Verify using</t>
    </r>
    <r>
      <rPr>
        <b/>
        <i/>
        <sz val="10"/>
        <rFont val="Arial"/>
        <family val="2"/>
      </rPr>
      <t xml:space="preserve"> Personalization &amp; Toggle Tool</t>
    </r>
    <r>
      <rPr>
        <sz val="10"/>
        <rFont val="Arial"/>
        <family val="2"/>
      </rPr>
      <t xml:space="preserve"> that applet being modified is in Applet Personalization or Toggle Applet
</t>
    </r>
    <r>
      <rPr>
        <b/>
        <i/>
        <sz val="10"/>
        <rFont val="Arial"/>
        <family val="2"/>
      </rPr>
      <t>This will let us know if our modifications need to be done on any other applets</t>
    </r>
  </si>
  <si>
    <t>Verify that impacted field is correctly mapped and visible for the market requested.</t>
  </si>
  <si>
    <t>Do not use "–" in Object/Property Name</t>
  </si>
  <si>
    <r>
      <t xml:space="preserve">When using </t>
    </r>
    <r>
      <rPr>
        <b/>
        <i/>
        <sz val="10"/>
        <rFont val="Arial"/>
        <family val="2"/>
      </rPr>
      <t>TheApplication().ActiveBusObject()</t>
    </r>
    <r>
      <rPr>
        <sz val="10"/>
        <rFont val="Arial"/>
        <family val="2"/>
      </rPr>
      <t xml:space="preserve"> method, a check should be done first to verify there is an Active Bus Object. Example Below:-
</t>
    </r>
    <r>
      <rPr>
        <b/>
        <i/>
        <sz val="10"/>
        <rFont val="Arial"/>
        <family val="2"/>
      </rPr>
      <t>if (TheApplication().ActiveBusObject()  != null &amp;&amp; TheApplication().ActiveBusObject() != “”)</t>
    </r>
  </si>
  <si>
    <t>When using ToFixed() method make sure that result is converted to number.</t>
  </si>
  <si>
    <t>For fields having Immediate Post Change checked, verify that there is no field validation (message does no appear correctly). 
If any, move Validation to script (PresetFieldValue)</t>
  </si>
  <si>
    <t>When using try and catch, ensure that "RaiseErrorText" is called only once throughout the process when doing any validation</t>
  </si>
  <si>
    <t>Verify that subtype is populated for LOVs with same type, display and language; for example  "JTI_MARKET_SETTINGS" with value "TRUE"</t>
  </si>
  <si>
    <t>Use Event Handler (Try, Catch &amp; Finally). In RaiseErrorText use e.ErrText instead of e.ToString()</t>
  </si>
  <si>
    <t>When including logic in a button, make sure that WriteRecord is present to save the record before executing the logic</t>
  </si>
  <si>
    <t>Predefault/Postdefault Value</t>
  </si>
  <si>
    <t>For fields in activity, make sure that default values are considered as well when a Visit activity is created from an objective activity</t>
  </si>
  <si>
    <t>Change of Method Invoked for Control</t>
  </si>
  <si>
    <t>Changing the Name of Method Invoked in control, crosscheck if Method Name is also used in JS</t>
  </si>
  <si>
    <t>Changes in Schema</t>
  </si>
  <si>
    <t>Inform Data team for any changes in schema during Development</t>
  </si>
  <si>
    <t>Y</t>
  </si>
  <si>
    <t>Varchar</t>
  </si>
  <si>
    <t>S_AGREE_ITEM</t>
  </si>
  <si>
    <t>Data (Public)</t>
  </si>
  <si>
    <t>Attribute 05</t>
  </si>
  <si>
    <t>ATTRIB_05</t>
  </si>
  <si>
    <t>Agreement Document 1:M Extension</t>
  </si>
  <si>
    <t>S_DOC_AGREE_XM</t>
  </si>
  <si>
    <t>Number</t>
  </si>
  <si>
    <t>Extension</t>
  </si>
  <si>
    <t>X_TOTAL_POINTS_LIMIT Ext</t>
  </si>
  <si>
    <t>X_TOTAL_POINTS_LIMIT</t>
  </si>
  <si>
    <t>Agreement Line Item</t>
  </si>
  <si>
    <t>X_TOTAL_AMOUNT_LIMIT Ext</t>
  </si>
  <si>
    <t>X_TOTAL_AMOUNT_LIMIT</t>
  </si>
  <si>
    <t>X_DIS_CONTRACT_NAME Ext</t>
  </si>
  <si>
    <t>X_DIS_CONTRACT_NAME</t>
  </si>
  <si>
    <t>X_CONTRACT_TERMID Ext</t>
  </si>
  <si>
    <t>X_DIST_CONTRACT_TERM_ID</t>
  </si>
  <si>
    <t>JTI_BENEFIT_TYPE</t>
  </si>
  <si>
    <t>S_LST_OF_VAL</t>
  </si>
  <si>
    <t>X_BENEFIT_TYPE Ext</t>
  </si>
  <si>
    <t>X_BENEFIT_TYPE</t>
  </si>
  <si>
    <t>Agreement</t>
  </si>
  <si>
    <t>S_DOC_AGREE</t>
  </si>
  <si>
    <t>JTI JTI Service Agreement</t>
  </si>
  <si>
    <t>JTI Contract Agreement Distribution Item</t>
  </si>
  <si>
    <t>JTI Contract Agreement Distribution Item Pick</t>
  </si>
  <si>
    <t>JTI Total Amount Limit</t>
  </si>
  <si>
    <t>DTYPE_NUMBER</t>
  </si>
  <si>
    <t>&gt;0</t>
  </si>
  <si>
    <t>JTI Total Points Limit</t>
  </si>
  <si>
    <t>JTI Contract Agreement Item</t>
  </si>
  <si>
    <t>Benefit Type</t>
  </si>
  <si>
    <t>JTI Benefit Type Picklist</t>
  </si>
  <si>
    <t>DTYPE_TEXT</t>
  </si>
  <si>
    <t>Active View Name</t>
  </si>
  <si>
    <t>GetProfileAttr('Me.ActiveViewName')</t>
  </si>
  <si>
    <t>Benefit NB Points RO</t>
  </si>
  <si>
    <t>IIf (([Benefit Type]&lt;&gt;LookupValue("JTI_BENEFIT_TYPE","Points")),'Y','JTI Contract Independent Type Calc')</t>
  </si>
  <si>
    <t>Benefit Type RO</t>
  </si>
  <si>
    <t>IIf (([Benefit Type]&lt;&gt;LookupValue("JTI_BENEFIT_TYPE","Payment")),'Y',[JTI Contract Point Type Calc])</t>
  </si>
  <si>
    <t>Benefit Unit Price RO</t>
  </si>
  <si>
    <t>IIf (([Benefit Type]&lt;&gt;LookupValue("JTI_BENEFIT_TYPE","Payment")),'Y','N')</t>
  </si>
  <si>
    <t>JTI Contract Name</t>
  </si>
  <si>
    <t>JTI Contract Terms ID</t>
  </si>
  <si>
    <t>JTI Template Service Agreement</t>
  </si>
  <si>
    <t>JTI Total Points Limit Sum</t>
  </si>
  <si>
    <t>JTI Nb Points</t>
  </si>
  <si>
    <t>Points Sum Calc</t>
  </si>
  <si>
    <t>Sum([JTI Total Points Limit Sum])</t>
  </si>
  <si>
    <t>JTI JTI Agreement Incentives</t>
  </si>
  <si>
    <t>JTI Contract Terms Name</t>
  </si>
  <si>
    <t>JTI Incentive</t>
  </si>
  <si>
    <t>NAME</t>
  </si>
  <si>
    <t>JTI JTI PickList Incentive Contract Terms</t>
  </si>
  <si>
    <t>JTI Incentive Contract Terms ID</t>
  </si>
  <si>
    <t>DTYPE_ID</t>
  </si>
  <si>
    <t>JTI Contract Agreement Item Dist</t>
  </si>
  <si>
    <t>Field Read Only Field:Item Price - Display</t>
  </si>
  <si>
    <t>Field Read Only Field:Unit Price</t>
  </si>
  <si>
    <t>Field Read Only Field:JTI Nb Points</t>
  </si>
  <si>
    <t>S_PROD_INT</t>
  </si>
  <si>
    <t>JTI Contract Terms Id</t>
  </si>
  <si>
    <t>ROW_ID</t>
  </si>
  <si>
    <t>JTI Contract Agreement Rate Item Sum</t>
  </si>
  <si>
    <t>JTI Template Service Agreement/JTI Contract Agreement Item</t>
  </si>
  <si>
    <t>JTI Template Contract Detail Applet-Cloned</t>
  </si>
  <si>
    <t>X_TOTAL_AMT_LIMIT</t>
  </si>
  <si>
    <t>Left</t>
  </si>
  <si>
    <t>Total Points Limit</t>
  </si>
  <si>
    <t>JTI JTI Contract Detail Applet - New</t>
  </si>
  <si>
    <t>Web Template Item</t>
  </si>
  <si>
    <t>Column Span</t>
  </si>
  <si>
    <t>Row Span</t>
  </si>
  <si>
    <t>Grid Property</t>
  </si>
  <si>
    <t>Siebel Consumer Sector</t>
  </si>
  <si>
    <t>FormattedHtml</t>
  </si>
  <si>
    <t>JTI Total Amount LimitLabel</t>
  </si>
  <si>
    <t>FormattedLabel</t>
  </si>
  <si>
    <t>JTI Total Points LimitLabel</t>
  </si>
  <si>
    <t>Validation for Amounts and Points Limit validation</t>
  </si>
  <si>
    <t>PointsValidation
UnitPriceValidation
QuantityValidation
PreSetFieldValue</t>
  </si>
  <si>
    <t>Validation for changes affecting the total amount limit and total points limit</t>
  </si>
  <si>
    <t>List Item</t>
  </si>
  <si>
    <t>JTI JTI FS Agreement Incentive Applet</t>
  </si>
  <si>
    <t>JTI FS Distribution Item List Applet</t>
  </si>
  <si>
    <t>JTI Audit Sequence</t>
  </si>
  <si>
    <t>JTI FS Agreement Item List Applet - New</t>
  </si>
  <si>
    <t>JTI Compliance Flag</t>
  </si>
  <si>
    <t>Item Price</t>
  </si>
  <si>
    <t>UnitPrice</t>
  </si>
  <si>
    <t>JTI Benefit Type</t>
  </si>
  <si>
    <t>Quantity Requested</t>
  </si>
  <si>
    <t>Quantity Requested2</t>
  </si>
  <si>
    <t>Product</t>
  </si>
  <si>
    <t>JTI FS Contract Item List Applet</t>
  </si>
  <si>
    <t>Contract Terms</t>
  </si>
  <si>
    <t>JTI Contract Terms Incentives Pick Applet</t>
  </si>
  <si>
    <t>[JTI Contract Type] IS NULL</t>
  </si>
  <si>
    <t>Standard</t>
  </si>
  <si>
    <t>X_CONTRACT_TERM</t>
  </si>
  <si>
    <t>JTI Distribution Items Contract Pick Applet</t>
  </si>
  <si>
    <t>Cloned Applet of "JTI FS Distribution Item List Applet - New" to be used in JTI FS Contract Line Items View and JTI FS Agreement Line Items View - New</t>
  </si>
  <si>
    <t>JTI FS Contract Distribution Item List Applet</t>
  </si>
  <si>
    <t>TYPE</t>
  </si>
  <si>
    <t>Reception Level</t>
  </si>
  <si>
    <t>Payment</t>
  </si>
  <si>
    <t>English-American</t>
  </si>
  <si>
    <t>Points</t>
  </si>
  <si>
    <t>Pago</t>
  </si>
  <si>
    <t>Spanish (Modern)</t>
  </si>
  <si>
    <t>Pagamento</t>
  </si>
  <si>
    <t>Italian</t>
  </si>
  <si>
    <t>?</t>
  </si>
  <si>
    <t>Czech</t>
  </si>
  <si>
    <t>Edit List</t>
  </si>
  <si>
    <t>JTI FS Contract Line Items View</t>
  </si>
  <si>
    <t>JTI FS Agreement Line Items View - New</t>
  </si>
  <si>
    <t>View Detail (Parent with Pointer)</t>
  </si>
  <si>
    <t>Base</t>
  </si>
  <si>
    <t>Update to inherit newly added Total Amount Limit and Total Points Limit to the contract.</t>
  </si>
  <si>
    <t>JTI Update Contract</t>
  </si>
  <si>
    <t>CreateContract</t>
  </si>
  <si>
    <t>JTI Independent Copy Agreement IO</t>
  </si>
  <si>
    <t>Data</t>
  </si>
  <si>
    <t>Element</t>
  </si>
  <si>
    <t>BenefitType</t>
  </si>
  <si>
    <t>Administration Integration</t>
  </si>
  <si>
    <t>Integration Object Map</t>
  </si>
  <si>
    <t>Source Object Name</t>
  </si>
  <si>
    <t>Target Object Name</t>
  </si>
  <si>
    <t>Siebel Authored</t>
  </si>
  <si>
    <t>JTI Independent Copy Agreement Map</t>
  </si>
  <si>
    <t>Integration Component Map</t>
  </si>
  <si>
    <t>JTI Contract Agreement Item_to_JTI Contract Agreement Item</t>
  </si>
  <si>
    <t>Source Component Name</t>
  </si>
  <si>
    <t>Target Component Name</t>
  </si>
  <si>
    <t>Source Search Spec</t>
  </si>
  <si>
    <t>Parent Component Map Name</t>
  </si>
  <si>
    <t>JTI JTI Service Agreement_to_JTI JTI Service Agreement</t>
  </si>
  <si>
    <t>Integration Field Map</t>
  </si>
  <si>
    <t>[Benefit Type]</t>
  </si>
  <si>
    <t>Source Expression</t>
  </si>
  <si>
    <t>Auto-Mapped</t>
  </si>
  <si>
    <t>Target Field Name</t>
  </si>
  <si>
    <t>Distribution</t>
  </si>
  <si>
    <t>SBL_DISTRIBUTION-1004230740-25D</t>
  </si>
  <si>
    <t>JTI FS Distribution Item List Applet - New</t>
  </si>
  <si>
    <t>[JTI Contract Type] = 'DISTRIBUTION'</t>
  </si>
  <si>
    <t>([Product Id] is NULL OR [Cfg Latest Released Flag] = "Y" OR [Cfg Latest Released Flag] IS NULL OR ([Cfg Released Flag] = "N" AND [Cfg Version]=1)) AND [Primary Organization Id]=GetProfileAttr('Primary Organization Id')</t>
  </si>
  <si>
    <t>JTI Service Agreement - New</t>
  </si>
  <si>
    <t>Query List</t>
  </si>
  <si>
    <t>JTI Contract Agreement Item/JTI Contract Agreement Distribution Item</t>
  </si>
  <si>
    <t>JTI Template Service Agreement/JTI Contract Agreement Distribution Item Pick</t>
  </si>
  <si>
    <t>JTI Contract Agreement Incentives Item</t>
  </si>
  <si>
    <t>JTI JTI Agreement Incentives/JTI Contract Agreement Incentives Item</t>
  </si>
  <si>
    <t>CS CG Cycle Planning</t>
  </si>
  <si>
    <t>Id</t>
  </si>
  <si>
    <t>None</t>
  </si>
  <si>
    <t>JTI Contract Agreement Item/JTI Contract Agreement Distribution Item Pick</t>
  </si>
  <si>
    <t>Agreement Id</t>
  </si>
  <si>
    <t>Distribution Items</t>
  </si>
  <si>
    <t>X_DISTRIBUTION_ITEMS</t>
  </si>
  <si>
    <t>JTI CPG Retail Audit Product Pick Applet</t>
  </si>
  <si>
    <t>[JTI Contract Type]='DISTRIBUTION'</t>
  </si>
  <si>
    <t>Cloned applet of JTI Distribution Items Product Pick Applet - KA</t>
  </si>
  <si>
    <t>Control User Property</t>
  </si>
  <si>
    <t>NewRecord</t>
  </si>
  <si>
    <t>Mode</t>
  </si>
  <si>
    <t>Popup</t>
  </si>
  <si>
    <t>JTI JTI Service Agreement/JTI Contract Agreement Distribution Item Pick</t>
  </si>
  <si>
    <t>PreInvokeMethod</t>
  </si>
  <si>
    <t>Contract Item</t>
  </si>
  <si>
    <t>Exclude Pricing Flag</t>
  </si>
  <si>
    <t>Exclude Compliance</t>
  </si>
  <si>
    <t>Net Price</t>
  </si>
  <si>
    <t>Quantity</t>
  </si>
  <si>
    <t>Unit Price</t>
  </si>
  <si>
    <t>JTI Brand Name</t>
  </si>
  <si>
    <t>Brand Name</t>
  </si>
  <si>
    <t>Part Number</t>
  </si>
  <si>
    <t>Product Code</t>
  </si>
  <si>
    <t>JTI Start Date</t>
  </si>
  <si>
    <t>Start Date</t>
  </si>
  <si>
    <t>JTI End Date</t>
  </si>
  <si>
    <t>End Date</t>
  </si>
  <si>
    <t>Product Level</t>
  </si>
  <si>
    <t>JTI Distribution Product</t>
  </si>
  <si>
    <t>Distribution Item</t>
  </si>
  <si>
    <t>Part #</t>
  </si>
  <si>
    <t>Clone of BC: JTI Contract Agreement Item, Used for newly created Contract Terms Pick Applet, to avoid the context issues.</t>
  </si>
  <si>
    <t>Clone of BC: JTI Contract Agreement Item, Used for newly created Distribution Applet, due to existing Contract Terms based on the same BC,</t>
  </si>
  <si>
    <t>Multi Value Field</t>
  </si>
  <si>
    <t>Use Default Sensitivity</t>
  </si>
  <si>
    <t>To include Contract Name from Linked Contract Terms in the Distribution Applet</t>
  </si>
  <si>
    <t>Symbolic Strings Design</t>
  </si>
  <si>
    <t>Symbolic String Locale</t>
  </si>
  <si>
    <t>Current String Value</t>
  </si>
  <si>
    <t>String Value</t>
  </si>
  <si>
    <t>Parent Symbolic String</t>
  </si>
  <si>
    <t>[&lt;Developer's Initial &gt;&lt;Date&gt;] CRXXXXX : New Symbolic String created</t>
  </si>
  <si>
    <t>ENU</t>
  </si>
  <si>
    <t>ESN</t>
  </si>
  <si>
    <t>Total Amount Limit</t>
  </si>
  <si>
    <t>X_TOTAL_AMOUNT_VALIDATION</t>
  </si>
  <si>
    <t>Sum of Contract Amount exceeds in %1 the Total Amount Limit.</t>
  </si>
  <si>
    <t>X_TOTAL_POINTS_VALIDATION</t>
  </si>
  <si>
    <t>Sum of Contract Points exceeds in %1 the Total Points Limit.</t>
  </si>
  <si>
    <t>X_DIS_CONTRACT_TERM</t>
  </si>
  <si>
    <t>Contract Term</t>
  </si>
  <si>
    <t>X_CONTRACT_ITEM</t>
  </si>
  <si>
    <t>X_CHECK_COMPLIANCE_CONTRACT</t>
  </si>
  <si>
    <t>SBL_NET_PRICE-1004225655-01T</t>
  </si>
  <si>
    <t>SBL_QUANTITY</t>
  </si>
  <si>
    <t>SBL_UNIT_PRICE-1004233559-7AV</t>
  </si>
  <si>
    <t>X_PAYMENT_BRAND_FAMILY</t>
  </si>
  <si>
    <t>SBL_PRODUCT-1004224553-15T</t>
  </si>
  <si>
    <t>SBL_PRODUCT_CODE-1004232105-5BB</t>
  </si>
  <si>
    <t>SBL_START_DATE-1004225315-106</t>
  </si>
  <si>
    <t>SBL_END_DATE-1004225148-0BJ</t>
  </si>
  <si>
    <t>X_DISTRIBUTION_ITEM</t>
  </si>
  <si>
    <t>Nazione</t>
  </si>
  <si>
    <t>Tipo Benefit</t>
  </si>
  <si>
    <t>TBD</t>
  </si>
  <si>
    <t>Clausola</t>
  </si>
  <si>
    <t>Limite importo</t>
  </si>
  <si>
    <t>[&lt;Developer's Initial &gt;&lt;Date&gt;] CRXXXXX : New Table-Column Created</t>
  </si>
  <si>
    <t>[&lt;Developer's Initial &gt;&lt;Date&gt;] CRXXXXX : New Field created</t>
  </si>
  <si>
    <t>[&lt;Developer's Initial &gt;&lt;Date&gt;] CRXXXXX : New PickMap created</t>
  </si>
  <si>
    <t>[&lt;Developer's Initial &gt;&lt;Date&gt;] CRXXXXX : New BC User Prop Created</t>
  </si>
  <si>
    <t>[&lt;Developer's Initial &gt;&lt;Date&gt;] CRXXXXX : New join added</t>
  </si>
  <si>
    <t>[&lt;Developer's Initial &gt;&lt;Date&gt;] New Join spec added</t>
  </si>
  <si>
    <t>[&lt;Developer's Initial &gt;&lt;Date&gt;] New MVL added</t>
  </si>
  <si>
    <t>[&lt;Developer's Initial &gt;&lt;Date&gt;] CRXXXXX : New Control Added</t>
  </si>
  <si>
    <t>[&lt;Developer's Initial &gt;&lt;Date&gt;] CRXXXXX : New Control Locale Added</t>
  </si>
  <si>
    <t>[&lt;Developer's Initial &gt;&lt;Date&gt;] CR213427 : New control user property added</t>
  </si>
  <si>
    <t>[&lt;Developer's Initial &gt;&lt;Date&gt;] CR213427 : New List Column added</t>
  </si>
  <si>
    <t>[&lt;Developer's Initial &gt;&lt;Date&gt;] CR213427 : New List Column locale added</t>
  </si>
  <si>
    <t>[&lt;Developer's Initial &gt;&lt;Date&gt;] CR213427 : Added new Link</t>
  </si>
  <si>
    <t>[&lt;Developer's Initial &gt;&lt;Date&gt;] CR213427 : Added new BC</t>
  </si>
  <si>
    <t>[&lt;Developer's Initial &gt;&lt;Date&gt;] CR213427 : Added new applet</t>
  </si>
  <si>
    <t>[&lt;Developer's Initial &gt;&lt;Date&gt;] CR213427 : Added new field</t>
  </si>
  <si>
    <t>[&lt;Developer's Initial &gt;&lt;Date&gt;] CR213427 : For inheriting benefit type</t>
  </si>
  <si>
    <t>CHG213427</t>
  </si>
  <si>
    <t>TMEC:  RI - Enhancements on Contracts &amp;  Contract Terms</t>
  </si>
  <si>
    <t>ITA,CSY,ESN</t>
  </si>
  <si>
    <t>PickList Design</t>
  </si>
  <si>
    <t>Pick List Properties</t>
  </si>
  <si>
    <t>Bounded</t>
  </si>
  <si>
    <t>Long List</t>
  </si>
  <si>
    <t>Static</t>
  </si>
  <si>
    <t>Message Category Design</t>
  </si>
  <si>
    <t>Messages</t>
  </si>
  <si>
    <t>Text</t>
  </si>
  <si>
    <t>Text - String Reference</t>
  </si>
  <si>
    <t>User Defined Errors</t>
  </si>
  <si>
    <t>[&lt;Developer's Initial &gt;&lt;Date&gt;] CRXXXXX : New Message Created</t>
  </si>
  <si>
    <t>PickList Generic</t>
  </si>
  <si>
    <t>Order By</t>
  </si>
  <si>
    <t>Pick Applet Design</t>
  </si>
  <si>
    <t>JTIAddProducts</t>
  </si>
  <si>
    <t>Add Item</t>
  </si>
  <si>
    <t>SBL_ABO_BR_PRC_BS_AD_ITM_MTHD</t>
  </si>
  <si>
    <t>Right</t>
  </si>
  <si>
    <t>MiniButton</t>
  </si>
  <si>
    <t>[&lt;Developer's Initial &gt;&lt;Date&gt;] CRXXXXX : Changing the caption from the cloned applet</t>
  </si>
  <si>
    <t>Validation for Actul Cost Amount and Benefit Type field validation in Child Records.</t>
  </si>
  <si>
    <t>AmountLimitValidation
BenefitTypeValidation
PreSetFieldValue</t>
  </si>
  <si>
    <t>PointLimitValidation
AmountLimitValidation
BenefitTypeValidation
PreSetFieldValue</t>
  </si>
  <si>
    <t>Re-Scripting for Can Invoke method for Delete and New buttons from the cloned applet.</t>
  </si>
  <si>
    <t>PreInvokeMethod
ContractCanInvoke
TemplateCanInvoke</t>
  </si>
  <si>
    <t>[&lt;Developer's Initial &gt;&lt;Date&gt;] CR213427 : New web template item added</t>
  </si>
  <si>
    <t>D_TYPE_TEXT</t>
  </si>
  <si>
    <r>
      <t xml:space="preserve">Used for getting the sum which is not available from UI 
</t>
    </r>
    <r>
      <rPr>
        <sz val="10"/>
        <color rgb="FF0000FF"/>
        <rFont val="Arial"/>
        <family val="2"/>
      </rPr>
      <t>[&lt;Developer's Initial &gt;&lt;Date&gt;] New MVF added</t>
    </r>
  </si>
  <si>
    <t>[&lt;Developer's Initial &gt;&lt;Date&gt;] New picklist added</t>
  </si>
  <si>
    <t>Ramakrishnan</t>
  </si>
  <si>
    <t>Nithin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</si>
</sst>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B_F_-;\-* #,##0.00\ _B_F_-;_-* &quot;-&quot;??\ _B_F_-;_-@_-"/>
    <numFmt numFmtId="165" formatCode="mm/dd/yy"/>
  </numFmts>
  <fonts count="63" x14ac:knownFonts="1">
    <font>
      <sz val="10"/>
      <name val="Arial"/>
    </font>
    <font>
      <sz val="10"/>
      <name val="Arial"/>
      <family val="2"/>
    </font>
    <font>
      <b/>
      <sz val="14"/>
      <name val="Arial"/>
      <family val="2"/>
    </font>
    <font>
      <b/>
      <sz val="10"/>
      <name val="Arial"/>
      <family val="2"/>
    </font>
    <font>
      <b/>
      <sz val="12"/>
      <name val="Arial"/>
      <family val="2"/>
    </font>
    <font>
      <sz val="10"/>
      <name val="Arial"/>
      <family val="2"/>
    </font>
    <font>
      <sz val="10"/>
      <name val="Book Antiqua"/>
      <family val="1"/>
    </font>
    <font>
      <b/>
      <sz val="10"/>
      <color indexed="9"/>
      <name val="Arial"/>
      <family val="2"/>
    </font>
    <font>
      <sz val="10"/>
      <color indexed="9"/>
      <name val="Arial"/>
      <family val="2"/>
    </font>
    <font>
      <u/>
      <sz val="10"/>
      <name val="Arial"/>
      <family val="2"/>
    </font>
    <font>
      <b/>
      <sz val="10"/>
      <color indexed="9"/>
      <name val="Book Antiqua"/>
      <family val="1"/>
    </font>
    <font>
      <b/>
      <i/>
      <sz val="24"/>
      <color indexed="57"/>
      <name val="Arial"/>
      <family val="2"/>
    </font>
    <font>
      <b/>
      <sz val="24"/>
      <name val="Book Antiqua"/>
      <family val="1"/>
    </font>
    <font>
      <b/>
      <sz val="12"/>
      <name val="Book Antiqua"/>
      <family val="1"/>
    </font>
    <font>
      <sz val="12"/>
      <name val="Book Antiqua"/>
      <family val="1"/>
    </font>
    <font>
      <b/>
      <i/>
      <sz val="10"/>
      <name val="Book Antiqua"/>
      <family val="1"/>
    </font>
    <font>
      <i/>
      <sz val="10"/>
      <color indexed="12"/>
      <name val="Arial"/>
      <family val="2"/>
    </font>
    <font>
      <i/>
      <sz val="10"/>
      <color indexed="48"/>
      <name val="Arial"/>
      <family val="2"/>
    </font>
    <font>
      <sz val="11"/>
      <name val="Calibri"/>
      <family val="2"/>
    </font>
    <font>
      <sz val="11"/>
      <color indexed="17"/>
      <name val="Calibri"/>
      <family val="2"/>
    </font>
    <font>
      <sz val="11"/>
      <color indexed="20"/>
      <name val="Calibri"/>
      <family val="2"/>
    </font>
    <font>
      <b/>
      <i/>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name val="Arial"/>
      <family val="2"/>
    </font>
    <font>
      <b/>
      <i/>
      <sz val="11"/>
      <name val="Arial"/>
      <family val="2"/>
    </font>
    <font>
      <b/>
      <sz val="10"/>
      <name val="Book Antiqua"/>
      <family val="1"/>
    </font>
    <font>
      <b/>
      <sz val="10"/>
      <name val="Tahoma"/>
      <family val="2"/>
    </font>
    <font>
      <sz val="10"/>
      <color indexed="10"/>
      <name val="Arial"/>
      <family val="2"/>
    </font>
    <font>
      <b/>
      <sz val="14"/>
      <color indexed="9"/>
      <name val="Arial"/>
      <family val="2"/>
    </font>
    <font>
      <sz val="10"/>
      <color indexed="12"/>
      <name val="Arial"/>
      <family val="2"/>
    </font>
    <font>
      <sz val="10"/>
      <color indexed="12"/>
      <name val="Arial"/>
      <family val="2"/>
    </font>
    <font>
      <sz val="22"/>
      <name val="Arial"/>
      <family val="2"/>
    </font>
    <font>
      <b/>
      <sz val="24"/>
      <color indexed="12"/>
      <name val="Book Antiqua"/>
      <family val="1"/>
    </font>
    <font>
      <b/>
      <sz val="20"/>
      <color indexed="12"/>
      <name val="Book Antiqua"/>
      <family val="1"/>
    </font>
    <font>
      <b/>
      <sz val="22"/>
      <color indexed="12"/>
      <name val="Book Antiqua"/>
      <family val="1"/>
    </font>
    <font>
      <b/>
      <sz val="16"/>
      <color indexed="12"/>
      <name val="Book Antiqua"/>
      <family val="1"/>
    </font>
    <font>
      <b/>
      <sz val="12"/>
      <color indexed="12"/>
      <name val="Book Antiqua"/>
      <family val="1"/>
    </font>
    <font>
      <sz val="14"/>
      <color indexed="12"/>
      <name val="Book Antiqua"/>
      <family val="1"/>
    </font>
    <font>
      <b/>
      <sz val="20"/>
      <name val="Book Antiqua"/>
      <family val="1"/>
    </font>
    <font>
      <b/>
      <sz val="16"/>
      <name val="Book Antiqua"/>
      <family val="1"/>
    </font>
    <font>
      <sz val="10"/>
      <color theme="1"/>
      <name val="Arial"/>
      <family val="2"/>
    </font>
    <font>
      <sz val="14"/>
      <color theme="1"/>
      <name val="Arial"/>
      <family val="2"/>
    </font>
    <font>
      <b/>
      <sz val="11"/>
      <color theme="1"/>
      <name val="Calibri"/>
      <family val="2"/>
      <scheme val="minor"/>
    </font>
    <font>
      <b/>
      <sz val="11"/>
      <name val="Calibri"/>
      <family val="2"/>
      <scheme val="minor"/>
    </font>
    <font>
      <sz val="11"/>
      <name val="Calibri"/>
      <family val="2"/>
      <scheme val="minor"/>
    </font>
    <font>
      <sz val="10"/>
      <color rgb="FF0000FF"/>
      <name val="Arial"/>
      <family val="2"/>
    </font>
    <font>
      <sz val="11"/>
      <color rgb="FF0000FF"/>
      <name val="Arial"/>
      <family val="2"/>
    </font>
    <font>
      <sz val="11"/>
      <color rgb="FF0000FF"/>
      <name val="Calibri"/>
      <family val="2"/>
    </font>
    <font>
      <sz val="11"/>
      <color rgb="FF0000FF"/>
      <name val="Calibri"/>
      <family val="2"/>
      <scheme val="minor"/>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1"/>
        <bgColor indexed="64"/>
      </patternFill>
    </fill>
    <fill>
      <patternFill patternType="solid">
        <fgColor indexed="12"/>
        <bgColor indexed="64"/>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5"/>
        <bgColor indexed="64"/>
      </patternFill>
    </fill>
    <fill>
      <patternFill patternType="solid">
        <fgColor indexed="40"/>
        <bgColor indexed="64"/>
      </patternFill>
    </fill>
    <fill>
      <patternFill patternType="solid">
        <fgColor theme="0" tint="-0.14999847407452621"/>
        <bgColor indexed="64"/>
      </patternFill>
    </fill>
  </fills>
  <borders count="78">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dashed">
        <color indexed="64"/>
      </left>
      <right style="thin">
        <color indexed="64"/>
      </right>
      <top style="dashed">
        <color indexed="64"/>
      </top>
      <bottom style="medium">
        <color indexed="64"/>
      </bottom>
      <diagonal/>
    </border>
    <border>
      <left style="dashed">
        <color indexed="64"/>
      </left>
      <right style="thin">
        <color indexed="64"/>
      </right>
      <top/>
      <bottom style="dashed">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dashed">
        <color indexed="64"/>
      </left>
      <right style="medium">
        <color indexed="64"/>
      </right>
      <top style="dashed">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indexed="17"/>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dashed">
        <color indexed="64"/>
      </left>
      <right style="thin">
        <color indexed="64"/>
      </right>
      <top/>
      <bottom/>
      <diagonal/>
    </border>
    <border>
      <left style="dashed">
        <color indexed="64"/>
      </left>
      <right style="dashed">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dashed">
        <color indexed="64"/>
      </right>
      <top style="dashed">
        <color indexed="64"/>
      </top>
      <bottom style="medium">
        <color indexed="64"/>
      </bottom>
      <diagonal/>
    </border>
    <border>
      <left/>
      <right style="thin">
        <color indexed="64"/>
      </right>
      <top style="thin">
        <color indexed="64"/>
      </top>
      <bottom style="dashed">
        <color indexed="64"/>
      </bottom>
      <diagonal/>
    </border>
    <border>
      <left style="dashed">
        <color indexed="64"/>
      </left>
      <right style="thin">
        <color indexed="64"/>
      </right>
      <top/>
      <bottom style="medium">
        <color indexed="64"/>
      </bottom>
      <diagonal/>
    </border>
  </borders>
  <cellStyleXfs count="51">
    <xf numFmtId="0" fontId="0" fillId="0" borderId="0" applyAlignment="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5" borderId="0" applyNumberFormat="0" applyBorder="0" applyAlignment="0" applyProtection="0"/>
    <xf numFmtId="0" fontId="22" fillId="8"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9" borderId="0" applyNumberFormat="0" applyBorder="0" applyAlignment="0" applyProtection="0"/>
    <xf numFmtId="0" fontId="24" fillId="20" borderId="1" applyNumberFormat="0" applyAlignment="0" applyProtection="0"/>
    <xf numFmtId="0" fontId="25" fillId="20" borderId="2" applyNumberFormat="0" applyAlignment="0" applyProtection="0"/>
    <xf numFmtId="164" fontId="1" fillId="0" borderId="0" applyFont="0" applyFill="0" applyBorder="0" applyAlignment="0" applyProtection="0"/>
    <xf numFmtId="0" fontId="26" fillId="7" borderId="2" applyNumberFormat="0" applyAlignment="0" applyProtection="0"/>
    <xf numFmtId="0" fontId="27" fillId="0" borderId="4" applyNumberFormat="0" applyFill="0" applyAlignment="0" applyProtection="0"/>
    <xf numFmtId="0" fontId="28" fillId="0" borderId="0" applyNumberFormat="0" applyFill="0" applyBorder="0" applyAlignment="0" applyProtection="0"/>
    <xf numFmtId="0" fontId="19" fillId="4" borderId="0" applyNumberFormat="0" applyBorder="0" applyAlignment="0" applyProtection="0"/>
    <xf numFmtId="0" fontId="29" fillId="22" borderId="0" applyNumberFormat="0" applyBorder="0" applyAlignment="0" applyProtection="0"/>
    <xf numFmtId="0" fontId="5" fillId="0" borderId="0" applyAlignment="0"/>
    <xf numFmtId="0" fontId="5" fillId="23" borderId="9" applyNumberFormat="0" applyFont="0" applyAlignment="0" applyProtection="0"/>
    <xf numFmtId="0" fontId="20" fillId="3" borderId="0" applyNumberFormat="0" applyBorder="0" applyAlignment="0" applyProtection="0"/>
    <xf numFmtId="0" fontId="5" fillId="0" borderId="0"/>
    <xf numFmtId="0" fontId="30" fillId="0" borderId="0" applyNumberFormat="0" applyFill="0" applyBorder="0" applyAlignment="0" applyProtection="0"/>
    <xf numFmtId="0" fontId="31" fillId="0" borderId="5" applyNumberFormat="0" applyFill="0" applyAlignment="0" applyProtection="0"/>
    <xf numFmtId="0" fontId="32" fillId="0" borderId="6" applyNumberFormat="0" applyFill="0" applyAlignment="0" applyProtection="0"/>
    <xf numFmtId="0" fontId="33" fillId="0" borderId="7" applyNumberFormat="0" applyFill="0" applyAlignment="0" applyProtection="0"/>
    <xf numFmtId="0" fontId="33" fillId="0" borderId="0" applyNumberFormat="0" applyFill="0" applyBorder="0" applyAlignment="0" applyProtection="0"/>
    <xf numFmtId="0" fontId="34" fillId="0" borderId="8" applyNumberFormat="0" applyFill="0" applyAlignment="0" applyProtection="0"/>
    <xf numFmtId="0" fontId="35" fillId="0" borderId="0" applyNumberFormat="0" applyFill="0" applyBorder="0" applyAlignment="0" applyProtection="0"/>
    <xf numFmtId="0" fontId="36" fillId="21" borderId="3" applyNumberFormat="0" applyAlignment="0" applyProtection="0"/>
    <xf numFmtId="0" fontId="1" fillId="0" borderId="0" applyAlignment="0"/>
    <xf numFmtId="0" fontId="1" fillId="0" borderId="0" applyAlignment="0"/>
    <xf numFmtId="0" fontId="29" fillId="22" borderId="0" applyNumberFormat="0" applyBorder="0" applyAlignment="0" applyProtection="0"/>
    <xf numFmtId="0" fontId="1" fillId="23" borderId="9" applyNumberFormat="0" applyFont="0" applyAlignment="0" applyProtection="0"/>
    <xf numFmtId="0" fontId="1" fillId="0" borderId="0"/>
    <xf numFmtId="0" fontId="1" fillId="0" borderId="0" applyAlignment="0"/>
  </cellStyleXfs>
  <cellXfs count="380">
    <xf numFmtId="0" fontId="0" fillId="0" borderId="0" xfId="0"/>
    <xf numFmtId="0" fontId="1" fillId="0" borderId="0" xfId="0" applyFont="1"/>
    <xf numFmtId="0" fontId="2" fillId="0" borderId="0" xfId="0" applyFont="1"/>
    <xf numFmtId="164" fontId="6" fillId="0" borderId="0" xfId="27" applyFont="1"/>
    <xf numFmtId="164" fontId="1" fillId="0" borderId="0" xfId="27"/>
    <xf numFmtId="164" fontId="14" fillId="0" borderId="0" xfId="27" applyFont="1"/>
    <xf numFmtId="165" fontId="14" fillId="0" borderId="0" xfId="27" applyNumberFormat="1" applyFont="1" applyAlignment="1">
      <alignment horizontal="left"/>
    </xf>
    <xf numFmtId="164" fontId="14" fillId="0" borderId="0" xfId="27" applyFont="1" applyAlignment="1">
      <alignment horizontal="left" vertical="top"/>
    </xf>
    <xf numFmtId="0" fontId="7" fillId="26" borderId="13" xfId="0" applyFont="1" applyFill="1" applyBorder="1" applyAlignment="1">
      <alignment vertical="top" wrapText="1"/>
    </xf>
    <xf numFmtId="0" fontId="7" fillId="26" borderId="14" xfId="0" applyFont="1" applyFill="1" applyBorder="1" applyAlignment="1">
      <alignment vertical="top" wrapText="1"/>
    </xf>
    <xf numFmtId="0" fontId="7" fillId="26" borderId="15" xfId="0" applyFont="1" applyFill="1" applyBorder="1" applyAlignment="1">
      <alignment vertical="top" wrapText="1"/>
    </xf>
    <xf numFmtId="0" fontId="13" fillId="0" borderId="0" xfId="0" applyFont="1" applyFill="1" applyBorder="1" applyAlignment="1">
      <alignment vertical="top"/>
    </xf>
    <xf numFmtId="0" fontId="6" fillId="0" borderId="0" xfId="0" applyFont="1" applyFill="1" applyBorder="1" applyAlignment="1">
      <alignment vertical="top"/>
    </xf>
    <xf numFmtId="0" fontId="6" fillId="0" borderId="0" xfId="0" applyFont="1" applyAlignment="1">
      <alignment vertical="top"/>
    </xf>
    <xf numFmtId="0" fontId="15" fillId="0" borderId="0" xfId="0" applyFont="1" applyFill="1" applyBorder="1" applyAlignment="1">
      <alignment vertical="top"/>
    </xf>
    <xf numFmtId="0" fontId="6" fillId="0" borderId="16" xfId="0" applyFont="1" applyBorder="1" applyAlignment="1">
      <alignment horizontal="left" vertical="top"/>
    </xf>
    <xf numFmtId="0" fontId="10" fillId="24" borderId="16" xfId="0" applyFont="1" applyFill="1" applyBorder="1" applyAlignment="1">
      <alignment horizontal="left" vertical="top"/>
    </xf>
    <xf numFmtId="16" fontId="6" fillId="27" borderId="16" xfId="0" applyNumberFormat="1" applyFont="1" applyFill="1" applyBorder="1" applyAlignment="1">
      <alignment horizontal="left" vertical="top" wrapText="1"/>
    </xf>
    <xf numFmtId="0" fontId="3" fillId="24" borderId="16" xfId="0" applyFont="1" applyFill="1" applyBorder="1"/>
    <xf numFmtId="0" fontId="6" fillId="29" borderId="0" xfId="0" applyFont="1" applyFill="1" applyAlignment="1">
      <alignment vertical="top"/>
    </xf>
    <xf numFmtId="0" fontId="0" fillId="29" borderId="0" xfId="0" applyFill="1"/>
    <xf numFmtId="0" fontId="4" fillId="29" borderId="0" xfId="0" applyFont="1" applyFill="1" applyAlignment="1">
      <alignment vertical="top" wrapText="1"/>
    </xf>
    <xf numFmtId="0" fontId="0" fillId="29" borderId="0" xfId="0" applyFill="1" applyAlignment="1">
      <alignment vertical="top" wrapText="1"/>
    </xf>
    <xf numFmtId="0" fontId="0" fillId="29" borderId="29" xfId="0" applyFill="1" applyBorder="1" applyAlignment="1">
      <alignment vertical="top" wrapText="1"/>
    </xf>
    <xf numFmtId="0" fontId="0" fillId="29" borderId="16" xfId="0" applyFill="1" applyBorder="1" applyAlignment="1">
      <alignment vertical="top" wrapText="1"/>
    </xf>
    <xf numFmtId="0" fontId="0" fillId="29" borderId="30" xfId="0" applyFill="1" applyBorder="1" applyAlignment="1">
      <alignment horizontal="center" vertical="top" wrapText="1"/>
    </xf>
    <xf numFmtId="0" fontId="0" fillId="29" borderId="31" xfId="0" applyFill="1" applyBorder="1" applyAlignment="1">
      <alignment vertical="top" wrapText="1"/>
    </xf>
    <xf numFmtId="0" fontId="0" fillId="29" borderId="32" xfId="0" applyFill="1" applyBorder="1" applyAlignment="1">
      <alignment vertical="top" wrapText="1"/>
    </xf>
    <xf numFmtId="0" fontId="0" fillId="29" borderId="33" xfId="0" applyFill="1" applyBorder="1" applyAlignment="1">
      <alignment vertical="top" wrapText="1"/>
    </xf>
    <xf numFmtId="0" fontId="37" fillId="0" borderId="16" xfId="0" applyFont="1" applyBorder="1"/>
    <xf numFmtId="0" fontId="37" fillId="0" borderId="33" xfId="0" applyFont="1" applyBorder="1" applyAlignment="1">
      <alignment horizontal="left"/>
    </xf>
    <xf numFmtId="0" fontId="18" fillId="29" borderId="0" xfId="31" applyFont="1" applyFill="1" applyBorder="1" applyAlignment="1">
      <alignment horizontal="left" wrapText="1"/>
    </xf>
    <xf numFmtId="0" fontId="0" fillId="24" borderId="16" xfId="0" applyFill="1" applyBorder="1"/>
    <xf numFmtId="0" fontId="0" fillId="28" borderId="16" xfId="0" applyFill="1" applyBorder="1"/>
    <xf numFmtId="0" fontId="0" fillId="29" borderId="16" xfId="0" applyFill="1" applyBorder="1"/>
    <xf numFmtId="0" fontId="0" fillId="0" borderId="16" xfId="0" applyBorder="1"/>
    <xf numFmtId="0" fontId="0" fillId="29" borderId="0" xfId="0" applyFill="1" applyAlignment="1">
      <alignment horizontal="center" vertical="top" wrapText="1"/>
    </xf>
    <xf numFmtId="0" fontId="0" fillId="29" borderId="45" xfId="0" applyFill="1" applyBorder="1" applyAlignment="1">
      <alignment vertical="top" wrapText="1"/>
    </xf>
    <xf numFmtId="0" fontId="0" fillId="29" borderId="0" xfId="0" applyFill="1" applyBorder="1" applyAlignment="1">
      <alignment vertical="top" wrapText="1"/>
    </xf>
    <xf numFmtId="0" fontId="0" fillId="29" borderId="30" xfId="0" applyFill="1" applyBorder="1" applyAlignment="1">
      <alignment vertical="top" wrapText="1"/>
    </xf>
    <xf numFmtId="0" fontId="0" fillId="29" borderId="46" xfId="0" applyFill="1" applyBorder="1" applyAlignment="1">
      <alignment vertical="top" wrapText="1"/>
    </xf>
    <xf numFmtId="0" fontId="41" fillId="0" borderId="0" xfId="0" applyFont="1"/>
    <xf numFmtId="0" fontId="42" fillId="30" borderId="0" xfId="0" applyFont="1" applyFill="1"/>
    <xf numFmtId="0" fontId="8" fillId="30" borderId="0" xfId="0" applyFont="1" applyFill="1"/>
    <xf numFmtId="164" fontId="45" fillId="0" borderId="0" xfId="27" applyFont="1"/>
    <xf numFmtId="164" fontId="48" fillId="0" borderId="0" xfId="27" applyFont="1" applyAlignment="1"/>
    <xf numFmtId="164" fontId="44" fillId="0" borderId="0" xfId="27" applyFont="1"/>
    <xf numFmtId="0" fontId="10" fillId="24" borderId="43" xfId="0" applyFont="1" applyFill="1" applyBorder="1" applyAlignment="1">
      <alignment horizontal="left" vertical="top"/>
    </xf>
    <xf numFmtId="0" fontId="10" fillId="24" borderId="16" xfId="0" applyFont="1" applyFill="1" applyBorder="1" applyAlignment="1">
      <alignment horizontal="left" vertical="top"/>
    </xf>
    <xf numFmtId="14" fontId="6" fillId="0" borderId="43" xfId="0" applyNumberFormat="1" applyFont="1" applyBorder="1" applyAlignment="1">
      <alignment horizontal="left" vertical="top"/>
    </xf>
    <xf numFmtId="49" fontId="6" fillId="0" borderId="43" xfId="0" applyNumberFormat="1" applyFont="1" applyBorder="1" applyAlignment="1">
      <alignment horizontal="left" vertical="top"/>
    </xf>
    <xf numFmtId="0" fontId="6" fillId="0" borderId="43" xfId="0" applyNumberFormat="1" applyFont="1" applyBorder="1" applyAlignment="1">
      <alignment horizontal="left" vertical="top"/>
    </xf>
    <xf numFmtId="0" fontId="6" fillId="0" borderId="43" xfId="0" applyFont="1" applyFill="1" applyBorder="1" applyAlignment="1">
      <alignment horizontal="left" vertical="top"/>
    </xf>
    <xf numFmtId="0" fontId="6" fillId="28" borderId="43" xfId="0" applyFont="1" applyFill="1" applyBorder="1" applyAlignment="1">
      <alignment vertical="top"/>
    </xf>
    <xf numFmtId="0" fontId="6" fillId="0" borderId="43" xfId="0" applyFont="1" applyBorder="1" applyAlignment="1">
      <alignment vertical="top"/>
    </xf>
    <xf numFmtId="0" fontId="39" fillId="27" borderId="43" xfId="0" applyFont="1" applyFill="1" applyBorder="1" applyAlignment="1">
      <alignment vertical="top"/>
    </xf>
    <xf numFmtId="0" fontId="6" fillId="28" borderId="16" xfId="0" applyFont="1" applyFill="1" applyBorder="1" applyAlignment="1">
      <alignment vertical="top"/>
    </xf>
    <xf numFmtId="0" fontId="6" fillId="0" borderId="16" xfId="0" applyFont="1" applyBorder="1" applyAlignment="1">
      <alignment vertical="top"/>
    </xf>
    <xf numFmtId="0" fontId="6" fillId="27" borderId="16" xfId="0" applyFont="1" applyFill="1" applyBorder="1" applyAlignment="1">
      <alignment vertical="top"/>
    </xf>
    <xf numFmtId="0" fontId="6" fillId="32" borderId="16" xfId="0" applyFont="1" applyFill="1" applyBorder="1" applyAlignment="1">
      <alignment vertical="top"/>
    </xf>
    <xf numFmtId="0" fontId="0" fillId="0" borderId="16" xfId="0" applyBorder="1" applyAlignment="1">
      <alignment vertical="center"/>
    </xf>
    <xf numFmtId="0" fontId="1" fillId="24" borderId="16" xfId="0" applyFont="1" applyFill="1" applyBorder="1"/>
    <xf numFmtId="0" fontId="1" fillId="25" borderId="12" xfId="0" applyFont="1" applyFill="1" applyBorder="1"/>
    <xf numFmtId="0" fontId="1" fillId="25" borderId="48" xfId="0" applyFont="1" applyFill="1" applyBorder="1"/>
    <xf numFmtId="0" fontId="1" fillId="25" borderId="11" xfId="0" applyFont="1" applyFill="1" applyBorder="1"/>
    <xf numFmtId="0" fontId="0" fillId="0" borderId="0" xfId="0" applyAlignment="1">
      <alignment vertical="center"/>
    </xf>
    <xf numFmtId="0" fontId="0" fillId="0" borderId="0" xfId="0" applyAlignment="1">
      <alignment vertical="center" wrapText="1"/>
    </xf>
    <xf numFmtId="0" fontId="40" fillId="27" borderId="55" xfId="0" applyFont="1" applyFill="1" applyBorder="1" applyAlignment="1">
      <alignment horizontal="center" vertical="center"/>
    </xf>
    <xf numFmtId="0" fontId="40" fillId="0" borderId="0" xfId="0" applyFont="1" applyFill="1" applyAlignment="1">
      <alignment vertical="center" wrapText="1"/>
    </xf>
    <xf numFmtId="0" fontId="40" fillId="35" borderId="16" xfId="0" applyFont="1" applyFill="1" applyBorder="1" applyAlignment="1">
      <alignment vertical="center"/>
    </xf>
    <xf numFmtId="0" fontId="40" fillId="35" borderId="16" xfId="0" applyFont="1" applyFill="1" applyBorder="1" applyAlignment="1">
      <alignment vertical="center" wrapText="1"/>
    </xf>
    <xf numFmtId="0" fontId="1" fillId="0" borderId="16" xfId="0" applyFont="1" applyBorder="1" applyAlignment="1">
      <alignment vertical="center"/>
    </xf>
    <xf numFmtId="0" fontId="1" fillId="0" borderId="16" xfId="0" applyFont="1" applyBorder="1" applyAlignment="1">
      <alignment vertical="center" wrapText="1"/>
    </xf>
    <xf numFmtId="0" fontId="1" fillId="0" borderId="32" xfId="0" applyFont="1" applyFill="1" applyBorder="1" applyAlignment="1">
      <alignment vertical="center"/>
    </xf>
    <xf numFmtId="0" fontId="1" fillId="0" borderId="0" xfId="0" applyFont="1" applyAlignment="1">
      <alignment horizontal="center"/>
    </xf>
    <xf numFmtId="0" fontId="1" fillId="0" borderId="0" xfId="0" applyFont="1" applyAlignment="1">
      <alignment horizontal="left"/>
    </xf>
    <xf numFmtId="0" fontId="1" fillId="29" borderId="0" xfId="0" applyFont="1" applyFill="1"/>
    <xf numFmtId="0" fontId="1" fillId="29" borderId="0" xfId="0" applyFont="1" applyFill="1" applyAlignment="1">
      <alignment horizontal="center"/>
    </xf>
    <xf numFmtId="0" fontId="1" fillId="29" borderId="0" xfId="0" applyFont="1" applyFill="1" applyAlignment="1">
      <alignment horizontal="left"/>
    </xf>
    <xf numFmtId="0" fontId="1" fillId="0" borderId="16" xfId="0" applyFont="1" applyBorder="1" applyAlignment="1">
      <alignment horizontal="left"/>
    </xf>
    <xf numFmtId="0" fontId="59" fillId="0" borderId="16" xfId="0" applyFont="1" applyBorder="1" applyAlignment="1">
      <alignment horizontal="left"/>
    </xf>
    <xf numFmtId="0" fontId="59" fillId="0" borderId="16" xfId="0" applyFont="1" applyBorder="1"/>
    <xf numFmtId="0" fontId="1" fillId="0" borderId="16" xfId="0" applyFont="1" applyBorder="1"/>
    <xf numFmtId="0" fontId="59" fillId="0" borderId="56" xfId="0" applyFont="1" applyBorder="1" applyAlignment="1">
      <alignment horizontal="left"/>
    </xf>
    <xf numFmtId="0" fontId="59" fillId="0" borderId="57" xfId="0" applyFont="1" applyBorder="1" applyAlignment="1">
      <alignment horizontal="left"/>
    </xf>
    <xf numFmtId="0" fontId="59" fillId="0" borderId="57" xfId="0" applyFont="1" applyBorder="1"/>
    <xf numFmtId="0" fontId="1" fillId="0" borderId="57" xfId="0" applyFont="1" applyBorder="1"/>
    <xf numFmtId="0" fontId="0" fillId="0" borderId="31" xfId="0" applyBorder="1"/>
    <xf numFmtId="0" fontId="4" fillId="29" borderId="0" xfId="0" applyFont="1" applyFill="1" applyAlignment="1">
      <alignment horizontal="left"/>
    </xf>
    <xf numFmtId="0" fontId="1" fillId="0" borderId="36" xfId="0" applyFont="1" applyBorder="1" applyAlignment="1">
      <alignment horizontal="left"/>
    </xf>
    <xf numFmtId="0" fontId="1" fillId="0" borderId="21" xfId="0" applyFont="1" applyBorder="1" applyAlignment="1">
      <alignment horizontal="left"/>
    </xf>
    <xf numFmtId="0" fontId="1" fillId="0" borderId="38" xfId="0" applyFont="1" applyBorder="1" applyAlignment="1">
      <alignment horizontal="left"/>
    </xf>
    <xf numFmtId="0" fontId="1" fillId="25" borderId="55" xfId="0" applyFont="1" applyFill="1" applyBorder="1"/>
    <xf numFmtId="0" fontId="0" fillId="24" borderId="31" xfId="0" applyFill="1" applyBorder="1"/>
    <xf numFmtId="0" fontId="1" fillId="0" borderId="16" xfId="0" applyFont="1" applyBorder="1" applyAlignment="1"/>
    <xf numFmtId="0" fontId="43" fillId="0" borderId="16" xfId="0" applyFont="1" applyBorder="1" applyAlignment="1">
      <alignment horizontal="left"/>
    </xf>
    <xf numFmtId="0" fontId="1" fillId="0" borderId="16" xfId="0" applyFont="1" applyBorder="1" applyAlignment="1">
      <alignment horizontal="center"/>
    </xf>
    <xf numFmtId="0" fontId="38" fillId="29" borderId="0" xfId="0" applyFont="1" applyFill="1" applyAlignment="1">
      <alignment horizontal="left"/>
    </xf>
    <xf numFmtId="0" fontId="1" fillId="0" borderId="35" xfId="0" applyFont="1" applyBorder="1" applyAlignment="1">
      <alignment horizontal="left"/>
    </xf>
    <xf numFmtId="0" fontId="1" fillId="0" borderId="36" xfId="0" applyFont="1" applyBorder="1"/>
    <xf numFmtId="0" fontId="1" fillId="0" borderId="20" xfId="0" applyFont="1" applyBorder="1" applyAlignment="1">
      <alignment horizontal="left"/>
    </xf>
    <xf numFmtId="0" fontId="1" fillId="24" borderId="40" xfId="0" applyFont="1" applyFill="1" applyBorder="1"/>
    <xf numFmtId="0" fontId="1" fillId="24" borderId="41" xfId="0" applyFont="1" applyFill="1" applyBorder="1"/>
    <xf numFmtId="0" fontId="2" fillId="29" borderId="0" xfId="50" applyFont="1" applyFill="1"/>
    <xf numFmtId="0" fontId="1" fillId="29" borderId="0" xfId="50" applyFill="1"/>
    <xf numFmtId="0" fontId="1" fillId="29" borderId="0" xfId="50" applyFill="1" applyAlignment="1">
      <alignment horizontal="center"/>
    </xf>
    <xf numFmtId="0" fontId="1" fillId="0" borderId="0" xfId="50"/>
    <xf numFmtId="0" fontId="1" fillId="29" borderId="0" xfId="50" applyFill="1" applyAlignment="1">
      <alignment horizontal="left"/>
    </xf>
    <xf numFmtId="0" fontId="1" fillId="28" borderId="22" xfId="50" applyFill="1" applyBorder="1"/>
    <xf numFmtId="0" fontId="1" fillId="28" borderId="23" xfId="50" applyFill="1" applyBorder="1"/>
    <xf numFmtId="0" fontId="1" fillId="29" borderId="25" xfId="50" applyFill="1" applyBorder="1"/>
    <xf numFmtId="0" fontId="1" fillId="29" borderId="26" xfId="50" applyFill="1" applyBorder="1"/>
    <xf numFmtId="0" fontId="4" fillId="29" borderId="0" xfId="50" applyFont="1" applyFill="1" applyAlignment="1">
      <alignment horizontal="left"/>
    </xf>
    <xf numFmtId="0" fontId="1" fillId="25" borderId="55" xfId="50" applyFill="1" applyBorder="1"/>
    <xf numFmtId="0" fontId="1" fillId="24" borderId="14" xfId="50" applyFill="1" applyBorder="1"/>
    <xf numFmtId="0" fontId="1" fillId="24" borderId="15" xfId="50" applyFill="1" applyBorder="1"/>
    <xf numFmtId="0" fontId="1" fillId="0" borderId="58" xfId="50" applyBorder="1" applyAlignment="1">
      <alignment horizontal="left"/>
    </xf>
    <xf numFmtId="0" fontId="43" fillId="0" borderId="24" xfId="0" applyFont="1" applyBorder="1" applyAlignment="1">
      <alignment horizontal="left"/>
    </xf>
    <xf numFmtId="0" fontId="1" fillId="0" borderId="16" xfId="50" applyBorder="1" applyAlignment="1">
      <alignment horizontal="left"/>
    </xf>
    <xf numFmtId="0" fontId="1" fillId="0" borderId="59" xfId="50" applyBorder="1" applyAlignment="1">
      <alignment horizontal="left"/>
    </xf>
    <xf numFmtId="0" fontId="43" fillId="0" borderId="33" xfId="0" applyFont="1" applyBorder="1" applyAlignment="1">
      <alignment horizontal="left"/>
    </xf>
    <xf numFmtId="0" fontId="43" fillId="0" borderId="26" xfId="0" applyFont="1" applyBorder="1" applyAlignment="1">
      <alignment horizontal="left"/>
    </xf>
    <xf numFmtId="0" fontId="38" fillId="29" borderId="0" xfId="50" applyFont="1" applyFill="1" applyAlignment="1">
      <alignment horizontal="left"/>
    </xf>
    <xf numFmtId="0" fontId="1" fillId="0" borderId="51" xfId="50" applyBorder="1" applyAlignment="1">
      <alignment horizontal="left"/>
    </xf>
    <xf numFmtId="0" fontId="1" fillId="0" borderId="16" xfId="50" applyBorder="1"/>
    <xf numFmtId="0" fontId="1" fillId="0" borderId="0" xfId="50" applyAlignment="1">
      <alignment horizontal="center"/>
    </xf>
    <xf numFmtId="0" fontId="43" fillId="0" borderId="60" xfId="0" applyFont="1" applyBorder="1" applyAlignment="1">
      <alignment horizontal="left"/>
    </xf>
    <xf numFmtId="0" fontId="1" fillId="0" borderId="60" xfId="50" applyBorder="1" applyAlignment="1">
      <alignment horizontal="left"/>
    </xf>
    <xf numFmtId="0" fontId="1" fillId="25" borderId="22" xfId="50" applyFill="1" applyBorder="1"/>
    <xf numFmtId="0" fontId="1" fillId="24" borderId="29" xfId="50" applyFill="1" applyBorder="1"/>
    <xf numFmtId="0" fontId="1" fillId="24" borderId="23" xfId="50" applyFill="1" applyBorder="1"/>
    <xf numFmtId="3" fontId="43" fillId="0" borderId="16" xfId="0" applyNumberFormat="1" applyFont="1" applyBorder="1" applyAlignment="1">
      <alignment horizontal="left"/>
    </xf>
    <xf numFmtId="3" fontId="43" fillId="0" borderId="60" xfId="0" applyNumberFormat="1" applyFont="1" applyBorder="1" applyAlignment="1">
      <alignment horizontal="left"/>
    </xf>
    <xf numFmtId="0" fontId="1" fillId="0" borderId="0" xfId="50" applyAlignment="1">
      <alignment horizontal="left"/>
    </xf>
    <xf numFmtId="0" fontId="1" fillId="0" borderId="0" xfId="49"/>
    <xf numFmtId="0" fontId="21" fillId="0" borderId="0" xfId="49" applyFont="1"/>
    <xf numFmtId="0" fontId="54" fillId="31" borderId="0" xfId="49" applyFont="1" applyFill="1"/>
    <xf numFmtId="0" fontId="55" fillId="31" borderId="0" xfId="49" applyFont="1" applyFill="1"/>
    <xf numFmtId="0" fontId="1" fillId="0" borderId="34" xfId="49" applyBorder="1"/>
    <xf numFmtId="0" fontId="1" fillId="0" borderId="54" xfId="49" applyBorder="1"/>
    <xf numFmtId="0" fontId="1" fillId="0" borderId="47" xfId="49" applyBorder="1"/>
    <xf numFmtId="0" fontId="1" fillId="0" borderId="47" xfId="49" applyBorder="1" applyAlignment="1">
      <alignment horizontal="left"/>
    </xf>
    <xf numFmtId="0" fontId="1" fillId="0" borderId="0" xfId="49" applyAlignment="1">
      <alignment horizontal="left"/>
    </xf>
    <xf numFmtId="0" fontId="1" fillId="28" borderId="49" xfId="49" applyFill="1" applyBorder="1"/>
    <xf numFmtId="0" fontId="59" fillId="0" borderId="36" xfId="50" applyFont="1" applyBorder="1" applyAlignment="1">
      <alignment horizontal="center"/>
    </xf>
    <xf numFmtId="0" fontId="59" fillId="0" borderId="36" xfId="50" applyFont="1" applyBorder="1" applyAlignment="1">
      <alignment horizontal="left"/>
    </xf>
    <xf numFmtId="0" fontId="43" fillId="0" borderId="0" xfId="0" applyFont="1" applyAlignment="1">
      <alignment horizontal="left"/>
    </xf>
    <xf numFmtId="0" fontId="59" fillId="0" borderId="0" xfId="50" applyFont="1" applyAlignment="1">
      <alignment horizontal="left"/>
    </xf>
    <xf numFmtId="0" fontId="1" fillId="24" borderId="24" xfId="50" applyFill="1" applyBorder="1"/>
    <xf numFmtId="0" fontId="1" fillId="24" borderId="16" xfId="50" applyFill="1" applyBorder="1"/>
    <xf numFmtId="0" fontId="1" fillId="24" borderId="16" xfId="50" applyFill="1" applyBorder="1" applyAlignment="1">
      <alignment horizontal="center"/>
    </xf>
    <xf numFmtId="0" fontId="1" fillId="25" borderId="48" xfId="50" applyFill="1" applyBorder="1"/>
    <xf numFmtId="0" fontId="59" fillId="0" borderId="16" xfId="50" applyFont="1" applyBorder="1" applyAlignment="1">
      <alignment horizontal="left"/>
    </xf>
    <xf numFmtId="0" fontId="59" fillId="0" borderId="16" xfId="50" applyFont="1" applyBorder="1" applyAlignment="1"/>
    <xf numFmtId="0" fontId="59" fillId="0" borderId="0" xfId="50" applyFont="1"/>
    <xf numFmtId="0" fontId="1" fillId="25" borderId="16" xfId="50" applyFill="1" applyBorder="1"/>
    <xf numFmtId="0" fontId="1" fillId="0" borderId="44" xfId="50" applyBorder="1" applyAlignment="1">
      <alignment horizontal="left"/>
    </xf>
    <xf numFmtId="0" fontId="1" fillId="0" borderId="21" xfId="50" applyBorder="1" applyAlignment="1">
      <alignment horizontal="left"/>
    </xf>
    <xf numFmtId="0" fontId="1" fillId="0" borderId="20" xfId="50" applyBorder="1" applyAlignment="1">
      <alignment horizontal="left"/>
    </xf>
    <xf numFmtId="0" fontId="1" fillId="0" borderId="37" xfId="50" applyBorder="1" applyAlignment="1">
      <alignment horizontal="left"/>
    </xf>
    <xf numFmtId="0" fontId="1" fillId="0" borderId="36" xfId="50" applyBorder="1" applyAlignment="1">
      <alignment horizontal="left"/>
    </xf>
    <xf numFmtId="0" fontId="1" fillId="0" borderId="35" xfId="50" applyBorder="1" applyAlignment="1">
      <alignment horizontal="left"/>
    </xf>
    <xf numFmtId="0" fontId="1" fillId="0" borderId="19" xfId="50" applyBorder="1" applyAlignment="1">
      <alignment horizontal="left"/>
    </xf>
    <xf numFmtId="0" fontId="1" fillId="0" borderId="18" xfId="50" applyBorder="1" applyAlignment="1">
      <alignment horizontal="left"/>
    </xf>
    <xf numFmtId="0" fontId="1" fillId="0" borderId="18" xfId="50" applyBorder="1"/>
    <xf numFmtId="0" fontId="1" fillId="0" borderId="17" xfId="50" applyBorder="1" applyAlignment="1">
      <alignment horizontal="left"/>
    </xf>
    <xf numFmtId="0" fontId="1" fillId="25" borderId="62" xfId="50" applyFill="1" applyBorder="1"/>
    <xf numFmtId="0" fontId="58" fillId="0" borderId="16" xfId="50" applyFont="1" applyBorder="1" applyAlignment="1">
      <alignment vertical="center" wrapText="1"/>
    </xf>
    <xf numFmtId="0" fontId="58" fillId="0" borderId="16" xfId="50" applyFont="1" applyBorder="1" applyAlignment="1">
      <alignment vertical="center"/>
    </xf>
    <xf numFmtId="0" fontId="58" fillId="0" borderId="16" xfId="50" applyFont="1" applyBorder="1" applyAlignment="1">
      <alignment horizontal="center" vertical="center"/>
    </xf>
    <xf numFmtId="0" fontId="56" fillId="24" borderId="16" xfId="50" applyFont="1" applyFill="1" applyBorder="1" applyAlignment="1">
      <alignment vertical="center"/>
    </xf>
    <xf numFmtId="0" fontId="56" fillId="24" borderId="16" xfId="50" applyFont="1" applyFill="1" applyBorder="1" applyAlignment="1">
      <alignment horizontal="center" vertical="center"/>
    </xf>
    <xf numFmtId="0" fontId="57" fillId="33" borderId="16" xfId="50" applyFont="1" applyFill="1" applyBorder="1" applyAlignment="1">
      <alignment horizontal="center" vertical="center" wrapText="1"/>
    </xf>
    <xf numFmtId="0" fontId="57" fillId="34" borderId="16" xfId="50" applyFont="1" applyFill="1" applyBorder="1" applyAlignment="1">
      <alignment horizontal="center" vertical="center" wrapText="1"/>
    </xf>
    <xf numFmtId="0" fontId="56" fillId="32" borderId="16" xfId="50" applyFont="1" applyFill="1" applyBorder="1" applyAlignment="1">
      <alignment horizontal="center" vertical="center"/>
    </xf>
    <xf numFmtId="0" fontId="57" fillId="32" borderId="16" xfId="50" applyFont="1" applyFill="1" applyBorder="1" applyAlignment="1">
      <alignment horizontal="center" vertical="center" wrapText="1"/>
    </xf>
    <xf numFmtId="0" fontId="56" fillId="0" borderId="16" xfId="50" applyFont="1" applyBorder="1" applyAlignment="1">
      <alignment horizontal="center" vertical="center"/>
    </xf>
    <xf numFmtId="0" fontId="57" fillId="0" borderId="16" xfId="50" applyFont="1" applyBorder="1" applyAlignment="1">
      <alignment horizontal="center" vertical="center" wrapText="1"/>
    </xf>
    <xf numFmtId="0" fontId="37" fillId="0" borderId="33" xfId="0" applyFont="1" applyBorder="1"/>
    <xf numFmtId="0" fontId="1" fillId="0" borderId="36" xfId="50" applyBorder="1"/>
    <xf numFmtId="0" fontId="1" fillId="25" borderId="12" xfId="50" applyFill="1" applyBorder="1"/>
    <xf numFmtId="0" fontId="3" fillId="29" borderId="0" xfId="50" applyFont="1" applyFill="1"/>
    <xf numFmtId="0" fontId="3" fillId="29" borderId="10" xfId="50" applyFont="1" applyFill="1" applyBorder="1"/>
    <xf numFmtId="0" fontId="1" fillId="0" borderId="16" xfId="50" applyFont="1" applyBorder="1" applyAlignment="1">
      <alignment horizontal="left"/>
    </xf>
    <xf numFmtId="0" fontId="1" fillId="0" borderId="18" xfId="0" applyFont="1" applyBorder="1" applyAlignment="1">
      <alignment horizontal="left"/>
    </xf>
    <xf numFmtId="0" fontId="1" fillId="0" borderId="0" xfId="50" applyBorder="1" applyAlignment="1">
      <alignment horizontal="left"/>
    </xf>
    <xf numFmtId="0" fontId="59" fillId="0" borderId="0" xfId="50" applyFont="1" applyBorder="1" applyAlignment="1">
      <alignment horizontal="left"/>
    </xf>
    <xf numFmtId="0" fontId="59" fillId="0" borderId="16" xfId="50" applyFont="1" applyBorder="1"/>
    <xf numFmtId="0" fontId="59" fillId="0" borderId="21" xfId="0" applyFont="1" applyBorder="1" applyAlignment="1">
      <alignment horizontal="left"/>
    </xf>
    <xf numFmtId="0" fontId="2" fillId="0" borderId="0" xfId="50" applyFont="1"/>
    <xf numFmtId="0" fontId="1" fillId="28" borderId="16" xfId="50" applyFill="1" applyBorder="1"/>
    <xf numFmtId="0" fontId="1" fillId="29" borderId="16" xfId="50" applyFill="1" applyBorder="1"/>
    <xf numFmtId="0" fontId="1" fillId="25" borderId="55" xfId="50" applyFill="1" applyBorder="1" applyAlignment="1">
      <alignment wrapText="1"/>
    </xf>
    <xf numFmtId="0" fontId="1" fillId="24" borderId="31" xfId="50" applyFill="1" applyBorder="1"/>
    <xf numFmtId="0" fontId="43" fillId="0" borderId="16" xfId="50" applyFont="1" applyBorder="1" applyAlignment="1">
      <alignment horizontal="left"/>
    </xf>
    <xf numFmtId="0" fontId="1" fillId="0" borderId="16" xfId="50" applyFont="1" applyBorder="1"/>
    <xf numFmtId="0" fontId="2" fillId="29" borderId="0" xfId="50" applyFont="1" applyFill="1" applyAlignment="1">
      <alignment vertical="center"/>
    </xf>
    <xf numFmtId="0" fontId="1" fillId="29" borderId="0" xfId="50" applyFill="1" applyAlignment="1">
      <alignment vertical="center"/>
    </xf>
    <xf numFmtId="0" fontId="1" fillId="0" borderId="0" xfId="50" applyAlignment="1">
      <alignment vertical="center"/>
    </xf>
    <xf numFmtId="0" fontId="1" fillId="29" borderId="0" xfId="50" applyFill="1" applyAlignment="1">
      <alignment horizontal="left" vertical="center"/>
    </xf>
    <xf numFmtId="0" fontId="1" fillId="28" borderId="22" xfId="50" applyFill="1" applyBorder="1" applyAlignment="1">
      <alignment vertical="center"/>
    </xf>
    <xf numFmtId="0" fontId="1" fillId="28" borderId="23" xfId="50" applyFill="1" applyBorder="1" applyAlignment="1">
      <alignment vertical="center"/>
    </xf>
    <xf numFmtId="0" fontId="1" fillId="29" borderId="25" xfId="50" applyFill="1" applyBorder="1" applyAlignment="1">
      <alignment vertical="center"/>
    </xf>
    <xf numFmtId="0" fontId="1" fillId="29" borderId="26" xfId="50" applyFill="1" applyBorder="1" applyAlignment="1">
      <alignment vertical="center"/>
    </xf>
    <xf numFmtId="0" fontId="4" fillId="29" borderId="0" xfId="50" applyFont="1" applyFill="1" applyAlignment="1">
      <alignment horizontal="left" vertical="center"/>
    </xf>
    <xf numFmtId="0" fontId="3" fillId="25" borderId="13" xfId="50" applyFont="1" applyFill="1" applyBorder="1" applyAlignment="1">
      <alignment vertical="center" wrapText="1"/>
    </xf>
    <xf numFmtId="0" fontId="1" fillId="36" borderId="14" xfId="50" applyFill="1" applyBorder="1" applyAlignment="1">
      <alignment vertical="center"/>
    </xf>
    <xf numFmtId="0" fontId="1" fillId="36" borderId="15" xfId="50" applyFill="1" applyBorder="1" applyAlignment="1">
      <alignment vertical="center"/>
    </xf>
    <xf numFmtId="0" fontId="59" fillId="0" borderId="0" xfId="0" applyFont="1" applyAlignment="1">
      <alignment horizontal="left"/>
    </xf>
    <xf numFmtId="0" fontId="59" fillId="0" borderId="36" xfId="0" applyFont="1" applyBorder="1" applyAlignment="1">
      <alignment horizontal="left"/>
    </xf>
    <xf numFmtId="0" fontId="59" fillId="0" borderId="36" xfId="0" applyFont="1" applyBorder="1"/>
    <xf numFmtId="0" fontId="59" fillId="29" borderId="0" xfId="0" applyFont="1" applyFill="1"/>
    <xf numFmtId="0" fontId="59" fillId="0" borderId="16" xfId="0" applyFont="1" applyBorder="1" applyAlignment="1"/>
    <xf numFmtId="0" fontId="59" fillId="0" borderId="35" xfId="0" applyFont="1" applyBorder="1" applyAlignment="1">
      <alignment horizontal="left"/>
    </xf>
    <xf numFmtId="0" fontId="59" fillId="0" borderId="20" xfId="0" applyFont="1" applyBorder="1" applyAlignment="1">
      <alignment horizontal="left"/>
    </xf>
    <xf numFmtId="0" fontId="59" fillId="29" borderId="0" xfId="0" applyFont="1" applyFill="1" applyAlignment="1">
      <alignment horizontal="left"/>
    </xf>
    <xf numFmtId="0" fontId="1" fillId="29" borderId="16" xfId="50" applyFill="1" applyBorder="1" applyAlignment="1">
      <alignment horizontal="left"/>
    </xf>
    <xf numFmtId="0" fontId="18" fillId="29" borderId="16" xfId="31" applyFont="1" applyFill="1" applyBorder="1" applyAlignment="1">
      <alignment horizontal="left" wrapText="1"/>
    </xf>
    <xf numFmtId="0" fontId="1" fillId="24" borderId="31" xfId="0" applyFont="1" applyFill="1" applyBorder="1"/>
    <xf numFmtId="0" fontId="2" fillId="0" borderId="0" xfId="0" applyFont="1" applyAlignment="1">
      <alignment vertical="center"/>
    </xf>
    <xf numFmtId="0" fontId="1" fillId="29" borderId="0" xfId="0" applyFont="1" applyFill="1" applyAlignment="1">
      <alignment vertical="center"/>
    </xf>
    <xf numFmtId="0" fontId="0" fillId="28" borderId="16" xfId="0" applyFill="1" applyBorder="1" applyAlignment="1">
      <alignment vertical="center"/>
    </xf>
    <xf numFmtId="0" fontId="0" fillId="29" borderId="16" xfId="0" applyFill="1" applyBorder="1" applyAlignment="1">
      <alignment vertical="center"/>
    </xf>
    <xf numFmtId="0" fontId="0" fillId="29" borderId="0" xfId="0" applyFill="1" applyAlignment="1">
      <alignment vertical="center"/>
    </xf>
    <xf numFmtId="0" fontId="4" fillId="29" borderId="0" xfId="0" applyFont="1" applyFill="1" applyAlignment="1">
      <alignment horizontal="left" vertical="center"/>
    </xf>
    <xf numFmtId="0" fontId="1" fillId="25" borderId="63" xfId="0" applyFont="1" applyFill="1" applyBorder="1" applyAlignment="1">
      <alignment vertical="center"/>
    </xf>
    <xf numFmtId="0" fontId="1" fillId="25" borderId="64" xfId="0" applyFont="1" applyFill="1" applyBorder="1" applyAlignment="1">
      <alignment vertical="center"/>
    </xf>
    <xf numFmtId="0" fontId="1" fillId="25" borderId="65" xfId="0" applyFont="1" applyFill="1" applyBorder="1" applyAlignment="1">
      <alignment vertical="center"/>
    </xf>
    <xf numFmtId="0" fontId="0" fillId="24" borderId="66" xfId="0" applyFill="1" applyBorder="1" applyAlignment="1">
      <alignment vertical="center"/>
    </xf>
    <xf numFmtId="0" fontId="0" fillId="24" borderId="64" xfId="0" applyFill="1" applyBorder="1" applyAlignment="1">
      <alignment vertical="center"/>
    </xf>
    <xf numFmtId="0" fontId="0" fillId="24" borderId="65" xfId="0" applyFill="1" applyBorder="1" applyAlignment="1">
      <alignment vertical="center"/>
    </xf>
    <xf numFmtId="0" fontId="43" fillId="0" borderId="67" xfId="0" applyFont="1" applyBorder="1" applyAlignment="1">
      <alignment horizontal="left" vertical="center"/>
    </xf>
    <xf numFmtId="0" fontId="43" fillId="0" borderId="27" xfId="0" applyFont="1" applyBorder="1" applyAlignment="1">
      <alignment horizontal="left" vertical="center"/>
    </xf>
    <xf numFmtId="0" fontId="43" fillId="0" borderId="28" xfId="0" applyFont="1" applyBorder="1" applyAlignment="1">
      <alignment horizontal="left" vertical="center"/>
    </xf>
    <xf numFmtId="0" fontId="43" fillId="0" borderId="51" xfId="0" applyFont="1" applyBorder="1" applyAlignment="1">
      <alignment horizontal="left" vertical="center"/>
    </xf>
    <xf numFmtId="0" fontId="43" fillId="0" borderId="16" xfId="0" applyFont="1" applyBorder="1" applyAlignment="1">
      <alignment horizontal="left" vertical="center"/>
    </xf>
    <xf numFmtId="0" fontId="43" fillId="0" borderId="24" xfId="0" applyFont="1" applyBorder="1" applyAlignment="1">
      <alignment horizontal="left" vertical="center"/>
    </xf>
    <xf numFmtId="0" fontId="43" fillId="0" borderId="41" xfId="0" applyFont="1" applyBorder="1" applyAlignment="1">
      <alignment horizontal="left" vertical="center"/>
    </xf>
    <xf numFmtId="0" fontId="43" fillId="0" borderId="25" xfId="0" applyFont="1" applyBorder="1" applyAlignment="1">
      <alignment horizontal="left" vertical="center"/>
    </xf>
    <xf numFmtId="0" fontId="43" fillId="0" borderId="33" xfId="0" applyFont="1" applyBorder="1" applyAlignment="1">
      <alignment horizontal="left" vertical="center"/>
    </xf>
    <xf numFmtId="0" fontId="43" fillId="0" borderId="26" xfId="0" applyFont="1" applyBorder="1" applyAlignment="1">
      <alignment horizontal="left" vertical="center"/>
    </xf>
    <xf numFmtId="0" fontId="43" fillId="0" borderId="68" xfId="0" applyFont="1" applyBorder="1" applyAlignment="1">
      <alignment horizontal="left" vertical="center"/>
    </xf>
    <xf numFmtId="0" fontId="1" fillId="0" borderId="0" xfId="0" applyFont="1" applyAlignment="1">
      <alignment horizontal="left" vertical="center"/>
    </xf>
    <xf numFmtId="0" fontId="1" fillId="0" borderId="0" xfId="0" applyFont="1" applyAlignment="1">
      <alignment vertical="center"/>
    </xf>
    <xf numFmtId="0" fontId="37" fillId="0" borderId="0" xfId="0" applyFont="1"/>
    <xf numFmtId="0" fontId="60" fillId="0" borderId="0" xfId="0" applyFont="1"/>
    <xf numFmtId="0" fontId="59" fillId="0" borderId="16" xfId="0" applyFont="1" applyBorder="1" applyAlignment="1">
      <alignment horizontal="left" vertical="center"/>
    </xf>
    <xf numFmtId="0" fontId="59" fillId="0" borderId="39" xfId="0" applyFont="1" applyBorder="1" applyAlignment="1">
      <alignment horizontal="left"/>
    </xf>
    <xf numFmtId="0" fontId="61" fillId="0" borderId="0" xfId="0" applyFont="1"/>
    <xf numFmtId="0" fontId="59" fillId="0" borderId="18" xfId="50" applyFont="1" applyBorder="1" applyAlignment="1">
      <alignment horizontal="left"/>
    </xf>
    <xf numFmtId="164" fontId="49" fillId="0" borderId="0" xfId="27" applyFont="1" applyAlignment="1">
      <alignment horizontal="center" wrapText="1"/>
    </xf>
    <xf numFmtId="164" fontId="11" fillId="0" borderId="50" xfId="27" applyFont="1" applyBorder="1" applyAlignment="1">
      <alignment horizontal="center"/>
    </xf>
    <xf numFmtId="164" fontId="12" fillId="0" borderId="0" xfId="27" applyFont="1" applyAlignment="1">
      <alignment horizontal="center"/>
    </xf>
    <xf numFmtId="164" fontId="51" fillId="0" borderId="0" xfId="27" applyFont="1" applyAlignment="1">
      <alignment horizontal="center"/>
    </xf>
    <xf numFmtId="164" fontId="50" fillId="0" borderId="0" xfId="27" applyFont="1" applyAlignment="1">
      <alignment horizontal="center"/>
    </xf>
    <xf numFmtId="164" fontId="12" fillId="0" borderId="0" xfId="27" applyFont="1" applyAlignment="1">
      <alignment horizontal="right"/>
    </xf>
    <xf numFmtId="0" fontId="46" fillId="0" borderId="0" xfId="27" applyNumberFormat="1" applyFont="1" applyAlignment="1">
      <alignment horizontal="center"/>
    </xf>
    <xf numFmtId="164" fontId="52" fillId="0" borderId="0" xfId="27" applyFont="1" applyAlignment="1">
      <alignment horizontal="right"/>
    </xf>
    <xf numFmtId="164" fontId="47" fillId="0" borderId="0" xfId="27" applyFont="1" applyAlignment="1">
      <alignment horizontal="center"/>
    </xf>
    <xf numFmtId="164" fontId="53" fillId="0" borderId="0" xfId="27" applyFont="1" applyAlignment="1">
      <alignment horizontal="right"/>
    </xf>
    <xf numFmtId="0" fontId="6" fillId="0" borderId="16" xfId="0" applyFont="1" applyFill="1" applyBorder="1" applyAlignment="1">
      <alignment horizontal="left" vertical="top"/>
    </xf>
    <xf numFmtId="0" fontId="10" fillId="24" borderId="16" xfId="0" applyFont="1" applyFill="1" applyBorder="1" applyAlignment="1">
      <alignment horizontal="left" vertical="top"/>
    </xf>
    <xf numFmtId="0" fontId="10" fillId="24" borderId="43" xfId="0" applyFont="1" applyFill="1" applyBorder="1" applyAlignment="1">
      <alignment horizontal="left" vertical="top" wrapText="1"/>
    </xf>
    <xf numFmtId="0" fontId="10" fillId="24" borderId="41" xfId="0" applyFont="1" applyFill="1" applyBorder="1" applyAlignment="1">
      <alignment horizontal="left" vertical="top" wrapText="1"/>
    </xf>
    <xf numFmtId="0" fontId="40" fillId="27" borderId="11" xfId="0" applyFont="1" applyFill="1" applyBorder="1" applyAlignment="1">
      <alignment horizontal="left" vertical="center"/>
    </xf>
    <xf numFmtId="0" fontId="40" fillId="27" borderId="47" xfId="0" applyFont="1" applyFill="1" applyBorder="1" applyAlignment="1">
      <alignment horizontal="left" vertical="center"/>
    </xf>
    <xf numFmtId="0" fontId="40" fillId="27" borderId="12" xfId="0" applyFont="1" applyFill="1" applyBorder="1" applyAlignment="1">
      <alignment horizontal="left" vertical="center"/>
    </xf>
    <xf numFmtId="0" fontId="3" fillId="24" borderId="11" xfId="49" applyFont="1" applyFill="1" applyBorder="1" applyAlignment="1">
      <alignment horizontal="left" vertical="top"/>
    </xf>
    <xf numFmtId="0" fontId="3" fillId="24" borderId="47" xfId="49" applyFont="1" applyFill="1" applyBorder="1" applyAlignment="1">
      <alignment horizontal="left" vertical="top"/>
    </xf>
    <xf numFmtId="0" fontId="1" fillId="0" borderId="47" xfId="49" applyBorder="1" applyAlignment="1">
      <alignment horizontal="left" vertical="top" wrapText="1"/>
    </xf>
    <xf numFmtId="0" fontId="1" fillId="0" borderId="12" xfId="49" applyBorder="1" applyAlignment="1">
      <alignment horizontal="left" vertical="top" wrapText="1"/>
    </xf>
    <xf numFmtId="0" fontId="3" fillId="24" borderId="51" xfId="49" applyFont="1" applyFill="1" applyBorder="1" applyAlignment="1">
      <alignment horizontal="left" vertical="top" wrapText="1"/>
    </xf>
    <xf numFmtId="0" fontId="3" fillId="24" borderId="16" xfId="49" applyFont="1" applyFill="1" applyBorder="1" applyAlignment="1">
      <alignment horizontal="left" vertical="top" wrapText="1"/>
    </xf>
    <xf numFmtId="0" fontId="1" fillId="0" borderId="41" xfId="49" applyBorder="1" applyAlignment="1">
      <alignment horizontal="left" vertical="top" wrapText="1"/>
    </xf>
    <xf numFmtId="0" fontId="1" fillId="0" borderId="16" xfId="49" applyBorder="1" applyAlignment="1">
      <alignment horizontal="left" vertical="top" wrapText="1"/>
    </xf>
    <xf numFmtId="0" fontId="1" fillId="0" borderId="24" xfId="49" applyBorder="1" applyAlignment="1">
      <alignment horizontal="left" vertical="top" wrapText="1"/>
    </xf>
    <xf numFmtId="0" fontId="1" fillId="28" borderId="22" xfId="49" applyFill="1" applyBorder="1"/>
    <xf numFmtId="0" fontId="1" fillId="28" borderId="29" xfId="49" applyFill="1" applyBorder="1"/>
    <xf numFmtId="0" fontId="1" fillId="28" borderId="53" xfId="49" applyFill="1" applyBorder="1"/>
    <xf numFmtId="0" fontId="2" fillId="0" borderId="0" xfId="49" applyFont="1"/>
    <xf numFmtId="0" fontId="3" fillId="25" borderId="11" xfId="49" applyFont="1" applyFill="1" applyBorder="1"/>
    <xf numFmtId="0" fontId="3" fillId="25" borderId="47" xfId="49" applyFont="1" applyFill="1" applyBorder="1"/>
    <xf numFmtId="0" fontId="3" fillId="25" borderId="12" xfId="49" applyFont="1" applyFill="1" applyBorder="1"/>
    <xf numFmtId="0" fontId="3" fillId="24" borderId="22" xfId="49" applyFont="1" applyFill="1" applyBorder="1" applyAlignment="1">
      <alignment horizontal="left" vertical="top"/>
    </xf>
    <xf numFmtId="0" fontId="3" fillId="24" borderId="29" xfId="49" applyFont="1" applyFill="1" applyBorder="1" applyAlignment="1">
      <alignment horizontal="left" vertical="top"/>
    </xf>
    <xf numFmtId="0" fontId="1" fillId="0" borderId="42" xfId="49" applyBorder="1" applyAlignment="1">
      <alignment horizontal="left" vertical="top" wrapText="1"/>
    </xf>
    <xf numFmtId="0" fontId="1" fillId="0" borderId="27" xfId="49" applyBorder="1" applyAlignment="1">
      <alignment horizontal="left" vertical="top" wrapText="1"/>
    </xf>
    <xf numFmtId="0" fontId="1" fillId="0" borderId="28" xfId="49" applyBorder="1" applyAlignment="1">
      <alignment horizontal="left" vertical="top" wrapText="1"/>
    </xf>
    <xf numFmtId="0" fontId="1" fillId="0" borderId="25" xfId="49" applyBorder="1"/>
    <xf numFmtId="0" fontId="1" fillId="0" borderId="33" xfId="0" applyFont="1" applyBorder="1" applyAlignment="1"/>
    <xf numFmtId="0" fontId="1" fillId="0" borderId="52" xfId="0" applyFont="1" applyBorder="1" applyAlignment="1"/>
    <xf numFmtId="0" fontId="1" fillId="0" borderId="41" xfId="49" applyFill="1" applyBorder="1" applyAlignment="1">
      <alignment horizontal="left" vertical="top" wrapText="1"/>
    </xf>
    <xf numFmtId="0" fontId="1" fillId="0" borderId="16" xfId="49" applyFill="1" applyBorder="1" applyAlignment="1">
      <alignment horizontal="left" vertical="top" wrapText="1"/>
    </xf>
    <xf numFmtId="0" fontId="1" fillId="0" borderId="24" xfId="49" applyFill="1" applyBorder="1" applyAlignment="1">
      <alignment horizontal="left" vertical="top" wrapText="1"/>
    </xf>
    <xf numFmtId="0" fontId="1" fillId="0" borderId="33" xfId="50" applyBorder="1" applyAlignment="1"/>
    <xf numFmtId="0" fontId="1" fillId="0" borderId="52" xfId="50" applyBorder="1" applyAlignment="1"/>
    <xf numFmtId="0" fontId="61" fillId="0" borderId="0" xfId="0" applyFont="1" applyBorder="1"/>
    <xf numFmtId="0" fontId="1" fillId="0" borderId="33" xfId="50" applyFont="1" applyBorder="1" applyAlignment="1">
      <alignment horizontal="left"/>
    </xf>
    <xf numFmtId="0" fontId="59" fillId="0" borderId="33" xfId="50" applyFont="1" applyBorder="1" applyAlignment="1">
      <alignment horizontal="left"/>
    </xf>
    <xf numFmtId="0" fontId="61" fillId="0" borderId="34" xfId="0" applyFont="1" applyBorder="1"/>
    <xf numFmtId="0" fontId="1" fillId="24" borderId="61" xfId="50" applyFill="1" applyBorder="1"/>
    <xf numFmtId="0" fontId="1" fillId="0" borderId="70" xfId="50" applyFont="1" applyBorder="1" applyAlignment="1">
      <alignment horizontal="left"/>
    </xf>
    <xf numFmtId="0" fontId="59" fillId="0" borderId="71" xfId="50" applyFont="1" applyBorder="1" applyAlignment="1">
      <alignment horizontal="left"/>
    </xf>
    <xf numFmtId="0" fontId="61" fillId="0" borderId="72" xfId="0" applyFont="1" applyBorder="1"/>
    <xf numFmtId="0" fontId="1" fillId="0" borderId="69" xfId="50" applyFont="1" applyBorder="1" applyAlignment="1">
      <alignment horizontal="left"/>
    </xf>
    <xf numFmtId="0" fontId="59" fillId="0" borderId="34" xfId="50" applyFont="1" applyBorder="1" applyAlignment="1">
      <alignment horizontal="left"/>
    </xf>
    <xf numFmtId="0" fontId="61" fillId="0" borderId="45" xfId="0" applyFont="1" applyBorder="1"/>
    <xf numFmtId="0" fontId="1" fillId="25" borderId="70" xfId="50" applyFill="1" applyBorder="1"/>
    <xf numFmtId="0" fontId="1" fillId="25" borderId="71" xfId="50" applyFill="1" applyBorder="1"/>
    <xf numFmtId="0" fontId="1" fillId="25" borderId="72" xfId="50" applyFill="1" applyBorder="1"/>
    <xf numFmtId="0" fontId="59" fillId="0" borderId="69" xfId="50" applyFont="1" applyBorder="1" applyAlignment="1">
      <alignment horizontal="left"/>
    </xf>
    <xf numFmtId="0" fontId="1" fillId="0" borderId="34" xfId="50" applyBorder="1" applyAlignment="1">
      <alignment horizontal="left"/>
    </xf>
    <xf numFmtId="0" fontId="1" fillId="0" borderId="45" xfId="50" applyBorder="1" applyAlignment="1">
      <alignment horizontal="left"/>
    </xf>
    <xf numFmtId="0" fontId="1" fillId="0" borderId="70" xfId="50" applyBorder="1" applyAlignment="1">
      <alignment horizontal="left"/>
    </xf>
    <xf numFmtId="0" fontId="1" fillId="0" borderId="69" xfId="50" applyBorder="1" applyAlignment="1">
      <alignment horizontal="left"/>
    </xf>
    <xf numFmtId="0" fontId="1" fillId="0" borderId="75" xfId="0" applyFont="1" applyBorder="1" applyAlignment="1">
      <alignment horizontal="left"/>
    </xf>
    <xf numFmtId="0" fontId="59" fillId="0" borderId="70" xfId="0" applyFont="1" applyBorder="1" applyAlignment="1">
      <alignment horizontal="left"/>
    </xf>
    <xf numFmtId="0" fontId="1" fillId="0" borderId="71" xfId="0" applyFont="1" applyBorder="1" applyAlignment="1">
      <alignment horizontal="left"/>
    </xf>
    <xf numFmtId="0" fontId="1" fillId="0" borderId="72" xfId="0" applyFont="1" applyBorder="1" applyAlignment="1">
      <alignment horizontal="left" wrapText="1"/>
    </xf>
    <xf numFmtId="0" fontId="59" fillId="0" borderId="69" xfId="0" applyFont="1" applyBorder="1" applyAlignment="1">
      <alignment horizontal="left"/>
    </xf>
    <xf numFmtId="0" fontId="1" fillId="0" borderId="34" xfId="0" applyFont="1" applyBorder="1" applyAlignment="1">
      <alignment horizontal="left"/>
    </xf>
    <xf numFmtId="0" fontId="1" fillId="0" borderId="45" xfId="0" applyFont="1" applyBorder="1" applyAlignment="1">
      <alignment horizontal="left"/>
    </xf>
    <xf numFmtId="0" fontId="43" fillId="0" borderId="0" xfId="0" applyFont="1" applyBorder="1"/>
    <xf numFmtId="0" fontId="43" fillId="0" borderId="0" xfId="0" applyFont="1" applyBorder="1" applyAlignment="1">
      <alignment horizontal="left"/>
    </xf>
    <xf numFmtId="0" fontId="1" fillId="25" borderId="70" xfId="0" applyFont="1" applyFill="1" applyBorder="1"/>
    <xf numFmtId="0" fontId="3" fillId="24" borderId="71" xfId="0" applyFont="1" applyFill="1" applyBorder="1" applyAlignment="1">
      <alignment wrapText="1" shrinkToFit="1"/>
    </xf>
    <xf numFmtId="0" fontId="0" fillId="24" borderId="71" xfId="0" applyFill="1" applyBorder="1"/>
    <xf numFmtId="0" fontId="0" fillId="24" borderId="72" xfId="0" applyFill="1" applyBorder="1"/>
    <xf numFmtId="0" fontId="1" fillId="0" borderId="73" xfId="0" applyFont="1" applyBorder="1" applyAlignment="1"/>
    <xf numFmtId="0" fontId="43" fillId="0" borderId="74" xfId="0" applyFont="1" applyBorder="1" applyAlignment="1">
      <alignment horizontal="left"/>
    </xf>
    <xf numFmtId="0" fontId="1" fillId="0" borderId="69" xfId="0" applyFont="1" applyBorder="1" applyAlignment="1"/>
    <xf numFmtId="0" fontId="43" fillId="0" borderId="34" xfId="0" applyFont="1" applyBorder="1"/>
    <xf numFmtId="0" fontId="43" fillId="0" borderId="34" xfId="0" applyFont="1" applyBorder="1" applyAlignment="1">
      <alignment horizontal="left"/>
    </xf>
    <xf numFmtId="0" fontId="43" fillId="0" borderId="45" xfId="0" applyFont="1" applyBorder="1" applyAlignment="1">
      <alignment horizontal="left"/>
    </xf>
    <xf numFmtId="0" fontId="3" fillId="25" borderId="48" xfId="50" applyFont="1" applyFill="1" applyBorder="1"/>
    <xf numFmtId="0" fontId="1" fillId="24" borderId="43" xfId="50" applyFill="1" applyBorder="1"/>
    <xf numFmtId="0" fontId="1" fillId="24" borderId="41" xfId="50" applyFill="1" applyBorder="1"/>
    <xf numFmtId="0" fontId="1" fillId="0" borderId="76" xfId="50" applyBorder="1" applyAlignment="1">
      <alignment horizontal="left"/>
    </xf>
    <xf numFmtId="0" fontId="1" fillId="0" borderId="68" xfId="50" applyBorder="1" applyAlignment="1">
      <alignment horizontal="left"/>
    </xf>
    <xf numFmtId="0" fontId="59" fillId="0" borderId="76" xfId="50" applyFont="1" applyBorder="1" applyAlignment="1">
      <alignment horizontal="left"/>
    </xf>
    <xf numFmtId="0" fontId="1" fillId="0" borderId="72" xfId="50" applyBorder="1" applyAlignment="1">
      <alignment horizontal="left"/>
    </xf>
    <xf numFmtId="0" fontId="59" fillId="0" borderId="72" xfId="50" applyFont="1" applyBorder="1" applyAlignment="1">
      <alignment horizontal="left"/>
    </xf>
    <xf numFmtId="0" fontId="62" fillId="0" borderId="16" xfId="50" applyFont="1" applyBorder="1" applyAlignment="1">
      <alignment vertical="center"/>
    </xf>
    <xf numFmtId="0" fontId="62" fillId="0" borderId="16" xfId="50" applyFont="1" applyBorder="1" applyAlignment="1">
      <alignment horizontal="center" vertical="center"/>
    </xf>
    <xf numFmtId="0" fontId="60" fillId="0" borderId="16" xfId="0" applyFont="1" applyBorder="1"/>
    <xf numFmtId="0" fontId="59" fillId="0" borderId="18" xfId="0" applyFont="1" applyBorder="1" applyAlignment="1">
      <alignment horizontal="left"/>
    </xf>
    <xf numFmtId="0" fontId="59" fillId="0" borderId="0" xfId="0" applyFont="1" applyBorder="1"/>
    <xf numFmtId="0" fontId="1" fillId="24" borderId="71" xfId="0" applyFont="1" applyFill="1" applyBorder="1"/>
    <xf numFmtId="0" fontId="1" fillId="24" borderId="72" xfId="0" applyFont="1" applyFill="1" applyBorder="1"/>
    <xf numFmtId="0" fontId="59" fillId="0" borderId="69" xfId="0" applyFont="1" applyBorder="1"/>
    <xf numFmtId="0" fontId="59" fillId="0" borderId="34" xfId="0" applyFont="1" applyBorder="1"/>
    <xf numFmtId="0" fontId="59" fillId="0" borderId="70" xfId="50" applyFont="1" applyBorder="1" applyAlignment="1">
      <alignment horizontal="left"/>
    </xf>
    <xf numFmtId="0" fontId="59" fillId="0" borderId="45" xfId="50" applyFont="1" applyBorder="1" applyAlignment="1">
      <alignment horizontal="left"/>
    </xf>
    <xf numFmtId="0" fontId="59" fillId="0" borderId="34" xfId="50" applyFont="1" applyBorder="1"/>
    <xf numFmtId="0" fontId="1" fillId="0" borderId="33" xfId="0" applyFont="1" applyBorder="1" applyAlignment="1">
      <alignment horizontal="left"/>
    </xf>
    <xf numFmtId="0" fontId="1" fillId="0" borderId="33" xfId="50" applyBorder="1"/>
    <xf numFmtId="0" fontId="1" fillId="0" borderId="73" xfId="50" applyFont="1" applyFill="1" applyBorder="1" applyAlignment="1">
      <alignment horizontal="left"/>
    </xf>
    <xf numFmtId="0" fontId="59" fillId="0" borderId="57" xfId="50" applyFont="1" applyBorder="1" applyAlignment="1">
      <alignment horizontal="center"/>
    </xf>
    <xf numFmtId="0" fontId="1" fillId="0" borderId="0" xfId="50" applyBorder="1"/>
    <xf numFmtId="0" fontId="1" fillId="24" borderId="71" xfId="50" applyFill="1" applyBorder="1"/>
    <xf numFmtId="0" fontId="1" fillId="24" borderId="72" xfId="50" applyFill="1" applyBorder="1"/>
    <xf numFmtId="0" fontId="1" fillId="0" borderId="73" xfId="50" applyBorder="1" applyAlignment="1">
      <alignment horizontal="left"/>
    </xf>
    <xf numFmtId="0" fontId="1" fillId="0" borderId="73" xfId="50" applyBorder="1"/>
    <xf numFmtId="0" fontId="1" fillId="0" borderId="69" xfId="50" applyBorder="1"/>
    <xf numFmtId="0" fontId="1" fillId="0" borderId="34" xfId="50" applyBorder="1"/>
    <xf numFmtId="0" fontId="59" fillId="0" borderId="74" xfId="50" applyFont="1" applyBorder="1" applyAlignment="1">
      <alignment horizontal="left"/>
    </xf>
    <xf numFmtId="0" fontId="59" fillId="0" borderId="16" xfId="50" applyFont="1" applyBorder="1" applyAlignment="1">
      <alignment horizontal="center"/>
    </xf>
    <xf numFmtId="0" fontId="59" fillId="0" borderId="33" xfId="50" applyFont="1" applyBorder="1" applyAlignment="1">
      <alignment horizontal="center"/>
    </xf>
    <xf numFmtId="0" fontId="1" fillId="0" borderId="33" xfId="50" applyBorder="1" applyAlignment="1">
      <alignment horizontal="left"/>
    </xf>
    <xf numFmtId="0" fontId="59" fillId="0" borderId="33" xfId="50" applyFont="1" applyBorder="1"/>
    <xf numFmtId="0" fontId="59" fillId="0" borderId="33" xfId="50" applyFont="1" applyBorder="1" applyAlignment="1">
      <alignment vertical="center"/>
    </xf>
    <xf numFmtId="0" fontId="1" fillId="0" borderId="33" xfId="50" applyBorder="1" applyAlignment="1">
      <alignment vertical="center"/>
    </xf>
    <xf numFmtId="0" fontId="0" fillId="29" borderId="33" xfId="0" applyFill="1" applyBorder="1"/>
    <xf numFmtId="0" fontId="59" fillId="0" borderId="33" xfId="0" applyFont="1" applyBorder="1"/>
    <xf numFmtId="0" fontId="59" fillId="29" borderId="33" xfId="0" applyFont="1" applyFill="1" applyBorder="1"/>
    <xf numFmtId="0" fontId="59" fillId="0" borderId="33" xfId="0" applyFont="1" applyBorder="1" applyAlignment="1">
      <alignment horizontal="left"/>
    </xf>
    <xf numFmtId="0" fontId="59" fillId="0" borderId="77" xfId="0" applyFont="1" applyBorder="1" applyAlignment="1">
      <alignment horizontal="left"/>
    </xf>
    <xf numFmtId="0" fontId="59" fillId="0" borderId="19" xfId="50" applyFont="1" applyBorder="1" applyAlignment="1">
      <alignment horizontal="left"/>
    </xf>
    <xf numFmtId="0" fontId="59" fillId="0" borderId="38" xfId="0" applyFont="1" applyBorder="1" applyAlignment="1">
      <alignment horizontal="left"/>
    </xf>
    <xf numFmtId="0" fontId="1" fillId="0" borderId="16" xfId="0" applyFont="1" applyBorder="1" applyAlignment="1">
      <alignmen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Neutral" xfId="32" builtinId="28" customBuiltin="1"/>
    <cellStyle name="Neutral 2" xfId="47" xr:uid="{00000000-0005-0000-0000-000020000000}"/>
    <cellStyle name="Normal" xfId="0" builtinId="0"/>
    <cellStyle name="Normal 2" xfId="33" xr:uid="{00000000-0005-0000-0000-000022000000}"/>
    <cellStyle name="Normal 2 10" xfId="50" xr:uid="{00000000-0005-0000-0000-000023000000}"/>
    <cellStyle name="Normal 2 2" xfId="46" xr:uid="{00000000-0005-0000-0000-000024000000}"/>
    <cellStyle name="Normal 3" xfId="45" xr:uid="{00000000-0005-0000-0000-000025000000}"/>
    <cellStyle name="Notiz" xfId="34" xr:uid="{00000000-0005-0000-0000-000027000000}"/>
    <cellStyle name="Notiz 2" xfId="48" xr:uid="{00000000-0005-0000-0000-000028000000}"/>
    <cellStyle name="Schlecht" xfId="35" xr:uid="{00000000-0005-0000-0000-000029000000}"/>
    <cellStyle name="Standard 2" xfId="36" xr:uid="{00000000-0005-0000-0000-00002A000000}"/>
    <cellStyle name="Standard 2 2" xfId="49" xr:uid="{00000000-0005-0000-0000-00002B000000}"/>
    <cellStyle name="Überschrift" xfId="37" xr:uid="{00000000-0005-0000-0000-00002C000000}"/>
    <cellStyle name="Überschrift 1" xfId="38" xr:uid="{00000000-0005-0000-0000-00002D000000}"/>
    <cellStyle name="Überschrift 2" xfId="39" xr:uid="{00000000-0005-0000-0000-00002E000000}"/>
    <cellStyle name="Überschrift 3" xfId="40" xr:uid="{00000000-0005-0000-0000-00002F000000}"/>
    <cellStyle name="Überschrift 4" xfId="41" xr:uid="{00000000-0005-0000-0000-000030000000}"/>
    <cellStyle name="Verknüpfte Zelle" xfId="42" xr:uid="{00000000-0005-0000-0000-000031000000}"/>
    <cellStyle name="Warnender Text" xfId="43" xr:uid="{00000000-0005-0000-0000-000032000000}"/>
    <cellStyle name="Zelle überprüfen" xfId="44" xr:uid="{00000000-0005-0000-0000-000033000000}"/>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104775</xdr:rowOff>
    </xdr:from>
    <xdr:to>
      <xdr:col>6</xdr:col>
      <xdr:colOff>104775</xdr:colOff>
      <xdr:row>11</xdr:row>
      <xdr:rowOff>161925</xdr:rowOff>
    </xdr:to>
    <xdr:sp macro="" textlink="">
      <xdr:nvSpPr>
        <xdr:cNvPr id="12338" name="Rectangle 1">
          <a:extLst>
            <a:ext uri="{FF2B5EF4-FFF2-40B4-BE49-F238E27FC236}">
              <a16:creationId xmlns:a16="http://schemas.microsoft.com/office/drawing/2014/main" id="{00000000-0008-0000-0000-000032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5</xdr:col>
      <xdr:colOff>485775</xdr:colOff>
      <xdr:row>6</xdr:row>
      <xdr:rowOff>104775</xdr:rowOff>
    </xdr:from>
    <xdr:to>
      <xdr:col>6</xdr:col>
      <xdr:colOff>104775</xdr:colOff>
      <xdr:row>11</xdr:row>
      <xdr:rowOff>161925</xdr:rowOff>
    </xdr:to>
    <xdr:sp macro="" textlink="">
      <xdr:nvSpPr>
        <xdr:cNvPr id="12339" name="Rectangle 4">
          <a:extLst>
            <a:ext uri="{FF2B5EF4-FFF2-40B4-BE49-F238E27FC236}">
              <a16:creationId xmlns:a16="http://schemas.microsoft.com/office/drawing/2014/main" id="{00000000-0008-0000-0000-000033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14</xdr:col>
      <xdr:colOff>535781</xdr:colOff>
      <xdr:row>9</xdr:row>
      <xdr:rowOff>9525</xdr:rowOff>
    </xdr:to>
    <xdr:pic>
      <xdr:nvPicPr>
        <xdr:cNvPr id="12340" name="Picture 7">
          <a:extLst>
            <a:ext uri="{FF2B5EF4-FFF2-40B4-BE49-F238E27FC236}">
              <a16:creationId xmlns:a16="http://schemas.microsoft.com/office/drawing/2014/main" id="{00000000-0008-0000-0000-000034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1134725" cy="1476375"/>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C32B62EA-B9BB-47AD-AC20-CB73F9FC6A88}"/>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Level of Detail</a:t>
          </a: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D6B2AB7B-2C13-404A-BE52-81E6B6A192D2}"/>
            </a:ext>
          </a:extLst>
        </xdr:cNvPr>
        <xdr:cNvSpPr>
          <a:spLocks noChangeArrowheads="1"/>
        </xdr:cNvSpPr>
      </xdr:nvSpPr>
      <xdr:spPr bwMode="auto">
        <a:xfrm>
          <a:off x="0" y="0"/>
          <a:ext cx="0" cy="0"/>
        </a:xfrm>
        <a:prstGeom prst="rect">
          <a:avLst/>
        </a:prstGeom>
        <a:solidFill>
          <a:srgbClr val="0080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filled out during technical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9EAD5946-142E-4816-9654-06F691696C8C}"/>
            </a:ext>
          </a:extLst>
        </xdr:cNvPr>
        <xdr:cNvSpPr>
          <a:spLocks noChangeArrowheads="1"/>
        </xdr:cNvSpPr>
      </xdr:nvSpPr>
      <xdr:spPr bwMode="auto">
        <a:xfrm>
          <a:off x="0" y="0"/>
          <a:ext cx="0" cy="0"/>
        </a:xfrm>
        <a:prstGeom prst="rect">
          <a:avLst/>
        </a:prstGeom>
        <a:solidFill>
          <a:srgbClr val="0000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FFFF"/>
              </a:solidFill>
              <a:latin typeface="Arial"/>
              <a:cs typeface="Arial"/>
            </a:rPr>
            <a:t>To be filled out during functional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120D8A3A-2993-4681-83C6-40839A4FE833}"/>
            </a:ext>
          </a:extLst>
        </xdr:cNvPr>
        <xdr:cNvSpPr>
          <a:spLocks noChangeArrowheads="1"/>
        </xdr:cNvSpPr>
      </xdr:nvSpPr>
      <xdr:spPr bwMode="auto">
        <a:xfrm>
          <a:off x="0" y="0"/>
          <a:ext cx="0" cy="0"/>
        </a:xfrm>
        <a:prstGeom prst="rect">
          <a:avLst/>
        </a:prstGeom>
        <a:solidFill>
          <a:srgbClr val="00808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defined centrally, with configuration guidelines</a:t>
          </a:r>
        </a:p>
      </xdr:txBody>
    </xdr:sp>
    <xdr:clientData/>
  </xdr:twoCellAnchor>
  <xdr:twoCellAnchor>
    <xdr:from>
      <xdr:col>22</xdr:col>
      <xdr:colOff>0</xdr:colOff>
      <xdr:row>38</xdr:row>
      <xdr:rowOff>0</xdr:rowOff>
    </xdr:from>
    <xdr:to>
      <xdr:col>22</xdr:col>
      <xdr:colOff>0</xdr:colOff>
      <xdr:row>38</xdr:row>
      <xdr:rowOff>0</xdr:rowOff>
    </xdr:to>
    <xdr:sp macro="" textlink="">
      <xdr:nvSpPr>
        <xdr:cNvPr id="6" name="Rectangle 13">
          <a:extLst>
            <a:ext uri="{FF2B5EF4-FFF2-40B4-BE49-F238E27FC236}">
              <a16:creationId xmlns:a16="http://schemas.microsoft.com/office/drawing/2014/main" id="{A4D32B46-9A33-4CAD-A9E9-265DF8A3677B}"/>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7" name="Rectangle 14">
          <a:extLst>
            <a:ext uri="{FF2B5EF4-FFF2-40B4-BE49-F238E27FC236}">
              <a16:creationId xmlns:a16="http://schemas.microsoft.com/office/drawing/2014/main" id="{FA03F10C-C714-4126-BB9F-03E6A8104FFA}"/>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8" name="Rectangle 15">
          <a:extLst>
            <a:ext uri="{FF2B5EF4-FFF2-40B4-BE49-F238E27FC236}">
              <a16:creationId xmlns:a16="http://schemas.microsoft.com/office/drawing/2014/main" id="{E8F918C7-303C-4A17-B690-6336CF7B1A2A}"/>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9" name="Rectangle 16">
          <a:extLst>
            <a:ext uri="{FF2B5EF4-FFF2-40B4-BE49-F238E27FC236}">
              <a16:creationId xmlns:a16="http://schemas.microsoft.com/office/drawing/2014/main" id="{FDC2DB74-9D5E-41E2-B44E-DECD4AD19DF1}"/>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10" name="Rectangle 17">
          <a:extLst>
            <a:ext uri="{FF2B5EF4-FFF2-40B4-BE49-F238E27FC236}">
              <a16:creationId xmlns:a16="http://schemas.microsoft.com/office/drawing/2014/main" id="{048635E8-FFD9-4B11-8CA6-7C0BB46280A8}"/>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11" name="Rectangle 26">
          <a:extLst>
            <a:ext uri="{FF2B5EF4-FFF2-40B4-BE49-F238E27FC236}">
              <a16:creationId xmlns:a16="http://schemas.microsoft.com/office/drawing/2014/main" id="{B37BC68B-B8B8-4A84-AD85-5C06D6070B21}"/>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12" name="Rectangle 27">
          <a:extLst>
            <a:ext uri="{FF2B5EF4-FFF2-40B4-BE49-F238E27FC236}">
              <a16:creationId xmlns:a16="http://schemas.microsoft.com/office/drawing/2014/main" id="{2F26977E-6387-46C6-BE94-DD286F80519B}"/>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13" name="Rectangle 28">
          <a:extLst>
            <a:ext uri="{FF2B5EF4-FFF2-40B4-BE49-F238E27FC236}">
              <a16:creationId xmlns:a16="http://schemas.microsoft.com/office/drawing/2014/main" id="{9882151A-D11F-41AC-8E53-0418C9BA5973}"/>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14" name="Rectangle 29">
          <a:extLst>
            <a:ext uri="{FF2B5EF4-FFF2-40B4-BE49-F238E27FC236}">
              <a16:creationId xmlns:a16="http://schemas.microsoft.com/office/drawing/2014/main" id="{0404180F-0ADE-46EE-9F05-CAFD59CFA7AC}"/>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38</xdr:row>
      <xdr:rowOff>0</xdr:rowOff>
    </xdr:from>
    <xdr:to>
      <xdr:col>22</xdr:col>
      <xdr:colOff>0</xdr:colOff>
      <xdr:row>38</xdr:row>
      <xdr:rowOff>0</xdr:rowOff>
    </xdr:to>
    <xdr:sp macro="" textlink="">
      <xdr:nvSpPr>
        <xdr:cNvPr id="15" name="Rectangle 30">
          <a:extLst>
            <a:ext uri="{FF2B5EF4-FFF2-40B4-BE49-F238E27FC236}">
              <a16:creationId xmlns:a16="http://schemas.microsoft.com/office/drawing/2014/main" id="{72480BCD-A5FF-487A-B8B0-A23B27B888B1}"/>
            </a:ext>
          </a:extLst>
        </xdr:cNvPr>
        <xdr:cNvSpPr>
          <a:spLocks noChangeArrowheads="1"/>
        </xdr:cNvSpPr>
      </xdr:nvSpPr>
      <xdr:spPr bwMode="auto">
        <a:xfrm>
          <a:off x="27705050" y="4953000"/>
          <a:ext cx="0" cy="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47624</xdr:colOff>
      <xdr:row>10</xdr:row>
      <xdr:rowOff>28575</xdr:rowOff>
    </xdr:from>
    <xdr:ext cx="9731375" cy="5064125"/>
    <xdr:sp macro="" textlink="">
      <xdr:nvSpPr>
        <xdr:cNvPr id="2" name="TextBox 1">
          <a:extLst>
            <a:ext uri="{FF2B5EF4-FFF2-40B4-BE49-F238E27FC236}">
              <a16:creationId xmlns:a16="http://schemas.microsoft.com/office/drawing/2014/main" id="{6358A1F3-49BD-463C-8A47-3965D562ED35}"/>
            </a:ext>
          </a:extLst>
        </xdr:cNvPr>
        <xdr:cNvSpPr txBox="1"/>
      </xdr:nvSpPr>
      <xdr:spPr>
        <a:xfrm>
          <a:off x="352424" y="2314575"/>
          <a:ext cx="9731375" cy="5064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effectLst/>
            </a:rPr>
            <a:t>function BusComp_PreSetFieldValue (FieldName, FieldValue)</a:t>
          </a:r>
        </a:p>
        <a:p>
          <a:r>
            <a:rPr lang="en-GB">
              <a:effectLst/>
            </a:rPr>
            <a:t>{</a:t>
          </a:r>
        </a:p>
        <a:p>
          <a:r>
            <a:rPr lang="en-GB" b="1">
              <a:effectLst/>
            </a:rPr>
            <a:t>	.</a:t>
          </a:r>
        </a:p>
        <a:p>
          <a:r>
            <a:rPr lang="en-GB" b="1">
              <a:effectLst/>
            </a:rPr>
            <a:t>	.Existing</a:t>
          </a:r>
          <a:r>
            <a:rPr lang="en-GB" b="1" baseline="0">
              <a:effectLst/>
            </a:rPr>
            <a:t> Script</a:t>
          </a:r>
        </a:p>
        <a:p>
          <a:r>
            <a:rPr lang="en-GB" b="1" baseline="0">
              <a:effectLst/>
            </a:rPr>
            <a:t>	.</a:t>
          </a:r>
        </a:p>
        <a:p>
          <a:r>
            <a:rPr lang="en-GB" b="1" baseline="0">
              <a:effectLst/>
            </a:rPr>
            <a:t>	</a:t>
          </a:r>
          <a:r>
            <a:rPr lang="en-GB" b="0" baseline="0">
              <a:solidFill>
                <a:srgbClr val="00B050"/>
              </a:solidFill>
              <a:effectLst/>
            </a:rPr>
            <a:t>//</a:t>
          </a:r>
          <a:r>
            <a:rPr lang="en-GB" sz="1100" b="0" i="0" baseline="0">
              <a:solidFill>
                <a:srgbClr val="00B050"/>
              </a:solidFill>
              <a:effectLst/>
              <a:latin typeface="+mn-lt"/>
              <a:ea typeface="+mn-ea"/>
              <a:cs typeface="+mn-cs"/>
            </a:rPr>
            <a:t>[&lt;Developer's Initial &gt;&lt;Date&gt;] CR213427 : </a:t>
          </a:r>
          <a:r>
            <a:rPr lang="en-GB" b="0" baseline="0">
              <a:solidFill>
                <a:srgbClr val="00B050"/>
              </a:solidFill>
              <a:effectLst/>
            </a:rPr>
            <a:t>Invoke validation for Total Points Limit</a:t>
          </a:r>
        </a:p>
        <a:p>
          <a:r>
            <a:rPr lang="en-GB" b="0" baseline="0">
              <a:effectLst/>
            </a:rPr>
            <a:t>	</a:t>
          </a:r>
          <a:r>
            <a:rPr lang="en-GB" b="0" baseline="0">
              <a:solidFill>
                <a:srgbClr val="0000FF"/>
              </a:solidFill>
              <a:effectLst/>
            </a:rPr>
            <a:t>var sOrg=TheApplication().GetProfileAttr("Org.Name");</a:t>
          </a:r>
        </a:p>
        <a:p>
          <a:r>
            <a:rPr lang="en-GB" b="0" baseline="0">
              <a:solidFill>
                <a:srgbClr val="0000FF"/>
              </a:solidFill>
              <a:effectLst/>
            </a:rPr>
            <a:t>	if(sOrg == "Italy" || sOrg == "Spain" || sOrg == "Czech Republic")</a:t>
          </a:r>
        </a:p>
        <a:p>
          <a:r>
            <a:rPr lang="en-GB" b="0" baseline="0">
              <a:solidFill>
                <a:srgbClr val="0000FF"/>
              </a:solidFill>
              <a:effectLst/>
            </a:rPr>
            <a:t>	{</a:t>
          </a:r>
        </a:p>
        <a:p>
          <a:r>
            <a:rPr lang="en-GB" sz="1100" b="0" baseline="0">
              <a:solidFill>
                <a:srgbClr val="0000FF"/>
              </a:solidFill>
              <a:effectLst/>
              <a:latin typeface="+mn-lt"/>
              <a:ea typeface="+mn-ea"/>
              <a:cs typeface="+mn-cs"/>
            </a:rPr>
            <a:t>		</a:t>
          </a:r>
          <a:r>
            <a:rPr lang="en-GB" sz="1100">
              <a:solidFill>
                <a:srgbClr val="0000FF"/>
              </a:solidFill>
              <a:effectLst/>
              <a:latin typeface="+mn-lt"/>
              <a:ea typeface="+mn-ea"/>
              <a:cs typeface="+mn-cs"/>
            </a:rPr>
            <a:t>if(FieldName == "Actual Cost Amount")</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AmountLimitValidation(FieldValue);</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endParaRPr lang="en-GB" b="1">
            <a:solidFill>
              <a:srgbClr val="0000FF"/>
            </a:solidFill>
            <a:effectLst/>
          </a:endParaRPr>
        </a:p>
        <a:p>
          <a:r>
            <a:rPr lang="en-GB">
              <a:solidFill>
                <a:srgbClr val="0000FF"/>
              </a:solidFill>
              <a:effectLst/>
            </a:rPr>
            <a:t>		if(FieldName == "JTI Points Amount")</a:t>
          </a:r>
        </a:p>
        <a:p>
          <a:r>
            <a:rPr lang="en-GB">
              <a:solidFill>
                <a:srgbClr val="0000FF"/>
              </a:solidFill>
              <a:effectLst/>
            </a:rPr>
            <a:t>		{</a:t>
          </a:r>
        </a:p>
        <a:p>
          <a:r>
            <a:rPr lang="en-GB">
              <a:solidFill>
                <a:srgbClr val="0000FF"/>
              </a:solidFill>
              <a:effectLst/>
            </a:rPr>
            <a:t>		pointLimitValidation(FieldValue);</a:t>
          </a:r>
        </a:p>
        <a:p>
          <a:r>
            <a:rPr lang="en-GB">
              <a:solidFill>
                <a:srgbClr val="0000FF"/>
              </a:solidFill>
              <a:effectLst/>
            </a:rPr>
            <a:t>		}</a:t>
          </a:r>
        </a:p>
        <a:p>
          <a:r>
            <a:rPr lang="en-GB">
              <a:solidFill>
                <a:srgbClr val="0000FF"/>
              </a:solidFill>
              <a:effectLst/>
            </a:rPr>
            <a:t>		</a:t>
          </a:r>
          <a:r>
            <a:rPr lang="en-GB" sz="1100">
              <a:solidFill>
                <a:srgbClr val="0000FF"/>
              </a:solidFill>
              <a:effectLst/>
              <a:latin typeface="+mn-lt"/>
              <a:ea typeface="+mn-ea"/>
              <a:cs typeface="+mn-cs"/>
            </a:rPr>
            <a:t>if((FieldName == "Agreement Status")&amp;&amp;(FieldValue == "Active"))</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var sActiveView=TheApplication().ActiveViewName();</a:t>
          </a:r>
          <a:endParaRPr lang="en-US">
            <a:solidFill>
              <a:srgbClr val="0000FF"/>
            </a:solidFill>
            <a:effectLst/>
          </a:endParaRPr>
        </a:p>
        <a:p>
          <a:r>
            <a:rPr lang="en-GB" sz="1100">
              <a:solidFill>
                <a:srgbClr val="0000FF"/>
              </a:solidFill>
              <a:effectLst/>
              <a:latin typeface="+mn-lt"/>
              <a:ea typeface="+mn-ea"/>
              <a:cs typeface="+mn-cs"/>
            </a:rPr>
            <a:t>			if(((sActiveView == "JTI FS Agreement Line Items View - New")) || (sActiveView == "JTI FS Contract Line Items View"))</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BenefitTypeValidation();</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a:t>
          </a:r>
          <a:r>
            <a:rPr lang="en-GB">
              <a:solidFill>
                <a:srgbClr val="0000FF"/>
              </a:solidFill>
              <a:effectLst/>
            </a:rPr>
            <a:t>		</a:t>
          </a:r>
        </a:p>
        <a:p>
          <a:r>
            <a:rPr lang="en-GB">
              <a:solidFill>
                <a:srgbClr val="0000FF"/>
              </a:solidFill>
              <a:effectLst/>
            </a:rPr>
            <a:t>	}</a:t>
          </a:r>
        </a:p>
        <a:p>
          <a:r>
            <a:rPr lang="en-GB">
              <a:effectLst/>
            </a:rPr>
            <a:t>	return (ContinueOperation);</a:t>
          </a:r>
        </a:p>
        <a:p>
          <a:r>
            <a:rPr lang="en-GB">
              <a:effectLst/>
            </a:rPr>
            <a:t>}</a:t>
          </a:r>
        </a:p>
      </xdr:txBody>
    </xdr:sp>
    <xdr:clientData/>
  </xdr:oneCellAnchor>
  <xdr:oneCellAnchor>
    <xdr:from>
      <xdr:col>1</xdr:col>
      <xdr:colOff>44450</xdr:colOff>
      <xdr:row>41</xdr:row>
      <xdr:rowOff>114300</xdr:rowOff>
    </xdr:from>
    <xdr:ext cx="9734550" cy="4241800"/>
    <xdr:sp macro="" textlink="">
      <xdr:nvSpPr>
        <xdr:cNvPr id="3" name="TextBox 2">
          <a:extLst>
            <a:ext uri="{FF2B5EF4-FFF2-40B4-BE49-F238E27FC236}">
              <a16:creationId xmlns:a16="http://schemas.microsoft.com/office/drawing/2014/main" id="{6090C63E-FDC2-4F4E-8E84-8C3E5450C678}"/>
            </a:ext>
          </a:extLst>
        </xdr:cNvPr>
        <xdr:cNvSpPr txBox="1"/>
      </xdr:nvSpPr>
      <xdr:spPr>
        <a:xfrm>
          <a:off x="349250" y="7404100"/>
          <a:ext cx="9734550" cy="424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a:t>
          </a:r>
          <a:r>
            <a:rPr lang="en-GB" sz="1100">
              <a:solidFill>
                <a:srgbClr val="0000FF"/>
              </a:solidFill>
              <a:effectLst/>
              <a:latin typeface="+mn-lt"/>
              <a:ea typeface="+mn-ea"/>
              <a:cs typeface="+mn-cs"/>
            </a:rPr>
            <a:t>pointLimitValidation</a:t>
          </a:r>
          <a:r>
            <a:rPr lang="en-GB">
              <a:solidFill>
                <a:srgbClr val="0000FF"/>
              </a:solidFill>
              <a:effectLst/>
            </a:rPr>
            <a:t>(FieldVal)</a:t>
          </a:r>
        </a:p>
        <a:p>
          <a:r>
            <a:rPr lang="en-GB">
              <a:solidFill>
                <a:srgbClr val="0000FF"/>
              </a:solidFill>
              <a:effectLst/>
            </a:rPr>
            <a:t>{	</a:t>
          </a:r>
        </a:p>
        <a:p>
          <a:r>
            <a:rPr lang="en-GB">
              <a:solidFill>
                <a:srgbClr val="0000FF"/>
              </a:solidFill>
              <a:effectLst/>
            </a:rPr>
            <a:t>	</a:t>
          </a:r>
          <a:r>
            <a:rPr lang="en-GB">
              <a:solidFill>
                <a:srgbClr val="00B050"/>
              </a:solidFill>
              <a:effectLst/>
            </a:rPr>
            <a:t>//</a:t>
          </a:r>
          <a:r>
            <a:rPr lang="en-GB" sz="1100" b="0" i="0" baseline="0">
              <a:solidFill>
                <a:srgbClr val="00B050"/>
              </a:solidFill>
              <a:effectLst/>
              <a:latin typeface="+mn-lt"/>
              <a:ea typeface="+mn-ea"/>
              <a:cs typeface="+mn-cs"/>
            </a:rPr>
            <a:t>[&lt;Developer's Initial &gt;&lt;Date&gt;] CR213427 : </a:t>
          </a:r>
          <a:r>
            <a:rPr lang="en-GB">
              <a:solidFill>
                <a:srgbClr val="00B050"/>
              </a:solidFill>
              <a:effectLst/>
            </a:rPr>
            <a:t>Validation for Points Limit</a:t>
          </a:r>
        </a:p>
        <a:p>
          <a:r>
            <a:rPr lang="en-GB">
              <a:solidFill>
                <a:srgbClr val="0000FF"/>
              </a:solidFill>
              <a:effectLst/>
            </a:rPr>
            <a:t>	try</a:t>
          </a:r>
        </a:p>
        <a:p>
          <a:r>
            <a:rPr lang="en-GB">
              <a:solidFill>
                <a:srgbClr val="0000FF"/>
              </a:solidFill>
              <a:effectLst/>
            </a:rPr>
            <a:t>	{</a:t>
          </a:r>
        </a:p>
        <a:p>
          <a:r>
            <a:rPr lang="en-GB">
              <a:solidFill>
                <a:srgbClr val="0000FF"/>
              </a:solidFill>
              <a:effectLst/>
            </a:rPr>
            <a:t>	var sTotalContractPoints = ToNumber(this.GetFieldValue("JTI Contract Item Points Amount")) + ToNumber(FieldVal);</a:t>
          </a:r>
        </a:p>
        <a:p>
          <a:r>
            <a:rPr lang="en-GB">
              <a:solidFill>
                <a:srgbClr val="0000FF"/>
              </a:solidFill>
              <a:effectLst/>
            </a:rPr>
            <a:t>	var sTotalPointLimit = ToNumber(this.GetFieldValue("JTI Total Points Limit"));</a:t>
          </a:r>
        </a:p>
        <a:p>
          <a:endParaRPr lang="en-GB">
            <a:solidFill>
              <a:srgbClr val="0000FF"/>
            </a:solidFill>
            <a:effectLst/>
          </a:endParaRPr>
        </a:p>
        <a:p>
          <a:r>
            <a:rPr lang="en-GB">
              <a:solidFill>
                <a:srgbClr val="0000FF"/>
              </a:solidFill>
              <a:effectLst/>
            </a:rPr>
            <a:t>		if(sTotalPointLimit != "" &amp;&amp; sTotalPointLimit != "null" &amp;&amp; sTotalPointLimit &lt; sTotalContractPoints)</a:t>
          </a:r>
        </a:p>
        <a:p>
          <a:r>
            <a:rPr lang="en-GB">
              <a:solidFill>
                <a:srgbClr val="0000FF"/>
              </a:solidFill>
              <a:effectLst/>
            </a:rPr>
            <a:t>		{</a:t>
          </a:r>
        </a:p>
        <a:p>
          <a:r>
            <a:rPr lang="en-GB">
              <a:solidFill>
                <a:srgbClr val="0000FF"/>
              </a:solidFill>
              <a:effectLst/>
            </a:rPr>
            <a:t>			var difference = sTotalContractPoints - sTotalPointLimit;</a:t>
          </a:r>
        </a:p>
        <a:p>
          <a:r>
            <a:rPr lang="en-GB">
              <a:solidFill>
                <a:srgbClr val="0000FF"/>
              </a:solidFill>
              <a:effectLst/>
            </a:rPr>
            <a:t>			var sErrorText = TheApplication().LookupMessage("User Defined Errors","X_TOTAL_POINTS_VALIDATION",difference);</a:t>
          </a:r>
        </a:p>
        <a:p>
          <a:r>
            <a:rPr lang="en-GB">
              <a:solidFill>
                <a:srgbClr val="0000FF"/>
              </a:solidFill>
              <a:effectLst/>
            </a:rPr>
            <a:t>			TheApplication().RaiseErrorText(sErrorText);</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TheApplication().Trace(e.toString());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sTotalContractPoints = ""; sTotalPointLimit = ""; difference = ""; sErrorText = "";</a:t>
          </a:r>
        </a:p>
        <a:p>
          <a:r>
            <a:rPr lang="en-GB">
              <a:solidFill>
                <a:srgbClr val="0000FF"/>
              </a:solidFill>
              <a:effectLst/>
            </a:rPr>
            <a:t>	}</a:t>
          </a:r>
        </a:p>
        <a:p>
          <a:r>
            <a:rPr lang="en-GB">
              <a:solidFill>
                <a:srgbClr val="0000FF"/>
              </a:solidFill>
              <a:effectLst/>
            </a:rPr>
            <a:t>}</a:t>
          </a:r>
        </a:p>
      </xdr:txBody>
    </xdr:sp>
    <xdr:clientData/>
  </xdr:oneCellAnchor>
  <xdr:oneCellAnchor>
    <xdr:from>
      <xdr:col>1</xdr:col>
      <xdr:colOff>44450</xdr:colOff>
      <xdr:row>68</xdr:row>
      <xdr:rowOff>95250</xdr:rowOff>
    </xdr:from>
    <xdr:ext cx="9734550" cy="4565650"/>
    <xdr:sp macro="" textlink="">
      <xdr:nvSpPr>
        <xdr:cNvPr id="4" name="TextBox 3">
          <a:extLst>
            <a:ext uri="{FF2B5EF4-FFF2-40B4-BE49-F238E27FC236}">
              <a16:creationId xmlns:a16="http://schemas.microsoft.com/office/drawing/2014/main" id="{B74CC3E0-6114-41AB-8B01-518DD1763407}"/>
            </a:ext>
          </a:extLst>
        </xdr:cNvPr>
        <xdr:cNvSpPr txBox="1"/>
      </xdr:nvSpPr>
      <xdr:spPr>
        <a:xfrm>
          <a:off x="349250" y="11671300"/>
          <a:ext cx="9734550" cy="4565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a:t>
          </a:r>
          <a:r>
            <a:rPr lang="en-GB" sz="1100">
              <a:solidFill>
                <a:srgbClr val="0000FF"/>
              </a:solidFill>
              <a:effectLst/>
              <a:latin typeface="+mn-lt"/>
              <a:ea typeface="+mn-ea"/>
              <a:cs typeface="+mn-cs"/>
            </a:rPr>
            <a:t>AmountLimitValidation</a:t>
          </a:r>
          <a:r>
            <a:rPr lang="en-GB">
              <a:solidFill>
                <a:srgbClr val="0000FF"/>
              </a:solidFill>
              <a:effectLst/>
            </a:rPr>
            <a:t>(FieldVal)</a:t>
          </a:r>
        </a:p>
        <a:p>
          <a:r>
            <a:rPr lang="en-GB">
              <a:solidFill>
                <a:srgbClr val="0000FF"/>
              </a:solidFill>
              <a:effectLst/>
            </a:rPr>
            <a:t>{	</a:t>
          </a:r>
        </a:p>
        <a:p>
          <a:r>
            <a:rPr lang="en-GB">
              <a:solidFill>
                <a:srgbClr val="0000FF"/>
              </a:solidFill>
              <a:effectLst/>
            </a:rPr>
            <a:t>	</a:t>
          </a:r>
          <a:r>
            <a:rPr lang="en-GB">
              <a:solidFill>
                <a:srgbClr val="00B050"/>
              </a:solidFill>
              <a:effectLst/>
            </a:rPr>
            <a:t>//</a:t>
          </a:r>
          <a:r>
            <a:rPr lang="en-GB" sz="1100" b="0" i="0" baseline="0">
              <a:solidFill>
                <a:srgbClr val="00B050"/>
              </a:solidFill>
              <a:effectLst/>
              <a:latin typeface="+mn-lt"/>
              <a:ea typeface="+mn-ea"/>
              <a:cs typeface="+mn-cs"/>
            </a:rPr>
            <a:t>[&lt;Developer's Initial &gt;&lt;Date&gt;] CR213427 : </a:t>
          </a:r>
          <a:r>
            <a:rPr lang="en-GB">
              <a:solidFill>
                <a:srgbClr val="00B050"/>
              </a:solidFill>
              <a:effectLst/>
            </a:rPr>
            <a:t>Validation for Actual</a:t>
          </a:r>
          <a:r>
            <a:rPr lang="en-GB" baseline="0">
              <a:solidFill>
                <a:srgbClr val="00B050"/>
              </a:solidFill>
              <a:effectLst/>
            </a:rPr>
            <a:t> Cost Amount</a:t>
          </a:r>
          <a:endParaRPr lang="en-GB">
            <a:solidFill>
              <a:srgbClr val="00B050"/>
            </a:solidFill>
            <a:effectLst/>
          </a:endParaRPr>
        </a:p>
        <a:p>
          <a:r>
            <a:rPr lang="en-GB">
              <a:solidFill>
                <a:srgbClr val="0000FF"/>
              </a:solidFill>
              <a:effectLst/>
            </a:rPr>
            <a:t>	try</a:t>
          </a:r>
        </a:p>
        <a:p>
          <a:r>
            <a:rPr lang="en-GB">
              <a:solidFill>
                <a:srgbClr val="0000FF"/>
              </a:solidFill>
              <a:effectLst/>
            </a:rPr>
            <a:t>	{</a:t>
          </a:r>
        </a:p>
        <a:p>
          <a:r>
            <a:rPr lang="en-GB">
              <a:solidFill>
                <a:srgbClr val="0000FF"/>
              </a:solidFill>
              <a:effectLst/>
            </a:rPr>
            <a:t>	  	var sTotalAmtLimit = ToNumber(this.GetFieldValue("JTI Total Amount Limit"));</a:t>
          </a:r>
        </a:p>
        <a:p>
          <a:r>
            <a:rPr lang="en-GB">
              <a:solidFill>
                <a:srgbClr val="0000FF"/>
              </a:solidFill>
              <a:effectLst/>
            </a:rPr>
            <a:t>		var contractTotal=ToNumber(this.GetFieldValue("JTI Product Total"));</a:t>
          </a:r>
        </a:p>
        <a:p>
          <a:r>
            <a:rPr lang="en-GB">
              <a:solidFill>
                <a:srgbClr val="0000FF"/>
              </a:solidFill>
              <a:effectLst/>
            </a:rPr>
            <a:t>		var currentAmount=ToNumber(FieldVal);</a:t>
          </a:r>
        </a:p>
        <a:p>
          <a:r>
            <a:rPr lang="en-GB">
              <a:solidFill>
                <a:srgbClr val="0000FF"/>
              </a:solidFill>
              <a:effectLst/>
            </a:rPr>
            <a:t>		var sTotalContractAmt=contractTotal+currentAmount;</a:t>
          </a:r>
        </a:p>
        <a:p>
          <a:r>
            <a:rPr lang="en-GB">
              <a:solidFill>
                <a:srgbClr val="0000FF"/>
              </a:solidFill>
              <a:effectLst/>
            </a:rPr>
            <a:t>		var difference="",sErrorText="";</a:t>
          </a:r>
        </a:p>
        <a:p>
          <a:r>
            <a:rPr lang="en-GB">
              <a:solidFill>
                <a:srgbClr val="0000FF"/>
              </a:solidFill>
              <a:effectLst/>
            </a:rPr>
            <a:t>		if(sTotalAmtLimit != "" &amp;&amp; sTotalAmtLimit != "null" &amp;&amp; sTotalAmtLimit &lt; sTotalContractAmt)</a:t>
          </a:r>
        </a:p>
        <a:p>
          <a:r>
            <a:rPr lang="en-GB">
              <a:solidFill>
                <a:srgbClr val="0000FF"/>
              </a:solidFill>
              <a:effectLst/>
            </a:rPr>
            <a:t>		{</a:t>
          </a:r>
        </a:p>
        <a:p>
          <a:r>
            <a:rPr lang="en-GB">
              <a:solidFill>
                <a:srgbClr val="0000FF"/>
              </a:solidFill>
              <a:effectLst/>
            </a:rPr>
            <a:t>			difference = sTotalContractAmt-sTotalAmtLimit;</a:t>
          </a:r>
        </a:p>
        <a:p>
          <a:r>
            <a:rPr lang="en-GB">
              <a:solidFill>
                <a:srgbClr val="0000FF"/>
              </a:solidFill>
              <a:effectLst/>
            </a:rPr>
            <a:t>			sErrorText = TheApplication().LookupMessage("User Defined Errors","X_TOTAL_AMOUNT_VALIDATION",difference);</a:t>
          </a:r>
        </a:p>
        <a:p>
          <a:r>
            <a:rPr lang="en-GB">
              <a:solidFill>
                <a:srgbClr val="0000FF"/>
              </a:solidFill>
              <a:effectLst/>
            </a:rPr>
            <a:t>			TheApplication().RaiseErrorText(sErrorText);</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TheApplication().Trace(e.toString());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sTotalAmtLimit = ""; sTotalContractAmt = ""; difference = ""; sErrorText = "";</a:t>
          </a:r>
        </a:p>
        <a:p>
          <a:r>
            <a:rPr lang="en-GB">
              <a:solidFill>
                <a:srgbClr val="0000FF"/>
              </a:solidFill>
              <a:effectLst/>
            </a:rPr>
            <a:t>	}</a:t>
          </a:r>
        </a:p>
        <a:p>
          <a:r>
            <a:rPr lang="en-GB">
              <a:solidFill>
                <a:srgbClr val="0000FF"/>
              </a:solidFill>
              <a:effectLst/>
            </a:rPr>
            <a:t>}</a:t>
          </a:r>
        </a:p>
      </xdr:txBody>
    </xdr:sp>
    <xdr:clientData/>
  </xdr:oneCellAnchor>
  <xdr:oneCellAnchor>
    <xdr:from>
      <xdr:col>1</xdr:col>
      <xdr:colOff>31750</xdr:colOff>
      <xdr:row>97</xdr:row>
      <xdr:rowOff>101600</xdr:rowOff>
    </xdr:from>
    <xdr:ext cx="9734550" cy="4654550"/>
    <xdr:sp macro="" textlink="">
      <xdr:nvSpPr>
        <xdr:cNvPr id="5" name="TextBox 4">
          <a:extLst>
            <a:ext uri="{FF2B5EF4-FFF2-40B4-BE49-F238E27FC236}">
              <a16:creationId xmlns:a16="http://schemas.microsoft.com/office/drawing/2014/main" id="{ACAAA2E7-1395-4548-8422-130A43821EF5}"/>
            </a:ext>
          </a:extLst>
        </xdr:cNvPr>
        <xdr:cNvSpPr txBox="1"/>
      </xdr:nvSpPr>
      <xdr:spPr>
        <a:xfrm>
          <a:off x="336550" y="16281400"/>
          <a:ext cx="9734550" cy="465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sz="1100">
              <a:solidFill>
                <a:srgbClr val="0000FF"/>
              </a:solidFill>
              <a:effectLst/>
              <a:latin typeface="+mn-lt"/>
              <a:ea typeface="+mn-ea"/>
              <a:cs typeface="+mn-cs"/>
            </a:rPr>
            <a:t>function BenefitTypeValidation()</a:t>
          </a:r>
          <a:endParaRPr lang="en-US">
            <a:solidFill>
              <a:srgbClr val="0000FF"/>
            </a:solidFill>
            <a:effectLst/>
          </a:endParaRPr>
        </a:p>
        <a:p>
          <a:r>
            <a:rPr lang="en-GB" sz="1100">
              <a:solidFill>
                <a:srgbClr val="0000FF"/>
              </a:solidFill>
              <a:effectLst/>
              <a:latin typeface="+mn-lt"/>
              <a:ea typeface="+mn-ea"/>
              <a:cs typeface="+mn-cs"/>
            </a:rPr>
            <a:t>{</a:t>
          </a:r>
          <a:endParaRPr lang="en-US">
            <a:solidFill>
              <a:srgbClr val="0000FF"/>
            </a:solidFill>
            <a:effectLst/>
          </a:endParaRPr>
        </a:p>
        <a:p>
          <a:r>
            <a:rPr lang="en-GB" sz="1100">
              <a:solidFill>
                <a:srgbClr val="0000FF"/>
              </a:solidFill>
              <a:effectLst/>
              <a:latin typeface="+mn-lt"/>
              <a:ea typeface="+mn-ea"/>
              <a:cs typeface="+mn-cs"/>
            </a:rPr>
            <a:t>	</a:t>
          </a:r>
          <a:r>
            <a:rPr lang="en-GB" sz="1100" b="0" i="0" baseline="0">
              <a:solidFill>
                <a:srgbClr val="00B050"/>
              </a:solidFill>
              <a:effectLst/>
              <a:latin typeface="+mn-lt"/>
              <a:ea typeface="+mn-ea"/>
              <a:cs typeface="+mn-cs"/>
            </a:rPr>
            <a:t>//[&lt;Developer's Initial &gt;&lt;Date&gt;] CR213427 : Added Script for validation of Benefit Type field of child records</a:t>
          </a:r>
          <a:endParaRPr lang="en-US">
            <a:solidFill>
              <a:srgbClr val="00B050"/>
            </a:solidFill>
            <a:effectLst/>
          </a:endParaRPr>
        </a:p>
        <a:p>
          <a:r>
            <a:rPr lang="en-GB" sz="1100">
              <a:solidFill>
                <a:srgbClr val="0000FF"/>
              </a:solidFill>
              <a:effectLst/>
              <a:latin typeface="+mn-lt"/>
              <a:ea typeface="+mn-ea"/>
              <a:cs typeface="+mn-cs"/>
            </a:rPr>
            <a:t>	var sAgreeId=this.GetFieldValue("Id");</a:t>
          </a:r>
        </a:p>
        <a:p>
          <a:r>
            <a:rPr lang="en-GB" sz="1100">
              <a:solidFill>
                <a:srgbClr val="0000FF"/>
              </a:solidFill>
              <a:effectLst/>
              <a:latin typeface="+mn-lt"/>
              <a:ea typeface="+mn-ea"/>
              <a:cs typeface="+mn-cs"/>
            </a:rPr>
            <a:t>	var sActiveBO = TheApplication().ActiveBusObject();</a:t>
          </a:r>
        </a:p>
        <a:p>
          <a:r>
            <a:rPr lang="en-GB" sz="1100">
              <a:solidFill>
                <a:srgbClr val="0000FF"/>
              </a:solidFill>
              <a:effectLst/>
              <a:latin typeface="+mn-lt"/>
              <a:ea typeface="+mn-ea"/>
              <a:cs typeface="+mn-cs"/>
            </a:rPr>
            <a:t>	var sActiveBC= sActiveBO.GetBusComp("JTI Contract Agreement Item");</a:t>
          </a:r>
        </a:p>
        <a:p>
          <a:r>
            <a:rPr lang="en-GB" sz="1100">
              <a:solidFill>
                <a:srgbClr val="0000FF"/>
              </a:solidFill>
              <a:effectLst/>
              <a:latin typeface="+mn-lt"/>
              <a:ea typeface="+mn-ea"/>
              <a:cs typeface="+mn-cs"/>
            </a:rPr>
            <a:t>	with(sActiveBC)</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ClearToQuery();</a:t>
          </a:r>
        </a:p>
        <a:p>
          <a:r>
            <a:rPr lang="en-GB" sz="1100">
              <a:solidFill>
                <a:srgbClr val="0000FF"/>
              </a:solidFill>
              <a:effectLst/>
              <a:latin typeface="+mn-lt"/>
              <a:ea typeface="+mn-ea"/>
              <a:cs typeface="+mn-cs"/>
            </a:rPr>
            <a:t>		SetViewMode(OrganizationView);</a:t>
          </a:r>
        </a:p>
        <a:p>
          <a:r>
            <a:rPr lang="en-GB" sz="1100">
              <a:solidFill>
                <a:srgbClr val="0000FF"/>
              </a:solidFill>
              <a:effectLst/>
              <a:latin typeface="+mn-lt"/>
              <a:ea typeface="+mn-ea"/>
              <a:cs typeface="+mn-cs"/>
            </a:rPr>
            <a:t>		SetSearchSpec("Agreement Id",sAgreeId);</a:t>
          </a:r>
        </a:p>
        <a:p>
          <a:r>
            <a:rPr lang="en-GB" sz="1100">
              <a:solidFill>
                <a:srgbClr val="0000FF"/>
              </a:solidFill>
              <a:effectLst/>
              <a:latin typeface="+mn-lt"/>
              <a:ea typeface="+mn-ea"/>
              <a:cs typeface="+mn-cs"/>
            </a:rPr>
            <a:t>		ExecuteQuery(ForwardBackward);</a:t>
          </a:r>
        </a:p>
        <a:p>
          <a:r>
            <a:rPr lang="en-GB" sz="1100">
              <a:solidFill>
                <a:srgbClr val="0000FF"/>
              </a:solidFill>
              <a:effectLst/>
              <a:latin typeface="+mn-lt"/>
              <a:ea typeface="+mn-ea"/>
              <a:cs typeface="+mn-cs"/>
            </a:rPr>
            <a:t>		if(FirstRecord())</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do</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if(GetFieldValue("Benefit Type")=="")</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//var sContractTerm = GetFieldValue("Product");</a:t>
          </a:r>
        </a:p>
        <a:p>
          <a:r>
            <a:rPr lang="en-GB" sz="1100">
              <a:solidFill>
                <a:srgbClr val="0000FF"/>
              </a:solidFill>
              <a:effectLst/>
              <a:latin typeface="+mn-lt"/>
              <a:ea typeface="+mn-ea"/>
              <a:cs typeface="+mn-cs"/>
            </a:rPr>
            <a:t>					TheApplication().RaiseErrorText("Please populate Benefit Type for all Contract Terms before Activating the Contract");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}while(NextRecord())</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a:t>
          </a:r>
          <a:endParaRPr lang="en-US">
            <a:solidFill>
              <a:srgbClr val="0000FF"/>
            </a:solidFill>
            <a:effectLst/>
          </a:endParaRPr>
        </a:p>
        <a:p>
          <a:endParaRPr lang="en-GB">
            <a:solidFill>
              <a:srgbClr val="0000FF"/>
            </a:solidFill>
            <a:effectLst/>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xdr:col>
      <xdr:colOff>47624</xdr:colOff>
      <xdr:row>10</xdr:row>
      <xdr:rowOff>28575</xdr:rowOff>
    </xdr:from>
    <xdr:ext cx="9655175" cy="4492625"/>
    <xdr:sp macro="" textlink="">
      <xdr:nvSpPr>
        <xdr:cNvPr id="2" name="TextBox 1">
          <a:extLst>
            <a:ext uri="{FF2B5EF4-FFF2-40B4-BE49-F238E27FC236}">
              <a16:creationId xmlns:a16="http://schemas.microsoft.com/office/drawing/2014/main" id="{166CEB68-329B-4661-A188-96A44752681F}"/>
            </a:ext>
          </a:extLst>
        </xdr:cNvPr>
        <xdr:cNvSpPr txBox="1"/>
      </xdr:nvSpPr>
      <xdr:spPr>
        <a:xfrm>
          <a:off x="352424" y="2301875"/>
          <a:ext cx="9655175" cy="4492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effectLst/>
            </a:rPr>
            <a:t>function BusComp_PreSetFieldValue (FieldName, FieldValue)</a:t>
          </a:r>
        </a:p>
        <a:p>
          <a:r>
            <a:rPr lang="en-GB">
              <a:effectLst/>
            </a:rPr>
            <a:t>{</a:t>
          </a:r>
        </a:p>
        <a:p>
          <a:r>
            <a:rPr lang="en-GB" b="1">
              <a:effectLst/>
            </a:rPr>
            <a:t>	.</a:t>
          </a:r>
        </a:p>
        <a:p>
          <a:r>
            <a:rPr lang="en-GB" b="1">
              <a:effectLst/>
            </a:rPr>
            <a:t>	.Existing</a:t>
          </a:r>
          <a:r>
            <a:rPr lang="en-GB" b="1" baseline="0">
              <a:effectLst/>
            </a:rPr>
            <a:t> Script</a:t>
          </a:r>
        </a:p>
        <a:p>
          <a:r>
            <a:rPr lang="en-GB" b="1" baseline="0">
              <a:effectLst/>
            </a:rPr>
            <a:t>	.</a:t>
          </a:r>
        </a:p>
        <a:p>
          <a:r>
            <a:rPr lang="en-GB" b="1" baseline="0">
              <a:effectLst/>
            </a:rPr>
            <a:t>	</a:t>
          </a:r>
          <a:r>
            <a:rPr lang="en-GB" b="0" baseline="0">
              <a:solidFill>
                <a:srgbClr val="00B050"/>
              </a:solidFill>
              <a:effectLst/>
            </a:rPr>
            <a:t>//[&lt;Developer's Initial &gt;&lt;Date&gt;] CR213427 : Added Script for validations</a:t>
          </a:r>
        </a:p>
        <a:p>
          <a:r>
            <a:rPr lang="en-GB" b="0" baseline="0">
              <a:effectLst/>
            </a:rPr>
            <a:t>	</a:t>
          </a:r>
          <a:r>
            <a:rPr lang="en-GB" b="0" baseline="0">
              <a:solidFill>
                <a:srgbClr val="0000FF"/>
              </a:solidFill>
              <a:effectLst/>
            </a:rPr>
            <a:t>var sOrg=TheApplication().GetProfileAttr("Org.Name");</a:t>
          </a:r>
        </a:p>
        <a:p>
          <a:r>
            <a:rPr lang="en-GB" b="0" baseline="0">
              <a:solidFill>
                <a:srgbClr val="0000FF"/>
              </a:solidFill>
              <a:effectLst/>
            </a:rPr>
            <a:t>	if(sOrg == "Italy" || sOrg == "Spain" || sOrg == "Czech Republic")</a:t>
          </a:r>
        </a:p>
        <a:p>
          <a:r>
            <a:rPr lang="en-GB" b="0" baseline="0">
              <a:solidFill>
                <a:srgbClr val="0000FF"/>
              </a:solidFill>
              <a:effectLst/>
            </a:rPr>
            <a:t>	{</a:t>
          </a:r>
        </a:p>
        <a:p>
          <a:r>
            <a:rPr lang="en-GB" b="1" baseline="0">
              <a:solidFill>
                <a:srgbClr val="0000FF"/>
              </a:solidFill>
              <a:effectLst/>
            </a:rPr>
            <a:t>		</a:t>
          </a:r>
          <a:r>
            <a:rPr lang="en-GB" b="0" baseline="0">
              <a:solidFill>
                <a:srgbClr val="0000FF"/>
              </a:solidFill>
              <a:effectLst/>
            </a:rPr>
            <a:t>//Invoke validation for Total Points Limit</a:t>
          </a:r>
        </a:p>
        <a:p>
          <a:r>
            <a:rPr lang="en-GB" sz="1100" b="0" baseline="0">
              <a:solidFill>
                <a:srgbClr val="0000FF"/>
              </a:solidFill>
              <a:effectLst/>
              <a:latin typeface="+mn-lt"/>
              <a:ea typeface="+mn-ea"/>
              <a:cs typeface="+mn-cs"/>
            </a:rPr>
            <a:t>		</a:t>
          </a:r>
          <a:r>
            <a:rPr lang="en-GB" sz="1100">
              <a:solidFill>
                <a:srgbClr val="0000FF"/>
              </a:solidFill>
              <a:effectLst/>
              <a:latin typeface="+mn-lt"/>
              <a:ea typeface="+mn-ea"/>
              <a:cs typeface="+mn-cs"/>
            </a:rPr>
            <a:t>if(FieldName == "Actual Cost Amount")</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AmountLimitValidation(FieldValue);</a:t>
          </a:r>
          <a:endParaRPr lang="en-US">
            <a:solidFill>
              <a:srgbClr val="0000FF"/>
            </a:solidFill>
            <a:effectLst/>
          </a:endParaRP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if((FieldName == "Agreement Status")&amp;&amp;(FieldValue == "Active"))</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var sActiveView=TheApplication().ActiveViewName();</a:t>
          </a:r>
        </a:p>
        <a:p>
          <a:r>
            <a:rPr lang="en-GB" sz="1100">
              <a:solidFill>
                <a:srgbClr val="0000FF"/>
              </a:solidFill>
              <a:effectLst/>
              <a:latin typeface="+mn-lt"/>
              <a:ea typeface="+mn-ea"/>
              <a:cs typeface="+mn-cs"/>
            </a:rPr>
            <a:t>		if(((sActiveView == "JTI FS Agreement Line Items View - New")) || (sActiveView == "JTI FS Contract Line Items View"))</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BenefitTypeValidation();</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 </a:t>
          </a:r>
          <a:endParaRPr lang="en-US">
            <a:solidFill>
              <a:srgbClr val="0000FF"/>
            </a:solidFill>
            <a:effectLst/>
          </a:endParaRPr>
        </a:p>
        <a:p>
          <a:r>
            <a:rPr lang="en-GB">
              <a:effectLst/>
            </a:rPr>
            <a:t>	return (ContinueOperation);</a:t>
          </a:r>
        </a:p>
        <a:p>
          <a:r>
            <a:rPr lang="en-GB">
              <a:effectLst/>
            </a:rPr>
            <a:t>}</a:t>
          </a:r>
        </a:p>
      </xdr:txBody>
    </xdr:sp>
    <xdr:clientData/>
  </xdr:oneCellAnchor>
  <xdr:oneCellAnchor>
    <xdr:from>
      <xdr:col>1</xdr:col>
      <xdr:colOff>44450</xdr:colOff>
      <xdr:row>38</xdr:row>
      <xdr:rowOff>38100</xdr:rowOff>
    </xdr:from>
    <xdr:ext cx="9658350" cy="4362450"/>
    <xdr:sp macro="" textlink="">
      <xdr:nvSpPr>
        <xdr:cNvPr id="3" name="TextBox 2">
          <a:extLst>
            <a:ext uri="{FF2B5EF4-FFF2-40B4-BE49-F238E27FC236}">
              <a16:creationId xmlns:a16="http://schemas.microsoft.com/office/drawing/2014/main" id="{54E75A7C-EC4B-4730-9337-8F9725BA6E05}"/>
            </a:ext>
          </a:extLst>
        </xdr:cNvPr>
        <xdr:cNvSpPr txBox="1"/>
      </xdr:nvSpPr>
      <xdr:spPr>
        <a:xfrm>
          <a:off x="349250" y="6838950"/>
          <a:ext cx="9658350"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a:t>
          </a:r>
          <a:r>
            <a:rPr lang="en-GB" sz="1100">
              <a:solidFill>
                <a:srgbClr val="0000FF"/>
              </a:solidFill>
              <a:effectLst/>
              <a:latin typeface="+mn-lt"/>
              <a:ea typeface="+mn-ea"/>
              <a:cs typeface="+mn-cs"/>
            </a:rPr>
            <a:t>AmountLimitValidation</a:t>
          </a:r>
          <a:r>
            <a:rPr lang="en-GB">
              <a:solidFill>
                <a:srgbClr val="0000FF"/>
              </a:solidFill>
              <a:effectLst/>
            </a:rPr>
            <a:t>(FieldVal)</a:t>
          </a:r>
        </a:p>
        <a:p>
          <a:r>
            <a:rPr lang="en-GB">
              <a:solidFill>
                <a:srgbClr val="0000FF"/>
              </a:solidFill>
              <a:effectLst/>
            </a:rPr>
            <a:t>{</a:t>
          </a:r>
        </a:p>
        <a:p>
          <a:r>
            <a:rPr lang="en-GB">
              <a:solidFill>
                <a:srgbClr val="0000FF"/>
              </a:solidFill>
              <a:effectLst/>
            </a:rPr>
            <a:t>	try</a:t>
          </a:r>
        </a:p>
        <a:p>
          <a:r>
            <a:rPr lang="en-GB">
              <a:solidFill>
                <a:srgbClr val="0000FF"/>
              </a:solidFill>
              <a:effectLst/>
            </a:rPr>
            <a:t>	{</a:t>
          </a:r>
        </a:p>
        <a:p>
          <a:r>
            <a:rPr lang="en-GB">
              <a:solidFill>
                <a:srgbClr val="0000FF"/>
              </a:solidFill>
              <a:effectLst/>
            </a:rPr>
            <a:t>	var sTotalAmtLimit = ToNumber(this.GetFieldValue("JTI Total Amount Limit"));</a:t>
          </a:r>
        </a:p>
        <a:p>
          <a:r>
            <a:rPr lang="en-GB">
              <a:solidFill>
                <a:srgbClr val="0000FF"/>
              </a:solidFill>
              <a:effectLst/>
            </a:rPr>
            <a:t>	var contractTotal=ToNumber(this.GetFieldValue("JTI Product Total"));</a:t>
          </a:r>
        </a:p>
        <a:p>
          <a:r>
            <a:rPr lang="en-GB">
              <a:solidFill>
                <a:srgbClr val="0000FF"/>
              </a:solidFill>
              <a:effectLst/>
            </a:rPr>
            <a:t>	var currentAmount=ToNumber(FieldVal);</a:t>
          </a:r>
        </a:p>
        <a:p>
          <a:r>
            <a:rPr lang="en-GB">
              <a:solidFill>
                <a:srgbClr val="0000FF"/>
              </a:solidFill>
              <a:effectLst/>
            </a:rPr>
            <a:t>	var sTotalContractAmt=contractTotal+currentAmount;</a:t>
          </a:r>
        </a:p>
        <a:p>
          <a:r>
            <a:rPr lang="en-GB">
              <a:solidFill>
                <a:srgbClr val="0000FF"/>
              </a:solidFill>
              <a:effectLst/>
            </a:rPr>
            <a:t>	var difference="",sErrorText="";</a:t>
          </a:r>
        </a:p>
        <a:p>
          <a:r>
            <a:rPr lang="en-GB">
              <a:solidFill>
                <a:srgbClr val="0000FF"/>
              </a:solidFill>
              <a:effectLst/>
            </a:rPr>
            <a:t>		if((sTotalAmtLimit != "" &amp;&amp; sTotalAmtLimit != "null") &amp;&amp; (sTotalAmtLimit &lt; sTotalContractAmt))</a:t>
          </a:r>
        </a:p>
        <a:p>
          <a:r>
            <a:rPr lang="en-GB">
              <a:solidFill>
                <a:srgbClr val="0000FF"/>
              </a:solidFill>
              <a:effectLst/>
            </a:rPr>
            <a:t>		{</a:t>
          </a:r>
        </a:p>
        <a:p>
          <a:r>
            <a:rPr lang="en-GB">
              <a:solidFill>
                <a:srgbClr val="0000FF"/>
              </a:solidFill>
              <a:effectLst/>
            </a:rPr>
            <a:t>		difference = sTotalContractAmt-sTotalAmtLimit;</a:t>
          </a:r>
        </a:p>
        <a:p>
          <a:r>
            <a:rPr lang="en-GB">
              <a:solidFill>
                <a:srgbClr val="0000FF"/>
              </a:solidFill>
              <a:effectLst/>
            </a:rPr>
            <a:t>		sErrorText = TheApplication().LookupMessage("User Defined Errors","X_TOTAL_AMOUNT_VALIDATION",difference);</a:t>
          </a:r>
        </a:p>
        <a:p>
          <a:r>
            <a:rPr lang="en-GB">
              <a:solidFill>
                <a:srgbClr val="0000FF"/>
              </a:solidFill>
              <a:effectLst/>
            </a:rPr>
            <a:t>		TheApplication().RaiseErrorText(sErrorText);</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TheApplication().Trace(e.toString());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sTotalAmtLimit = ""; sTotalContractAmt = ""; difference = ""; sErrorText = "";</a:t>
          </a:r>
        </a:p>
        <a:p>
          <a:r>
            <a:rPr lang="en-GB">
              <a:solidFill>
                <a:srgbClr val="0000FF"/>
              </a:solidFill>
              <a:effectLst/>
            </a:rPr>
            <a:t>	}	</a:t>
          </a:r>
        </a:p>
        <a:p>
          <a:r>
            <a:rPr lang="en-GB">
              <a:solidFill>
                <a:srgbClr val="0000FF"/>
              </a:solidFill>
              <a:effectLst/>
            </a:rPr>
            <a:t>}</a:t>
          </a:r>
        </a:p>
      </xdr:txBody>
    </xdr:sp>
    <xdr:clientData/>
  </xdr:oneCellAnchor>
  <xdr:oneCellAnchor>
    <xdr:from>
      <xdr:col>1</xdr:col>
      <xdr:colOff>38100</xdr:colOff>
      <xdr:row>66</xdr:row>
      <xdr:rowOff>31750</xdr:rowOff>
    </xdr:from>
    <xdr:ext cx="9658350" cy="5067300"/>
    <xdr:sp macro="" textlink="">
      <xdr:nvSpPr>
        <xdr:cNvPr id="4" name="TextBox 3">
          <a:extLst>
            <a:ext uri="{FF2B5EF4-FFF2-40B4-BE49-F238E27FC236}">
              <a16:creationId xmlns:a16="http://schemas.microsoft.com/office/drawing/2014/main" id="{31B3CA80-77D9-4E62-97CA-4B7F32A4D94A}"/>
            </a:ext>
          </a:extLst>
        </xdr:cNvPr>
        <xdr:cNvSpPr txBox="1"/>
      </xdr:nvSpPr>
      <xdr:spPr>
        <a:xfrm>
          <a:off x="342900" y="11277600"/>
          <a:ext cx="9658350" cy="506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BenefitTypeValidation()</a:t>
          </a:r>
        </a:p>
        <a:p>
          <a:r>
            <a:rPr lang="en-GB">
              <a:solidFill>
                <a:srgbClr val="0000FF"/>
              </a:solidFill>
              <a:effectLst/>
            </a:rPr>
            <a:t>{</a:t>
          </a:r>
        </a:p>
        <a:p>
          <a:r>
            <a:rPr lang="en-GB">
              <a:solidFill>
                <a:srgbClr val="0000FF"/>
              </a:solidFill>
              <a:effectLst/>
            </a:rPr>
            <a:t>	</a:t>
          </a:r>
          <a:r>
            <a:rPr kumimoji="0" lang="en-GB" sz="1100" b="0" i="0" u="none" strike="noStrike" kern="0" cap="none" spc="0" normalizeH="0" baseline="0" noProof="0">
              <a:ln>
                <a:noFill/>
              </a:ln>
              <a:solidFill>
                <a:srgbClr val="00B050"/>
              </a:solidFill>
              <a:effectLst/>
              <a:uLnTx/>
              <a:uFillTx/>
              <a:latin typeface="+mn-lt"/>
              <a:ea typeface="+mn-ea"/>
              <a:cs typeface="+mn-cs"/>
            </a:rPr>
            <a:t>//[&lt;Developer's Initial &gt;&lt;Date&gt;] CR213427 : Added Script for validation of Benefit Type field of child records</a:t>
          </a:r>
          <a:endParaRPr lang="en-GB">
            <a:solidFill>
              <a:srgbClr val="0000FF"/>
            </a:solidFill>
            <a:effectLst/>
          </a:endParaRPr>
        </a:p>
        <a:p>
          <a:r>
            <a:rPr lang="en-GB">
              <a:solidFill>
                <a:srgbClr val="0000FF"/>
              </a:solidFill>
              <a:effectLst/>
            </a:rPr>
            <a:t>		var sAgreeId=this.GetFieldValue("Id");</a:t>
          </a:r>
        </a:p>
        <a:p>
          <a:r>
            <a:rPr lang="en-GB">
              <a:solidFill>
                <a:srgbClr val="0000FF"/>
              </a:solidFill>
              <a:effectLst/>
            </a:rPr>
            <a:t>		var sActiveBO = TheApplication().ActiveBusObject();</a:t>
          </a:r>
        </a:p>
        <a:p>
          <a:r>
            <a:rPr lang="en-GB">
              <a:solidFill>
                <a:srgbClr val="0000FF"/>
              </a:solidFill>
              <a:effectLst/>
            </a:rPr>
            <a:t>		var sActiveBC= sActiveBO.GetBusComp("JTI Contract Agreement Item");</a:t>
          </a:r>
        </a:p>
        <a:p>
          <a:r>
            <a:rPr lang="en-GB">
              <a:solidFill>
                <a:srgbClr val="0000FF"/>
              </a:solidFill>
              <a:effectLst/>
            </a:rPr>
            <a:t>		//var sSearchExpr = "[Agreement Id] = '" + sAgreeId + "'";</a:t>
          </a:r>
        </a:p>
        <a:p>
          <a:r>
            <a:rPr lang="en-GB">
              <a:solidFill>
                <a:srgbClr val="0000FF"/>
              </a:solidFill>
              <a:effectLst/>
            </a:rPr>
            <a:t>		</a:t>
          </a:r>
        </a:p>
        <a:p>
          <a:r>
            <a:rPr lang="en-GB">
              <a:solidFill>
                <a:srgbClr val="0000FF"/>
              </a:solidFill>
              <a:effectLst/>
            </a:rPr>
            <a:t>		with(sActiveBC)</a:t>
          </a:r>
        </a:p>
        <a:p>
          <a:r>
            <a:rPr lang="en-GB">
              <a:solidFill>
                <a:srgbClr val="0000FF"/>
              </a:solidFill>
              <a:effectLst/>
            </a:rPr>
            <a:t>		{</a:t>
          </a:r>
        </a:p>
        <a:p>
          <a:r>
            <a:rPr lang="en-GB">
              <a:solidFill>
                <a:srgbClr val="0000FF"/>
              </a:solidFill>
              <a:effectLst/>
            </a:rPr>
            <a:t>			ClearToQuery();</a:t>
          </a:r>
        </a:p>
        <a:p>
          <a:r>
            <a:rPr lang="en-GB">
              <a:solidFill>
                <a:srgbClr val="0000FF"/>
              </a:solidFill>
              <a:effectLst/>
            </a:rPr>
            <a:t>			SetViewMode(OrganizationView);</a:t>
          </a:r>
        </a:p>
        <a:p>
          <a:r>
            <a:rPr lang="en-GB">
              <a:solidFill>
                <a:srgbClr val="0000FF"/>
              </a:solidFill>
              <a:effectLst/>
            </a:rPr>
            <a:t>			SetSearchSpec("Agreement Id",sAgreeId);</a:t>
          </a:r>
        </a:p>
        <a:p>
          <a:r>
            <a:rPr lang="en-GB">
              <a:solidFill>
                <a:srgbClr val="0000FF"/>
              </a:solidFill>
              <a:effectLst/>
            </a:rPr>
            <a:t>			ExecuteQuery(ForwardBackward);</a:t>
          </a:r>
        </a:p>
        <a:p>
          <a:r>
            <a:rPr lang="en-GB">
              <a:solidFill>
                <a:srgbClr val="0000FF"/>
              </a:solidFill>
              <a:effectLst/>
            </a:rPr>
            <a:t>			if(FirstRecord())</a:t>
          </a:r>
        </a:p>
        <a:p>
          <a:r>
            <a:rPr lang="en-GB">
              <a:solidFill>
                <a:srgbClr val="0000FF"/>
              </a:solidFill>
              <a:effectLst/>
            </a:rPr>
            <a:t>			{</a:t>
          </a:r>
        </a:p>
        <a:p>
          <a:r>
            <a:rPr lang="en-GB">
              <a:solidFill>
                <a:srgbClr val="0000FF"/>
              </a:solidFill>
              <a:effectLst/>
            </a:rPr>
            <a:t>				do</a:t>
          </a:r>
        </a:p>
        <a:p>
          <a:r>
            <a:rPr lang="en-GB">
              <a:solidFill>
                <a:srgbClr val="0000FF"/>
              </a:solidFill>
              <a:effectLst/>
            </a:rPr>
            <a:t>				{</a:t>
          </a:r>
        </a:p>
        <a:p>
          <a:r>
            <a:rPr lang="en-GB">
              <a:solidFill>
                <a:srgbClr val="0000FF"/>
              </a:solidFill>
              <a:effectLst/>
            </a:rPr>
            <a:t>					if(GetFieldValue("Benefit Type")=="")</a:t>
          </a:r>
        </a:p>
        <a:p>
          <a:r>
            <a:rPr lang="en-GB">
              <a:solidFill>
                <a:srgbClr val="0000FF"/>
              </a:solidFill>
              <a:effectLst/>
            </a:rPr>
            <a:t>					{</a:t>
          </a:r>
        </a:p>
        <a:p>
          <a:r>
            <a:rPr lang="en-GB">
              <a:solidFill>
                <a:srgbClr val="0000FF"/>
              </a:solidFill>
              <a:effectLst/>
            </a:rPr>
            <a:t>						//var sContractTerm = GetFieldValue("Product");</a:t>
          </a:r>
        </a:p>
        <a:p>
          <a:r>
            <a:rPr lang="en-GB">
              <a:solidFill>
                <a:srgbClr val="0000FF"/>
              </a:solidFill>
              <a:effectLst/>
            </a:rPr>
            <a:t>						TheApplication().RaiseErrorText("Please populate Benefit Type for all Contract Terms before Activating the Contract");	</a:t>
          </a:r>
        </a:p>
        <a:p>
          <a:r>
            <a:rPr lang="en-GB">
              <a:solidFill>
                <a:srgbClr val="0000FF"/>
              </a:solidFill>
              <a:effectLst/>
            </a:rPr>
            <a:t>					}</a:t>
          </a:r>
        </a:p>
        <a:p>
          <a:r>
            <a:rPr lang="en-GB">
              <a:solidFill>
                <a:srgbClr val="0000FF"/>
              </a:solidFill>
              <a:effectLst/>
            </a:rPr>
            <a:t>				}while(NextRecord())</a:t>
          </a:r>
        </a:p>
        <a:p>
          <a:r>
            <a:rPr lang="en-GB">
              <a:solidFill>
                <a:srgbClr val="0000FF"/>
              </a:solidFill>
              <a:effectLst/>
            </a:rPr>
            <a:t>			}</a:t>
          </a:r>
        </a:p>
        <a:p>
          <a:endParaRPr lang="en-GB">
            <a:solidFill>
              <a:srgbClr val="0000FF"/>
            </a:solidFill>
            <a:effectLst/>
          </a:endParaRPr>
        </a:p>
        <a:p>
          <a:r>
            <a:rPr lang="en-GB">
              <a:solidFill>
                <a:srgbClr val="0000FF"/>
              </a:solidFill>
              <a:effectLst/>
            </a:rPr>
            <a:t>		}</a:t>
          </a:r>
        </a:p>
        <a:p>
          <a:r>
            <a:rPr lang="en-GB">
              <a:solidFill>
                <a:srgbClr val="0000FF"/>
              </a:solidFill>
              <a:effectLst/>
            </a:rPr>
            <a: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xdr:col>
      <xdr:colOff>47624</xdr:colOff>
      <xdr:row>10</xdr:row>
      <xdr:rowOff>28574</xdr:rowOff>
    </xdr:from>
    <xdr:ext cx="9655175" cy="4829175"/>
    <xdr:sp macro="" textlink="">
      <xdr:nvSpPr>
        <xdr:cNvPr id="2" name="TextBox 1">
          <a:extLst>
            <a:ext uri="{FF2B5EF4-FFF2-40B4-BE49-F238E27FC236}">
              <a16:creationId xmlns:a16="http://schemas.microsoft.com/office/drawing/2014/main" id="{53E8915A-A5E3-4919-8680-5B46ED6BD068}"/>
            </a:ext>
          </a:extLst>
        </xdr:cNvPr>
        <xdr:cNvSpPr txBox="1"/>
      </xdr:nvSpPr>
      <xdr:spPr>
        <a:xfrm>
          <a:off x="352424" y="2454274"/>
          <a:ext cx="9655175" cy="482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effectLst/>
            </a:rPr>
            <a:t>function BusComp_PreSetFieldValue (FieldName, FieldValue)</a:t>
          </a:r>
        </a:p>
        <a:p>
          <a:r>
            <a:rPr lang="en-GB">
              <a:effectLst/>
            </a:rPr>
            <a:t>{</a:t>
          </a:r>
        </a:p>
        <a:p>
          <a:r>
            <a:rPr lang="en-GB" b="1">
              <a:effectLst/>
            </a:rPr>
            <a:t>	.</a:t>
          </a:r>
        </a:p>
        <a:p>
          <a:r>
            <a:rPr lang="en-GB" b="1">
              <a:effectLst/>
            </a:rPr>
            <a:t>	.Existing</a:t>
          </a:r>
          <a:r>
            <a:rPr lang="en-GB" b="1" baseline="0">
              <a:effectLst/>
            </a:rPr>
            <a:t> Script</a:t>
          </a:r>
        </a:p>
        <a:p>
          <a:r>
            <a:rPr lang="en-GB" b="1" baseline="0">
              <a:effectLst/>
            </a:rPr>
            <a:t>	.</a:t>
          </a:r>
        </a:p>
        <a:p>
          <a:r>
            <a:rPr lang="en-GB" b="1" baseline="0">
              <a:effectLst/>
            </a:rPr>
            <a:t>	</a:t>
          </a:r>
          <a:r>
            <a:rPr lang="en-GB" sz="1100" b="0" baseline="0">
              <a:solidFill>
                <a:srgbClr val="00B050"/>
              </a:solidFill>
              <a:effectLst/>
              <a:latin typeface="+mn-lt"/>
              <a:ea typeface="+mn-ea"/>
              <a:cs typeface="+mn-cs"/>
            </a:rPr>
            <a:t>//[&lt;Developer's Initial &gt;&lt;Date&gt;] CR213427 : Added Script for validations</a:t>
          </a:r>
          <a:endParaRPr lang="en-GB" b="1" baseline="0">
            <a:solidFill>
              <a:srgbClr val="00B050"/>
            </a:solidFill>
            <a:effectLst/>
          </a:endParaRPr>
        </a:p>
        <a:p>
          <a:r>
            <a:rPr lang="en-GB" b="0" baseline="0">
              <a:effectLst/>
            </a:rPr>
            <a:t>	</a:t>
          </a:r>
          <a:r>
            <a:rPr lang="en-GB" b="0" baseline="0">
              <a:solidFill>
                <a:srgbClr val="0000FF"/>
              </a:solidFill>
              <a:effectLst/>
            </a:rPr>
            <a:t>var sOrg=TheApplication().GetProfileAttr("Org.Name");</a:t>
          </a:r>
        </a:p>
        <a:p>
          <a:r>
            <a:rPr lang="en-GB" b="0" baseline="0">
              <a:solidFill>
                <a:srgbClr val="0000FF"/>
              </a:solidFill>
              <a:effectLst/>
            </a:rPr>
            <a:t>	if(sOrg == "Italy" || sOrg == "Spain" || sOrg == "Czech Republic")</a:t>
          </a:r>
        </a:p>
        <a:p>
          <a:r>
            <a:rPr lang="en-GB" b="0" baseline="0">
              <a:solidFill>
                <a:srgbClr val="0000FF"/>
              </a:solidFill>
              <a:effectLst/>
            </a:rPr>
            <a:t>	{</a:t>
          </a:r>
        </a:p>
        <a:p>
          <a:r>
            <a:rPr lang="en-GB" b="1" baseline="0">
              <a:solidFill>
                <a:srgbClr val="0000FF"/>
              </a:solidFill>
              <a:effectLst/>
            </a:rPr>
            <a:t>		</a:t>
          </a:r>
          <a:r>
            <a:rPr lang="en-GB" b="0" baseline="0">
              <a:solidFill>
                <a:srgbClr val="0000FF"/>
              </a:solidFill>
              <a:effectLst/>
            </a:rPr>
            <a:t>//Invoke validation for Total Points Limit</a:t>
          </a:r>
        </a:p>
        <a:p>
          <a:r>
            <a:rPr lang="en-GB" sz="1100" b="0" baseline="0">
              <a:solidFill>
                <a:srgbClr val="0000FF"/>
              </a:solidFill>
              <a:effectLst/>
              <a:latin typeface="+mn-lt"/>
              <a:ea typeface="+mn-ea"/>
              <a:cs typeface="+mn-cs"/>
            </a:rPr>
            <a:t>		if(FieldName == "Quantity Requested")</a:t>
          </a:r>
        </a:p>
        <a:p>
          <a:r>
            <a:rPr lang="en-GB" sz="1100" b="0" baseline="0">
              <a:solidFill>
                <a:srgbClr val="0000FF"/>
              </a:solidFill>
              <a:effectLst/>
              <a:latin typeface="+mn-lt"/>
              <a:ea typeface="+mn-ea"/>
              <a:cs typeface="+mn-cs"/>
            </a:rPr>
            <a:t>		{</a:t>
          </a:r>
        </a:p>
        <a:p>
          <a:r>
            <a:rPr lang="en-GB" sz="1100" b="0" baseline="0">
              <a:solidFill>
                <a:srgbClr val="0000FF"/>
              </a:solidFill>
              <a:effectLst/>
              <a:latin typeface="+mn-lt"/>
              <a:ea typeface="+mn-ea"/>
              <a:cs typeface="+mn-cs"/>
            </a:rPr>
            <a:t>			QuantityValidation(FieldValue);</a:t>
          </a:r>
        </a:p>
        <a:p>
          <a:r>
            <a:rPr lang="en-GB" sz="1100" b="0" baseline="0">
              <a:solidFill>
                <a:srgbClr val="0000FF"/>
              </a:solidFill>
              <a:effectLst/>
              <a:latin typeface="+mn-lt"/>
              <a:ea typeface="+mn-ea"/>
              <a:cs typeface="+mn-cs"/>
            </a:rPr>
            <a:t>		}</a:t>
          </a:r>
        </a:p>
        <a:p>
          <a:r>
            <a:rPr lang="en-GB" sz="1100" b="0" baseline="0">
              <a:solidFill>
                <a:srgbClr val="0000FF"/>
              </a:solidFill>
              <a:effectLst/>
              <a:latin typeface="+mn-lt"/>
              <a:ea typeface="+mn-ea"/>
              <a:cs typeface="+mn-cs"/>
            </a:rPr>
            <a:t>		if(FieldName == "Unit Price")</a:t>
          </a:r>
        </a:p>
        <a:p>
          <a:r>
            <a:rPr lang="en-GB" sz="1100" b="0" baseline="0">
              <a:solidFill>
                <a:srgbClr val="0000FF"/>
              </a:solidFill>
              <a:effectLst/>
              <a:latin typeface="+mn-lt"/>
              <a:ea typeface="+mn-ea"/>
              <a:cs typeface="+mn-cs"/>
            </a:rPr>
            <a:t>		{</a:t>
          </a:r>
        </a:p>
        <a:p>
          <a:r>
            <a:rPr lang="en-GB" sz="1100" b="0" baseline="0">
              <a:solidFill>
                <a:srgbClr val="0000FF"/>
              </a:solidFill>
              <a:effectLst/>
              <a:latin typeface="+mn-lt"/>
              <a:ea typeface="+mn-ea"/>
              <a:cs typeface="+mn-cs"/>
            </a:rPr>
            <a:t>			UnitPriceValidation(FieldValue);</a:t>
          </a:r>
        </a:p>
        <a:p>
          <a:r>
            <a:rPr lang="en-GB" sz="1100" b="0" baseline="0">
              <a:solidFill>
                <a:srgbClr val="0000FF"/>
              </a:solidFill>
              <a:effectLst/>
              <a:latin typeface="+mn-lt"/>
              <a:ea typeface="+mn-ea"/>
              <a:cs typeface="+mn-cs"/>
            </a:rPr>
            <a:t>		}</a:t>
          </a:r>
        </a:p>
        <a:p>
          <a:r>
            <a:rPr lang="en-GB" sz="1100" b="0" baseline="0">
              <a:solidFill>
                <a:srgbClr val="0000FF"/>
              </a:solidFill>
              <a:effectLst/>
              <a:latin typeface="+mn-lt"/>
              <a:ea typeface="+mn-ea"/>
              <a:cs typeface="+mn-cs"/>
            </a:rPr>
            <a:t>		if(FieldName == "JTI Nb Points")</a:t>
          </a:r>
        </a:p>
        <a:p>
          <a:r>
            <a:rPr lang="en-GB" sz="1100" b="0" baseline="0">
              <a:solidFill>
                <a:srgbClr val="0000FF"/>
              </a:solidFill>
              <a:effectLst/>
              <a:latin typeface="+mn-lt"/>
              <a:ea typeface="+mn-ea"/>
              <a:cs typeface="+mn-cs"/>
            </a:rPr>
            <a:t>		{</a:t>
          </a:r>
        </a:p>
        <a:p>
          <a:r>
            <a:rPr lang="en-GB" sz="1100" b="0" baseline="0">
              <a:solidFill>
                <a:srgbClr val="0000FF"/>
              </a:solidFill>
              <a:effectLst/>
              <a:latin typeface="+mn-lt"/>
              <a:ea typeface="+mn-ea"/>
              <a:cs typeface="+mn-cs"/>
            </a:rPr>
            <a:t>			PointsValidation(FieldValue);</a:t>
          </a:r>
        </a:p>
        <a:p>
          <a:r>
            <a:rPr lang="en-GB" sz="1100" b="0" baseline="0">
              <a:solidFill>
                <a:srgbClr val="0000FF"/>
              </a:solidFill>
              <a:effectLst/>
              <a:latin typeface="+mn-lt"/>
              <a:ea typeface="+mn-ea"/>
              <a:cs typeface="+mn-cs"/>
            </a:rPr>
            <a:t>		}</a:t>
          </a:r>
        </a:p>
        <a:p>
          <a:r>
            <a:rPr lang="en-GB" sz="1100" b="0" baseline="0">
              <a:solidFill>
                <a:srgbClr val="0000FF"/>
              </a:solidFill>
              <a:effectLst/>
              <a:latin typeface="+mn-lt"/>
              <a:ea typeface="+mn-ea"/>
              <a:cs typeface="+mn-cs"/>
            </a:rPr>
            <a:t>	}</a:t>
          </a:r>
          <a:r>
            <a:rPr lang="en-GB">
              <a:effectLst/>
            </a:rPr>
            <a:t>	</a:t>
          </a:r>
        </a:p>
        <a:p>
          <a:r>
            <a:rPr lang="en-GB">
              <a:effectLst/>
            </a:rPr>
            <a:t>return (ContinueOperation);</a:t>
          </a:r>
        </a:p>
        <a:p>
          <a:r>
            <a:rPr lang="en-GB">
              <a:effectLst/>
            </a:rPr>
            <a:t>}</a:t>
          </a:r>
        </a:p>
      </xdr:txBody>
    </xdr:sp>
    <xdr:clientData/>
  </xdr:oneCellAnchor>
  <xdr:oneCellAnchor>
    <xdr:from>
      <xdr:col>1</xdr:col>
      <xdr:colOff>50800</xdr:colOff>
      <xdr:row>55</xdr:row>
      <xdr:rowOff>6350</xdr:rowOff>
    </xdr:from>
    <xdr:ext cx="9658350" cy="431800"/>
    <xdr:sp macro="" textlink="">
      <xdr:nvSpPr>
        <xdr:cNvPr id="3" name="TextBox 2">
          <a:extLst>
            <a:ext uri="{FF2B5EF4-FFF2-40B4-BE49-F238E27FC236}">
              <a16:creationId xmlns:a16="http://schemas.microsoft.com/office/drawing/2014/main" id="{8564A2A2-93AA-47D2-9ABD-F30D2DBCCFAF}"/>
            </a:ext>
          </a:extLst>
        </xdr:cNvPr>
        <xdr:cNvSpPr txBox="1"/>
      </xdr:nvSpPr>
      <xdr:spPr>
        <a:xfrm>
          <a:off x="355600" y="9658350"/>
          <a:ext cx="9658350" cy="43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effectLst/>
            </a:rPr>
            <a:t>function </a:t>
          </a:r>
          <a:r>
            <a:rPr lang="en-GB" sz="1100">
              <a:solidFill>
                <a:schemeClr val="dk1"/>
              </a:solidFill>
              <a:effectLst/>
              <a:latin typeface="+mn-lt"/>
              <a:ea typeface="+mn-ea"/>
              <a:cs typeface="+mn-cs"/>
            </a:rPr>
            <a:t>AmountLimitValidation</a:t>
          </a:r>
          <a:r>
            <a:rPr lang="en-GB">
              <a:effectLst/>
            </a:rPr>
            <a:t>(FieldVal)</a:t>
          </a:r>
        </a:p>
        <a:p>
          <a:r>
            <a:rPr lang="en-GB">
              <a:effectLst/>
            </a:rPr>
            <a:t>{</a:t>
          </a:r>
        </a:p>
        <a:p>
          <a:r>
            <a:rPr lang="en-GB">
              <a:effectLst/>
            </a:rPr>
            <a:t>	try</a:t>
          </a:r>
        </a:p>
        <a:p>
          <a:r>
            <a:rPr lang="en-GB">
              <a:effectLst/>
            </a:rPr>
            <a:t>	{</a:t>
          </a:r>
        </a:p>
        <a:p>
          <a:r>
            <a:rPr lang="en-GB">
              <a:effectLst/>
            </a:rPr>
            <a:t>	var sTotalAmtLimit = ToNumber(this.GetFieldValue("JTI Total Amount Limit"));</a:t>
          </a:r>
        </a:p>
        <a:p>
          <a:r>
            <a:rPr lang="en-GB">
              <a:effectLst/>
            </a:rPr>
            <a:t>	var contractTotal=ToNumber(this.GetFieldValue("JTI Product Total"));</a:t>
          </a:r>
        </a:p>
        <a:p>
          <a:r>
            <a:rPr lang="en-GB">
              <a:effectLst/>
            </a:rPr>
            <a:t>	var currentAmount=ToNumber(FieldVal);</a:t>
          </a:r>
        </a:p>
        <a:p>
          <a:r>
            <a:rPr lang="en-GB">
              <a:effectLst/>
            </a:rPr>
            <a:t>	var sTotalContractAmt=contractTotal+currentAmount;</a:t>
          </a:r>
        </a:p>
        <a:p>
          <a:r>
            <a:rPr lang="en-GB">
              <a:effectLst/>
            </a:rPr>
            <a:t>	var difference="",sErrorText="";</a:t>
          </a:r>
        </a:p>
        <a:p>
          <a:r>
            <a:rPr lang="en-GB">
              <a:effectLst/>
            </a:rPr>
            <a:t>		if((sTotalAmtLimit != "" &amp;&amp; sTotalAmtLimit != "null") &amp;&amp; (sTotalAmtLimit &lt; sTotalContractAmt))</a:t>
          </a:r>
        </a:p>
        <a:p>
          <a:r>
            <a:rPr lang="en-GB">
              <a:effectLst/>
            </a:rPr>
            <a:t>		{</a:t>
          </a:r>
        </a:p>
        <a:p>
          <a:r>
            <a:rPr lang="en-GB">
              <a:effectLst/>
            </a:rPr>
            <a:t>		difference = sTotalContractAmt-sTotalAmtLimit;</a:t>
          </a:r>
        </a:p>
        <a:p>
          <a:r>
            <a:rPr lang="en-GB">
              <a:effectLst/>
            </a:rPr>
            <a:t>		sErrorText = TheApplication().LookupMessage("User Defined Errors","X_TOTAL_AMOUNT_VALIDATION",difference);</a:t>
          </a:r>
        </a:p>
        <a:p>
          <a:r>
            <a:rPr lang="en-GB">
              <a:effectLst/>
            </a:rPr>
            <a:t>		TheApplication().RaiseErrorText(sErrorText);</a:t>
          </a:r>
        </a:p>
        <a:p>
          <a:r>
            <a:rPr lang="en-GB">
              <a:effectLst/>
            </a:rPr>
            <a:t>		}</a:t>
          </a:r>
        </a:p>
        <a:p>
          <a:r>
            <a:rPr lang="en-GB">
              <a:effectLst/>
            </a:rPr>
            <a:t>	}</a:t>
          </a:r>
        </a:p>
        <a:p>
          <a:r>
            <a:rPr lang="en-GB">
              <a:effectLst/>
            </a:rPr>
            <a:t>	catch(e)</a:t>
          </a:r>
        </a:p>
        <a:p>
          <a:r>
            <a:rPr lang="en-GB">
              <a:effectLst/>
            </a:rPr>
            <a:t>	{</a:t>
          </a:r>
        </a:p>
        <a:p>
          <a:r>
            <a:rPr lang="en-GB">
              <a:effectLst/>
            </a:rPr>
            <a:t>		TheApplication().Trace(e.toString());</a:t>
          </a:r>
        </a:p>
        <a:p>
          <a:r>
            <a:rPr lang="en-GB">
              <a:effectLst/>
            </a:rPr>
            <a:t>	}</a:t>
          </a:r>
        </a:p>
        <a:p>
          <a:r>
            <a:rPr lang="en-GB">
              <a:effectLst/>
            </a:rPr>
            <a:t>	finally</a:t>
          </a:r>
        </a:p>
        <a:p>
          <a:r>
            <a:rPr lang="en-GB">
              <a:effectLst/>
            </a:rPr>
            <a:t>	{</a:t>
          </a:r>
        </a:p>
        <a:p>
          <a:r>
            <a:rPr lang="en-GB">
              <a:effectLst/>
            </a:rPr>
            <a:t>		sTotalAmtLimit = ""; sTotalContractAmt = ""; difference = ""; sErrorText = "";</a:t>
          </a:r>
        </a:p>
        <a:p>
          <a:r>
            <a:rPr lang="en-GB">
              <a:effectLst/>
            </a:rPr>
            <a:t>	}	</a:t>
          </a:r>
        </a:p>
        <a:p>
          <a:r>
            <a:rPr lang="en-GB">
              <a:effectLst/>
            </a:rPr>
            <a:t>}</a:t>
          </a:r>
        </a:p>
      </xdr:txBody>
    </xdr:sp>
    <xdr:clientData/>
  </xdr:oneCellAnchor>
  <xdr:oneCellAnchor>
    <xdr:from>
      <xdr:col>1</xdr:col>
      <xdr:colOff>38100</xdr:colOff>
      <xdr:row>40</xdr:row>
      <xdr:rowOff>44450</xdr:rowOff>
    </xdr:from>
    <xdr:ext cx="9655175" cy="5187950"/>
    <xdr:sp macro="" textlink="">
      <xdr:nvSpPr>
        <xdr:cNvPr id="4" name="TextBox 3">
          <a:extLst>
            <a:ext uri="{FF2B5EF4-FFF2-40B4-BE49-F238E27FC236}">
              <a16:creationId xmlns:a16="http://schemas.microsoft.com/office/drawing/2014/main" id="{2F8F6455-2F2C-49A1-BBC8-CCA61DB43EA5}"/>
            </a:ext>
          </a:extLst>
        </xdr:cNvPr>
        <xdr:cNvSpPr txBox="1"/>
      </xdr:nvSpPr>
      <xdr:spPr>
        <a:xfrm>
          <a:off x="342900" y="7315200"/>
          <a:ext cx="9655175" cy="5187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QuantityValidation(FieldValue)</a:t>
          </a:r>
        </a:p>
        <a:p>
          <a:r>
            <a:rPr lang="en-GB">
              <a:solidFill>
                <a:srgbClr val="0000FF"/>
              </a:solidFill>
              <a:effectLst/>
            </a:rPr>
            <a:t>{</a:t>
          </a:r>
        </a:p>
        <a:p>
          <a:r>
            <a:rPr lang="en-GB">
              <a:solidFill>
                <a:srgbClr val="0000FF"/>
              </a:solidFill>
              <a:effectLst/>
            </a:rPr>
            <a:t>	try</a:t>
          </a:r>
        </a:p>
        <a:p>
          <a:r>
            <a:rPr lang="en-GB">
              <a:solidFill>
                <a:srgbClr val="0000FF"/>
              </a:solidFill>
              <a:effectLst/>
            </a:rPr>
            <a:t>	{</a:t>
          </a:r>
        </a:p>
        <a:p>
          <a:r>
            <a:rPr lang="en-GB">
              <a:solidFill>
                <a:srgbClr val="0000FF"/>
              </a:solidFill>
              <a:effectLst/>
            </a:rPr>
            <a:t>		var sUnitPrice = this.GetFieldValue("Unit Price");</a:t>
          </a:r>
        </a:p>
        <a:p>
          <a:r>
            <a:rPr lang="en-GB">
              <a:solidFill>
                <a:srgbClr val="0000FF"/>
              </a:solidFill>
              <a:effectLst/>
            </a:rPr>
            <a:t>		var sPrevNetPrice = this.GetFieldValue("Quantity Requested") * ToNumber(sUnitPrice);</a:t>
          </a:r>
        </a:p>
        <a:p>
          <a:r>
            <a:rPr lang="en-GB">
              <a:solidFill>
                <a:srgbClr val="0000FF"/>
              </a:solidFill>
              <a:effectLst/>
            </a:rPr>
            <a:t>		var sCurrentPrice = ToNumber(sUnitPrice)*FieldValue;</a:t>
          </a:r>
        </a:p>
        <a:p>
          <a:r>
            <a:rPr lang="en-GB">
              <a:solidFill>
                <a:srgbClr val="0000FF"/>
              </a:solidFill>
              <a:effectLst/>
            </a:rPr>
            <a:t>		var sTotalAmt = ToNumber(this.ParentBusComp().GetFieldValue("JTI Product Total")) + ToNumber(this.ParentBusComp().GetFieldValue("Actual Cost Amount"));</a:t>
          </a:r>
        </a:p>
        <a:p>
          <a:r>
            <a:rPr lang="en-GB">
              <a:solidFill>
                <a:srgbClr val="0000FF"/>
              </a:solidFill>
              <a:effectLst/>
            </a:rPr>
            <a:t>		var sNetPrice = ToNumber(sTotalAmt) + sCurrentPrice - sPrevNetPrice;</a:t>
          </a:r>
        </a:p>
        <a:p>
          <a:r>
            <a:rPr lang="en-GB">
              <a:solidFill>
                <a:srgbClr val="0000FF"/>
              </a:solidFill>
              <a:effectLst/>
            </a:rPr>
            <a:t>		var STotalAmtLimt =ToNumber(this.ParentBusComp().GetFieldValue("JTI Total Amount Limit"));</a:t>
          </a:r>
        </a:p>
        <a:p>
          <a:r>
            <a:rPr lang="en-GB">
              <a:solidFill>
                <a:srgbClr val="0000FF"/>
              </a:solidFill>
              <a:effectLst/>
            </a:rPr>
            <a:t>		if(STotalAmtLimt != "" &amp;&amp; STotalAmtLimt != "null" &amp;&amp; STotalAmtLimt &lt; sNetPrice)</a:t>
          </a:r>
        </a:p>
        <a:p>
          <a:r>
            <a:rPr lang="en-GB">
              <a:solidFill>
                <a:srgbClr val="0000FF"/>
              </a:solidFill>
              <a:effectLst/>
            </a:rPr>
            <a:t>		{</a:t>
          </a:r>
        </a:p>
        <a:p>
          <a:r>
            <a:rPr lang="en-GB">
              <a:solidFill>
                <a:srgbClr val="0000FF"/>
              </a:solidFill>
              <a:effectLst/>
            </a:rPr>
            <a:t>			var sErrorText = TheApplication().LookupMessage("User Defined Errors","X_TOTAL_AMOUNT_VALIDATION",sNetPrice - STotalAmtLimt);</a:t>
          </a:r>
        </a:p>
        <a:p>
          <a:r>
            <a:rPr lang="en-GB">
              <a:solidFill>
                <a:srgbClr val="0000FF"/>
              </a:solidFill>
              <a:effectLst/>
            </a:rPr>
            <a:t>			TheApplication().RaiseErrorText(sErrorText);</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TheApplication().Trace(e.toString());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sUnitPrice = ""; sPrevNetPrice = ""; sCurrentPrice = ""; sTotalAmt = "";sNetPrice="";STotalAmtLimt="";sErrorText="";</a:t>
          </a:r>
        </a:p>
        <a:p>
          <a:r>
            <a:rPr lang="en-GB">
              <a:solidFill>
                <a:srgbClr val="0000FF"/>
              </a:solidFill>
              <a:effectLst/>
            </a:rPr>
            <a:t>	}</a:t>
          </a:r>
        </a:p>
        <a:p>
          <a:r>
            <a:rPr lang="en-GB">
              <a:solidFill>
                <a:srgbClr val="0000FF"/>
              </a:solidFill>
              <a:effectLst/>
            </a:rPr>
            <a:t>}</a:t>
          </a:r>
        </a:p>
      </xdr:txBody>
    </xdr:sp>
    <xdr:clientData/>
  </xdr:oneCellAnchor>
  <xdr:oneCellAnchor>
    <xdr:from>
      <xdr:col>1</xdr:col>
      <xdr:colOff>25400</xdr:colOff>
      <xdr:row>104</xdr:row>
      <xdr:rowOff>152400</xdr:rowOff>
    </xdr:from>
    <xdr:ext cx="9655175" cy="4749800"/>
    <xdr:sp macro="" textlink="">
      <xdr:nvSpPr>
        <xdr:cNvPr id="5" name="TextBox 4">
          <a:extLst>
            <a:ext uri="{FF2B5EF4-FFF2-40B4-BE49-F238E27FC236}">
              <a16:creationId xmlns:a16="http://schemas.microsoft.com/office/drawing/2014/main" id="{5334850D-161F-44DD-846B-AF3F3E982565}"/>
            </a:ext>
          </a:extLst>
        </xdr:cNvPr>
        <xdr:cNvSpPr txBox="1"/>
      </xdr:nvSpPr>
      <xdr:spPr>
        <a:xfrm>
          <a:off x="330200" y="17583150"/>
          <a:ext cx="9655175" cy="474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PointsValidation(FieldValue)</a:t>
          </a:r>
        </a:p>
        <a:p>
          <a:r>
            <a:rPr lang="en-GB">
              <a:solidFill>
                <a:srgbClr val="0000FF"/>
              </a:solidFill>
              <a:effectLst/>
            </a:rPr>
            <a:t>{</a:t>
          </a:r>
        </a:p>
        <a:p>
          <a:r>
            <a:rPr lang="en-GB">
              <a:solidFill>
                <a:srgbClr val="0000FF"/>
              </a:solidFill>
              <a:effectLst/>
            </a:rPr>
            <a:t>	try</a:t>
          </a:r>
        </a:p>
        <a:p>
          <a:r>
            <a:rPr lang="en-GB">
              <a:solidFill>
                <a:srgbClr val="0000FF"/>
              </a:solidFill>
              <a:effectLst/>
            </a:rPr>
            <a:t>	{</a:t>
          </a:r>
        </a:p>
        <a:p>
          <a:r>
            <a:rPr lang="en-GB">
              <a:solidFill>
                <a:srgbClr val="0000FF"/>
              </a:solidFill>
              <a:effectLst/>
            </a:rPr>
            <a:t>		var sCurrentPt = ToNumber(this.GetFieldValue("JTI Nb Points"));</a:t>
          </a:r>
        </a:p>
        <a:p>
          <a:r>
            <a:rPr lang="en-GB">
              <a:solidFill>
                <a:srgbClr val="0000FF"/>
              </a:solidFill>
              <a:effectLst/>
            </a:rPr>
            <a:t>			if(TheApplication().ActiveViewName() == "JTI FS Agreement Line Items View - New")</a:t>
          </a:r>
        </a:p>
        <a:p>
          <a:r>
            <a:rPr lang="en-GB">
              <a:solidFill>
                <a:srgbClr val="0000FF"/>
              </a:solidFill>
              <a:effectLst/>
            </a:rPr>
            <a:t>				var sTotalPts = ToNumber(this.ParentBusComp().GetFieldValue("JTI Point Total"));</a:t>
          </a:r>
        </a:p>
        <a:p>
          <a:r>
            <a:rPr lang="en-GB">
              <a:solidFill>
                <a:srgbClr val="0000FF"/>
              </a:solidFill>
              <a:effectLst/>
            </a:rPr>
            <a:t>			else</a:t>
          </a:r>
        </a:p>
        <a:p>
          <a:r>
            <a:rPr lang="en-GB">
              <a:solidFill>
                <a:srgbClr val="0000FF"/>
              </a:solidFill>
              <a:effectLst/>
            </a:rPr>
            <a:t>				var sTotalPts = ToNumber(this.ParentBusComp().GetFieldValue("Points Sum Calc"));</a:t>
          </a:r>
        </a:p>
        <a:p>
          <a:r>
            <a:rPr lang="en-GB">
              <a:solidFill>
                <a:srgbClr val="0000FF"/>
              </a:solidFill>
              <a:effectLst/>
            </a:rPr>
            <a:t>		var sPointLimit = ToNumber(this.ParentBusComp().GetFieldValue("JTI Total Points Limit"));</a:t>
          </a:r>
        </a:p>
        <a:p>
          <a:r>
            <a:rPr lang="en-GB">
              <a:solidFill>
                <a:srgbClr val="0000FF"/>
              </a:solidFill>
              <a:effectLst/>
            </a:rPr>
            <a:t>		var sUpdatedPtTotal = sTotalPts - sCurrentPt + ToNumber(FieldValue);</a:t>
          </a:r>
        </a:p>
        <a:p>
          <a:r>
            <a:rPr lang="en-GB">
              <a:solidFill>
                <a:srgbClr val="0000FF"/>
              </a:solidFill>
              <a:effectLst/>
            </a:rPr>
            <a:t>			if(sPointLimit != "" &amp;&amp; sPointLimit != "null" &amp;&amp; sPointLimit &lt; sUpdatedPtTotal)</a:t>
          </a:r>
        </a:p>
        <a:p>
          <a:r>
            <a:rPr lang="en-GB">
              <a:solidFill>
                <a:srgbClr val="0000FF"/>
              </a:solidFill>
              <a:effectLst/>
            </a:rPr>
            <a:t>			{</a:t>
          </a:r>
        </a:p>
        <a:p>
          <a:r>
            <a:rPr lang="en-GB">
              <a:solidFill>
                <a:srgbClr val="0000FF"/>
              </a:solidFill>
              <a:effectLst/>
            </a:rPr>
            <a:t>				var sErrorText = TheApplication().LookupMessage("User Defined Errors","X_TOTAL_POINTS_VALIDATION",sUpdatedPtTotal - sPointLimit);</a:t>
          </a:r>
        </a:p>
        <a:p>
          <a:r>
            <a:rPr lang="en-GB">
              <a:solidFill>
                <a:srgbClr val="0000FF"/>
              </a:solidFill>
              <a:effectLst/>
            </a:rPr>
            <a:t>				TheApplication().RaiseErrorText(sErrorText);</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TheApplication().Trace(e.toString());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sCurrentPt = ""; sTotalPts = ""; sPointLimit = ""; sUpdatedPtTotal = ""; sErrorText="";</a:t>
          </a:r>
        </a:p>
        <a:p>
          <a:r>
            <a:rPr lang="en-GB">
              <a:solidFill>
                <a:srgbClr val="0000FF"/>
              </a:solidFill>
              <a:effectLst/>
            </a:rPr>
            <a:t>	}</a:t>
          </a:r>
        </a:p>
        <a:p>
          <a:r>
            <a:rPr lang="en-GB">
              <a:solidFill>
                <a:srgbClr val="0000FF"/>
              </a:solidFill>
              <a:effectLst/>
            </a:rPr>
            <a:t>}</a:t>
          </a:r>
        </a:p>
      </xdr:txBody>
    </xdr:sp>
    <xdr:clientData/>
  </xdr:oneCellAnchor>
  <xdr:oneCellAnchor>
    <xdr:from>
      <xdr:col>1</xdr:col>
      <xdr:colOff>25400</xdr:colOff>
      <xdr:row>73</xdr:row>
      <xdr:rowOff>127000</xdr:rowOff>
    </xdr:from>
    <xdr:ext cx="9655175" cy="4902200"/>
    <xdr:sp macro="" textlink="">
      <xdr:nvSpPr>
        <xdr:cNvPr id="6" name="TextBox 5">
          <a:extLst>
            <a:ext uri="{FF2B5EF4-FFF2-40B4-BE49-F238E27FC236}">
              <a16:creationId xmlns:a16="http://schemas.microsoft.com/office/drawing/2014/main" id="{870460CB-7511-4CFD-9B4C-9AB1818628F8}"/>
            </a:ext>
          </a:extLst>
        </xdr:cNvPr>
        <xdr:cNvSpPr txBox="1"/>
      </xdr:nvSpPr>
      <xdr:spPr>
        <a:xfrm>
          <a:off x="330200" y="12636500"/>
          <a:ext cx="9655175" cy="490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UnitPriceValidation(FieldValue)</a:t>
          </a:r>
        </a:p>
        <a:p>
          <a:r>
            <a:rPr lang="en-GB">
              <a:solidFill>
                <a:srgbClr val="0000FF"/>
              </a:solidFill>
              <a:effectLst/>
            </a:rPr>
            <a:t>{</a:t>
          </a:r>
        </a:p>
        <a:p>
          <a:r>
            <a:rPr lang="en-GB">
              <a:solidFill>
                <a:srgbClr val="0000FF"/>
              </a:solidFill>
              <a:effectLst/>
            </a:rPr>
            <a:t>	try</a:t>
          </a:r>
        </a:p>
        <a:p>
          <a:r>
            <a:rPr lang="en-GB">
              <a:solidFill>
                <a:srgbClr val="0000FF"/>
              </a:solidFill>
              <a:effectLst/>
            </a:rPr>
            <a:t>	{</a:t>
          </a:r>
        </a:p>
        <a:p>
          <a:r>
            <a:rPr lang="en-GB">
              <a:solidFill>
                <a:srgbClr val="0000FF"/>
              </a:solidFill>
              <a:effectLst/>
            </a:rPr>
            <a:t>		var sUnitPrice = ToNumber(this.GetFieldValue("Unit Price"));</a:t>
          </a:r>
        </a:p>
        <a:p>
          <a:r>
            <a:rPr lang="en-GB">
              <a:solidFill>
                <a:srgbClr val="0000FF"/>
              </a:solidFill>
              <a:effectLst/>
            </a:rPr>
            <a:t>		var sQtyReq = this.GetFieldValue("Quantity Requested");</a:t>
          </a:r>
        </a:p>
        <a:p>
          <a:r>
            <a:rPr lang="en-GB">
              <a:solidFill>
                <a:srgbClr val="0000FF"/>
              </a:solidFill>
              <a:effectLst/>
            </a:rPr>
            <a:t>		var sPrevNetPrice =  sUnitPrice * sQtyReq;</a:t>
          </a:r>
        </a:p>
        <a:p>
          <a:r>
            <a:rPr lang="en-GB">
              <a:solidFill>
                <a:srgbClr val="0000FF"/>
              </a:solidFill>
              <a:effectLst/>
            </a:rPr>
            <a:t>		var sCurrentPrice = ToNumber(FieldValue) * sQtyReq;</a:t>
          </a:r>
        </a:p>
        <a:p>
          <a:r>
            <a:rPr lang="en-GB">
              <a:solidFill>
                <a:srgbClr val="0000FF"/>
              </a:solidFill>
              <a:effectLst/>
            </a:rPr>
            <a:t>		var sTotalAmt = ToNumber(this.ParentBusComp().GetFieldValue("JTI Product Total"))+ToNumber(this.ParentBusComp().GetFieldValue("Actual Cost Amount"));</a:t>
          </a:r>
        </a:p>
        <a:p>
          <a:r>
            <a:rPr lang="en-GB">
              <a:solidFill>
                <a:srgbClr val="0000FF"/>
              </a:solidFill>
              <a:effectLst/>
            </a:rPr>
            <a:t>		var sNetPrice = ToNumber(sTotalAmt) + sCurrentPrice - sPrevNetPrice;</a:t>
          </a:r>
        </a:p>
        <a:p>
          <a:r>
            <a:rPr lang="en-GB">
              <a:solidFill>
                <a:srgbClr val="0000FF"/>
              </a:solidFill>
              <a:effectLst/>
            </a:rPr>
            <a:t>		var STotalAmtLimt =ToNumber(this.ParentBusComp().GetFieldValue("JTI Total Amount Limit"));</a:t>
          </a:r>
        </a:p>
        <a:p>
          <a:r>
            <a:rPr lang="en-GB">
              <a:solidFill>
                <a:srgbClr val="0000FF"/>
              </a:solidFill>
              <a:effectLst/>
            </a:rPr>
            <a:t>		if(STotalAmtLimt != "" &amp;&amp; STotalAmtLimt != "null" &amp;&amp; STotalAmtLimt &lt; sNetPrice)</a:t>
          </a:r>
        </a:p>
        <a:p>
          <a:r>
            <a:rPr lang="en-GB">
              <a:solidFill>
                <a:srgbClr val="0000FF"/>
              </a:solidFill>
              <a:effectLst/>
            </a:rPr>
            <a:t>		{</a:t>
          </a:r>
        </a:p>
        <a:p>
          <a:r>
            <a:rPr lang="en-GB">
              <a:solidFill>
                <a:srgbClr val="0000FF"/>
              </a:solidFill>
              <a:effectLst/>
            </a:rPr>
            <a:t>			var sErrorText = TheApplication().LookupMessage("User Defined Errors","X_TOTAL_AMOUNT_VALIDATION",sNetPrice - STotalAmtLimt);</a:t>
          </a:r>
        </a:p>
        <a:p>
          <a:r>
            <a:rPr lang="en-GB">
              <a:solidFill>
                <a:srgbClr val="0000FF"/>
              </a:solidFill>
              <a:effectLst/>
            </a:rPr>
            <a:t>			TheApplication().RaiseErrorText(sErrorText);</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TheApplication().Trace(e.toString());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sQtyReq="";sUnitPrice = ""; sPrevNetPrice = ""; sCurrentPrice = ""; sTotalAmt = "";sNetPrice="";STotalAmtLimt="";sErrorText="";</a:t>
          </a:r>
        </a:p>
        <a:p>
          <a:r>
            <a:rPr lang="en-GB">
              <a:solidFill>
                <a:srgbClr val="0000FF"/>
              </a:solidFill>
              <a:effectLst/>
            </a:rPr>
            <a:t>	}</a:t>
          </a:r>
        </a:p>
        <a:p>
          <a:r>
            <a:rPr lang="en-GB">
              <a:solidFill>
                <a:srgbClr val="0000FF"/>
              </a:solidFill>
              <a:effectLst/>
            </a:rPr>
            <a:t>}</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47625</xdr:colOff>
      <xdr:row>10</xdr:row>
      <xdr:rowOff>28575</xdr:rowOff>
    </xdr:from>
    <xdr:ext cx="8782050" cy="9007475"/>
    <xdr:sp macro="" textlink="">
      <xdr:nvSpPr>
        <xdr:cNvPr id="2" name="TextBox 1">
          <a:extLst>
            <a:ext uri="{FF2B5EF4-FFF2-40B4-BE49-F238E27FC236}">
              <a16:creationId xmlns:a16="http://schemas.microsoft.com/office/drawing/2014/main" id="{E6C5A4D7-3BDE-4071-95A3-448E2B51D039}"/>
            </a:ext>
          </a:extLst>
        </xdr:cNvPr>
        <xdr:cNvSpPr txBox="1"/>
      </xdr:nvSpPr>
      <xdr:spPr>
        <a:xfrm>
          <a:off x="352425" y="1997075"/>
          <a:ext cx="8782050" cy="9007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WebApplet_PreInvokeMethod (MethodName)</a:t>
          </a:r>
        </a:p>
        <a:p>
          <a:r>
            <a:rPr lang="en-GB">
              <a:solidFill>
                <a:srgbClr val="0000FF"/>
              </a:solidFill>
              <a:effectLst/>
            </a:rPr>
            <a:t>{</a:t>
          </a:r>
        </a:p>
        <a:p>
          <a:r>
            <a:rPr lang="en-GB">
              <a:solidFill>
                <a:srgbClr val="0000FF"/>
              </a:solidFill>
              <a:effectLst/>
            </a:rPr>
            <a:t>	try</a:t>
          </a:r>
        </a:p>
        <a:p>
          <a:r>
            <a:rPr lang="en-GB">
              <a:solidFill>
                <a:srgbClr val="0000FF"/>
              </a:solidFill>
              <a:effectLst/>
            </a:rPr>
            <a:t>	{</a:t>
          </a:r>
        </a:p>
        <a:p>
          <a:r>
            <a:rPr lang="en-GB">
              <a:solidFill>
                <a:srgbClr val="0000FF"/>
              </a:solidFill>
              <a:effectLst/>
            </a:rPr>
            <a:t>		if(MethodName == "AddMultipleRecords")</a:t>
          </a:r>
        </a:p>
        <a:p>
          <a:r>
            <a:rPr lang="en-GB">
              <a:solidFill>
                <a:srgbClr val="0000FF"/>
              </a:solidFill>
              <a:effectLst/>
            </a:rPr>
            <a:t>		{</a:t>
          </a:r>
        </a:p>
        <a:p>
          <a:r>
            <a:rPr lang="en-GB">
              <a:solidFill>
                <a:srgbClr val="0000FF"/>
              </a:solidFill>
              <a:effectLst/>
            </a:rPr>
            <a:t>			var sActiveAgreeB0 = this.BusObject();</a:t>
          </a:r>
        </a:p>
        <a:p>
          <a:r>
            <a:rPr lang="en-GB">
              <a:solidFill>
                <a:srgbClr val="0000FF"/>
              </a:solidFill>
              <a:effectLst/>
            </a:rPr>
            <a:t>			var oBc=this.BusComp();</a:t>
          </a:r>
        </a:p>
        <a:p>
          <a:r>
            <a:rPr lang="en-GB">
              <a:solidFill>
                <a:srgbClr val="0000FF"/>
              </a:solidFill>
              <a:effectLst/>
            </a:rPr>
            <a:t>			var sid=oBc.GetFieldValue("Id");</a:t>
          </a:r>
        </a:p>
        <a:p>
          <a:r>
            <a:rPr lang="en-GB">
              <a:solidFill>
                <a:srgbClr val="0000FF"/>
              </a:solidFill>
              <a:effectLst/>
            </a:rPr>
            <a:t>			var sAgreeItemBc=sActiveAgreeB0.GetBusComp("JTI Contract Agreement Item");</a:t>
          </a:r>
        </a:p>
        <a:p>
          <a:r>
            <a:rPr lang="en-GB">
              <a:solidFill>
                <a:srgbClr val="0000FF"/>
              </a:solidFill>
              <a:effectLst/>
            </a:rPr>
            <a:t>			var sAgreeDisItemPic=sActiveAgreeB0.GetBusComp("JTI Contract Agreement Distribution Item");</a:t>
          </a:r>
        </a:p>
        <a:p>
          <a:r>
            <a:rPr lang="en-GB">
              <a:solidFill>
                <a:srgbClr val="0000FF"/>
              </a:solidFill>
              <a:effectLst/>
            </a:rPr>
            <a:t>			</a:t>
          </a:r>
          <a:r>
            <a:rPr lang="en-GB">
              <a:solidFill>
                <a:srgbClr val="00B050"/>
              </a:solidFill>
              <a:effectLst/>
            </a:rPr>
            <a:t>//[&lt;Developer's Initial &gt;&lt;Date&gt;] CR213427 : Added Script for setting Contract Name</a:t>
          </a:r>
        </a:p>
        <a:p>
          <a:r>
            <a:rPr lang="en-GB">
              <a:solidFill>
                <a:srgbClr val="0000FF"/>
              </a:solidFill>
              <a:effectLst/>
            </a:rPr>
            <a:t>			var sContractId=sAgreeItemBc.GetFieldValue("Id");</a:t>
          </a:r>
        </a:p>
        <a:p>
          <a:r>
            <a:rPr lang="en-GB">
              <a:solidFill>
                <a:srgbClr val="0000FF"/>
              </a:solidFill>
              <a:effectLst/>
            </a:rPr>
            <a:t>			var sContractName=sAgreeItemBc.GetFieldValue("Product");</a:t>
          </a:r>
        </a:p>
        <a:p>
          <a:r>
            <a:rPr lang="en-GB">
              <a:solidFill>
                <a:srgbClr val="0000FF"/>
              </a:solidFill>
              <a:effectLst/>
            </a:rPr>
            <a:t>			var sSearchExp = "[Id] = '" + sid + "'";</a:t>
          </a:r>
        </a:p>
        <a:p>
          <a:r>
            <a:rPr lang="en-GB">
              <a:solidFill>
                <a:srgbClr val="0000FF"/>
              </a:solidFill>
              <a:effectLst/>
            </a:rPr>
            <a:t>			with(oBc)</a:t>
          </a:r>
        </a:p>
        <a:p>
          <a:r>
            <a:rPr lang="en-GB">
              <a:solidFill>
                <a:srgbClr val="0000FF"/>
              </a:solidFill>
              <a:effectLst/>
            </a:rPr>
            <a:t>			{</a:t>
          </a:r>
        </a:p>
        <a:p>
          <a:r>
            <a:rPr lang="en-GB">
              <a:solidFill>
                <a:srgbClr val="0000FF"/>
              </a:solidFill>
              <a:effectLst/>
            </a:rPr>
            <a:t>				ClearToQuery();</a:t>
          </a:r>
        </a:p>
        <a:p>
          <a:r>
            <a:rPr lang="en-GB">
              <a:solidFill>
                <a:srgbClr val="0000FF"/>
              </a:solidFill>
              <a:effectLst/>
            </a:rPr>
            <a:t>				SetViewMode(OrganizationView);</a:t>
          </a:r>
        </a:p>
        <a:p>
          <a:r>
            <a:rPr lang="en-GB">
              <a:solidFill>
                <a:srgbClr val="0000FF"/>
              </a:solidFill>
              <a:effectLst/>
            </a:rPr>
            <a:t>				SetSearchExpr(sSearchExp);</a:t>
          </a:r>
        </a:p>
        <a:p>
          <a:r>
            <a:rPr lang="en-GB">
              <a:solidFill>
                <a:srgbClr val="0000FF"/>
              </a:solidFill>
              <a:effectLst/>
            </a:rPr>
            <a:t>				ExecuteQuery(ForwardBackward);</a:t>
          </a:r>
        </a:p>
        <a:p>
          <a:endParaRPr lang="en-GB">
            <a:solidFill>
              <a:srgbClr val="0000FF"/>
            </a:solidFill>
            <a:effectLst/>
          </a:endParaRPr>
        </a:p>
        <a:p>
          <a:r>
            <a:rPr lang="en-GB">
              <a:solidFill>
                <a:srgbClr val="0000FF"/>
              </a:solidFill>
              <a:effectLst/>
            </a:rPr>
            <a:t>				if(FirstRecord())</a:t>
          </a:r>
        </a:p>
        <a:p>
          <a:r>
            <a:rPr lang="en-GB">
              <a:solidFill>
                <a:srgbClr val="0000FF"/>
              </a:solidFill>
              <a:effectLst/>
            </a:rPr>
            <a:t>				{	</a:t>
          </a:r>
        </a:p>
        <a:p>
          <a:r>
            <a:rPr lang="en-GB">
              <a:solidFill>
                <a:srgbClr val="0000FF"/>
              </a:solidFill>
              <a:effectLst/>
            </a:rPr>
            <a:t>					</a:t>
          </a:r>
          <a:r>
            <a:rPr lang="en-GB">
              <a:solidFill>
                <a:srgbClr val="00B050"/>
              </a:solidFill>
              <a:effectLst/>
            </a:rPr>
            <a:t>//[&lt;Developer's Initial &gt;&lt;Date&gt;] CR213427 : Added Script for setting Contract Name</a:t>
          </a:r>
        </a:p>
        <a:p>
          <a:r>
            <a:rPr lang="en-GB">
              <a:solidFill>
                <a:srgbClr val="0000FF"/>
              </a:solidFill>
              <a:effectLst/>
            </a:rPr>
            <a:t>					SetFieldValue("JTI Contract Terms ID",sContractId);</a:t>
          </a:r>
        </a:p>
        <a:p>
          <a:r>
            <a:rPr lang="en-GB">
              <a:solidFill>
                <a:srgbClr val="0000FF"/>
              </a:solidFill>
              <a:effectLst/>
            </a:rPr>
            <a:t>					SetFieldValue("JTI Contract Name",sContractName);</a:t>
          </a:r>
        </a:p>
        <a:p>
          <a:r>
            <a:rPr lang="en-GB">
              <a:solidFill>
                <a:srgbClr val="0000FF"/>
              </a:solidFill>
              <a:effectLst/>
            </a:rPr>
            <a:t>					WriteRecord();</a:t>
          </a:r>
        </a:p>
        <a:p>
          <a:r>
            <a:rPr lang="en-GB">
              <a:solidFill>
                <a:srgbClr val="0000FF"/>
              </a:solidFill>
              <a:effectLst/>
            </a:rPr>
            <a:t>				}</a:t>
          </a:r>
        </a:p>
        <a:p>
          <a:r>
            <a:rPr lang="en-GB">
              <a:solidFill>
                <a:srgbClr val="0000FF"/>
              </a:solidFill>
              <a:effectLst/>
            </a:rPr>
            <a:t>			sAgreeDisItemPic.InvokeMethod("RefreshBuscomp");</a:t>
          </a:r>
        </a:p>
        <a:p>
          <a:r>
            <a:rPr lang="en-GB">
              <a:solidFill>
                <a:srgbClr val="0000FF"/>
              </a:solidFill>
              <a:effectLst/>
            </a:rPr>
            <a:t>			this.InvokeMethod("CloseApplet");</a:t>
          </a:r>
        </a:p>
        <a:p>
          <a:r>
            <a:rPr lang="en-GB">
              <a:solidFill>
                <a:srgbClr val="0000FF"/>
              </a:solidFill>
              <a:effectLst/>
            </a:rPr>
            <a:t>			return (CancelOperation);</a:t>
          </a:r>
        </a:p>
        <a:p>
          <a:r>
            <a:rPr lang="en-GB">
              <a:solidFill>
                <a:srgbClr val="0000FF"/>
              </a:solidFill>
              <a:effectLst/>
            </a:rPr>
            <a:t>			}</a:t>
          </a:r>
        </a:p>
        <a:p>
          <a:r>
            <a:rPr lang="en-GB">
              <a:solidFill>
                <a:srgbClr val="0000FF"/>
              </a:solidFill>
              <a:effectLst/>
            </a:rPr>
            <a:t>		}</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throw(e);</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sContractId="";</a:t>
          </a:r>
        </a:p>
        <a:p>
          <a:r>
            <a:rPr lang="en-GB">
              <a:solidFill>
                <a:srgbClr val="0000FF"/>
              </a:solidFill>
              <a:effectLst/>
            </a:rPr>
            <a:t>	sSearchExp="";</a:t>
          </a:r>
        </a:p>
        <a:p>
          <a:r>
            <a:rPr lang="en-GB">
              <a:solidFill>
                <a:srgbClr val="0000FF"/>
              </a:solidFill>
              <a:effectLst/>
            </a:rPr>
            <a:t>	sContractId="";</a:t>
          </a:r>
        </a:p>
        <a:p>
          <a:r>
            <a:rPr lang="en-GB">
              <a:solidFill>
                <a:srgbClr val="0000FF"/>
              </a:solidFill>
              <a:effectLst/>
            </a:rPr>
            <a:t>	sid="";</a:t>
          </a:r>
        </a:p>
        <a:p>
          <a:r>
            <a:rPr lang="en-GB">
              <a:solidFill>
                <a:srgbClr val="0000FF"/>
              </a:solidFill>
              <a:effectLst/>
            </a:rPr>
            <a:t>	sAgreeItemBc=null;</a:t>
          </a:r>
        </a:p>
        <a:p>
          <a:r>
            <a:rPr lang="en-GB">
              <a:solidFill>
                <a:srgbClr val="0000FF"/>
              </a:solidFill>
              <a:effectLst/>
            </a:rPr>
            <a:t>	oBc=null;</a:t>
          </a:r>
        </a:p>
        <a:p>
          <a:r>
            <a:rPr lang="en-GB">
              <a:solidFill>
                <a:srgbClr val="0000FF"/>
              </a:solidFill>
              <a:effectLst/>
            </a:rPr>
            <a:t>	sActiveAgreeB0=null;</a:t>
          </a:r>
        </a:p>
        <a:p>
          <a:r>
            <a:rPr lang="en-GB">
              <a:solidFill>
                <a:srgbClr val="0000FF"/>
              </a:solidFill>
              <a:effectLst/>
            </a:rPr>
            <a:t>	}</a:t>
          </a:r>
        </a:p>
        <a:p>
          <a:r>
            <a:rPr lang="en-GB">
              <a:solidFill>
                <a:srgbClr val="0000FF"/>
              </a:solidFill>
              <a:effectLst/>
            </a:rPr>
            <a:t>	return (ContinueOperation);</a:t>
          </a:r>
        </a:p>
        <a:p>
          <a:r>
            <a:rPr lang="en-GB">
              <a:solidFill>
                <a:srgbClr val="0000FF"/>
              </a:solidFill>
              <a:effectLst/>
            </a:rPr>
            <a:t>}</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47625</xdr:colOff>
      <xdr:row>10</xdr:row>
      <xdr:rowOff>28575</xdr:rowOff>
    </xdr:from>
    <xdr:ext cx="8782050" cy="4537075"/>
    <xdr:sp macro="" textlink="">
      <xdr:nvSpPr>
        <xdr:cNvPr id="2" name="TextBox 1">
          <a:extLst>
            <a:ext uri="{FF2B5EF4-FFF2-40B4-BE49-F238E27FC236}">
              <a16:creationId xmlns:a16="http://schemas.microsoft.com/office/drawing/2014/main" id="{D8CC0693-24C3-474C-8C40-05F6CDC89FC8}"/>
            </a:ext>
          </a:extLst>
        </xdr:cNvPr>
        <xdr:cNvSpPr txBox="1"/>
      </xdr:nvSpPr>
      <xdr:spPr>
        <a:xfrm>
          <a:off x="352425" y="1997075"/>
          <a:ext cx="8782050" cy="4537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WebApplet_PreCanInvokeMethod (MethodName, &amp;CanInvoke)</a:t>
          </a:r>
        </a:p>
        <a:p>
          <a:r>
            <a:rPr lang="en-GB">
              <a:solidFill>
                <a:srgbClr val="0000FF"/>
              </a:solidFill>
              <a:effectLst/>
            </a:rPr>
            <a:t>{</a:t>
          </a:r>
        </a:p>
        <a:p>
          <a:r>
            <a:rPr kumimoji="0" lang="en-GB" sz="1100" b="0" i="0" u="none" strike="noStrike" kern="0" cap="none" spc="0" normalizeH="0" baseline="0" noProof="0">
              <a:ln>
                <a:noFill/>
              </a:ln>
              <a:solidFill>
                <a:srgbClr val="00B050"/>
              </a:solidFill>
              <a:effectLst/>
              <a:uLnTx/>
              <a:uFillTx/>
              <a:latin typeface="+mn-lt"/>
              <a:ea typeface="+mn-ea"/>
              <a:cs typeface="+mn-cs"/>
            </a:rPr>
            <a:t>//[&lt;Developer's Initial &gt;&lt;Date&gt;] CR213427 : Remove existing script from the cloned applet and include the below script</a:t>
          </a:r>
          <a:endParaRPr lang="en-GB">
            <a:solidFill>
              <a:srgbClr val="0000FF"/>
            </a:solidFill>
            <a:effectLst/>
          </a:endParaRPr>
        </a:p>
        <a:p>
          <a:r>
            <a:rPr lang="en-GB">
              <a:solidFill>
                <a:srgbClr val="0000FF"/>
              </a:solidFill>
              <a:effectLst/>
            </a:rPr>
            <a:t>	var sActiveView = TheApplication().ActiveViewName();</a:t>
          </a:r>
        </a:p>
        <a:p>
          <a:r>
            <a:rPr lang="en-GB">
              <a:solidFill>
                <a:srgbClr val="0000FF"/>
              </a:solidFill>
              <a:effectLst/>
            </a:rPr>
            <a:t>	var setflag="";</a:t>
          </a:r>
        </a:p>
        <a:p>
          <a:endParaRPr lang="en-GB">
            <a:solidFill>
              <a:srgbClr val="0000FF"/>
            </a:solidFill>
            <a:effectLst/>
          </a:endParaRPr>
        </a:p>
        <a:p>
          <a:r>
            <a:rPr lang="en-GB">
              <a:solidFill>
                <a:srgbClr val="0000FF"/>
              </a:solidFill>
              <a:effectLst/>
            </a:rPr>
            <a:t>	if(sActiveView=="JTI FS Contract Line Items View")</a:t>
          </a:r>
        </a:p>
        <a:p>
          <a:r>
            <a:rPr lang="en-GB">
              <a:solidFill>
                <a:srgbClr val="0000FF"/>
              </a:solidFill>
              <a:effectLst/>
            </a:rPr>
            <a:t>	{</a:t>
          </a:r>
        </a:p>
        <a:p>
          <a:r>
            <a:rPr lang="en-GB">
              <a:solidFill>
                <a:srgbClr val="0000FF"/>
              </a:solidFill>
              <a:effectLst/>
            </a:rPr>
            <a:t>		setflag=TemplateCanInvoke(MethodName);</a:t>
          </a:r>
        </a:p>
        <a:p>
          <a:r>
            <a:rPr lang="en-GB">
              <a:solidFill>
                <a:srgbClr val="0000FF"/>
              </a:solidFill>
              <a:effectLst/>
            </a:rPr>
            <a:t>	}</a:t>
          </a:r>
        </a:p>
        <a:p>
          <a:r>
            <a:rPr lang="en-GB">
              <a:solidFill>
                <a:srgbClr val="0000FF"/>
              </a:solidFill>
              <a:effectLst/>
            </a:rPr>
            <a:t>	else if(sActiveView=="JTI FS Agreement Line Items View - New")</a:t>
          </a:r>
        </a:p>
        <a:p>
          <a:r>
            <a:rPr lang="en-GB">
              <a:solidFill>
                <a:srgbClr val="0000FF"/>
              </a:solidFill>
              <a:effectLst/>
            </a:rPr>
            <a:t>	{</a:t>
          </a:r>
        </a:p>
        <a:p>
          <a:r>
            <a:rPr lang="en-GB">
              <a:solidFill>
                <a:srgbClr val="0000FF"/>
              </a:solidFill>
              <a:effectLst/>
            </a:rPr>
            <a:t>		setflag=ContractCanInvoke(MethodName);</a:t>
          </a:r>
        </a:p>
        <a:p>
          <a:r>
            <a:rPr lang="en-GB">
              <a:solidFill>
                <a:srgbClr val="0000FF"/>
              </a:solidFill>
              <a:effectLst/>
            </a:rPr>
            <a:t>	}</a:t>
          </a:r>
        </a:p>
        <a:p>
          <a:r>
            <a:rPr lang="en-GB">
              <a:solidFill>
                <a:srgbClr val="0000FF"/>
              </a:solidFill>
              <a:effectLst/>
            </a:rPr>
            <a:t>	else</a:t>
          </a:r>
        </a:p>
        <a:p>
          <a:r>
            <a:rPr lang="en-GB">
              <a:solidFill>
                <a:srgbClr val="0000FF"/>
              </a:solidFill>
              <a:effectLst/>
            </a:rPr>
            <a:t>	return(CancelOperation);</a:t>
          </a:r>
        </a:p>
        <a:p>
          <a:endParaRPr lang="en-GB">
            <a:solidFill>
              <a:srgbClr val="0000FF"/>
            </a:solidFill>
            <a:effectLst/>
          </a:endParaRPr>
        </a:p>
        <a:p>
          <a:r>
            <a:rPr lang="en-GB">
              <a:solidFill>
                <a:srgbClr val="0000FF"/>
              </a:solidFill>
              <a:effectLst/>
            </a:rPr>
            <a:t>	if((setflag=="TRUE") &amp;&amp; (MethodName == "DeleteRecord" || MethodName == "ShowPopup" || MethodName == "NewRecord" || MethodName == "CopyRecord" || MethodName == "JTIDeleteSelected"))</a:t>
          </a:r>
        </a:p>
        <a:p>
          <a:r>
            <a:rPr lang="en-GB">
              <a:solidFill>
                <a:srgbClr val="0000FF"/>
              </a:solidFill>
              <a:effectLst/>
            </a:rPr>
            <a:t>	{</a:t>
          </a:r>
        </a:p>
        <a:p>
          <a:r>
            <a:rPr lang="en-GB">
              <a:solidFill>
                <a:srgbClr val="0000FF"/>
              </a:solidFill>
              <a:effectLst/>
            </a:rPr>
            <a:t>		CanInvoke="TRUE";</a:t>
          </a:r>
        </a:p>
        <a:p>
          <a:r>
            <a:rPr lang="en-GB">
              <a:solidFill>
                <a:srgbClr val="0000FF"/>
              </a:solidFill>
              <a:effectLst/>
            </a:rPr>
            <a:t>		return(CancelOperation);</a:t>
          </a:r>
        </a:p>
        <a:p>
          <a:r>
            <a:rPr lang="en-GB">
              <a:solidFill>
                <a:srgbClr val="0000FF"/>
              </a:solidFill>
              <a:effectLst/>
            </a:rPr>
            <a:t>	}</a:t>
          </a:r>
        </a:p>
        <a:p>
          <a:endParaRPr lang="en-GB">
            <a:solidFill>
              <a:srgbClr val="0000FF"/>
            </a:solidFill>
            <a:effectLst/>
          </a:endParaRPr>
        </a:p>
        <a:p>
          <a:r>
            <a:rPr lang="en-GB">
              <a:solidFill>
                <a:srgbClr val="0000FF"/>
              </a:solidFill>
              <a:effectLst/>
            </a:rPr>
            <a:t>	return (ContinueOperation);</a:t>
          </a:r>
        </a:p>
        <a:p>
          <a:r>
            <a:rPr lang="en-GB">
              <a:solidFill>
                <a:srgbClr val="0000FF"/>
              </a:solidFill>
              <a:effectLst/>
            </a:rPr>
            <a:t>}</a:t>
          </a:r>
        </a:p>
      </xdr:txBody>
    </xdr:sp>
    <xdr:clientData/>
  </xdr:oneCellAnchor>
  <xdr:oneCellAnchor>
    <xdr:from>
      <xdr:col>1</xdr:col>
      <xdr:colOff>50800</xdr:colOff>
      <xdr:row>38</xdr:row>
      <xdr:rowOff>76201</xdr:rowOff>
    </xdr:from>
    <xdr:ext cx="8782050" cy="2851150"/>
    <xdr:sp macro="" textlink="">
      <xdr:nvSpPr>
        <xdr:cNvPr id="3" name="TextBox 2">
          <a:extLst>
            <a:ext uri="{FF2B5EF4-FFF2-40B4-BE49-F238E27FC236}">
              <a16:creationId xmlns:a16="http://schemas.microsoft.com/office/drawing/2014/main" id="{9F04A60B-3709-405D-BDE4-FB1D6296960E}"/>
            </a:ext>
          </a:extLst>
        </xdr:cNvPr>
        <xdr:cNvSpPr txBox="1"/>
      </xdr:nvSpPr>
      <xdr:spPr>
        <a:xfrm>
          <a:off x="355600" y="6572251"/>
          <a:ext cx="8782050" cy="285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TemplateCanInvoke(MethodName)</a:t>
          </a:r>
        </a:p>
        <a:p>
          <a:r>
            <a:rPr lang="en-GB">
              <a:solidFill>
                <a:srgbClr val="0000FF"/>
              </a:solidFill>
              <a:effectLst/>
            </a:rPr>
            <a:t>{</a:t>
          </a:r>
        </a:p>
        <a:p>
          <a:r>
            <a:rPr lang="en-GB">
              <a:solidFill>
                <a:srgbClr val="0000FF"/>
              </a:solidFill>
              <a:effectLst/>
            </a:rPr>
            <a:t>	</a:t>
          </a:r>
          <a:r>
            <a:rPr lang="en-GB">
              <a:solidFill>
                <a:srgbClr val="00B050"/>
              </a:solidFill>
              <a:effectLst/>
            </a:rPr>
            <a:t>//[SS 31.05.2013]CHG044653: Added script to enable buttons in Draft and Modify Status Only</a:t>
          </a:r>
        </a:p>
        <a:p>
          <a:r>
            <a:rPr lang="en-GB">
              <a:solidFill>
                <a:srgbClr val="0000FF"/>
              </a:solidFill>
              <a:effectLst/>
            </a:rPr>
            <a:t>	var oBCServAgree = TheApplication().ActiveBusObject().GetBusComp("JTI Template Service Agreement");</a:t>
          </a:r>
        </a:p>
        <a:p>
          <a:r>
            <a:rPr lang="en-GB">
              <a:solidFill>
                <a:srgbClr val="0000FF"/>
              </a:solidFill>
              <a:effectLst/>
            </a:rPr>
            <a:t>	var sStatDraft = TheApplication().InvokeMethod ("LookupValue", "SRV_AGREE_STATUS", "Draft");</a:t>
          </a:r>
        </a:p>
        <a:p>
          <a:r>
            <a:rPr lang="en-GB">
              <a:solidFill>
                <a:srgbClr val="0000FF"/>
              </a:solidFill>
              <a:effectLst/>
            </a:rPr>
            <a:t>	var sStatModify = TheApplication().InvokeMethod ("LookupValue", "SRV_AGREE_STATUS", "Modify");</a:t>
          </a:r>
        </a:p>
        <a:p>
          <a:r>
            <a:rPr lang="en-GB">
              <a:solidFill>
                <a:srgbClr val="0000FF"/>
              </a:solidFill>
              <a:effectLst/>
            </a:rPr>
            <a:t>	var canInvokeFlag="";</a:t>
          </a:r>
        </a:p>
        <a:p>
          <a:r>
            <a:rPr lang="en-GB">
              <a:solidFill>
                <a:srgbClr val="0000FF"/>
              </a:solidFill>
              <a:effectLst/>
            </a:rPr>
            <a:t>    	</a:t>
          </a:r>
          <a:r>
            <a:rPr lang="en-GB">
              <a:solidFill>
                <a:srgbClr val="00B050"/>
              </a:solidFill>
              <a:effectLst/>
            </a:rPr>
            <a:t>//[KJ 26.07.13] CHG045286:Updated script to enable/Disable Delete Selected button </a:t>
          </a:r>
        </a:p>
        <a:p>
          <a:r>
            <a:rPr lang="en-GB">
              <a:solidFill>
                <a:srgbClr val="0000FF"/>
              </a:solidFill>
              <a:effectLst/>
            </a:rPr>
            <a:t>	</a:t>
          </a:r>
        </a:p>
        <a:p>
          <a:r>
            <a:rPr lang="en-GB">
              <a:solidFill>
                <a:srgbClr val="0000FF"/>
              </a:solidFill>
              <a:effectLst/>
            </a:rPr>
            <a:t>		if(oBCServAgree.GetFieldValue("Agreement Status") == sStatDraft || oBCServAgree.GetFieldValue("Agreement Status") == sStatModify)</a:t>
          </a:r>
        </a:p>
        <a:p>
          <a:r>
            <a:rPr lang="en-GB">
              <a:solidFill>
                <a:srgbClr val="0000FF"/>
              </a:solidFill>
              <a:effectLst/>
            </a:rPr>
            <a:t>			canInvokeFlag="TRUE";</a:t>
          </a:r>
        </a:p>
        <a:p>
          <a:r>
            <a:rPr lang="en-GB">
              <a:solidFill>
                <a:srgbClr val="0000FF"/>
              </a:solidFill>
              <a:effectLst/>
            </a:rPr>
            <a:t>		else</a:t>
          </a:r>
        </a:p>
        <a:p>
          <a:r>
            <a:rPr lang="en-GB">
              <a:solidFill>
                <a:srgbClr val="0000FF"/>
              </a:solidFill>
              <a:effectLst/>
            </a:rPr>
            <a:t>			canInvokeFlag = "FALSE";</a:t>
          </a:r>
        </a:p>
        <a:p>
          <a:r>
            <a:rPr lang="en-GB">
              <a:solidFill>
                <a:srgbClr val="0000FF"/>
              </a:solidFill>
              <a:effectLst/>
            </a:rPr>
            <a:t>	return canInvokeFlag;</a:t>
          </a:r>
        </a:p>
        <a:p>
          <a:r>
            <a:rPr lang="en-GB">
              <a:solidFill>
                <a:srgbClr val="0000FF"/>
              </a:solidFill>
              <a:effectLst/>
            </a:rPr>
            <a:t>}</a:t>
          </a:r>
        </a:p>
      </xdr:txBody>
    </xdr:sp>
    <xdr:clientData/>
  </xdr:oneCellAnchor>
  <xdr:oneCellAnchor>
    <xdr:from>
      <xdr:col>1</xdr:col>
      <xdr:colOff>44450</xdr:colOff>
      <xdr:row>56</xdr:row>
      <xdr:rowOff>95250</xdr:rowOff>
    </xdr:from>
    <xdr:ext cx="8782050" cy="3327400"/>
    <xdr:sp macro="" textlink="">
      <xdr:nvSpPr>
        <xdr:cNvPr id="4" name="TextBox 3">
          <a:extLst>
            <a:ext uri="{FF2B5EF4-FFF2-40B4-BE49-F238E27FC236}">
              <a16:creationId xmlns:a16="http://schemas.microsoft.com/office/drawing/2014/main" id="{717AE251-180E-4218-99AB-E841191586E9}"/>
            </a:ext>
          </a:extLst>
        </xdr:cNvPr>
        <xdr:cNvSpPr txBox="1"/>
      </xdr:nvSpPr>
      <xdr:spPr>
        <a:xfrm>
          <a:off x="349250" y="9448800"/>
          <a:ext cx="8782050" cy="332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ContractCanInvoke(MethodName)</a:t>
          </a:r>
        </a:p>
        <a:p>
          <a:r>
            <a:rPr lang="en-GB">
              <a:solidFill>
                <a:srgbClr val="0000FF"/>
              </a:solidFill>
              <a:effectLst/>
            </a:rPr>
            <a:t>{</a:t>
          </a:r>
        </a:p>
        <a:p>
          <a:r>
            <a:rPr lang="en-GB">
              <a:solidFill>
                <a:srgbClr val="0000FF"/>
              </a:solidFill>
              <a:effectLst/>
            </a:rPr>
            <a:t>	var oBCServAgree = TheApplication().ActiveBusObject().GetBusComp("JTI JTI Service Agreement");	</a:t>
          </a:r>
        </a:p>
        <a:p>
          <a:r>
            <a:rPr lang="en-GB">
              <a:solidFill>
                <a:srgbClr val="0000FF"/>
              </a:solidFill>
              <a:effectLst/>
            </a:rPr>
            <a:t>	oBCServAgree.ActivateField("JTI Parent RO");</a:t>
          </a:r>
        </a:p>
        <a:p>
          <a:r>
            <a:rPr lang="en-GB">
              <a:solidFill>
                <a:srgbClr val="0000FF"/>
              </a:solidFill>
              <a:effectLst/>
            </a:rPr>
            <a:t>	oBCServAgree.ActivateField("JTI Distribution Resp");</a:t>
          </a:r>
        </a:p>
        <a:p>
          <a:r>
            <a:rPr lang="en-GB">
              <a:solidFill>
                <a:srgbClr val="0000FF"/>
              </a:solidFill>
              <a:effectLst/>
            </a:rPr>
            <a:t>	oBCServAgree.ActivateField("JTI Fixed Template Flg"); </a:t>
          </a:r>
          <a:r>
            <a:rPr lang="en-GB">
              <a:solidFill>
                <a:srgbClr val="00B050"/>
              </a:solidFill>
              <a:effectLst/>
            </a:rPr>
            <a:t>//[SS 31.05.2013]CHG044653:Activate JTI Fixed Template Flg field</a:t>
          </a:r>
        </a:p>
        <a:p>
          <a:r>
            <a:rPr lang="en-GB">
              <a:solidFill>
                <a:srgbClr val="0000FF"/>
              </a:solidFill>
              <a:effectLst/>
            </a:rPr>
            <a:t>	var sReadOnlyFlg = oBCServAgree.GetFieldValue("JTI Parent RO");</a:t>
          </a:r>
        </a:p>
        <a:p>
          <a:r>
            <a:rPr lang="en-GB">
              <a:solidFill>
                <a:srgbClr val="0000FF"/>
              </a:solidFill>
              <a:effectLst/>
            </a:rPr>
            <a:t>	var sDistributionResp = oBCServAgree.GetFieldValue("JTI Distribution Resp");</a:t>
          </a:r>
        </a:p>
        <a:p>
          <a:r>
            <a:rPr lang="en-GB">
              <a:solidFill>
                <a:srgbClr val="0000FF"/>
              </a:solidFill>
              <a:effectLst/>
            </a:rPr>
            <a:t>	var sFixedTempFlg = oBCServAgree.GetFieldValue("JTI Fixed Template Flg"); //[SS 31.05.2013]CHG044653:Get Fixed Template Flag</a:t>
          </a:r>
        </a:p>
        <a:p>
          <a:r>
            <a:rPr lang="en-GB">
              <a:solidFill>
                <a:srgbClr val="0000FF"/>
              </a:solidFill>
              <a:effectLst/>
            </a:rPr>
            <a:t>	var sContractSig = oBCServAgree.GetFieldValue("JTI Contract RO");//[ARC 03.09.2016] CHG099078: Get Field</a:t>
          </a:r>
        </a:p>
        <a:p>
          <a:r>
            <a:rPr lang="en-GB">
              <a:solidFill>
                <a:srgbClr val="0000FF"/>
              </a:solidFill>
              <a:effectLst/>
            </a:rPr>
            <a:t>	var canInvokeFlag="";</a:t>
          </a:r>
        </a:p>
        <a:p>
          <a:endParaRPr lang="en-GB">
            <a:solidFill>
              <a:srgbClr val="0000FF"/>
            </a:solidFill>
            <a:effectLst/>
          </a:endParaRPr>
        </a:p>
        <a:p>
          <a:r>
            <a:rPr lang="en-GB">
              <a:solidFill>
                <a:srgbClr val="0000FF"/>
              </a:solidFill>
              <a:effectLst/>
            </a:rPr>
            <a:t>		if((sReadOnlyFlg != "Y" &amp;&amp; sFixedTempFlg != "Y" &amp;&amp; sContractSig != "Y") || sDistributionResp== "Y")</a:t>
          </a:r>
        </a:p>
        <a:p>
          <a:r>
            <a:rPr lang="en-GB">
              <a:solidFill>
                <a:srgbClr val="0000FF"/>
              </a:solidFill>
              <a:effectLst/>
            </a:rPr>
            <a:t>			canInvokeFlag="TRUE";</a:t>
          </a:r>
        </a:p>
        <a:p>
          <a:r>
            <a:rPr lang="en-GB">
              <a:solidFill>
                <a:srgbClr val="0000FF"/>
              </a:solidFill>
              <a:effectLst/>
            </a:rPr>
            <a:t>		else</a:t>
          </a:r>
        </a:p>
        <a:p>
          <a:r>
            <a:rPr lang="en-GB">
              <a:solidFill>
                <a:srgbClr val="0000FF"/>
              </a:solidFill>
              <a:effectLst/>
            </a:rPr>
            <a:t>			canInvokeFlag = "FALSE";</a:t>
          </a:r>
        </a:p>
        <a:p>
          <a:endParaRPr lang="en-GB">
            <a:solidFill>
              <a:srgbClr val="0000FF"/>
            </a:solidFill>
            <a:effectLst/>
          </a:endParaRPr>
        </a:p>
        <a:p>
          <a:r>
            <a:rPr lang="en-GB">
              <a:solidFill>
                <a:srgbClr val="0000FF"/>
              </a:solidFill>
              <a:effectLst/>
            </a:rPr>
            <a:t>	return canInvokeFlag;</a:t>
          </a:r>
        </a:p>
        <a:p>
          <a:r>
            <a:rPr lang="en-GB">
              <a:solidFill>
                <a:srgbClr val="0000FF"/>
              </a:solidFill>
              <a:effectLst/>
            </a:rPr>
            <a:t>}</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98425</xdr:colOff>
      <xdr:row>9</xdr:row>
      <xdr:rowOff>3174</xdr:rowOff>
    </xdr:from>
    <xdr:ext cx="8782050" cy="18786476"/>
    <xdr:sp macro="" textlink="">
      <xdr:nvSpPr>
        <xdr:cNvPr id="2" name="TextBox 1">
          <a:extLst>
            <a:ext uri="{FF2B5EF4-FFF2-40B4-BE49-F238E27FC236}">
              <a16:creationId xmlns:a16="http://schemas.microsoft.com/office/drawing/2014/main" id="{E1D6EBD6-FFFF-48AA-9CEE-7DAB1EBD697A}"/>
            </a:ext>
          </a:extLst>
        </xdr:cNvPr>
        <xdr:cNvSpPr txBox="1"/>
      </xdr:nvSpPr>
      <xdr:spPr>
        <a:xfrm>
          <a:off x="98425" y="1558924"/>
          <a:ext cx="8782050" cy="18786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effectLst/>
            </a:rPr>
            <a:t>function CreateContract(sTemplAgreeId, sAccId, sPrAccntPostnId, sActId)</a:t>
          </a:r>
        </a:p>
        <a:p>
          <a:r>
            <a:rPr lang="en-GB">
              <a:effectLst/>
            </a:rPr>
            <a:t>{</a:t>
          </a:r>
        </a:p>
        <a:p>
          <a:r>
            <a:rPr lang="en-GB">
              <a:effectLst/>
            </a:rPr>
            <a:t>.</a:t>
          </a:r>
        </a:p>
        <a:p>
          <a:r>
            <a:rPr lang="en-GB">
              <a:effectLst/>
            </a:rPr>
            <a:t>.</a:t>
          </a:r>
        </a:p>
        <a:p>
          <a:r>
            <a:rPr lang="en-GB" b="1">
              <a:effectLst/>
            </a:rPr>
            <a:t>Existing Script</a:t>
          </a:r>
        </a:p>
        <a:p>
          <a:r>
            <a:rPr lang="en-GB" b="1">
              <a:effectLst/>
            </a:rPr>
            <a:t>.</a:t>
          </a:r>
        </a:p>
        <a:p>
          <a:r>
            <a:rPr lang="en-GB" b="1">
              <a:effectLst/>
            </a:rPr>
            <a:t>.</a:t>
          </a:r>
        </a:p>
        <a:p>
          <a:r>
            <a:rPr lang="en-GB" b="0">
              <a:effectLst/>
            </a:rPr>
            <a:t>var sROPoints = psTemplAgree.GetProperty("JTI Max points by transaction Flag");</a:t>
          </a:r>
        </a:p>
        <a:p>
          <a:r>
            <a:rPr lang="en-GB" b="0">
              <a:effectLst/>
            </a:rPr>
            <a:t>var sROPointsVal = psTemplAgree.GetProperty("JTI Points Value Flag");</a:t>
          </a:r>
        </a:p>
        <a:p>
          <a:r>
            <a:rPr lang="en-GB" b="0">
              <a:effectLst/>
            </a:rPr>
            <a:t>var sROMaxPoints = psTemplAgree.GetProperty("JTI Max Points Flag");</a:t>
          </a:r>
        </a:p>
        <a:p>
          <a:r>
            <a:rPr lang="en-GB" b="0">
              <a:effectLst/>
            </a:rPr>
            <a:t>var sContractPaymentMethod = psTemplAgree.GetProperty("JTI Contract Payment Method"); </a:t>
          </a:r>
          <a:r>
            <a:rPr lang="en-GB" b="0">
              <a:solidFill>
                <a:srgbClr val="00B050"/>
              </a:solidFill>
              <a:effectLst/>
            </a:rPr>
            <a:t>//[MNK-09.09.2016]CHG099099: Get Contract</a:t>
          </a:r>
        </a:p>
        <a:p>
          <a:r>
            <a:rPr lang="en-GB" sz="1100" b="0" baseline="0">
              <a:solidFill>
                <a:srgbClr val="00B050"/>
              </a:solidFill>
              <a:effectLst/>
              <a:latin typeface="+mn-lt"/>
              <a:ea typeface="+mn-ea"/>
              <a:cs typeface="+mn-cs"/>
            </a:rPr>
            <a:t>//[&lt;Developer's Initial &gt;&lt;Date&gt;] CR213427 : Added Script for Inheriting Amount and points limit from Template</a:t>
          </a:r>
          <a:endParaRPr lang="en-GB" b="0">
            <a:solidFill>
              <a:srgbClr val="00B050"/>
            </a:solidFill>
            <a:effectLst/>
          </a:endParaRPr>
        </a:p>
        <a:p>
          <a:r>
            <a:rPr lang="en-GB" b="0">
              <a:solidFill>
                <a:srgbClr val="0000FF"/>
              </a:solidFill>
              <a:effectLst/>
            </a:rPr>
            <a:t>var sOrg=TheApplication().GetProfileAttr("Org.Name");</a:t>
          </a:r>
        </a:p>
        <a:p>
          <a:r>
            <a:rPr lang="en-GB" b="0">
              <a:solidFill>
                <a:srgbClr val="0000FF"/>
              </a:solidFill>
              <a:effectLst/>
            </a:rPr>
            <a:t>if(sOrg == "Italy" || sOrg == "Spain" || sOrg == "Czech Republic")</a:t>
          </a:r>
        </a:p>
        <a:p>
          <a:r>
            <a:rPr lang="en-GB" b="0">
              <a:solidFill>
                <a:srgbClr val="0000FF"/>
              </a:solidFill>
              <a:effectLst/>
            </a:rPr>
            <a:t>{</a:t>
          </a:r>
        </a:p>
        <a:p>
          <a:r>
            <a:rPr lang="en-GB" b="0">
              <a:solidFill>
                <a:srgbClr val="0000FF"/>
              </a:solidFill>
              <a:effectLst/>
            </a:rPr>
            <a:t>var sAmountLimit = psTemplAgree.GetProperty("JTI Total Amount Limit");</a:t>
          </a:r>
        </a:p>
        <a:p>
          <a:r>
            <a:rPr lang="en-GB" b="0">
              <a:solidFill>
                <a:srgbClr val="0000FF"/>
              </a:solidFill>
              <a:effectLst/>
            </a:rPr>
            <a:t>var sPointsLimit = psTemplAgree.GetProperty("JTI Total Points Limit");</a:t>
          </a:r>
        </a:p>
        <a:p>
          <a:r>
            <a:rPr lang="en-GB" b="0">
              <a:solidFill>
                <a:srgbClr val="0000FF"/>
              </a:solidFill>
              <a:effectLst/>
            </a:rPr>
            <a:t>}</a:t>
          </a:r>
        </a:p>
        <a:p>
          <a:r>
            <a:rPr lang="en-GB" b="0">
              <a:solidFill>
                <a:sysClr val="windowText" lastClr="000000"/>
              </a:solidFill>
              <a:effectLst/>
            </a:rPr>
            <a:t>var sBudgetId = '';</a:t>
          </a:r>
        </a:p>
        <a:p>
          <a:r>
            <a:rPr lang="en-GB" b="0">
              <a:solidFill>
                <a:sysClr val="windowText" lastClr="000000"/>
              </a:solidFill>
              <a:effectLst/>
            </a:rPr>
            <a:t>var sAgreeId = "";</a:t>
          </a:r>
        </a:p>
        <a:p>
          <a:r>
            <a:rPr lang="en-GB" b="0">
              <a:solidFill>
                <a:sysClr val="windowText" lastClr="000000"/>
              </a:solidFill>
              <a:effectLst/>
            </a:rPr>
            <a:t>var sProductId;</a:t>
          </a:r>
        </a:p>
        <a:p>
          <a:r>
            <a:rPr lang="en-GB" b="0">
              <a:solidFill>
                <a:sysClr val="windowText" lastClr="000000"/>
              </a:solidFill>
              <a:effectLst/>
            </a:rPr>
            <a:t>.</a:t>
          </a:r>
        </a:p>
        <a:p>
          <a:r>
            <a:rPr lang="en-GB" b="0">
              <a:solidFill>
                <a:sysClr val="windowText" lastClr="000000"/>
              </a:solidFill>
              <a:effectLst/>
            </a:rPr>
            <a:t>.</a:t>
          </a:r>
        </a:p>
        <a:p>
          <a:r>
            <a:rPr lang="en-GB" b="1">
              <a:solidFill>
                <a:sysClr val="windowText" lastClr="000000"/>
              </a:solidFill>
              <a:effectLst/>
            </a:rPr>
            <a:t>Existing</a:t>
          </a:r>
          <a:r>
            <a:rPr lang="en-GB" b="1" baseline="0">
              <a:solidFill>
                <a:sysClr val="windowText" lastClr="000000"/>
              </a:solidFill>
              <a:effectLst/>
            </a:rPr>
            <a:t> Script</a:t>
          </a:r>
        </a:p>
        <a:p>
          <a:r>
            <a:rPr lang="en-GB" b="1" baseline="0">
              <a:solidFill>
                <a:sysClr val="windowText" lastClr="000000"/>
              </a:solidFill>
              <a:effectLst/>
            </a:rPr>
            <a:t>.</a:t>
          </a:r>
        </a:p>
        <a:p>
          <a:r>
            <a:rPr lang="en-GB" b="1" baseline="0">
              <a:solidFill>
                <a:sysClr val="windowText" lastClr="000000"/>
              </a:solidFill>
              <a:effectLst/>
            </a:rPr>
            <a:t>.</a:t>
          </a:r>
        </a:p>
        <a:p>
          <a:r>
            <a:rPr lang="en-GB" b="0">
              <a:solidFill>
                <a:sysClr val="windowText" lastClr="000000"/>
              </a:solidFill>
              <a:effectLst/>
            </a:rPr>
            <a:t>with(oBCServAgree)</a:t>
          </a:r>
        </a:p>
        <a:p>
          <a:r>
            <a:rPr lang="en-GB" b="0">
              <a:solidFill>
                <a:sysClr val="windowText" lastClr="000000"/>
              </a:solidFill>
              <a:effectLst/>
            </a:rPr>
            <a:t>{</a:t>
          </a:r>
        </a:p>
        <a:p>
          <a:r>
            <a:rPr lang="en-GB" b="0">
              <a:solidFill>
                <a:sysClr val="windowText" lastClr="000000"/>
              </a:solidFill>
              <a:effectLst/>
            </a:rPr>
            <a:t>ClearToQuery();</a:t>
          </a:r>
        </a:p>
        <a:p>
          <a:r>
            <a:rPr lang="en-GB" b="0">
              <a:solidFill>
                <a:sysClr val="windowText" lastClr="000000"/>
              </a:solidFill>
              <a:effectLst/>
            </a:rPr>
            <a:t>SetViewMode(OrganizationView);		</a:t>
          </a:r>
        </a:p>
        <a:p>
          <a:r>
            <a:rPr lang="en-GB" b="0">
              <a:solidFill>
                <a:sysClr val="windowText" lastClr="000000"/>
              </a:solidFill>
              <a:effectLst/>
            </a:rPr>
            <a:t>ActivateField("Agreement Type");</a:t>
          </a:r>
        </a:p>
        <a:p>
          <a:r>
            <a:rPr lang="en-GB" b="0">
              <a:solidFill>
                <a:sysClr val="windowText" lastClr="000000"/>
              </a:solidFill>
              <a:effectLst/>
            </a:rPr>
            <a:t>ActivateField("JTI Payment Plan Template Id");</a:t>
          </a:r>
        </a:p>
        <a:p>
          <a:r>
            <a:rPr lang="en-GB" b="0">
              <a:solidFill>
                <a:sysClr val="windowText" lastClr="000000"/>
              </a:solidFill>
              <a:effectLst/>
            </a:rPr>
            <a:t>ActivateField("JTI Fixed Template Flg");</a:t>
          </a:r>
        </a:p>
        <a:p>
          <a:r>
            <a:rPr lang="en-GB" b="0">
              <a:solidFill>
                <a:sysClr val="windowText" lastClr="000000"/>
              </a:solidFill>
              <a:effectLst/>
            </a:rPr>
            <a:t>ActivateField("JTI Max Txn Pts Num");</a:t>
          </a:r>
        </a:p>
        <a:p>
          <a:r>
            <a:rPr lang="en-GB" sz="1100" b="0">
              <a:solidFill>
                <a:schemeClr val="dk1"/>
              </a:solidFill>
              <a:effectLst/>
              <a:latin typeface="+mn-lt"/>
              <a:ea typeface="+mn-ea"/>
              <a:cs typeface="+mn-cs"/>
            </a:rPr>
            <a:t>.</a:t>
          </a:r>
          <a:endParaRPr lang="en-US">
            <a:effectLst/>
          </a:endParaRPr>
        </a:p>
        <a:p>
          <a:r>
            <a:rPr lang="en-GB" sz="1100" b="0">
              <a:solidFill>
                <a:schemeClr val="dk1"/>
              </a:solidFill>
              <a:effectLst/>
              <a:latin typeface="+mn-lt"/>
              <a:ea typeface="+mn-ea"/>
              <a:cs typeface="+mn-cs"/>
            </a:rPr>
            <a:t>.</a:t>
          </a:r>
          <a:endParaRPr lang="en-US">
            <a:effectLst/>
          </a:endParaRPr>
        </a:p>
        <a:p>
          <a:r>
            <a:rPr lang="en-GB" sz="1100" b="1">
              <a:solidFill>
                <a:schemeClr val="dk1"/>
              </a:solidFill>
              <a:effectLst/>
              <a:latin typeface="+mn-lt"/>
              <a:ea typeface="+mn-ea"/>
              <a:cs typeface="+mn-cs"/>
            </a:rPr>
            <a:t>Existing</a:t>
          </a:r>
          <a:r>
            <a:rPr lang="en-GB" sz="1100" b="1" baseline="0">
              <a:solidFill>
                <a:schemeClr val="dk1"/>
              </a:solidFill>
              <a:effectLst/>
              <a:latin typeface="+mn-lt"/>
              <a:ea typeface="+mn-ea"/>
              <a:cs typeface="+mn-cs"/>
            </a:rPr>
            <a:t> Script</a:t>
          </a:r>
          <a:endParaRPr lang="en-US">
            <a:effectLst/>
          </a:endParaRPr>
        </a:p>
        <a:p>
          <a:r>
            <a:rPr lang="en-GB" sz="1100" b="1" baseline="0">
              <a:solidFill>
                <a:schemeClr val="dk1"/>
              </a:solidFill>
              <a:effectLst/>
              <a:latin typeface="+mn-lt"/>
              <a:ea typeface="+mn-ea"/>
              <a:cs typeface="+mn-cs"/>
            </a:rPr>
            <a:t>.</a:t>
          </a:r>
          <a:endParaRPr lang="en-US">
            <a:effectLst/>
          </a:endParaRPr>
        </a:p>
        <a:p>
          <a:r>
            <a:rPr lang="en-GB" sz="1100" b="1" baseline="0">
              <a:solidFill>
                <a:schemeClr val="dk1"/>
              </a:solidFill>
              <a:effectLst/>
              <a:latin typeface="+mn-lt"/>
              <a:ea typeface="+mn-ea"/>
              <a:cs typeface="+mn-cs"/>
            </a:rPr>
            <a:t>.</a:t>
          </a:r>
          <a:endParaRPr lang="en-US">
            <a:effectLst/>
          </a:endParaRPr>
        </a:p>
        <a:p>
          <a:r>
            <a:rPr lang="en-GB" b="0">
              <a:solidFill>
                <a:sysClr val="windowText" lastClr="000000"/>
              </a:solidFill>
              <a:effectLst/>
            </a:rPr>
            <a:t>if (!oBCServAgree.FirstRecord())</a:t>
          </a:r>
        </a:p>
        <a:p>
          <a:r>
            <a:rPr lang="en-GB" b="0">
              <a:solidFill>
                <a:sysClr val="windowText" lastClr="000000"/>
              </a:solidFill>
              <a:effectLst/>
            </a:rPr>
            <a:t>{</a:t>
          </a:r>
        </a:p>
        <a:p>
          <a:r>
            <a:rPr lang="en-GB" b="0">
              <a:solidFill>
                <a:sysClr val="windowText" lastClr="000000"/>
              </a:solidFill>
              <a:effectLst/>
            </a:rPr>
            <a:t>NewRecord(0);</a:t>
          </a:r>
        </a:p>
        <a:p>
          <a:r>
            <a:rPr lang="en-GB" b="0">
              <a:solidFill>
                <a:sysClr val="windowText" lastClr="000000"/>
              </a:solidFill>
              <a:effectLst/>
            </a:rPr>
            <a:t>SetFieldValue("JTI Budget Id", sBudgetId);</a:t>
          </a:r>
        </a:p>
        <a:p>
          <a:r>
            <a:rPr lang="en-GB" b="0">
              <a:solidFill>
                <a:sysClr val="windowText" lastClr="000000"/>
              </a:solidFill>
              <a:effectLst/>
            </a:rPr>
            <a:t>SetFieldValue("Agreement Type", sAgreeType);</a:t>
          </a:r>
        </a:p>
        <a:p>
          <a:r>
            <a:rPr lang="en-GB" b="0">
              <a:solidFill>
                <a:sysClr val="windowText" lastClr="000000"/>
              </a:solidFill>
              <a:effectLst/>
            </a:rPr>
            <a:t>SetFieldValue("JTI RLP", sAgreeRLP);</a:t>
          </a:r>
        </a:p>
        <a:p>
          <a:r>
            <a:rPr lang="en-GB" b="0">
              <a:solidFill>
                <a:sysClr val="windowText" lastClr="000000"/>
              </a:solidFill>
              <a:effectLst/>
            </a:rPr>
            <a:t>SetFieldValue("JTI Max Txn Pts Num", sAgreeMaxPtsTxn);</a:t>
          </a:r>
        </a:p>
        <a:p>
          <a:r>
            <a:rPr lang="en-GB" b="0">
              <a:solidFill>
                <a:sysClr val="windowText" lastClr="000000"/>
              </a:solidFill>
              <a:effectLst/>
            </a:rPr>
            <a:t>SetFieldValue("JTI Max Pts Num", sAgreeMaxPts);</a:t>
          </a:r>
        </a:p>
        <a:p>
          <a:r>
            <a:rPr lang="en-GB" b="0">
              <a:solidFill>
                <a:sysClr val="windowText" lastClr="000000"/>
              </a:solidFill>
              <a:effectLst/>
            </a:rPr>
            <a:t>SetFieldValue("JTI Pts Value", sAgreePtsVal);</a:t>
          </a:r>
        </a:p>
        <a:p>
          <a:r>
            <a:rPr lang="en-GB" b="0">
              <a:solidFill>
                <a:sysClr val="windowText" lastClr="000000"/>
              </a:solidFill>
              <a:effectLst/>
            </a:rPr>
            <a:t>SetFieldValue("JTI Name", sAgreeName);</a:t>
          </a:r>
        </a:p>
        <a:p>
          <a:r>
            <a:rPr lang="en-GB" b="0">
              <a:solidFill>
                <a:sysClr val="windowText" lastClr="000000"/>
              </a:solidFill>
              <a:effectLst/>
            </a:rPr>
            <a:t>SetFieldValue("JTI Payment Plan Template Id", sPayTempPlanId);</a:t>
          </a:r>
        </a:p>
        <a:p>
          <a:r>
            <a:rPr lang="en-GB" b="0">
              <a:solidFill>
                <a:sysClr val="windowText" lastClr="000000"/>
              </a:solidFill>
              <a:effectLst/>
            </a:rPr>
            <a:t>SetFieldValue("Agreement End Date", sEndDate);</a:t>
          </a:r>
        </a:p>
        <a:p>
          <a:r>
            <a:rPr lang="en-GB" b="0">
              <a:solidFill>
                <a:sysClr val="windowText" lastClr="000000"/>
              </a:solidFill>
              <a:effectLst/>
            </a:rPr>
            <a:t>SetFieldValue("JTI Fixed Template Flg", sFixedTemplFlg);</a:t>
          </a:r>
        </a:p>
        <a:p>
          <a:r>
            <a:rPr lang="en-GB" b="0">
              <a:solidFill>
                <a:sysClr val="windowText" lastClr="000000"/>
              </a:solidFill>
              <a:effectLst/>
            </a:rPr>
            <a:t>SetFieldValue("JTI Agree Template Id", sTemplAgreeId);</a:t>
          </a:r>
        </a:p>
        <a:p>
          <a:r>
            <a:rPr lang="en-GB" b="0">
              <a:solidFill>
                <a:sysClr val="windowText" lastClr="000000"/>
              </a:solidFill>
              <a:effectLst/>
            </a:rPr>
            <a:t>SetFieldValue("Agreement Status", sLOVDraft);</a:t>
          </a:r>
        </a:p>
        <a:p>
          <a:r>
            <a:rPr lang="en-GB" b="0">
              <a:solidFill>
                <a:sysClr val="windowText" lastClr="000000"/>
              </a:solidFill>
              <a:effectLst/>
            </a:rPr>
            <a:t>SetFieldValue("Actual Cost Amount", sActCostAmt);</a:t>
          </a:r>
        </a:p>
        <a:p>
          <a:r>
            <a:rPr lang="en-GB" b="0">
              <a:solidFill>
                <a:sysClr val="windowText" lastClr="000000"/>
              </a:solidFill>
              <a:effectLst/>
            </a:rPr>
            <a:t>SetFieldValue("Currency Code", sCurr);</a:t>
          </a:r>
        </a:p>
        <a:p>
          <a:r>
            <a:rPr lang="en-GB" b="0">
              <a:solidFill>
                <a:sysClr val="windowText" lastClr="000000"/>
              </a:solidFill>
              <a:effectLst/>
            </a:rPr>
            <a:t>	if (sActId != "No Id")</a:t>
          </a:r>
        </a:p>
        <a:p>
          <a:r>
            <a:rPr lang="en-GB" b="0">
              <a:solidFill>
                <a:sysClr val="windowText" lastClr="000000"/>
              </a:solidFill>
              <a:effectLst/>
            </a:rPr>
            <a:t>		SetFieldValue("JTI Activity Id", sActId);</a:t>
          </a:r>
        </a:p>
        <a:p>
          <a:r>
            <a:rPr lang="en-GB" b="0">
              <a:solidFill>
                <a:sysClr val="windowText" lastClr="000000"/>
              </a:solidFill>
              <a:effectLst/>
            </a:rPr>
            <a:t>	var oAssocBC = GetMVGBusComp("Account").GetAssocBusComp();</a:t>
          </a:r>
        </a:p>
        <a:p>
          <a:r>
            <a:rPr lang="en-GB" b="0">
              <a:solidFill>
                <a:sysClr val="windowText" lastClr="000000"/>
              </a:solidFill>
              <a:effectLst/>
            </a:rPr>
            <a:t>	with (oAssocBC)</a:t>
          </a:r>
        </a:p>
        <a:p>
          <a:r>
            <a:rPr lang="en-GB" b="0">
              <a:solidFill>
                <a:sysClr val="windowText" lastClr="000000"/>
              </a:solidFill>
              <a:effectLst/>
            </a:rPr>
            <a:t>	{</a:t>
          </a:r>
        </a:p>
        <a:p>
          <a:r>
            <a:rPr lang="en-GB" b="0">
              <a:solidFill>
                <a:sysClr val="windowText" lastClr="000000"/>
              </a:solidFill>
              <a:effectLst/>
            </a:rPr>
            <a:t>		ActivateField("Id");</a:t>
          </a:r>
        </a:p>
        <a:p>
          <a:r>
            <a:rPr lang="en-GB" b="0">
              <a:solidFill>
                <a:sysClr val="windowText" lastClr="000000"/>
              </a:solidFill>
              <a:effectLst/>
            </a:rPr>
            <a:t>		SetSearchSpec("Id", sAccId);</a:t>
          </a:r>
        </a:p>
        <a:p>
          <a:r>
            <a:rPr lang="en-GB" b="0">
              <a:solidFill>
                <a:sysClr val="windowText" lastClr="000000"/>
              </a:solidFill>
              <a:effectLst/>
            </a:rPr>
            <a:t>		ExecuteQuery(ForwardOnly)</a:t>
          </a:r>
        </a:p>
        <a:p>
          <a:r>
            <a:rPr lang="en-GB" b="0">
              <a:solidFill>
                <a:sysClr val="windowText" lastClr="000000"/>
              </a:solidFill>
              <a:effectLst/>
            </a:rPr>
            <a:t>		if (FirstRecord())</a:t>
          </a:r>
        </a:p>
        <a:p>
          <a:r>
            <a:rPr lang="en-GB" b="0">
              <a:solidFill>
                <a:sysClr val="windowText" lastClr="000000"/>
              </a:solidFill>
              <a:effectLst/>
            </a:rPr>
            <a:t>			Associate(NewBefore);</a:t>
          </a:r>
        </a:p>
        <a:p>
          <a:r>
            <a:rPr lang="en-GB" b="0">
              <a:solidFill>
                <a:sysClr val="windowText" lastClr="000000"/>
              </a:solidFill>
              <a:effectLst/>
            </a:rPr>
            <a:t>	}</a:t>
          </a:r>
        </a:p>
        <a:p>
          <a:r>
            <a:rPr lang="en-GB" b="0">
              <a:solidFill>
                <a:sysClr val="windowText" lastClr="000000"/>
              </a:solidFill>
              <a:effectLst/>
            </a:rPr>
            <a:t>	SetFieldValue("Account Id", sAccId);</a:t>
          </a:r>
        </a:p>
        <a:p>
          <a:r>
            <a:rPr lang="en-GB" b="0">
              <a:solidFill>
                <a:sysClr val="windowText" lastClr="000000"/>
              </a:solidFill>
              <a:effectLst/>
            </a:rPr>
            <a:t>	if (sAgreeBrandId != null &amp;&amp; sAgreeBrandId != "")</a:t>
          </a:r>
        </a:p>
        <a:p>
          <a:r>
            <a:rPr lang="en-GB" b="0">
              <a:solidFill>
                <a:sysClr val="windowText" lastClr="000000"/>
              </a:solidFill>
              <a:effectLst/>
            </a:rPr>
            <a:t>	{</a:t>
          </a:r>
        </a:p>
        <a:p>
          <a:r>
            <a:rPr lang="en-GB" b="0">
              <a:solidFill>
                <a:sysClr val="windowText" lastClr="000000"/>
              </a:solidFill>
              <a:effectLst/>
            </a:rPr>
            <a:t>		var oBCPick = GetPicklistBusComp("JTI Brand Name");</a:t>
          </a:r>
        </a:p>
        <a:p>
          <a:r>
            <a:rPr lang="en-GB" b="0">
              <a:solidFill>
                <a:sysClr val="windowText" lastClr="000000"/>
              </a:solidFill>
              <a:effectLst/>
            </a:rPr>
            <a:t>		with (oBCPick)</a:t>
          </a:r>
        </a:p>
        <a:p>
          <a:r>
            <a:rPr lang="en-GB" b="0">
              <a:solidFill>
                <a:sysClr val="windowText" lastClr="000000"/>
              </a:solidFill>
              <a:effectLst/>
            </a:rPr>
            <a:t>		{</a:t>
          </a:r>
        </a:p>
        <a:p>
          <a:r>
            <a:rPr lang="en-GB" b="0">
              <a:solidFill>
                <a:sysClr val="windowText" lastClr="000000"/>
              </a:solidFill>
              <a:effectLst/>
            </a:rPr>
            <a:t>			var sSearchExpr = "[Id] = '" + sAgreeBrandId + "'";</a:t>
          </a:r>
        </a:p>
        <a:p>
          <a:r>
            <a:rPr lang="en-GB" b="0">
              <a:solidFill>
                <a:sysClr val="windowText" lastClr="000000"/>
              </a:solidFill>
              <a:effectLst/>
            </a:rPr>
            <a:t>			ClearToQuery();</a:t>
          </a:r>
        </a:p>
        <a:p>
          <a:r>
            <a:rPr lang="en-GB" b="0">
              <a:solidFill>
                <a:sysClr val="windowText" lastClr="000000"/>
              </a:solidFill>
              <a:effectLst/>
            </a:rPr>
            <a:t>			SetSearchExpr(sSearchExpr);</a:t>
          </a:r>
        </a:p>
        <a:p>
          <a:r>
            <a:rPr lang="en-GB" b="0">
              <a:solidFill>
                <a:sysClr val="windowText" lastClr="000000"/>
              </a:solidFill>
              <a:effectLst/>
            </a:rPr>
            <a:t>			ExecuteQuery(ForwardOnly);</a:t>
          </a:r>
        </a:p>
        <a:p>
          <a:endParaRPr lang="en-GB" b="0">
            <a:solidFill>
              <a:sysClr val="windowText" lastClr="000000"/>
            </a:solidFill>
            <a:effectLst/>
          </a:endParaRPr>
        </a:p>
        <a:p>
          <a:r>
            <a:rPr lang="en-GB" b="0">
              <a:solidFill>
                <a:sysClr val="windowText" lastClr="000000"/>
              </a:solidFill>
              <a:effectLst/>
            </a:rPr>
            <a:t>			if(FirstRecord())</a:t>
          </a:r>
        </a:p>
        <a:p>
          <a:r>
            <a:rPr lang="en-GB" b="0">
              <a:solidFill>
                <a:sysClr val="windowText" lastClr="000000"/>
              </a:solidFill>
              <a:effectLst/>
            </a:rPr>
            <a:t>			Pick();</a:t>
          </a:r>
        </a:p>
        <a:p>
          <a:r>
            <a:rPr lang="en-GB" b="0">
              <a:solidFill>
                <a:sysClr val="windowText" lastClr="000000"/>
              </a:solidFill>
              <a:effectLst/>
            </a:rPr>
            <a:t>		}</a:t>
          </a:r>
        </a:p>
        <a:p>
          <a:r>
            <a:rPr lang="en-GB" b="0">
              <a:solidFill>
                <a:sysClr val="windowText" lastClr="000000"/>
              </a:solidFill>
              <a:effectLst/>
            </a:rPr>
            <a:t>		oBCPick = null;</a:t>
          </a:r>
        </a:p>
        <a:p>
          <a:r>
            <a:rPr lang="en-GB" b="0">
              <a:solidFill>
                <a:sysClr val="windowText" lastClr="000000"/>
              </a:solidFill>
              <a:effectLst/>
            </a:rPr>
            <a:t>	}</a:t>
          </a:r>
        </a:p>
        <a:p>
          <a:r>
            <a:rPr lang="en-GB" b="0">
              <a:solidFill>
                <a:sysClr val="windowText" lastClr="000000"/>
              </a:solidFill>
              <a:effectLst/>
            </a:rPr>
            <a:t>	SetFieldValue("JTI Account Name Flag",sROAccount);</a:t>
          </a:r>
        </a:p>
        <a:p>
          <a:r>
            <a:rPr lang="en-GB" b="0">
              <a:solidFill>
                <a:sysClr val="windowText" lastClr="000000"/>
              </a:solidFill>
              <a:effectLst/>
            </a:rPr>
            <a:t>	SetFieldValue("JTI Amount Flag", sROAmount);</a:t>
          </a:r>
        </a:p>
        <a:p>
          <a:r>
            <a:rPr lang="en-GB" b="0">
              <a:solidFill>
                <a:sysClr val="windowText" lastClr="000000"/>
              </a:solidFill>
              <a:effectLst/>
            </a:rPr>
            <a:t>	SetFieldValue("JTI Type Flag", sROType);</a:t>
          </a:r>
        </a:p>
        <a:p>
          <a:r>
            <a:rPr lang="en-GB" b="0">
              <a:solidFill>
                <a:sysClr val="windowText" lastClr="000000"/>
              </a:solidFill>
              <a:effectLst/>
            </a:rPr>
            <a:t>	SetFieldValue("JTI Budget Flag", sROBudget);</a:t>
          </a:r>
        </a:p>
        <a:p>
          <a:r>
            <a:rPr lang="en-GB" b="0">
              <a:solidFill>
                <a:sysClr val="windowText" lastClr="000000"/>
              </a:solidFill>
              <a:effectLst/>
            </a:rPr>
            <a:t>	SetFieldValue("JTI Pay Plan Template Flag", sROPayment);</a:t>
          </a:r>
        </a:p>
        <a:p>
          <a:r>
            <a:rPr lang="en-GB" b="0">
              <a:solidFill>
                <a:sysClr val="windowText" lastClr="000000"/>
              </a:solidFill>
              <a:effectLst/>
            </a:rPr>
            <a:t>	SetFieldValue("JTI Loyalty Program Flag", sROLoyalty);</a:t>
          </a:r>
        </a:p>
        <a:p>
          <a:r>
            <a:rPr lang="en-GB" b="0">
              <a:solidFill>
                <a:sysClr val="windowText" lastClr="000000"/>
              </a:solidFill>
              <a:effectLst/>
            </a:rPr>
            <a:t>	SetFieldValue("JTI Max points by transaction Flag", sROPoints);</a:t>
          </a:r>
        </a:p>
        <a:p>
          <a:r>
            <a:rPr lang="en-GB" b="0">
              <a:solidFill>
                <a:sysClr val="windowText" lastClr="000000"/>
              </a:solidFill>
              <a:effectLst/>
            </a:rPr>
            <a:t>	SetFieldValue("JTI Points Value Flag", sROPointsVal);</a:t>
          </a:r>
        </a:p>
        <a:p>
          <a:r>
            <a:rPr lang="en-GB" b="0">
              <a:solidFill>
                <a:sysClr val="windowText" lastClr="000000"/>
              </a:solidFill>
              <a:effectLst/>
            </a:rPr>
            <a:t>	SetFieldValue("JTI Max Points Flag", sROMaxPoints);</a:t>
          </a:r>
        </a:p>
        <a:p>
          <a:r>
            <a:rPr lang="en-GB" b="0">
              <a:solidFill>
                <a:sysClr val="windowText" lastClr="000000"/>
              </a:solidFill>
              <a:effectLst/>
            </a:rPr>
            <a:t>	SetFieldValue("JTI Contract Payment Method", sContractPaymentMethod);</a:t>
          </a:r>
        </a:p>
        <a:p>
          <a:r>
            <a:rPr lang="en-GB" b="0">
              <a:solidFill>
                <a:sysClr val="windowText" lastClr="000000"/>
              </a:solidFill>
              <a:effectLst/>
            </a:rPr>
            <a:t>	</a:t>
          </a:r>
          <a:r>
            <a:rPr lang="en-GB" b="0">
              <a:solidFill>
                <a:srgbClr val="0000FF"/>
              </a:solidFill>
              <a:effectLst/>
            </a:rPr>
            <a:t>var sOrg=TheApplication().GetProfileAttr("Org.Name");</a:t>
          </a:r>
        </a:p>
        <a:p>
          <a:r>
            <a:rPr lang="en-GB" b="0">
              <a:solidFill>
                <a:srgbClr val="0000FF"/>
              </a:solidFill>
              <a:effectLst/>
            </a:rPr>
            <a:t>	if(sOrg == "Italy" || sOrg == "Spain" || sOrg == "Czech Republic")</a:t>
          </a:r>
        </a:p>
        <a:p>
          <a:r>
            <a:rPr lang="en-GB" b="0">
              <a:solidFill>
                <a:srgbClr val="0000FF"/>
              </a:solidFill>
              <a:effectLst/>
            </a:rPr>
            <a:t>	{</a:t>
          </a:r>
        </a:p>
        <a:p>
          <a:r>
            <a:rPr lang="en-GB" b="0">
              <a:solidFill>
                <a:srgbClr val="0000FF"/>
              </a:solidFill>
              <a:effectLst/>
            </a:rPr>
            <a:t>	SetFieldValue("JTI Total Amount Limit", sAmountLimit);</a:t>
          </a:r>
        </a:p>
        <a:p>
          <a:r>
            <a:rPr lang="en-GB" b="0">
              <a:solidFill>
                <a:srgbClr val="0000FF"/>
              </a:solidFill>
              <a:effectLst/>
            </a:rPr>
            <a:t>	SetFieldValue("JTI Total Points Limit", sPointsLimit);</a:t>
          </a:r>
        </a:p>
        <a:p>
          <a:r>
            <a:rPr lang="en-GB" b="0">
              <a:solidFill>
                <a:srgbClr val="0000FF"/>
              </a:solidFill>
              <a:effectLst/>
            </a:rPr>
            <a:t>	}</a:t>
          </a:r>
        </a:p>
        <a:p>
          <a:r>
            <a:rPr lang="en-GB" b="0">
              <a:solidFill>
                <a:sysClr val="windowText" lastClr="000000"/>
              </a:solidFill>
              <a:effectLst/>
            </a:rPr>
            <a:t>	WriteRecord();</a:t>
          </a:r>
        </a:p>
        <a:p>
          <a:r>
            <a:rPr lang="en-GB" b="0">
              <a:solidFill>
                <a:sysClr val="windowText" lastClr="000000"/>
              </a:solidFill>
              <a:effectLst/>
            </a:rPr>
            <a:t>	sAgreeId = GetFieldValue("Id");</a:t>
          </a:r>
        </a:p>
        <a:p>
          <a:r>
            <a:rPr lang="en-GB" b="0">
              <a:solidFill>
                <a:sysClr val="windowText" lastClr="000000"/>
              </a:solidFill>
              <a:effectLst/>
            </a:rPr>
            <a:t>	sCheck = true;</a:t>
          </a:r>
        </a:p>
        <a:p>
          <a:r>
            <a:rPr lang="en-GB" b="0">
              <a:solidFill>
                <a:sysClr val="windowText" lastClr="000000"/>
              </a:solidFill>
              <a:effectLst/>
            </a:rPr>
            <a:t>}</a:t>
          </a:r>
        </a:p>
        <a:p>
          <a:r>
            <a:rPr lang="en-GB" b="1">
              <a:solidFill>
                <a:sysClr val="windowText" lastClr="000000"/>
              </a:solidFill>
              <a:effectLst/>
            </a:rPr>
            <a:t>.</a:t>
          </a:r>
        </a:p>
        <a:p>
          <a:r>
            <a:rPr lang="en-GB" b="1">
              <a:solidFill>
                <a:sysClr val="windowText" lastClr="000000"/>
              </a:solidFill>
              <a:effectLst/>
            </a:rPr>
            <a:t>.</a:t>
          </a:r>
        </a:p>
        <a:p>
          <a:r>
            <a:rPr lang="en-GB" b="1">
              <a:solidFill>
                <a:sysClr val="windowText" lastClr="000000"/>
              </a:solidFill>
              <a:effectLst/>
            </a:rPr>
            <a:t>Existing</a:t>
          </a:r>
          <a:r>
            <a:rPr lang="en-GB" b="1" baseline="0">
              <a:solidFill>
                <a:sysClr val="windowText" lastClr="000000"/>
              </a:solidFill>
              <a:effectLst/>
            </a:rPr>
            <a:t> Script</a:t>
          </a:r>
        </a:p>
        <a:p>
          <a:r>
            <a:rPr lang="en-GB" b="1" baseline="0">
              <a:solidFill>
                <a:sysClr val="windowText" lastClr="000000"/>
              </a:solidFill>
              <a:effectLst/>
            </a:rPr>
            <a:t>.</a:t>
          </a:r>
        </a:p>
        <a:p>
          <a:r>
            <a:rPr lang="en-GB" b="1" baseline="0">
              <a:solidFill>
                <a:sysClr val="windowText" lastClr="000000"/>
              </a:solidFill>
              <a:effectLst/>
            </a:rPr>
            <a:t>.</a:t>
          </a:r>
          <a:endParaRPr lang="en-GB" b="1">
            <a:solidFill>
              <a:sysClr val="windowText" lastClr="000000"/>
            </a:solidFill>
            <a:effectLst/>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22</xdr:col>
      <xdr:colOff>0</xdr:colOff>
      <xdr:row>17</xdr:row>
      <xdr:rowOff>0</xdr:rowOff>
    </xdr:from>
    <xdr:to>
      <xdr:col>22</xdr:col>
      <xdr:colOff>0</xdr:colOff>
      <xdr:row>17</xdr:row>
      <xdr:rowOff>0</xdr:rowOff>
    </xdr:to>
    <xdr:sp macro="" textlink="">
      <xdr:nvSpPr>
        <xdr:cNvPr id="2" name="Rectangle 9">
          <a:extLst>
            <a:ext uri="{FF2B5EF4-FFF2-40B4-BE49-F238E27FC236}">
              <a16:creationId xmlns:a16="http://schemas.microsoft.com/office/drawing/2014/main" id="{5D97F0D4-AA38-4E52-B9EA-51EBA01B62FE}"/>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3" name="Rectangle 10">
          <a:extLst>
            <a:ext uri="{FF2B5EF4-FFF2-40B4-BE49-F238E27FC236}">
              <a16:creationId xmlns:a16="http://schemas.microsoft.com/office/drawing/2014/main" id="{11825F89-3A53-4792-993D-A015A77B1C33}"/>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4" name="Rectangle 11">
          <a:extLst>
            <a:ext uri="{FF2B5EF4-FFF2-40B4-BE49-F238E27FC236}">
              <a16:creationId xmlns:a16="http://schemas.microsoft.com/office/drawing/2014/main" id="{D6109BB5-FF3C-4472-80AA-1A4777AF0171}"/>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5" name="Rectangle 12">
          <a:extLst>
            <a:ext uri="{FF2B5EF4-FFF2-40B4-BE49-F238E27FC236}">
              <a16:creationId xmlns:a16="http://schemas.microsoft.com/office/drawing/2014/main" id="{28FFC3A1-ABF1-4E10-B208-07A375DBD135}"/>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6" name="Rectangle 13">
          <a:extLst>
            <a:ext uri="{FF2B5EF4-FFF2-40B4-BE49-F238E27FC236}">
              <a16:creationId xmlns:a16="http://schemas.microsoft.com/office/drawing/2014/main" id="{0D38FD9A-E0AF-4FC2-8C92-A24B68E5C747}"/>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7" name="Rectangle 22">
          <a:extLst>
            <a:ext uri="{FF2B5EF4-FFF2-40B4-BE49-F238E27FC236}">
              <a16:creationId xmlns:a16="http://schemas.microsoft.com/office/drawing/2014/main" id="{89791123-3B1F-4C0E-A063-EC5590FF94ED}"/>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8" name="Rectangle 23">
          <a:extLst>
            <a:ext uri="{FF2B5EF4-FFF2-40B4-BE49-F238E27FC236}">
              <a16:creationId xmlns:a16="http://schemas.microsoft.com/office/drawing/2014/main" id="{734B6240-79C7-4793-81FA-110AC6E1A4AE}"/>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9" name="Rectangle 24">
          <a:extLst>
            <a:ext uri="{FF2B5EF4-FFF2-40B4-BE49-F238E27FC236}">
              <a16:creationId xmlns:a16="http://schemas.microsoft.com/office/drawing/2014/main" id="{777099E1-0D9B-4982-9FDE-09C9185E0432}"/>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0" name="Rectangle 25">
          <a:extLst>
            <a:ext uri="{FF2B5EF4-FFF2-40B4-BE49-F238E27FC236}">
              <a16:creationId xmlns:a16="http://schemas.microsoft.com/office/drawing/2014/main" id="{7F024E53-375D-4905-BEA4-486C16BCA25E}"/>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1" name="Rectangle 26">
          <a:extLst>
            <a:ext uri="{FF2B5EF4-FFF2-40B4-BE49-F238E27FC236}">
              <a16:creationId xmlns:a16="http://schemas.microsoft.com/office/drawing/2014/main" id="{68F81A3C-6525-48D5-93EC-68FD0C5EE705}"/>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2" name="Rectangle 37">
          <a:extLst>
            <a:ext uri="{FF2B5EF4-FFF2-40B4-BE49-F238E27FC236}">
              <a16:creationId xmlns:a16="http://schemas.microsoft.com/office/drawing/2014/main" id="{C420D1D3-218E-4AF0-BDCD-E7D9548790E8}"/>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3" name="Rectangle 38">
          <a:extLst>
            <a:ext uri="{FF2B5EF4-FFF2-40B4-BE49-F238E27FC236}">
              <a16:creationId xmlns:a16="http://schemas.microsoft.com/office/drawing/2014/main" id="{5ACC6CEA-A502-4A1F-A22C-00F3F5155DC8}"/>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4" name="Rectangle 39">
          <a:extLst>
            <a:ext uri="{FF2B5EF4-FFF2-40B4-BE49-F238E27FC236}">
              <a16:creationId xmlns:a16="http://schemas.microsoft.com/office/drawing/2014/main" id="{E8BF2800-9A87-4169-B195-07F2128E4D9B}"/>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5" name="Rectangle 40">
          <a:extLst>
            <a:ext uri="{FF2B5EF4-FFF2-40B4-BE49-F238E27FC236}">
              <a16:creationId xmlns:a16="http://schemas.microsoft.com/office/drawing/2014/main" id="{FB36D61D-C95F-48D2-B125-0F0540294689}"/>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6" name="Rectangle 41">
          <a:extLst>
            <a:ext uri="{FF2B5EF4-FFF2-40B4-BE49-F238E27FC236}">
              <a16:creationId xmlns:a16="http://schemas.microsoft.com/office/drawing/2014/main" id="{B07637E3-0C55-4B37-B952-A64984747F20}"/>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7" name="Rectangle 50">
          <a:extLst>
            <a:ext uri="{FF2B5EF4-FFF2-40B4-BE49-F238E27FC236}">
              <a16:creationId xmlns:a16="http://schemas.microsoft.com/office/drawing/2014/main" id="{5FAF4CAB-3523-4E96-ACB2-435866CDE594}"/>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8" name="Rectangle 51">
          <a:extLst>
            <a:ext uri="{FF2B5EF4-FFF2-40B4-BE49-F238E27FC236}">
              <a16:creationId xmlns:a16="http://schemas.microsoft.com/office/drawing/2014/main" id="{A213255C-037B-445C-AB2D-A2C437371699}"/>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19" name="Rectangle 52">
          <a:extLst>
            <a:ext uri="{FF2B5EF4-FFF2-40B4-BE49-F238E27FC236}">
              <a16:creationId xmlns:a16="http://schemas.microsoft.com/office/drawing/2014/main" id="{75BC87CC-4F0F-49E6-94B5-D205CBBCA3B6}"/>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20" name="Rectangle 53">
          <a:extLst>
            <a:ext uri="{FF2B5EF4-FFF2-40B4-BE49-F238E27FC236}">
              <a16:creationId xmlns:a16="http://schemas.microsoft.com/office/drawing/2014/main" id="{303EDE6C-E300-4297-BF00-674C46FB69C4}"/>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0</xdr:colOff>
      <xdr:row>17</xdr:row>
      <xdr:rowOff>0</xdr:rowOff>
    </xdr:to>
    <xdr:sp macro="" textlink="">
      <xdr:nvSpPr>
        <xdr:cNvPr id="21" name="Rectangle 54">
          <a:extLst>
            <a:ext uri="{FF2B5EF4-FFF2-40B4-BE49-F238E27FC236}">
              <a16:creationId xmlns:a16="http://schemas.microsoft.com/office/drawing/2014/main" id="{3370BDD4-2B2A-454C-B217-2658FF8742E2}"/>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election activeCell="A13" sqref="A13:O13"/>
    </sheetView>
  </sheetViews>
  <sheetFormatPr defaultColWidth="9.08984375" defaultRowHeight="12.5" x14ac:dyDescent="0.25"/>
  <cols>
    <col min="1" max="1" width="11.54296875" style="4" customWidth="1"/>
    <col min="2" max="2" width="12.90625" style="4" bestFit="1" customWidth="1"/>
    <col min="3" max="5" width="9.08984375" style="4"/>
    <col min="6" max="6" width="8.54296875" style="4" customWidth="1"/>
    <col min="7" max="7" width="29.08984375" style="4" bestFit="1" customWidth="1"/>
    <col min="8" max="9" width="9.08984375" style="4"/>
    <col min="10" max="10" width="10.36328125" style="4" bestFit="1" customWidth="1"/>
    <col min="11" max="12" width="9.08984375" style="4"/>
    <col min="13" max="13" width="9.08984375" style="4" customWidth="1"/>
    <col min="14" max="14" width="13.08984375" style="4" customWidth="1"/>
    <col min="15" max="16384" width="9.08984375" style="4"/>
  </cols>
  <sheetData>
    <row r="1" spans="1:15" ht="13" x14ac:dyDescent="0.3">
      <c r="A1" s="3"/>
    </row>
    <row r="10" spans="1:15" ht="13" x14ac:dyDescent="0.3">
      <c r="A10" s="3"/>
      <c r="B10" s="3"/>
      <c r="C10" s="3"/>
      <c r="D10" s="3"/>
      <c r="E10" s="3"/>
      <c r="F10" s="3"/>
      <c r="G10" s="3"/>
      <c r="H10" s="3"/>
      <c r="I10" s="3"/>
    </row>
    <row r="11" spans="1:15" ht="13" x14ac:dyDescent="0.3">
      <c r="A11" s="3"/>
      <c r="B11" s="3"/>
      <c r="C11" s="3"/>
      <c r="D11" s="3"/>
      <c r="E11" s="3"/>
      <c r="F11" s="3"/>
      <c r="G11" s="3"/>
      <c r="H11" s="3"/>
      <c r="I11" s="3"/>
    </row>
    <row r="12" spans="1:15" ht="13" x14ac:dyDescent="0.3">
      <c r="A12" s="3"/>
      <c r="B12" s="3"/>
      <c r="C12" s="3"/>
      <c r="D12" s="3"/>
      <c r="E12" s="3"/>
      <c r="F12" s="3"/>
      <c r="G12" s="3"/>
      <c r="H12" s="3"/>
      <c r="I12" s="3"/>
    </row>
    <row r="13" spans="1:15" ht="32.25" customHeight="1" thickBot="1" x14ac:dyDescent="0.6">
      <c r="A13" s="251" t="s">
        <v>6</v>
      </c>
      <c r="B13" s="251"/>
      <c r="C13" s="251"/>
      <c r="D13" s="251"/>
      <c r="E13" s="251"/>
      <c r="F13" s="251"/>
      <c r="G13" s="251"/>
      <c r="H13" s="251"/>
      <c r="I13" s="251"/>
      <c r="J13" s="251"/>
      <c r="K13" s="251"/>
      <c r="L13" s="251"/>
      <c r="M13" s="251"/>
      <c r="N13" s="251"/>
      <c r="O13" s="251"/>
    </row>
    <row r="14" spans="1:15" ht="13.5" thickTop="1" x14ac:dyDescent="0.3">
      <c r="A14" s="3"/>
      <c r="B14" s="3"/>
      <c r="C14" s="3"/>
      <c r="D14" s="3"/>
      <c r="E14" s="3"/>
      <c r="F14" s="3"/>
      <c r="G14" s="3"/>
      <c r="H14" s="3"/>
      <c r="I14" s="3"/>
    </row>
    <row r="15" spans="1:15" ht="13" x14ac:dyDescent="0.3">
      <c r="A15" s="3"/>
      <c r="B15" s="3"/>
      <c r="C15" s="3"/>
      <c r="D15" s="3"/>
      <c r="E15" s="3"/>
      <c r="F15" s="3"/>
      <c r="G15" s="3"/>
      <c r="H15" s="3"/>
      <c r="I15" s="3"/>
    </row>
    <row r="16" spans="1:15" ht="13.5" customHeight="1" x14ac:dyDescent="0.3">
      <c r="A16" s="3"/>
      <c r="B16" s="3"/>
      <c r="C16" s="3"/>
      <c r="D16" s="3"/>
      <c r="E16" s="3"/>
      <c r="F16" s="3"/>
      <c r="G16" s="3"/>
      <c r="H16" s="3"/>
      <c r="I16" s="3"/>
    </row>
    <row r="17" spans="1:15" ht="14.25" customHeight="1" x14ac:dyDescent="0.3">
      <c r="A17" s="3"/>
      <c r="B17" s="3"/>
      <c r="C17" s="3"/>
      <c r="D17" s="3"/>
      <c r="E17" s="3"/>
      <c r="F17" s="3"/>
      <c r="G17" s="3"/>
      <c r="H17" s="3"/>
      <c r="I17" s="3"/>
    </row>
    <row r="18" spans="1:15" ht="13" x14ac:dyDescent="0.3">
      <c r="A18" s="3"/>
      <c r="B18" s="3"/>
      <c r="C18" s="3"/>
      <c r="D18" s="3"/>
      <c r="E18" s="3"/>
      <c r="F18" s="3"/>
      <c r="G18" s="3"/>
      <c r="H18" s="3"/>
      <c r="I18" s="3"/>
    </row>
    <row r="19" spans="1:15" ht="13" x14ac:dyDescent="0.3">
      <c r="A19" s="3"/>
      <c r="B19" s="3"/>
      <c r="C19" s="3"/>
      <c r="D19" s="3"/>
      <c r="E19" s="3"/>
      <c r="F19" s="3"/>
      <c r="G19" s="3"/>
      <c r="H19" s="3"/>
      <c r="I19" s="3"/>
    </row>
    <row r="20" spans="1:15" ht="30.5" x14ac:dyDescent="0.65">
      <c r="A20" s="252" t="s">
        <v>254</v>
      </c>
      <c r="B20" s="252"/>
      <c r="C20" s="252"/>
      <c r="D20" s="252"/>
      <c r="E20" s="252"/>
      <c r="F20" s="252"/>
      <c r="G20" s="252"/>
      <c r="H20" s="252"/>
      <c r="I20" s="252"/>
      <c r="J20" s="252"/>
      <c r="K20" s="252"/>
      <c r="L20" s="252"/>
      <c r="M20" s="252"/>
      <c r="N20" s="252"/>
      <c r="O20" s="252"/>
    </row>
    <row r="21" spans="1:15" ht="30.5" x14ac:dyDescent="0.65">
      <c r="A21" s="252" t="s">
        <v>253</v>
      </c>
      <c r="B21" s="252"/>
      <c r="C21" s="252"/>
      <c r="D21" s="252"/>
      <c r="E21" s="252"/>
      <c r="F21" s="252"/>
      <c r="G21" s="252"/>
      <c r="H21" s="252"/>
      <c r="I21" s="252"/>
      <c r="J21" s="252"/>
      <c r="K21" s="252"/>
      <c r="L21" s="252"/>
      <c r="M21" s="252"/>
      <c r="N21" s="252"/>
      <c r="O21" s="252"/>
    </row>
    <row r="22" spans="1:15" ht="13" x14ac:dyDescent="0.3">
      <c r="A22" s="3"/>
      <c r="B22" s="3"/>
      <c r="C22" s="3"/>
      <c r="D22" s="3"/>
      <c r="E22" s="3"/>
      <c r="F22" s="3"/>
      <c r="G22" s="3"/>
      <c r="H22" s="3"/>
      <c r="I22" s="3"/>
    </row>
    <row r="23" spans="1:15" ht="30.5" x14ac:dyDescent="0.65">
      <c r="A23" s="255" t="s">
        <v>386</v>
      </c>
      <c r="B23" s="255"/>
      <c r="C23" s="255"/>
      <c r="D23" s="255"/>
      <c r="E23" s="255"/>
      <c r="F23" s="256" t="s">
        <v>668</v>
      </c>
      <c r="G23" s="256"/>
      <c r="H23" s="256"/>
      <c r="I23" s="256"/>
      <c r="J23" s="256"/>
      <c r="K23" s="256"/>
      <c r="L23" s="256"/>
      <c r="M23" s="256"/>
      <c r="N23" s="256"/>
      <c r="O23" s="256"/>
    </row>
    <row r="24" spans="1:15" s="44" customFormat="1" ht="28" x14ac:dyDescent="0.6">
      <c r="A24" s="257" t="s">
        <v>275</v>
      </c>
      <c r="B24" s="257"/>
      <c r="C24" s="257"/>
      <c r="D24" s="257"/>
      <c r="E24" s="257"/>
      <c r="F24" s="258" t="s">
        <v>669</v>
      </c>
      <c r="G24" s="258"/>
      <c r="H24" s="258"/>
      <c r="I24" s="258"/>
      <c r="J24" s="258"/>
      <c r="K24" s="258"/>
      <c r="L24" s="258"/>
      <c r="M24" s="258"/>
      <c r="N24" s="258"/>
      <c r="O24" s="45"/>
    </row>
    <row r="25" spans="1:15" s="44" customFormat="1" ht="28" x14ac:dyDescent="0.6">
      <c r="A25" s="259" t="s">
        <v>286</v>
      </c>
      <c r="B25" s="259"/>
      <c r="C25" s="259"/>
      <c r="D25" s="259"/>
      <c r="E25" s="259"/>
      <c r="F25" s="250" t="s">
        <v>670</v>
      </c>
      <c r="G25" s="250"/>
      <c r="H25" s="250"/>
      <c r="I25" s="250"/>
      <c r="J25" s="250"/>
      <c r="K25" s="250"/>
      <c r="L25" s="250"/>
      <c r="M25" s="250"/>
      <c r="N25" s="250"/>
      <c r="O25" s="45"/>
    </row>
    <row r="26" spans="1:15" x14ac:dyDescent="0.25">
      <c r="A26" s="46"/>
      <c r="B26" s="46"/>
      <c r="C26" s="46"/>
      <c r="D26" s="46"/>
      <c r="E26" s="46"/>
      <c r="F26" s="46"/>
      <c r="G26" s="46"/>
      <c r="H26" s="46"/>
      <c r="I26" s="46"/>
      <c r="J26" s="46"/>
      <c r="K26" s="46"/>
      <c r="L26" s="46"/>
      <c r="M26" s="46"/>
      <c r="N26" s="46"/>
      <c r="O26" s="46"/>
    </row>
    <row r="27" spans="1:15" ht="15.5" x14ac:dyDescent="0.35">
      <c r="A27" s="254"/>
      <c r="B27" s="254"/>
      <c r="C27" s="254"/>
      <c r="D27" s="254"/>
      <c r="E27" s="254"/>
      <c r="F27" s="254"/>
      <c r="G27" s="254"/>
      <c r="H27" s="254"/>
      <c r="I27" s="254"/>
      <c r="J27" s="46"/>
      <c r="K27" s="46"/>
      <c r="L27" s="46"/>
      <c r="M27" s="46"/>
      <c r="N27" s="46"/>
      <c r="O27" s="46"/>
    </row>
    <row r="28" spans="1:15" ht="18" customHeight="1" x14ac:dyDescent="0.45">
      <c r="A28" s="253"/>
      <c r="B28" s="253"/>
      <c r="C28" s="253"/>
      <c r="D28" s="253"/>
      <c r="E28" s="253"/>
      <c r="F28" s="253"/>
      <c r="G28" s="253"/>
      <c r="H28" s="253"/>
      <c r="I28" s="253"/>
      <c r="J28" s="46"/>
      <c r="K28" s="46"/>
      <c r="L28" s="46"/>
      <c r="M28" s="46"/>
      <c r="N28" s="46"/>
      <c r="O28" s="46"/>
    </row>
    <row r="37" spans="1:9" ht="18" customHeight="1" x14ac:dyDescent="0.25"/>
    <row r="38" spans="1:9" ht="15.5" x14ac:dyDescent="0.35">
      <c r="A38" s="5" t="s">
        <v>7</v>
      </c>
      <c r="B38" s="6">
        <f ca="1">TODAY()</f>
        <v>44493</v>
      </c>
      <c r="C38" s="3"/>
      <c r="D38" s="3"/>
      <c r="E38" s="3"/>
      <c r="F38" s="3"/>
      <c r="G38" s="3"/>
      <c r="H38" s="3"/>
      <c r="I38" s="3"/>
    </row>
    <row r="39" spans="1:9" ht="15.5" x14ac:dyDescent="0.35">
      <c r="A39" s="5" t="s">
        <v>8</v>
      </c>
      <c r="B39" s="7" t="s">
        <v>15</v>
      </c>
      <c r="C39" s="3"/>
      <c r="D39" s="3"/>
      <c r="E39" s="3"/>
      <c r="F39" s="3"/>
      <c r="G39" s="3"/>
      <c r="H39" s="3"/>
      <c r="I39" s="3"/>
    </row>
    <row r="40" spans="1:9" ht="15.5" x14ac:dyDescent="0.35">
      <c r="A40" s="5"/>
      <c r="B40" s="7"/>
      <c r="C40" s="3"/>
      <c r="D40" s="3"/>
      <c r="E40" s="3"/>
      <c r="F40" s="3"/>
      <c r="G40" s="3"/>
      <c r="H40" s="3"/>
      <c r="I40" s="3"/>
    </row>
  </sheetData>
  <mergeCells count="11">
    <mergeCell ref="F25:N25"/>
    <mergeCell ref="A13:O13"/>
    <mergeCell ref="A20:O20"/>
    <mergeCell ref="A21:O21"/>
    <mergeCell ref="A28:I28"/>
    <mergeCell ref="A27:I27"/>
    <mergeCell ref="A23:E23"/>
    <mergeCell ref="F23:O23"/>
    <mergeCell ref="A24:E24"/>
    <mergeCell ref="F24:N24"/>
    <mergeCell ref="A25:E25"/>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6"/>
  <sheetViews>
    <sheetView showGridLines="0" workbookViewId="0">
      <selection activeCell="A3" sqref="A3"/>
    </sheetView>
  </sheetViews>
  <sheetFormatPr defaultColWidth="9.08984375" defaultRowHeight="13" x14ac:dyDescent="0.25"/>
  <cols>
    <col min="1" max="1" width="34.08984375" style="13" bestFit="1" customWidth="1"/>
    <col min="2" max="2" width="29" style="13" customWidth="1"/>
    <col min="3" max="3" width="35.36328125" style="13" customWidth="1"/>
    <col min="4" max="4" width="9.08984375" style="13" hidden="1" customWidth="1"/>
    <col min="5" max="5" width="9.36328125" style="13" hidden="1" customWidth="1"/>
    <col min="6" max="6" width="11.08984375" style="13" customWidth="1"/>
    <col min="7" max="7" width="9.08984375" style="13" hidden="1" customWidth="1"/>
    <col min="8" max="8" width="21.54296875" style="13" customWidth="1"/>
    <col min="9" max="9" width="37.08984375" style="13" customWidth="1"/>
    <col min="10" max="10" width="21.453125" style="13" bestFit="1" customWidth="1"/>
    <col min="11" max="11" width="17.54296875" style="13" bestFit="1" customWidth="1"/>
    <col min="12" max="12" width="8" style="13" bestFit="1" customWidth="1"/>
    <col min="13" max="16384" width="9.08984375" style="13"/>
  </cols>
  <sheetData>
    <row r="1" spans="1:9" ht="15.5" x14ac:dyDescent="0.25">
      <c r="A1" s="11" t="s">
        <v>9</v>
      </c>
      <c r="B1" s="12"/>
      <c r="C1" s="12"/>
      <c r="D1" s="12"/>
      <c r="E1" s="12"/>
    </row>
    <row r="2" spans="1:9" x14ac:dyDescent="0.25">
      <c r="A2" s="14"/>
      <c r="B2" s="12"/>
      <c r="C2" s="12"/>
      <c r="D2" s="12"/>
      <c r="E2" s="12"/>
    </row>
    <row r="3" spans="1:9" x14ac:dyDescent="0.25">
      <c r="A3" s="47" t="s">
        <v>10</v>
      </c>
      <c r="B3" s="48" t="s">
        <v>11</v>
      </c>
      <c r="C3" s="261" t="s">
        <v>12</v>
      </c>
      <c r="D3" s="261"/>
      <c r="E3" s="261"/>
      <c r="F3" s="262" t="s">
        <v>13</v>
      </c>
      <c r="G3" s="263"/>
      <c r="H3" s="48" t="s">
        <v>14</v>
      </c>
      <c r="I3" s="16" t="s">
        <v>29</v>
      </c>
    </row>
    <row r="4" spans="1:9" x14ac:dyDescent="0.25">
      <c r="A4" s="52" t="s">
        <v>700</v>
      </c>
      <c r="B4" s="52" t="s">
        <v>701</v>
      </c>
      <c r="C4" s="260"/>
      <c r="D4" s="260"/>
      <c r="E4" s="260"/>
      <c r="F4" s="51"/>
      <c r="G4" s="15"/>
      <c r="H4" s="49"/>
      <c r="I4" s="17"/>
    </row>
    <row r="5" spans="1:9" x14ac:dyDescent="0.25">
      <c r="A5" s="52"/>
      <c r="B5" s="52"/>
      <c r="C5" s="260"/>
      <c r="D5" s="260"/>
      <c r="E5" s="260"/>
      <c r="F5" s="50"/>
      <c r="G5" s="15"/>
      <c r="H5" s="49"/>
      <c r="I5" s="17"/>
    </row>
    <row r="6" spans="1:9" x14ac:dyDescent="0.25">
      <c r="A6" s="12"/>
      <c r="B6" s="12"/>
      <c r="C6" s="12"/>
      <c r="D6" s="12"/>
      <c r="E6" s="12"/>
    </row>
    <row r="8" spans="1:9" x14ac:dyDescent="0.25">
      <c r="A8" s="53" t="s">
        <v>63</v>
      </c>
      <c r="B8" s="56" t="s">
        <v>67</v>
      </c>
    </row>
    <row r="9" spans="1:9" x14ac:dyDescent="0.25">
      <c r="A9" s="54" t="s">
        <v>340</v>
      </c>
      <c r="B9" s="57">
        <f>ROUNDUP(((5/100)*B10+(1/100)*B11),2)</f>
        <v>0</v>
      </c>
    </row>
    <row r="10" spans="1:9" x14ac:dyDescent="0.25">
      <c r="A10" s="54" t="s">
        <v>65</v>
      </c>
      <c r="B10" s="57"/>
    </row>
    <row r="11" spans="1:9" x14ac:dyDescent="0.25">
      <c r="A11" s="54" t="s">
        <v>62</v>
      </c>
      <c r="B11" s="57"/>
    </row>
    <row r="12" spans="1:9" x14ac:dyDescent="0.25">
      <c r="A12" s="54" t="s">
        <v>291</v>
      </c>
      <c r="B12" s="57"/>
    </row>
    <row r="13" spans="1:9" x14ac:dyDescent="0.25">
      <c r="A13" s="54" t="s">
        <v>290</v>
      </c>
      <c r="B13" s="57"/>
    </row>
    <row r="14" spans="1:9" x14ac:dyDescent="0.25">
      <c r="A14" s="54" t="s">
        <v>66</v>
      </c>
      <c r="B14" s="57"/>
    </row>
    <row r="15" spans="1:9" x14ac:dyDescent="0.25">
      <c r="A15" s="54" t="s">
        <v>289</v>
      </c>
      <c r="B15" s="57"/>
    </row>
    <row r="16" spans="1:9" x14ac:dyDescent="0.25">
      <c r="A16" s="55" t="s">
        <v>120</v>
      </c>
      <c r="B16" s="58">
        <f>ROUNDUP(SUM(B9:B15), 2)</f>
        <v>0</v>
      </c>
    </row>
    <row r="18" spans="1:10" x14ac:dyDescent="0.25">
      <c r="A18" s="59" t="s">
        <v>295</v>
      </c>
      <c r="B18" s="59" t="s">
        <v>341</v>
      </c>
      <c r="C18" s="59" t="s">
        <v>342</v>
      </c>
      <c r="I18" s="59" t="s">
        <v>363</v>
      </c>
      <c r="J18" s="59" t="s">
        <v>364</v>
      </c>
    </row>
    <row r="19" spans="1:10" x14ac:dyDescent="0.25">
      <c r="A19" s="57"/>
      <c r="B19" s="57"/>
      <c r="C19" s="57"/>
      <c r="I19" s="57"/>
      <c r="J19" s="57"/>
    </row>
    <row r="20" spans="1:10" x14ac:dyDescent="0.25">
      <c r="A20" s="57"/>
      <c r="B20" s="57"/>
      <c r="C20" s="57"/>
    </row>
    <row r="21" spans="1:10" x14ac:dyDescent="0.25">
      <c r="A21" s="57"/>
      <c r="B21" s="57"/>
      <c r="C21" s="57"/>
    </row>
    <row r="22" spans="1:10" x14ac:dyDescent="0.25">
      <c r="A22" s="57"/>
      <c r="B22" s="57"/>
      <c r="C22" s="57"/>
    </row>
    <row r="23" spans="1:10" x14ac:dyDescent="0.25">
      <c r="A23" s="57"/>
      <c r="B23" s="57"/>
      <c r="C23" s="57"/>
    </row>
    <row r="24" spans="1:10" x14ac:dyDescent="0.25">
      <c r="A24" s="57"/>
      <c r="B24" s="57"/>
      <c r="C24" s="57"/>
    </row>
    <row r="25" spans="1:10" x14ac:dyDescent="0.25">
      <c r="A25" s="57"/>
      <c r="B25" s="57"/>
      <c r="C25" s="57"/>
    </row>
    <row r="26" spans="1:10" x14ac:dyDescent="0.25">
      <c r="A26" s="57"/>
      <c r="B26" s="57"/>
      <c r="C26" s="57"/>
    </row>
  </sheetData>
  <mergeCells count="4">
    <mergeCell ref="C5:E5"/>
    <mergeCell ref="C3:E3"/>
    <mergeCell ref="F3:G3"/>
    <mergeCell ref="C4:E4"/>
  </mergeCells>
  <phoneticPr fontId="0" type="noConversion"/>
  <pageMargins left="0.75" right="0.75" top="1" bottom="1" header="0.5" footer="0.5"/>
  <pageSetup paperSize="9" orientation="landscape" r:id="rId1"/>
  <headerFooter alignWithMargins="0">
    <oddFooter>&amp;L&amp;"Book Antiqua,Regular"&amp;8Document: &amp;F&amp;R&amp;"Book Antiqua,Regular"&amp;8Page &amp;P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31"/>
  <sheetViews>
    <sheetView zoomScale="85" workbookViewId="0">
      <selection activeCell="A3" sqref="A3"/>
    </sheetView>
  </sheetViews>
  <sheetFormatPr defaultColWidth="9.08984375" defaultRowHeight="12.5" x14ac:dyDescent="0.25"/>
  <cols>
    <col min="1" max="1" width="25.453125" style="22" customWidth="1"/>
    <col min="2" max="2" width="27.453125" style="22" customWidth="1"/>
    <col min="3" max="3" width="48.36328125" style="22" customWidth="1"/>
    <col min="4" max="4" width="35.90625" style="22" customWidth="1"/>
    <col min="5" max="5" width="27.453125" style="22" customWidth="1"/>
    <col min="6" max="16384" width="9.08984375" style="22"/>
  </cols>
  <sheetData>
    <row r="1" spans="1:6" ht="15.5" x14ac:dyDescent="0.25">
      <c r="A1" s="21" t="s">
        <v>17</v>
      </c>
    </row>
    <row r="2" spans="1:6" ht="13" thickBot="1" x14ac:dyDescent="0.3"/>
    <row r="3" spans="1:6" ht="13.5" thickBot="1" x14ac:dyDescent="0.3">
      <c r="A3" s="8" t="s">
        <v>20</v>
      </c>
      <c r="B3" s="9" t="s">
        <v>18</v>
      </c>
      <c r="C3" s="9" t="s">
        <v>1</v>
      </c>
      <c r="D3" s="9" t="s">
        <v>21</v>
      </c>
      <c r="E3" s="10" t="s">
        <v>19</v>
      </c>
    </row>
    <row r="4" spans="1:6" ht="38" x14ac:dyDescent="0.25">
      <c r="A4" s="36" t="s">
        <v>16</v>
      </c>
      <c r="B4" s="23" t="s">
        <v>126</v>
      </c>
      <c r="C4" s="23" t="s">
        <v>127</v>
      </c>
      <c r="D4" s="23" t="s">
        <v>128</v>
      </c>
      <c r="E4" s="25" t="s">
        <v>16</v>
      </c>
      <c r="F4" s="38"/>
    </row>
    <row r="5" spans="1:6" ht="25" x14ac:dyDescent="0.25">
      <c r="B5" s="24" t="s">
        <v>129</v>
      </c>
      <c r="C5" s="24" t="s">
        <v>22</v>
      </c>
      <c r="D5" s="24" t="s">
        <v>23</v>
      </c>
      <c r="E5" s="39"/>
    </row>
    <row r="6" spans="1:6" ht="38" x14ac:dyDescent="0.25">
      <c r="B6" s="24" t="s">
        <v>130</v>
      </c>
      <c r="C6" s="24" t="s">
        <v>40</v>
      </c>
      <c r="D6" s="24" t="s">
        <v>41</v>
      </c>
      <c r="E6" s="39"/>
    </row>
    <row r="7" spans="1:6" ht="38" x14ac:dyDescent="0.25">
      <c r="B7" s="24" t="s">
        <v>131</v>
      </c>
      <c r="C7" s="24" t="s">
        <v>43</v>
      </c>
      <c r="D7" s="24" t="s">
        <v>42</v>
      </c>
      <c r="E7" s="39"/>
    </row>
    <row r="8" spans="1:6" ht="38" x14ac:dyDescent="0.25">
      <c r="B8" s="24" t="s">
        <v>132</v>
      </c>
      <c r="C8" s="24" t="s">
        <v>51</v>
      </c>
      <c r="D8" s="24" t="s">
        <v>52</v>
      </c>
      <c r="E8" s="39"/>
    </row>
    <row r="9" spans="1:6" ht="38" x14ac:dyDescent="0.25">
      <c r="B9" s="24" t="s">
        <v>133</v>
      </c>
      <c r="C9" s="24" t="s">
        <v>53</v>
      </c>
      <c r="D9" s="24" t="s">
        <v>54</v>
      </c>
      <c r="E9" s="39"/>
    </row>
    <row r="10" spans="1:6" ht="25" x14ac:dyDescent="0.25">
      <c r="B10" s="24" t="s">
        <v>134</v>
      </c>
      <c r="C10" s="24" t="s">
        <v>46</v>
      </c>
      <c r="D10" s="24" t="s">
        <v>47</v>
      </c>
      <c r="E10" s="39"/>
    </row>
    <row r="11" spans="1:6" ht="25" x14ac:dyDescent="0.25">
      <c r="B11" s="26" t="s">
        <v>135</v>
      </c>
      <c r="C11" s="27" t="s">
        <v>48</v>
      </c>
      <c r="D11" s="26" t="s">
        <v>49</v>
      </c>
      <c r="E11" s="39"/>
    </row>
    <row r="12" spans="1:6" ht="29.25" customHeight="1" x14ac:dyDescent="0.25">
      <c r="B12" s="24" t="s">
        <v>281</v>
      </c>
      <c r="C12" s="24" t="s">
        <v>282</v>
      </c>
      <c r="D12" s="26" t="s">
        <v>283</v>
      </c>
      <c r="E12" s="39"/>
    </row>
    <row r="13" spans="1:6" ht="25" x14ac:dyDescent="0.25">
      <c r="B13" s="24" t="s">
        <v>136</v>
      </c>
      <c r="C13" s="24" t="s">
        <v>137</v>
      </c>
      <c r="D13" s="26" t="s">
        <v>138</v>
      </c>
      <c r="E13" s="39"/>
    </row>
    <row r="14" spans="1:6" x14ac:dyDescent="0.25">
      <c r="B14" s="24" t="s">
        <v>207</v>
      </c>
      <c r="C14" s="24" t="s">
        <v>209</v>
      </c>
      <c r="D14" s="26" t="s">
        <v>210</v>
      </c>
      <c r="E14" s="39"/>
    </row>
    <row r="15" spans="1:6" ht="25" x14ac:dyDescent="0.25">
      <c r="B15" s="24" t="s">
        <v>208</v>
      </c>
      <c r="C15" s="24" t="s">
        <v>211</v>
      </c>
      <c r="D15" s="26" t="s">
        <v>212</v>
      </c>
      <c r="E15" s="39"/>
    </row>
    <row r="16" spans="1:6" x14ac:dyDescent="0.25">
      <c r="B16" s="24" t="s">
        <v>249</v>
      </c>
      <c r="C16" s="24" t="s">
        <v>244</v>
      </c>
      <c r="D16" s="26"/>
      <c r="E16" s="39"/>
    </row>
    <row r="17" spans="1:5" x14ac:dyDescent="0.25">
      <c r="B17" s="24" t="s">
        <v>250</v>
      </c>
      <c r="C17" s="24" t="s">
        <v>246</v>
      </c>
      <c r="D17" s="26"/>
      <c r="E17" s="39"/>
    </row>
    <row r="18" spans="1:5" x14ac:dyDescent="0.25">
      <c r="B18" s="24" t="s">
        <v>251</v>
      </c>
      <c r="C18" s="24" t="s">
        <v>245</v>
      </c>
      <c r="D18" s="24"/>
      <c r="E18" s="39"/>
    </row>
    <row r="19" spans="1:5" x14ac:dyDescent="0.25">
      <c r="B19" s="24" t="s">
        <v>248</v>
      </c>
      <c r="C19" s="24" t="s">
        <v>247</v>
      </c>
      <c r="D19" s="26"/>
      <c r="E19" s="39"/>
    </row>
    <row r="20" spans="1:5" x14ac:dyDescent="0.25">
      <c r="B20" s="24" t="s">
        <v>252</v>
      </c>
      <c r="C20" s="24" t="s">
        <v>62</v>
      </c>
      <c r="D20" s="24"/>
      <c r="E20" s="39"/>
    </row>
    <row r="21" spans="1:5" x14ac:dyDescent="0.25">
      <c r="B21" s="26" t="s">
        <v>273</v>
      </c>
      <c r="C21" s="26" t="s">
        <v>201</v>
      </c>
      <c r="D21" s="26"/>
      <c r="E21" s="39"/>
    </row>
    <row r="22" spans="1:5" x14ac:dyDescent="0.25">
      <c r="B22" s="26" t="s">
        <v>274</v>
      </c>
      <c r="C22" s="26" t="s">
        <v>203</v>
      </c>
      <c r="D22" s="26"/>
      <c r="E22" s="39"/>
    </row>
    <row r="23" spans="1:5" x14ac:dyDescent="0.25">
      <c r="B23" s="26" t="s">
        <v>397</v>
      </c>
      <c r="C23" s="26" t="s">
        <v>398</v>
      </c>
      <c r="D23" s="26"/>
      <c r="E23" s="39"/>
    </row>
    <row r="24" spans="1:5" ht="13" thickBot="1" x14ac:dyDescent="0.3">
      <c r="A24" s="37"/>
      <c r="B24" s="28" t="s">
        <v>400</v>
      </c>
      <c r="C24" s="28" t="s">
        <v>399</v>
      </c>
      <c r="D24" s="28"/>
      <c r="E24" s="40"/>
    </row>
    <row r="31" spans="1:5" s="19" customFormat="1" ht="13" x14ac:dyDescent="0.25"/>
  </sheetData>
  <phoneticPr fontId="0" type="noConversion"/>
  <pageMargins left="0.75" right="0.75" top="1" bottom="1" header="0.5" footer="0.5"/>
  <pageSetup paperSize="9" scale="80" fitToHeight="0" orientation="landscape" r:id="rId1"/>
  <headerFooter alignWithMargins="0">
    <oddHeader>&amp;C&amp;A</oddHeader>
    <oddFooter>&amp;L&amp;F&amp;C&amp;D&amp;R&amp;P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46"/>
  <sheetViews>
    <sheetView workbookViewId="0">
      <selection sqref="A1:E1"/>
    </sheetView>
  </sheetViews>
  <sheetFormatPr defaultColWidth="9.08984375" defaultRowHeight="12.5" x14ac:dyDescent="0.25"/>
  <cols>
    <col min="1" max="1" width="32.453125" style="65" bestFit="1" customWidth="1"/>
    <col min="2" max="2" width="27.453125" style="65" bestFit="1" customWidth="1"/>
    <col min="3" max="3" width="120.08984375" style="65" bestFit="1" customWidth="1"/>
    <col min="4" max="4" width="7.08984375" style="65" bestFit="1" customWidth="1"/>
    <col min="5" max="5" width="9.54296875" style="65" bestFit="1" customWidth="1"/>
    <col min="6" max="16384" width="9.08984375" style="65"/>
  </cols>
  <sheetData>
    <row r="1" spans="1:5" ht="13" thickBot="1" x14ac:dyDescent="0.3">
      <c r="A1" s="264" t="s">
        <v>311</v>
      </c>
      <c r="B1" s="265"/>
      <c r="C1" s="265"/>
      <c r="D1" s="265"/>
      <c r="E1" s="266"/>
    </row>
    <row r="2" spans="1:5" ht="13" thickBot="1" x14ac:dyDescent="0.3">
      <c r="D2" s="66"/>
    </row>
    <row r="3" spans="1:5" x14ac:dyDescent="0.25">
      <c r="A3" s="67" t="s">
        <v>312</v>
      </c>
      <c r="B3" s="68"/>
      <c r="C3" s="68"/>
      <c r="D3" s="68"/>
    </row>
    <row r="4" spans="1:5" ht="25" x14ac:dyDescent="0.25">
      <c r="A4" s="69" t="s">
        <v>84</v>
      </c>
      <c r="B4" s="69" t="s">
        <v>317</v>
      </c>
      <c r="C4" s="69" t="s">
        <v>313</v>
      </c>
      <c r="D4" s="70" t="s">
        <v>198</v>
      </c>
      <c r="E4" s="70" t="s">
        <v>310</v>
      </c>
    </row>
    <row r="5" spans="1:5" x14ac:dyDescent="0.25">
      <c r="A5" s="71" t="s">
        <v>318</v>
      </c>
      <c r="B5" s="71" t="s">
        <v>319</v>
      </c>
      <c r="C5" s="71" t="s">
        <v>320</v>
      </c>
      <c r="D5" s="60"/>
      <c r="E5" s="60"/>
    </row>
    <row r="6" spans="1:5" ht="25.5" x14ac:dyDescent="0.25">
      <c r="A6" s="71" t="s">
        <v>325</v>
      </c>
      <c r="B6" s="71" t="s">
        <v>319</v>
      </c>
      <c r="C6" s="72" t="s">
        <v>401</v>
      </c>
      <c r="D6" s="60"/>
      <c r="E6" s="60"/>
    </row>
    <row r="7" spans="1:5" x14ac:dyDescent="0.25">
      <c r="A7" s="71" t="s">
        <v>332</v>
      </c>
      <c r="B7" s="71" t="s">
        <v>319</v>
      </c>
      <c r="C7" s="71" t="s">
        <v>410</v>
      </c>
      <c r="D7" s="60"/>
      <c r="E7" s="60"/>
    </row>
    <row r="8" spans="1:5" ht="87.5" x14ac:dyDescent="0.25">
      <c r="A8" s="71" t="s">
        <v>314</v>
      </c>
      <c r="B8" s="71" t="s">
        <v>100</v>
      </c>
      <c r="C8" s="72" t="s">
        <v>315</v>
      </c>
      <c r="D8" s="60"/>
      <c r="E8" s="60"/>
    </row>
    <row r="9" spans="1:5" x14ac:dyDescent="0.25">
      <c r="A9" s="71" t="s">
        <v>316</v>
      </c>
      <c r="B9" s="71" t="s">
        <v>30</v>
      </c>
      <c r="C9" s="71" t="s">
        <v>385</v>
      </c>
      <c r="D9" s="60"/>
      <c r="E9" s="60"/>
    </row>
    <row r="10" spans="1:5" x14ac:dyDescent="0.25">
      <c r="A10" s="71" t="s">
        <v>323</v>
      </c>
      <c r="B10" s="71" t="s">
        <v>30</v>
      </c>
      <c r="C10" s="72" t="s">
        <v>321</v>
      </c>
      <c r="D10" s="60"/>
      <c r="E10" s="60"/>
    </row>
    <row r="11" spans="1:5" x14ac:dyDescent="0.25">
      <c r="A11" s="71" t="s">
        <v>404</v>
      </c>
      <c r="B11" s="71" t="s">
        <v>30</v>
      </c>
      <c r="C11" s="72" t="s">
        <v>405</v>
      </c>
      <c r="D11" s="60"/>
      <c r="E11" s="60"/>
    </row>
    <row r="12" spans="1:5" x14ac:dyDescent="0.25">
      <c r="A12" s="71" t="s">
        <v>324</v>
      </c>
      <c r="B12" s="71" t="s">
        <v>30</v>
      </c>
      <c r="C12" s="71" t="s">
        <v>322</v>
      </c>
      <c r="D12" s="60"/>
      <c r="E12" s="60"/>
    </row>
    <row r="13" spans="1:5" x14ac:dyDescent="0.25">
      <c r="A13" s="71" t="s">
        <v>336</v>
      </c>
      <c r="B13" s="71" t="s">
        <v>30</v>
      </c>
      <c r="C13" s="71" t="s">
        <v>337</v>
      </c>
      <c r="D13" s="60"/>
      <c r="E13" s="60"/>
    </row>
    <row r="14" spans="1:5" ht="26" x14ac:dyDescent="0.25">
      <c r="A14" s="71" t="s">
        <v>407</v>
      </c>
      <c r="B14" s="71" t="s">
        <v>30</v>
      </c>
      <c r="C14" s="72" t="s">
        <v>408</v>
      </c>
      <c r="D14" s="60"/>
      <c r="E14" s="60"/>
    </row>
    <row r="15" spans="1:5" x14ac:dyDescent="0.25">
      <c r="A15" s="71" t="s">
        <v>420</v>
      </c>
      <c r="B15" s="71" t="s">
        <v>30</v>
      </c>
      <c r="C15" s="72" t="s">
        <v>421</v>
      </c>
      <c r="D15" s="60"/>
      <c r="E15" s="60"/>
    </row>
    <row r="16" spans="1:5" x14ac:dyDescent="0.25">
      <c r="A16" s="71" t="s">
        <v>335</v>
      </c>
      <c r="B16" s="71" t="s">
        <v>333</v>
      </c>
      <c r="C16" s="71" t="s">
        <v>334</v>
      </c>
      <c r="D16" s="60"/>
      <c r="E16" s="60"/>
    </row>
    <row r="17" spans="1:5" x14ac:dyDescent="0.25">
      <c r="A17" s="71" t="s">
        <v>81</v>
      </c>
      <c r="B17" s="71" t="s">
        <v>333</v>
      </c>
      <c r="C17" s="71" t="s">
        <v>382</v>
      </c>
      <c r="D17" s="60"/>
      <c r="E17" s="60"/>
    </row>
    <row r="18" spans="1:5" x14ac:dyDescent="0.25">
      <c r="A18" s="71" t="s">
        <v>418</v>
      </c>
      <c r="B18" s="71" t="s">
        <v>333</v>
      </c>
      <c r="C18" s="71" t="s">
        <v>419</v>
      </c>
      <c r="D18" s="60"/>
      <c r="E18" s="60"/>
    </row>
    <row r="19" spans="1:5" ht="25" x14ac:dyDescent="0.25">
      <c r="A19" s="71" t="s">
        <v>84</v>
      </c>
      <c r="B19" s="71" t="s">
        <v>333</v>
      </c>
      <c r="C19" s="72" t="s">
        <v>413</v>
      </c>
      <c r="D19" s="60"/>
      <c r="E19" s="60"/>
    </row>
    <row r="20" spans="1:5" x14ac:dyDescent="0.25">
      <c r="A20" s="71" t="s">
        <v>326</v>
      </c>
      <c r="B20" s="71" t="s">
        <v>25</v>
      </c>
      <c r="C20" s="72" t="s">
        <v>327</v>
      </c>
      <c r="D20" s="60"/>
      <c r="E20" s="60"/>
    </row>
    <row r="21" spans="1:5" ht="25" x14ac:dyDescent="0.25">
      <c r="A21" s="71" t="s">
        <v>380</v>
      </c>
      <c r="B21" s="71" t="s">
        <v>25</v>
      </c>
      <c r="C21" s="72" t="s">
        <v>381</v>
      </c>
      <c r="D21" s="60"/>
      <c r="E21" s="60"/>
    </row>
    <row r="22" spans="1:5" ht="25" x14ac:dyDescent="0.25">
      <c r="A22" s="72" t="s">
        <v>383</v>
      </c>
      <c r="B22" s="71" t="s">
        <v>25</v>
      </c>
      <c r="C22" s="72" t="s">
        <v>384</v>
      </c>
      <c r="D22" s="60"/>
      <c r="E22" s="60"/>
    </row>
    <row r="23" spans="1:5" x14ac:dyDescent="0.25">
      <c r="A23" s="71" t="s">
        <v>329</v>
      </c>
      <c r="B23" s="71" t="s">
        <v>328</v>
      </c>
      <c r="C23" s="71" t="s">
        <v>330</v>
      </c>
      <c r="D23" s="60"/>
      <c r="E23" s="60"/>
    </row>
    <row r="24" spans="1:5" ht="13" x14ac:dyDescent="0.25">
      <c r="A24" s="71"/>
      <c r="B24" s="71" t="s">
        <v>402</v>
      </c>
      <c r="C24" s="71" t="s">
        <v>403</v>
      </c>
      <c r="D24" s="60"/>
      <c r="E24" s="60"/>
    </row>
    <row r="25" spans="1:5" x14ac:dyDescent="0.25">
      <c r="A25" s="71"/>
      <c r="B25" s="71" t="s">
        <v>194</v>
      </c>
      <c r="C25" s="71" t="s">
        <v>415</v>
      </c>
      <c r="D25" s="60"/>
      <c r="E25" s="60"/>
    </row>
    <row r="26" spans="1:5" x14ac:dyDescent="0.25">
      <c r="A26" s="71" t="s">
        <v>338</v>
      </c>
      <c r="B26" s="71" t="s">
        <v>244</v>
      </c>
      <c r="C26" s="71" t="s">
        <v>339</v>
      </c>
      <c r="D26" s="60"/>
      <c r="E26" s="60"/>
    </row>
    <row r="27" spans="1:5" x14ac:dyDescent="0.25">
      <c r="A27" s="71"/>
      <c r="B27" s="71" t="s">
        <v>244</v>
      </c>
      <c r="C27" s="71" t="s">
        <v>409</v>
      </c>
      <c r="D27" s="60"/>
      <c r="E27" s="60"/>
    </row>
    <row r="28" spans="1:5" x14ac:dyDescent="0.25">
      <c r="A28" s="71" t="s">
        <v>361</v>
      </c>
      <c r="B28" s="71" t="s">
        <v>100</v>
      </c>
      <c r="C28" s="71" t="s">
        <v>362</v>
      </c>
      <c r="D28" s="60"/>
      <c r="E28" s="60"/>
    </row>
    <row r="29" spans="1:5" ht="25.5" x14ac:dyDescent="0.25">
      <c r="A29" s="71" t="s">
        <v>378</v>
      </c>
      <c r="B29" s="71" t="s">
        <v>100</v>
      </c>
      <c r="C29" s="72" t="s">
        <v>379</v>
      </c>
      <c r="D29" s="60"/>
      <c r="E29" s="60"/>
    </row>
    <row r="30" spans="1:5" x14ac:dyDescent="0.25">
      <c r="A30" s="71" t="s">
        <v>422</v>
      </c>
      <c r="B30" s="71" t="s">
        <v>100</v>
      </c>
      <c r="C30" s="72" t="s">
        <v>423</v>
      </c>
      <c r="D30" s="60"/>
      <c r="E30" s="60"/>
    </row>
    <row r="31" spans="1:5" x14ac:dyDescent="0.25">
      <c r="A31" s="71" t="s">
        <v>343</v>
      </c>
      <c r="B31" s="71" t="s">
        <v>319</v>
      </c>
      <c r="C31" s="71" t="s">
        <v>344</v>
      </c>
      <c r="D31" s="60"/>
      <c r="E31" s="60"/>
    </row>
    <row r="32" spans="1:5" x14ac:dyDescent="0.25">
      <c r="A32" s="71" t="s">
        <v>331</v>
      </c>
      <c r="B32" s="71" t="s">
        <v>58</v>
      </c>
      <c r="C32" s="72" t="s">
        <v>395</v>
      </c>
      <c r="D32" s="60"/>
      <c r="E32" s="60"/>
    </row>
    <row r="33" spans="1:5" x14ac:dyDescent="0.25">
      <c r="A33" s="71"/>
      <c r="B33" s="71" t="s">
        <v>58</v>
      </c>
      <c r="C33" s="72" t="s">
        <v>387</v>
      </c>
      <c r="D33" s="60"/>
      <c r="E33" s="60"/>
    </row>
    <row r="34" spans="1:5" x14ac:dyDescent="0.25">
      <c r="A34" s="71"/>
      <c r="B34" s="71" t="s">
        <v>58</v>
      </c>
      <c r="C34" s="73" t="s">
        <v>394</v>
      </c>
      <c r="D34" s="60"/>
      <c r="E34" s="60"/>
    </row>
    <row r="35" spans="1:5" x14ac:dyDescent="0.25">
      <c r="A35" s="71"/>
      <c r="B35" s="71" t="s">
        <v>58</v>
      </c>
      <c r="C35" s="72" t="s">
        <v>388</v>
      </c>
      <c r="D35" s="60"/>
      <c r="E35" s="60"/>
    </row>
    <row r="36" spans="1:5" x14ac:dyDescent="0.25">
      <c r="A36" s="71"/>
      <c r="B36" s="71" t="s">
        <v>58</v>
      </c>
      <c r="C36" s="72" t="s">
        <v>389</v>
      </c>
      <c r="D36" s="60"/>
      <c r="E36" s="60"/>
    </row>
    <row r="37" spans="1:5" x14ac:dyDescent="0.25">
      <c r="A37" s="71"/>
      <c r="B37" s="71" t="s">
        <v>58</v>
      </c>
      <c r="C37" s="72" t="s">
        <v>416</v>
      </c>
      <c r="D37" s="60"/>
      <c r="E37" s="60"/>
    </row>
    <row r="38" spans="1:5" x14ac:dyDescent="0.25">
      <c r="A38" s="71"/>
      <c r="B38" s="71" t="s">
        <v>58</v>
      </c>
      <c r="C38" s="72" t="s">
        <v>390</v>
      </c>
      <c r="D38" s="60"/>
      <c r="E38" s="60"/>
    </row>
    <row r="39" spans="1:5" x14ac:dyDescent="0.25">
      <c r="A39" s="71"/>
      <c r="B39" s="71" t="s">
        <v>58</v>
      </c>
      <c r="C39" s="72" t="s">
        <v>391</v>
      </c>
      <c r="D39" s="60"/>
      <c r="E39" s="60"/>
    </row>
    <row r="40" spans="1:5" x14ac:dyDescent="0.25">
      <c r="A40" s="71"/>
      <c r="B40" s="71" t="s">
        <v>58</v>
      </c>
      <c r="C40" s="72" t="s">
        <v>392</v>
      </c>
      <c r="D40" s="60"/>
      <c r="E40" s="60"/>
    </row>
    <row r="41" spans="1:5" x14ac:dyDescent="0.25">
      <c r="A41" s="71"/>
      <c r="B41" s="71" t="s">
        <v>58</v>
      </c>
      <c r="C41" s="72" t="s">
        <v>393</v>
      </c>
      <c r="D41" s="60"/>
      <c r="E41" s="60"/>
    </row>
    <row r="42" spans="1:5" ht="25.5" x14ac:dyDescent="0.25">
      <c r="A42" s="71"/>
      <c r="B42" s="71" t="s">
        <v>58</v>
      </c>
      <c r="C42" s="72" t="s">
        <v>406</v>
      </c>
      <c r="D42" s="60"/>
      <c r="E42" s="60"/>
    </row>
    <row r="43" spans="1:5" ht="26" x14ac:dyDescent="0.25">
      <c r="A43" s="71"/>
      <c r="B43" s="71" t="s">
        <v>58</v>
      </c>
      <c r="C43" s="72" t="s">
        <v>411</v>
      </c>
      <c r="D43" s="60"/>
      <c r="E43" s="60"/>
    </row>
    <row r="44" spans="1:5" x14ac:dyDescent="0.25">
      <c r="A44" s="71"/>
      <c r="B44" s="71" t="s">
        <v>58</v>
      </c>
      <c r="C44" s="72" t="s">
        <v>412</v>
      </c>
      <c r="D44" s="60"/>
      <c r="E44" s="60"/>
    </row>
    <row r="45" spans="1:5" x14ac:dyDescent="0.25">
      <c r="A45" s="71"/>
      <c r="B45" s="71" t="s">
        <v>58</v>
      </c>
      <c r="C45" s="72" t="s">
        <v>414</v>
      </c>
      <c r="D45" s="60"/>
      <c r="E45" s="60"/>
    </row>
    <row r="46" spans="1:5" x14ac:dyDescent="0.25">
      <c r="A46" s="71"/>
      <c r="B46" s="71" t="s">
        <v>58</v>
      </c>
      <c r="C46" s="72" t="s">
        <v>417</v>
      </c>
      <c r="D46" s="60"/>
      <c r="E46" s="60"/>
    </row>
  </sheetData>
  <autoFilter ref="A4:E44" xr:uid="{00000000-0009-0000-0000-000003000000}"/>
  <mergeCells count="1">
    <mergeCell ref="A1:E1"/>
  </mergeCells>
  <dataValidations count="1">
    <dataValidation type="list" allowBlank="1" showInputMessage="1" showErrorMessage="1" sqref="D5:D46" xr:uid="{00000000-0002-0000-0300-000000000000}">
      <formula1>"OK, KO, N/A"</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B5B59-269F-4DAB-8570-EC2A9F6D6E06}">
  <sheetPr codeName="Sheet15">
    <pageSetUpPr fitToPage="1"/>
  </sheetPr>
  <dimension ref="A1:L19"/>
  <sheetViews>
    <sheetView zoomScale="95" workbookViewId="0">
      <selection activeCell="A3" sqref="A3"/>
    </sheetView>
  </sheetViews>
  <sheetFormatPr defaultRowHeight="12.5" x14ac:dyDescent="0.25"/>
  <cols>
    <col min="1" max="1" width="37.453125" style="106" customWidth="1"/>
    <col min="2" max="2" width="36.90625" style="106" bestFit="1" customWidth="1"/>
    <col min="3" max="3" width="47.7265625" style="106" customWidth="1"/>
    <col min="4" max="4" width="19.6328125" style="106" bestFit="1" customWidth="1"/>
    <col min="5" max="5" width="13.08984375" style="106" bestFit="1" customWidth="1"/>
    <col min="6" max="6" width="11.6328125" style="106" bestFit="1" customWidth="1"/>
    <col min="7" max="7" width="51.54296875" style="106" bestFit="1" customWidth="1"/>
    <col min="8" max="8" width="28" style="106" bestFit="1" customWidth="1"/>
    <col min="9" max="9" width="8.7265625" style="106"/>
    <col min="10" max="10" width="10.54296875" style="106" bestFit="1" customWidth="1"/>
    <col min="11" max="12" width="8.7265625" style="106"/>
    <col min="13" max="13" width="7.54296875" style="106" bestFit="1" customWidth="1"/>
    <col min="14" max="15" width="10.54296875" style="106" bestFit="1" customWidth="1"/>
    <col min="16" max="16384" width="8.7265625" style="106"/>
  </cols>
  <sheetData>
    <row r="1" spans="1:12" ht="18" x14ac:dyDescent="0.4">
      <c r="A1" s="103" t="s">
        <v>28</v>
      </c>
      <c r="B1" s="104"/>
      <c r="C1" s="104"/>
      <c r="D1" s="104"/>
      <c r="E1" s="104"/>
      <c r="F1" s="104"/>
      <c r="G1" s="104"/>
      <c r="H1" s="104"/>
      <c r="I1" s="104"/>
      <c r="J1" s="104"/>
      <c r="K1" s="104"/>
      <c r="L1" s="104"/>
    </row>
    <row r="2" spans="1:12" ht="18.5" thickBot="1" x14ac:dyDescent="0.45">
      <c r="A2" s="103"/>
      <c r="B2" s="104"/>
      <c r="C2" s="104"/>
      <c r="D2" s="104"/>
      <c r="E2" s="104"/>
      <c r="F2" s="104"/>
      <c r="G2" s="104"/>
      <c r="H2" s="104"/>
      <c r="I2" s="104"/>
      <c r="J2" s="104"/>
      <c r="K2" s="104"/>
      <c r="L2" s="104"/>
    </row>
    <row r="3" spans="1:12" x14ac:dyDescent="0.25">
      <c r="A3" s="108" t="s">
        <v>63</v>
      </c>
      <c r="B3" s="109" t="s">
        <v>64</v>
      </c>
      <c r="C3" s="104"/>
      <c r="D3" s="104"/>
      <c r="E3" s="104"/>
      <c r="F3" s="104"/>
      <c r="G3" s="104"/>
      <c r="H3" s="104"/>
      <c r="I3" s="104"/>
      <c r="J3" s="104"/>
      <c r="K3" s="104"/>
      <c r="L3" s="104"/>
    </row>
    <row r="4" spans="1:12" ht="13" thickBot="1" x14ac:dyDescent="0.3">
      <c r="A4" s="110"/>
      <c r="B4" s="111"/>
      <c r="C4" s="104"/>
      <c r="D4" s="104"/>
      <c r="E4" s="104"/>
      <c r="F4" s="104"/>
      <c r="G4" s="104"/>
      <c r="H4" s="104"/>
      <c r="I4" s="104"/>
      <c r="J4" s="104"/>
      <c r="K4" s="104"/>
      <c r="L4" s="105"/>
    </row>
    <row r="5" spans="1:12" x14ac:dyDescent="0.25">
      <c r="A5" s="104"/>
      <c r="B5" s="104"/>
      <c r="C5" s="104"/>
      <c r="D5" s="104"/>
      <c r="E5" s="104"/>
      <c r="F5" s="104"/>
      <c r="G5" s="104"/>
      <c r="H5" s="104"/>
      <c r="I5" s="104"/>
      <c r="J5" s="104"/>
      <c r="K5" s="104"/>
      <c r="L5" s="104"/>
    </row>
    <row r="6" spans="1:12" ht="15" customHeight="1" thickBot="1" x14ac:dyDescent="0.4">
      <c r="A6" s="112" t="s">
        <v>25</v>
      </c>
      <c r="B6" s="104"/>
      <c r="C6" s="104"/>
      <c r="D6" s="104"/>
      <c r="E6" s="104"/>
      <c r="F6" s="104"/>
      <c r="G6" s="104"/>
      <c r="H6" s="104"/>
      <c r="I6" s="104"/>
      <c r="J6" s="104"/>
      <c r="K6" s="104"/>
      <c r="L6" s="104"/>
    </row>
    <row r="7" spans="1:12" ht="13" thickBot="1" x14ac:dyDescent="0.3">
      <c r="A7" s="180" t="s">
        <v>10</v>
      </c>
      <c r="B7" s="180" t="s">
        <v>36</v>
      </c>
      <c r="C7" s="180" t="s">
        <v>140</v>
      </c>
      <c r="D7" s="180" t="s">
        <v>139</v>
      </c>
      <c r="E7" s="180" t="s">
        <v>37</v>
      </c>
      <c r="F7" s="180" t="s">
        <v>38</v>
      </c>
      <c r="G7" s="180" t="s">
        <v>39</v>
      </c>
      <c r="H7" s="180" t="s">
        <v>141</v>
      </c>
      <c r="I7" s="180" t="s">
        <v>75</v>
      </c>
      <c r="J7" s="180" t="s">
        <v>29</v>
      </c>
    </row>
    <row r="8" spans="1:12" ht="15.75" customHeight="1" x14ac:dyDescent="0.25">
      <c r="A8" s="161"/>
      <c r="B8" s="179"/>
      <c r="C8" s="160"/>
      <c r="D8" s="179"/>
      <c r="E8" s="160"/>
      <c r="F8" s="179"/>
      <c r="G8" s="160"/>
      <c r="H8" s="160"/>
      <c r="I8" s="160"/>
      <c r="J8" s="159"/>
    </row>
    <row r="9" spans="1:12" ht="15.75" customHeight="1" thickBot="1" x14ac:dyDescent="0.3">
      <c r="A9" s="158"/>
      <c r="B9" s="157"/>
      <c r="C9" s="157"/>
      <c r="D9" s="157"/>
      <c r="E9" s="157"/>
      <c r="F9" s="157"/>
      <c r="G9" s="157"/>
      <c r="H9" s="157"/>
      <c r="I9" s="157"/>
      <c r="J9" s="156"/>
    </row>
    <row r="10" spans="1:12" ht="13" x14ac:dyDescent="0.3">
      <c r="A10" s="182"/>
      <c r="B10" s="181"/>
      <c r="C10" s="104"/>
      <c r="D10" s="104"/>
      <c r="E10" s="104"/>
      <c r="F10" s="104"/>
      <c r="G10" s="104"/>
      <c r="H10" s="104"/>
      <c r="I10" s="104"/>
      <c r="J10" s="104"/>
    </row>
    <row r="11" spans="1:12" ht="15" customHeight="1" thickBot="1" x14ac:dyDescent="0.4">
      <c r="A11" s="112" t="s">
        <v>345</v>
      </c>
      <c r="B11" s="104"/>
      <c r="C11" s="104"/>
      <c r="D11" s="104"/>
      <c r="E11" s="104"/>
    </row>
    <row r="12" spans="1:12" ht="13" thickBot="1" x14ac:dyDescent="0.3">
      <c r="A12" s="180" t="s">
        <v>358</v>
      </c>
      <c r="B12" s="149" t="s">
        <v>10</v>
      </c>
      <c r="C12" s="149" t="s">
        <v>346</v>
      </c>
      <c r="D12" s="149" t="s">
        <v>347</v>
      </c>
      <c r="E12" s="149" t="s">
        <v>75</v>
      </c>
      <c r="F12" s="148" t="s">
        <v>29</v>
      </c>
    </row>
    <row r="13" spans="1:12" x14ac:dyDescent="0.25">
      <c r="A13" s="183" t="s">
        <v>542</v>
      </c>
      <c r="B13" s="183" t="s">
        <v>544</v>
      </c>
      <c r="C13" s="183" t="s">
        <v>543</v>
      </c>
      <c r="D13" s="152"/>
      <c r="E13" s="152"/>
      <c r="F13" s="152"/>
    </row>
    <row r="14" spans="1:12" x14ac:dyDescent="0.25">
      <c r="A14" s="183" t="s">
        <v>541</v>
      </c>
      <c r="B14" s="183" t="s">
        <v>544</v>
      </c>
      <c r="C14" s="183" t="s">
        <v>543</v>
      </c>
      <c r="D14" s="152"/>
      <c r="E14" s="152"/>
      <c r="F14" s="152"/>
    </row>
    <row r="15" spans="1:12" ht="15.75" customHeight="1" x14ac:dyDescent="0.25">
      <c r="A15" s="133"/>
      <c r="B15" s="133"/>
      <c r="C15" s="133"/>
      <c r="D15" s="133"/>
      <c r="E15" s="133"/>
      <c r="F15" s="133"/>
    </row>
    <row r="16" spans="1:12" ht="15" customHeight="1" thickBot="1" x14ac:dyDescent="0.4">
      <c r="A16" s="112" t="s">
        <v>142</v>
      </c>
      <c r="B16" s="104"/>
      <c r="C16" s="104"/>
      <c r="D16" s="104"/>
      <c r="E16" s="104"/>
      <c r="F16" s="104"/>
    </row>
    <row r="17" spans="1:7" x14ac:dyDescent="0.25">
      <c r="A17" s="166" t="s">
        <v>358</v>
      </c>
      <c r="B17" s="193" t="s">
        <v>10</v>
      </c>
      <c r="C17" s="193" t="s">
        <v>30</v>
      </c>
      <c r="D17" s="193" t="s">
        <v>143</v>
      </c>
      <c r="E17" s="193" t="s">
        <v>144</v>
      </c>
      <c r="F17" s="193" t="s">
        <v>75</v>
      </c>
      <c r="G17" s="300" t="s">
        <v>29</v>
      </c>
    </row>
    <row r="18" spans="1:7" ht="14.5" x14ac:dyDescent="0.35">
      <c r="A18" s="301" t="s">
        <v>542</v>
      </c>
      <c r="B18" s="302" t="s">
        <v>528</v>
      </c>
      <c r="C18" s="302" t="s">
        <v>528</v>
      </c>
      <c r="D18" s="302">
        <v>3</v>
      </c>
      <c r="E18" s="302" t="s">
        <v>540</v>
      </c>
      <c r="F18" s="302"/>
      <c r="G18" s="303" t="s">
        <v>665</v>
      </c>
    </row>
    <row r="19" spans="1:7" ht="15" thickBot="1" x14ac:dyDescent="0.4">
      <c r="A19" s="304" t="s">
        <v>541</v>
      </c>
      <c r="B19" s="305" t="s">
        <v>528</v>
      </c>
      <c r="C19" s="305" t="s">
        <v>528</v>
      </c>
      <c r="D19" s="305">
        <v>3</v>
      </c>
      <c r="E19" s="305" t="s">
        <v>540</v>
      </c>
      <c r="F19" s="305"/>
      <c r="G19" s="306" t="s">
        <v>665</v>
      </c>
    </row>
  </sheetData>
  <pageMargins left="0.75" right="0.75" top="1" bottom="1" header="0.5" footer="0.5"/>
  <pageSetup paperSize="9" orientation="landscape" horizontalDpi="4294967294"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3103A-8E9B-4AB7-9D02-258DE9679779}">
  <sheetPr codeName="Sheet23">
    <pageSetUpPr fitToPage="1"/>
  </sheetPr>
  <dimension ref="A1:AA86"/>
  <sheetViews>
    <sheetView zoomScale="85" workbookViewId="0">
      <selection activeCell="A3" sqref="A3"/>
    </sheetView>
  </sheetViews>
  <sheetFormatPr defaultColWidth="7.90625" defaultRowHeight="12.5" x14ac:dyDescent="0.25"/>
  <cols>
    <col min="1" max="1" width="38.453125" style="133" customWidth="1"/>
    <col min="2" max="2" width="38" style="106" bestFit="1" customWidth="1"/>
    <col min="3" max="3" width="23.08984375" style="106" bestFit="1" customWidth="1"/>
    <col min="4" max="4" width="35.1796875" style="106" bestFit="1" customWidth="1"/>
    <col min="5" max="5" width="26.54296875" style="106" bestFit="1" customWidth="1"/>
    <col min="6" max="6" width="34.453125" style="106" bestFit="1" customWidth="1"/>
    <col min="7" max="7" width="60.54296875" style="106" bestFit="1" customWidth="1"/>
    <col min="8" max="8" width="33.7265625" style="106" bestFit="1" customWidth="1"/>
    <col min="9" max="9" width="60.81640625" style="106" bestFit="1" customWidth="1"/>
    <col min="10" max="10" width="13.453125" style="106" bestFit="1" customWidth="1"/>
    <col min="11" max="11" width="18.36328125" style="106" bestFit="1" customWidth="1"/>
    <col min="12" max="12" width="19.36328125" style="125" bestFit="1" customWidth="1"/>
    <col min="13" max="13" width="32.26953125" style="125" bestFit="1" customWidth="1"/>
    <col min="14" max="14" width="34.90625" style="125" bestFit="1" customWidth="1"/>
    <col min="15" max="15" width="126.08984375" style="125" bestFit="1" customWidth="1"/>
    <col min="16" max="16" width="12.36328125" style="106" bestFit="1" customWidth="1"/>
    <col min="17" max="17" width="14.08984375" style="125" customWidth="1"/>
    <col min="18" max="18" width="12.90625" style="125" customWidth="1"/>
    <col min="19" max="19" width="13.54296875" style="125" customWidth="1"/>
    <col min="20" max="20" width="31.36328125" style="106" customWidth="1"/>
    <col min="21" max="21" width="30" style="106" bestFit="1" customWidth="1"/>
    <col min="22" max="22" width="24.36328125" style="106" customWidth="1"/>
    <col min="23" max="23" width="55.26953125" style="106" bestFit="1" customWidth="1"/>
    <col min="24" max="24" width="10" style="106" bestFit="1" customWidth="1"/>
    <col min="25" max="25" width="13.54296875" style="106" bestFit="1" customWidth="1"/>
    <col min="26" max="26" width="5.36328125" style="106" bestFit="1" customWidth="1"/>
    <col min="27" max="27" width="11.36328125" style="106" bestFit="1" customWidth="1"/>
    <col min="28" max="28" width="8.6328125" style="106" bestFit="1" customWidth="1"/>
    <col min="29" max="29" width="11.08984375" style="106" bestFit="1" customWidth="1"/>
    <col min="30" max="30" width="9.6328125" style="106" bestFit="1" customWidth="1"/>
    <col min="31" max="31" width="27.08984375" style="106" bestFit="1" customWidth="1"/>
    <col min="32" max="32" width="7.90625" style="106" bestFit="1" customWidth="1"/>
    <col min="33" max="33" width="25.54296875" style="106" bestFit="1" customWidth="1"/>
    <col min="34" max="34" width="12.36328125" style="106" bestFit="1" customWidth="1"/>
    <col min="35" max="35" width="13.54296875" style="106" bestFit="1" customWidth="1"/>
    <col min="36" max="36" width="31.36328125" style="106" bestFit="1" customWidth="1"/>
    <col min="37" max="37" width="28.36328125" style="106" bestFit="1" customWidth="1"/>
    <col min="38" max="38" width="12.90625" style="106" bestFit="1" customWidth="1"/>
    <col min="39" max="39" width="11.36328125" style="106" bestFit="1" customWidth="1"/>
    <col min="40" max="40" width="29.36328125" style="106" bestFit="1" customWidth="1"/>
    <col min="41" max="41" width="7.453125" style="106" bestFit="1" customWidth="1"/>
    <col min="42" max="42" width="10" style="106" bestFit="1" customWidth="1"/>
    <col min="43" max="43" width="18.6328125" style="106" bestFit="1" customWidth="1"/>
    <col min="44" max="44" width="36.453125" style="106" bestFit="1" customWidth="1"/>
    <col min="45" max="46" width="8.54296875" style="106" customWidth="1"/>
    <col min="47" max="16384" width="7.90625" style="106"/>
  </cols>
  <sheetData>
    <row r="1" spans="1:27" ht="18" x14ac:dyDescent="0.4">
      <c r="A1" s="103" t="s">
        <v>34</v>
      </c>
      <c r="B1" s="104"/>
      <c r="C1" s="104"/>
      <c r="D1" s="104"/>
      <c r="E1" s="104"/>
      <c r="F1" s="104"/>
      <c r="G1" s="104"/>
      <c r="H1" s="104"/>
      <c r="I1" s="104"/>
      <c r="J1" s="104"/>
      <c r="K1" s="104"/>
      <c r="L1" s="105"/>
      <c r="M1" s="105"/>
      <c r="N1" s="105"/>
      <c r="O1" s="105"/>
      <c r="P1" s="104"/>
      <c r="Q1" s="105"/>
      <c r="R1" s="105"/>
      <c r="S1" s="105"/>
      <c r="T1" s="104"/>
      <c r="U1" s="104"/>
      <c r="V1" s="104"/>
      <c r="W1" s="104"/>
      <c r="X1" s="104"/>
      <c r="Y1" s="104"/>
      <c r="Z1" s="104"/>
      <c r="AA1" s="104"/>
    </row>
    <row r="2" spans="1:27" ht="13" thickBot="1" x14ac:dyDescent="0.3">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row>
    <row r="3" spans="1:27" x14ac:dyDescent="0.25">
      <c r="A3" s="108" t="s">
        <v>63</v>
      </c>
      <c r="B3" s="109" t="s">
        <v>64</v>
      </c>
      <c r="C3" s="104"/>
      <c r="D3" s="104"/>
      <c r="E3" s="104"/>
      <c r="F3" s="104"/>
      <c r="G3" s="104"/>
      <c r="H3" s="104"/>
      <c r="I3" s="104"/>
      <c r="J3" s="104"/>
      <c r="K3" s="104"/>
      <c r="L3" s="104"/>
      <c r="M3" s="104"/>
      <c r="N3" s="104"/>
      <c r="O3" s="104"/>
      <c r="P3" s="104"/>
      <c r="Q3" s="104"/>
      <c r="R3" s="104"/>
      <c r="S3" s="104"/>
      <c r="T3" s="104"/>
      <c r="U3" s="104"/>
      <c r="V3" s="104"/>
      <c r="W3" s="104"/>
      <c r="X3" s="104"/>
    </row>
    <row r="4" spans="1:27" ht="13" thickBot="1" x14ac:dyDescent="0.3">
      <c r="A4" s="110"/>
      <c r="B4" s="111"/>
      <c r="C4" s="104"/>
      <c r="D4" s="104"/>
      <c r="E4" s="104"/>
      <c r="F4" s="104"/>
      <c r="G4" s="104"/>
      <c r="H4" s="104"/>
      <c r="I4" s="104"/>
      <c r="J4" s="104"/>
      <c r="K4" s="104"/>
      <c r="L4" s="105"/>
      <c r="M4" s="105"/>
      <c r="N4" s="105"/>
      <c r="O4" s="105"/>
      <c r="P4" s="104"/>
      <c r="Q4" s="105"/>
      <c r="R4" s="105"/>
      <c r="S4" s="105"/>
      <c r="T4" s="104"/>
      <c r="U4" s="104"/>
      <c r="V4" s="104"/>
      <c r="W4" s="104"/>
      <c r="X4" s="104"/>
    </row>
    <row r="5" spans="1:27" ht="15.5" x14ac:dyDescent="0.35">
      <c r="A5" s="112" t="s">
        <v>30</v>
      </c>
      <c r="B5" s="104"/>
      <c r="C5" s="104"/>
      <c r="D5" s="104"/>
      <c r="E5" s="104"/>
      <c r="F5" s="104"/>
      <c r="G5" s="104"/>
      <c r="H5" s="104"/>
      <c r="I5" s="104"/>
      <c r="J5" s="105"/>
      <c r="K5" s="105"/>
      <c r="L5" s="105"/>
      <c r="M5" s="105"/>
      <c r="N5" s="104"/>
      <c r="O5" s="105"/>
      <c r="P5" s="105"/>
      <c r="Q5" s="105"/>
      <c r="R5" s="104"/>
      <c r="S5" s="104"/>
      <c r="T5" s="104"/>
      <c r="U5" s="104"/>
      <c r="V5" s="104"/>
      <c r="W5" s="104"/>
      <c r="X5" s="104"/>
    </row>
    <row r="6" spans="1:27" x14ac:dyDescent="0.25">
      <c r="A6" s="307" t="s">
        <v>10</v>
      </c>
      <c r="B6" s="308" t="s">
        <v>60</v>
      </c>
      <c r="C6" s="308" t="s">
        <v>145</v>
      </c>
      <c r="D6" s="308" t="s">
        <v>146</v>
      </c>
      <c r="E6" s="308" t="s">
        <v>56</v>
      </c>
      <c r="F6" s="308" t="s">
        <v>325</v>
      </c>
      <c r="G6" s="308" t="s">
        <v>348</v>
      </c>
      <c r="H6" s="308" t="s">
        <v>349</v>
      </c>
      <c r="I6" s="308" t="s">
        <v>113</v>
      </c>
      <c r="J6" s="308" t="s">
        <v>112</v>
      </c>
      <c r="K6" s="308" t="s">
        <v>114</v>
      </c>
      <c r="L6" s="308" t="s">
        <v>350</v>
      </c>
      <c r="M6" s="308" t="s">
        <v>202</v>
      </c>
      <c r="N6" s="308" t="s">
        <v>75</v>
      </c>
      <c r="O6" s="309" t="s">
        <v>29</v>
      </c>
      <c r="Q6" s="106"/>
      <c r="R6" s="106"/>
      <c r="S6" s="106"/>
    </row>
    <row r="7" spans="1:27" ht="13" thickBot="1" x14ac:dyDescent="0.3">
      <c r="A7" s="310" t="s">
        <v>528</v>
      </c>
      <c r="B7" s="353" t="s">
        <v>450</v>
      </c>
      <c r="C7" s="305" t="s">
        <v>570</v>
      </c>
      <c r="D7" s="305" t="s">
        <v>571</v>
      </c>
      <c r="E7" s="305" t="s">
        <v>524</v>
      </c>
      <c r="F7" s="353" t="s">
        <v>572</v>
      </c>
      <c r="G7" s="305"/>
      <c r="H7" s="305"/>
      <c r="I7" s="305"/>
      <c r="J7" s="305"/>
      <c r="K7" s="353"/>
      <c r="L7" s="305"/>
      <c r="M7" s="305" t="s">
        <v>573</v>
      </c>
      <c r="N7" s="311"/>
      <c r="O7" s="312" t="s">
        <v>527</v>
      </c>
      <c r="Q7" s="106"/>
      <c r="R7" s="106"/>
      <c r="S7" s="106"/>
    </row>
    <row r="8" spans="1:27" x14ac:dyDescent="0.25">
      <c r="A8" s="107"/>
      <c r="B8" s="104"/>
      <c r="C8" s="104"/>
      <c r="D8" s="104"/>
      <c r="E8" s="104"/>
      <c r="F8" s="104"/>
      <c r="G8" s="104"/>
      <c r="H8" s="104"/>
      <c r="I8" s="104"/>
      <c r="J8" s="104"/>
      <c r="K8" s="104"/>
      <c r="L8" s="105"/>
      <c r="M8" s="105"/>
      <c r="N8" s="105"/>
      <c r="O8" s="105"/>
      <c r="Q8" s="106"/>
      <c r="R8" s="106"/>
      <c r="S8" s="106"/>
    </row>
    <row r="9" spans="1:27" ht="16" thickBot="1" x14ac:dyDescent="0.4">
      <c r="A9" s="112" t="s">
        <v>147</v>
      </c>
      <c r="B9" s="104"/>
      <c r="C9" s="104"/>
      <c r="D9" s="104"/>
      <c r="E9" s="104"/>
      <c r="L9" s="106"/>
      <c r="M9" s="106"/>
      <c r="N9" s="106"/>
      <c r="O9" s="106"/>
      <c r="Q9" s="106"/>
      <c r="R9" s="106"/>
      <c r="S9" s="106"/>
    </row>
    <row r="10" spans="1:27" ht="13" thickBot="1" x14ac:dyDescent="0.3">
      <c r="A10" s="151" t="s">
        <v>357</v>
      </c>
      <c r="B10" s="149" t="s">
        <v>30</v>
      </c>
      <c r="C10" s="149" t="s">
        <v>148</v>
      </c>
      <c r="D10" s="149" t="s">
        <v>149</v>
      </c>
      <c r="E10" s="149" t="s">
        <v>26</v>
      </c>
      <c r="F10" s="148" t="s">
        <v>29</v>
      </c>
      <c r="L10" s="106"/>
      <c r="M10" s="106"/>
      <c r="N10" s="106"/>
      <c r="O10" s="106"/>
      <c r="Q10" s="106"/>
      <c r="R10" s="106"/>
      <c r="S10" s="106"/>
    </row>
    <row r="11" spans="1:27" ht="15.75" customHeight="1" x14ac:dyDescent="0.25">
      <c r="A11" s="161"/>
      <c r="B11" s="165"/>
      <c r="C11" s="164"/>
      <c r="D11" s="163"/>
      <c r="E11" s="163"/>
      <c r="F11" s="162"/>
      <c r="L11" s="106"/>
      <c r="M11" s="106"/>
      <c r="N11" s="106"/>
      <c r="O11" s="106"/>
      <c r="Q11" s="106"/>
      <c r="R11" s="106"/>
      <c r="S11" s="106"/>
    </row>
    <row r="12" spans="1:27" ht="15.75" customHeight="1" thickBot="1" x14ac:dyDescent="0.3">
      <c r="A12" s="158"/>
      <c r="B12" s="158"/>
      <c r="C12" s="157"/>
      <c r="D12" s="157"/>
      <c r="E12" s="157"/>
      <c r="F12" s="156"/>
      <c r="L12" s="106"/>
      <c r="M12" s="106"/>
      <c r="N12" s="106"/>
      <c r="O12" s="106"/>
      <c r="Q12" s="106"/>
      <c r="R12" s="106"/>
      <c r="S12" s="106"/>
    </row>
    <row r="13" spans="1:27" ht="15.75" customHeight="1" x14ac:dyDescent="0.25">
      <c r="A13" s="107"/>
      <c r="B13" s="107"/>
      <c r="C13" s="107"/>
      <c r="D13" s="107"/>
      <c r="E13" s="107"/>
      <c r="L13" s="106"/>
      <c r="M13" s="106"/>
      <c r="N13" s="106"/>
      <c r="O13" s="106"/>
      <c r="Q13" s="106"/>
      <c r="R13" s="106"/>
      <c r="S13" s="106"/>
    </row>
    <row r="14" spans="1:27" ht="16" thickBot="1" x14ac:dyDescent="0.4">
      <c r="A14" s="112" t="s">
        <v>150</v>
      </c>
      <c r="B14" s="104"/>
      <c r="C14" s="104"/>
      <c r="D14" s="104"/>
      <c r="E14" s="104"/>
      <c r="L14" s="106"/>
      <c r="M14" s="106"/>
      <c r="N14" s="106"/>
      <c r="O14" s="106"/>
      <c r="Q14" s="106"/>
      <c r="R14" s="106"/>
      <c r="S14" s="106"/>
    </row>
    <row r="15" spans="1:27" ht="13" thickBot="1" x14ac:dyDescent="0.3">
      <c r="A15" s="151" t="s">
        <v>357</v>
      </c>
      <c r="B15" s="149" t="s">
        <v>10</v>
      </c>
      <c r="C15" s="149" t="s">
        <v>93</v>
      </c>
      <c r="D15" s="149" t="s">
        <v>75</v>
      </c>
      <c r="E15" s="149" t="s">
        <v>29</v>
      </c>
      <c r="F15" s="148" t="s">
        <v>29</v>
      </c>
      <c r="L15" s="106"/>
      <c r="M15" s="106"/>
      <c r="N15" s="106"/>
      <c r="O15" s="106"/>
      <c r="Q15" s="106"/>
      <c r="R15" s="106"/>
      <c r="S15" s="106"/>
    </row>
    <row r="16" spans="1:27" ht="15.75" customHeight="1" x14ac:dyDescent="0.25">
      <c r="A16" s="161"/>
      <c r="B16" s="163"/>
      <c r="C16" s="163"/>
      <c r="D16" s="163"/>
      <c r="E16" s="163"/>
      <c r="F16" s="162"/>
      <c r="L16" s="106"/>
      <c r="M16" s="106"/>
      <c r="N16" s="106"/>
      <c r="O16" s="106"/>
      <c r="Q16" s="106"/>
      <c r="R16" s="106"/>
      <c r="S16" s="106"/>
    </row>
    <row r="17" spans="1:25" ht="15.75" customHeight="1" thickBot="1" x14ac:dyDescent="0.3">
      <c r="A17" s="158"/>
      <c r="B17" s="157"/>
      <c r="C17" s="157"/>
      <c r="D17" s="157"/>
      <c r="E17" s="157"/>
      <c r="F17" s="156"/>
      <c r="L17" s="106"/>
      <c r="M17" s="106"/>
      <c r="N17" s="106"/>
      <c r="O17" s="106"/>
      <c r="Q17" s="106"/>
      <c r="R17" s="106"/>
      <c r="S17" s="106"/>
    </row>
    <row r="18" spans="1:25" ht="15.75" customHeight="1" x14ac:dyDescent="0.35">
      <c r="A18" s="107"/>
      <c r="B18" s="107"/>
      <c r="C18" s="107"/>
      <c r="D18" s="107"/>
      <c r="E18" s="107"/>
      <c r="F18" s="107"/>
      <c r="G18" s="107"/>
      <c r="H18" s="107"/>
      <c r="I18" s="107"/>
      <c r="J18" s="107"/>
      <c r="K18" s="107"/>
      <c r="L18" s="107"/>
      <c r="M18" s="107"/>
      <c r="N18" s="107"/>
      <c r="O18" s="107"/>
      <c r="P18" s="107"/>
      <c r="Q18" s="107"/>
      <c r="R18" s="107"/>
      <c r="S18" s="107"/>
      <c r="T18" s="107"/>
      <c r="U18" s="31"/>
      <c r="V18" s="104"/>
      <c r="W18" s="104"/>
      <c r="X18" s="104"/>
    </row>
    <row r="19" spans="1:25" ht="16" thickBot="1" x14ac:dyDescent="0.4">
      <c r="A19" s="112" t="s">
        <v>151</v>
      </c>
      <c r="B19" s="104"/>
      <c r="C19" s="104"/>
      <c r="D19" s="104"/>
      <c r="E19" s="104"/>
      <c r="F19" s="104"/>
      <c r="G19" s="104"/>
      <c r="H19" s="104"/>
      <c r="I19" s="104"/>
      <c r="J19" s="105"/>
      <c r="K19" s="105"/>
      <c r="L19" s="105"/>
      <c r="M19" s="105"/>
      <c r="N19" s="104"/>
      <c r="O19" s="105"/>
      <c r="P19" s="105"/>
      <c r="Q19" s="105"/>
      <c r="R19" s="104"/>
      <c r="S19" s="104"/>
      <c r="T19" s="104"/>
      <c r="U19" s="104"/>
      <c r="V19" s="104"/>
      <c r="W19" s="104"/>
      <c r="X19" s="104"/>
    </row>
    <row r="20" spans="1:25" ht="13" thickBot="1" x14ac:dyDescent="0.3">
      <c r="A20" s="151" t="s">
        <v>357</v>
      </c>
      <c r="B20" s="149" t="s">
        <v>10</v>
      </c>
      <c r="C20" s="149" t="s">
        <v>31</v>
      </c>
      <c r="D20" s="149" t="s">
        <v>152</v>
      </c>
      <c r="E20" s="149" t="s">
        <v>154</v>
      </c>
      <c r="F20" s="149" t="s">
        <v>5</v>
      </c>
      <c r="G20" s="149" t="s">
        <v>155</v>
      </c>
      <c r="H20" s="149" t="s">
        <v>156</v>
      </c>
      <c r="I20" s="149" t="s">
        <v>157</v>
      </c>
      <c r="J20" s="149" t="s">
        <v>158</v>
      </c>
      <c r="K20" s="149" t="s">
        <v>159</v>
      </c>
      <c r="L20" s="149" t="s">
        <v>160</v>
      </c>
      <c r="M20" s="149" t="s">
        <v>2</v>
      </c>
      <c r="N20" s="149" t="s">
        <v>4</v>
      </c>
      <c r="O20" s="149" t="s">
        <v>161</v>
      </c>
      <c r="P20" s="149" t="s">
        <v>3</v>
      </c>
      <c r="Q20" s="149" t="s">
        <v>24</v>
      </c>
      <c r="R20" s="149" t="s">
        <v>162</v>
      </c>
      <c r="S20" s="149" t="s">
        <v>163</v>
      </c>
      <c r="T20" s="149" t="s">
        <v>32</v>
      </c>
      <c r="U20" s="149" t="s">
        <v>164</v>
      </c>
      <c r="V20" s="149" t="s">
        <v>165</v>
      </c>
      <c r="W20" s="149" t="s">
        <v>166</v>
      </c>
      <c r="X20" s="149" t="s">
        <v>75</v>
      </c>
      <c r="Y20" s="148" t="s">
        <v>29</v>
      </c>
    </row>
    <row r="21" spans="1:25" ht="15.75" customHeight="1" x14ac:dyDescent="0.25">
      <c r="A21" s="161"/>
      <c r="B21" s="163"/>
      <c r="C21" s="163"/>
      <c r="D21" s="163"/>
      <c r="E21" s="163"/>
      <c r="F21" s="163"/>
      <c r="G21" s="163"/>
      <c r="H21" s="163"/>
      <c r="I21" s="163"/>
      <c r="J21" s="163"/>
      <c r="K21" s="163"/>
      <c r="L21" s="163"/>
      <c r="M21" s="163"/>
      <c r="N21" s="163"/>
      <c r="O21" s="163"/>
      <c r="P21" s="163"/>
      <c r="Q21" s="163"/>
      <c r="R21" s="163"/>
      <c r="S21" s="163"/>
      <c r="T21" s="163"/>
      <c r="U21" s="163"/>
      <c r="V21" s="163"/>
      <c r="W21" s="163"/>
      <c r="X21" s="163"/>
      <c r="Y21" s="162"/>
    </row>
    <row r="22" spans="1:25" ht="15.75" customHeight="1" thickBot="1" x14ac:dyDescent="0.3">
      <c r="A22" s="158"/>
      <c r="B22" s="157"/>
      <c r="C22" s="157"/>
      <c r="D22" s="157"/>
      <c r="E22" s="157"/>
      <c r="F22" s="157"/>
      <c r="G22" s="157"/>
      <c r="H22" s="157"/>
      <c r="I22" s="157"/>
      <c r="J22" s="157"/>
      <c r="K22" s="157"/>
      <c r="L22" s="157"/>
      <c r="M22" s="157"/>
      <c r="N22" s="157"/>
      <c r="O22" s="157"/>
      <c r="P22" s="157"/>
      <c r="Q22" s="157"/>
      <c r="R22" s="157"/>
      <c r="S22" s="157"/>
      <c r="T22" s="157"/>
      <c r="U22" s="157"/>
      <c r="V22" s="157"/>
      <c r="W22" s="157"/>
      <c r="X22" s="157"/>
      <c r="Y22" s="156"/>
    </row>
    <row r="23" spans="1:25" ht="15.75" customHeight="1" x14ac:dyDescent="0.25">
      <c r="A23" s="185"/>
      <c r="B23" s="185"/>
      <c r="C23" s="185"/>
      <c r="D23" s="185"/>
      <c r="E23" s="185"/>
      <c r="F23" s="185"/>
      <c r="G23" s="185"/>
      <c r="H23" s="185"/>
      <c r="I23" s="185"/>
      <c r="J23" s="185"/>
      <c r="K23" s="185"/>
      <c r="L23" s="185"/>
      <c r="M23" s="185"/>
      <c r="N23" s="185"/>
      <c r="O23" s="185"/>
      <c r="P23" s="185"/>
      <c r="Q23" s="185"/>
      <c r="R23" s="185"/>
      <c r="S23" s="185"/>
      <c r="T23" s="185"/>
      <c r="U23" s="185"/>
      <c r="V23" s="185"/>
      <c r="W23" s="185"/>
      <c r="X23" s="185"/>
      <c r="Y23" s="185"/>
    </row>
    <row r="24" spans="1:25" ht="15.75" customHeight="1" thickBot="1" x14ac:dyDescent="0.35">
      <c r="A24" s="122" t="s">
        <v>591</v>
      </c>
      <c r="B24" s="104"/>
      <c r="C24" s="104"/>
      <c r="D24" s="104"/>
      <c r="E24" s="104"/>
      <c r="G24" s="185"/>
      <c r="H24" s="185"/>
      <c r="I24" s="185"/>
      <c r="J24" s="185"/>
      <c r="K24" s="185"/>
      <c r="L24" s="185"/>
      <c r="M24" s="185"/>
      <c r="N24" s="185"/>
      <c r="O24" s="185"/>
      <c r="P24" s="185"/>
      <c r="Q24" s="185"/>
      <c r="R24" s="185"/>
      <c r="S24" s="185"/>
      <c r="T24" s="185"/>
      <c r="U24" s="185"/>
      <c r="V24" s="185"/>
      <c r="W24" s="185"/>
      <c r="X24" s="185"/>
      <c r="Y24" s="185"/>
    </row>
    <row r="25" spans="1:25" ht="15.75" customHeight="1" x14ac:dyDescent="0.25">
      <c r="A25" s="113" t="s">
        <v>357</v>
      </c>
      <c r="B25" s="193" t="s">
        <v>182</v>
      </c>
      <c r="C25" s="193" t="s">
        <v>10</v>
      </c>
      <c r="D25" s="193" t="s">
        <v>93</v>
      </c>
      <c r="E25" s="193" t="s">
        <v>75</v>
      </c>
      <c r="F25" s="300" t="s">
        <v>29</v>
      </c>
      <c r="G25" s="185"/>
      <c r="H25" s="185"/>
      <c r="I25" s="185"/>
      <c r="J25" s="185"/>
      <c r="K25" s="185"/>
      <c r="L25" s="185"/>
      <c r="M25" s="185"/>
      <c r="N25" s="185"/>
      <c r="O25" s="185"/>
      <c r="P25" s="185"/>
      <c r="Q25" s="185"/>
      <c r="R25" s="185"/>
      <c r="S25" s="185"/>
      <c r="T25" s="185"/>
      <c r="U25" s="185"/>
      <c r="V25" s="185"/>
      <c r="W25" s="185"/>
      <c r="X25" s="185"/>
      <c r="Y25" s="185"/>
    </row>
    <row r="26" spans="1:25" ht="15.75" customHeight="1" x14ac:dyDescent="0.35">
      <c r="A26" s="313" t="s">
        <v>528</v>
      </c>
      <c r="B26" s="302" t="s">
        <v>592</v>
      </c>
      <c r="C26" s="302" t="s">
        <v>593</v>
      </c>
      <c r="D26" s="302" t="s">
        <v>544</v>
      </c>
      <c r="E26" s="302"/>
      <c r="F26" s="303" t="s">
        <v>660</v>
      </c>
      <c r="G26" s="185"/>
      <c r="H26" s="185"/>
      <c r="I26" s="185"/>
      <c r="J26" s="185"/>
      <c r="K26" s="185"/>
      <c r="L26" s="185"/>
      <c r="M26" s="185"/>
      <c r="N26" s="185"/>
      <c r="O26" s="185"/>
      <c r="P26" s="185"/>
      <c r="Q26" s="185"/>
      <c r="R26" s="185"/>
      <c r="S26" s="185"/>
      <c r="T26" s="185"/>
      <c r="U26" s="185"/>
      <c r="V26" s="185"/>
      <c r="W26" s="185"/>
      <c r="X26" s="185"/>
      <c r="Y26" s="185"/>
    </row>
    <row r="27" spans="1:25" ht="15.75" customHeight="1" thickBot="1" x14ac:dyDescent="0.4">
      <c r="A27" s="314" t="s">
        <v>528</v>
      </c>
      <c r="B27" s="305" t="s">
        <v>592</v>
      </c>
      <c r="C27" s="305" t="s">
        <v>594</v>
      </c>
      <c r="D27" s="305" t="s">
        <v>526</v>
      </c>
      <c r="E27" s="305"/>
      <c r="F27" s="306" t="s">
        <v>660</v>
      </c>
      <c r="G27" s="185"/>
      <c r="H27" s="185"/>
      <c r="I27" s="185"/>
      <c r="J27" s="185"/>
      <c r="K27" s="185"/>
      <c r="L27" s="185"/>
      <c r="M27" s="185"/>
      <c r="N27" s="185"/>
      <c r="O27" s="185"/>
      <c r="P27" s="185"/>
      <c r="Q27" s="185"/>
      <c r="R27" s="185"/>
      <c r="S27" s="185"/>
      <c r="T27" s="185"/>
      <c r="U27" s="185"/>
      <c r="V27" s="185"/>
      <c r="W27" s="185"/>
      <c r="X27" s="185"/>
      <c r="Y27" s="185"/>
    </row>
    <row r="28" spans="1:25" ht="15.75" customHeight="1" x14ac:dyDescent="0.35">
      <c r="A28" s="107"/>
      <c r="B28" s="107"/>
      <c r="C28" s="107"/>
      <c r="D28" s="107"/>
      <c r="E28" s="107"/>
      <c r="F28" s="107"/>
      <c r="G28" s="107"/>
      <c r="H28" s="107"/>
      <c r="I28" s="107"/>
      <c r="J28" s="107"/>
      <c r="K28" s="107"/>
      <c r="L28" s="107"/>
      <c r="M28" s="107"/>
      <c r="N28" s="107"/>
      <c r="O28" s="107"/>
      <c r="P28" s="107"/>
      <c r="Q28" s="107"/>
      <c r="R28" s="107"/>
      <c r="S28" s="107"/>
      <c r="T28" s="107"/>
      <c r="U28" s="31"/>
      <c r="V28" s="104"/>
      <c r="W28" s="104"/>
      <c r="X28" s="104"/>
    </row>
    <row r="29" spans="1:25" ht="14.5" thickBot="1" x14ac:dyDescent="0.35">
      <c r="A29" s="122" t="s">
        <v>180</v>
      </c>
      <c r="B29" s="104"/>
      <c r="C29" s="104"/>
      <c r="D29" s="104"/>
      <c r="E29" s="104"/>
      <c r="L29" s="106"/>
      <c r="M29" s="106"/>
      <c r="N29" s="106"/>
      <c r="O29" s="106"/>
      <c r="Q29" s="106"/>
      <c r="R29" s="106"/>
      <c r="S29" s="106"/>
    </row>
    <row r="30" spans="1:25" ht="13" thickBot="1" x14ac:dyDescent="0.3">
      <c r="A30" s="151" t="s">
        <v>357</v>
      </c>
      <c r="B30" s="149" t="s">
        <v>182</v>
      </c>
      <c r="C30" s="149" t="s">
        <v>181</v>
      </c>
      <c r="D30" s="149" t="s">
        <v>165</v>
      </c>
      <c r="E30" s="149" t="s">
        <v>75</v>
      </c>
      <c r="F30" s="148" t="s">
        <v>29</v>
      </c>
      <c r="L30" s="106"/>
      <c r="M30" s="106"/>
      <c r="N30" s="106"/>
      <c r="O30" s="106"/>
      <c r="Q30" s="106"/>
      <c r="R30" s="106"/>
      <c r="S30" s="106"/>
    </row>
    <row r="31" spans="1:25" ht="15.75" customHeight="1" x14ac:dyDescent="0.25">
      <c r="A31" s="161"/>
      <c r="B31" s="160"/>
      <c r="C31" s="160"/>
      <c r="D31" s="160"/>
      <c r="E31" s="160"/>
      <c r="F31" s="159"/>
      <c r="L31" s="106"/>
      <c r="M31" s="106"/>
      <c r="N31" s="106"/>
      <c r="O31" s="106"/>
      <c r="Q31" s="106"/>
      <c r="R31" s="106"/>
      <c r="S31" s="106"/>
    </row>
    <row r="32" spans="1:25" ht="15.75" customHeight="1" thickBot="1" x14ac:dyDescent="0.3">
      <c r="A32" s="158"/>
      <c r="B32" s="157"/>
      <c r="C32" s="157"/>
      <c r="D32" s="157"/>
      <c r="E32" s="157"/>
      <c r="F32" s="156"/>
      <c r="L32" s="106"/>
      <c r="M32" s="106"/>
      <c r="N32" s="106"/>
      <c r="O32" s="106"/>
      <c r="Q32" s="106"/>
      <c r="R32" s="106"/>
      <c r="S32" s="106"/>
    </row>
    <row r="33" spans="1:27" ht="15.75" customHeight="1" x14ac:dyDescent="0.35">
      <c r="A33" s="107"/>
      <c r="B33" s="107"/>
      <c r="C33" s="107"/>
      <c r="D33" s="107"/>
      <c r="E33" s="107"/>
      <c r="F33" s="107"/>
      <c r="G33" s="107"/>
      <c r="H33" s="107"/>
      <c r="I33" s="107"/>
      <c r="J33" s="107"/>
      <c r="K33" s="107"/>
      <c r="L33" s="107"/>
      <c r="M33" s="107"/>
      <c r="N33" s="107"/>
      <c r="O33" s="107"/>
      <c r="P33" s="107"/>
      <c r="Q33" s="107"/>
      <c r="R33" s="107"/>
      <c r="S33" s="107"/>
      <c r="T33" s="107"/>
      <c r="U33" s="31"/>
      <c r="V33" s="104"/>
      <c r="W33" s="104"/>
      <c r="X33" s="104"/>
    </row>
    <row r="34" spans="1:27" ht="16" thickBot="1" x14ac:dyDescent="0.4">
      <c r="A34" s="112" t="s">
        <v>169</v>
      </c>
      <c r="B34" s="104"/>
      <c r="C34" s="104"/>
      <c r="D34" s="104"/>
      <c r="E34" s="104"/>
      <c r="F34" s="104"/>
      <c r="G34" s="104"/>
      <c r="H34" s="104"/>
      <c r="I34" s="104"/>
      <c r="J34" s="105"/>
      <c r="K34" s="105"/>
      <c r="L34" s="105"/>
      <c r="M34" s="105"/>
      <c r="N34" s="104"/>
      <c r="O34" s="105"/>
      <c r="P34" s="105"/>
      <c r="Q34" s="105"/>
      <c r="R34" s="104"/>
      <c r="S34" s="104"/>
      <c r="T34" s="104"/>
      <c r="U34" s="104"/>
      <c r="V34" s="104"/>
      <c r="W34" s="104"/>
      <c r="X34" s="104"/>
    </row>
    <row r="35" spans="1:27" ht="13" thickBot="1" x14ac:dyDescent="0.3">
      <c r="A35" s="151" t="s">
        <v>357</v>
      </c>
      <c r="B35" s="149" t="s">
        <v>10</v>
      </c>
      <c r="C35" s="149" t="s">
        <v>167</v>
      </c>
      <c r="D35" s="149" t="s">
        <v>25</v>
      </c>
      <c r="E35" s="149" t="s">
        <v>105</v>
      </c>
      <c r="F35" s="149" t="s">
        <v>60</v>
      </c>
      <c r="G35" s="149" t="s">
        <v>168</v>
      </c>
      <c r="H35" s="149" t="s">
        <v>121</v>
      </c>
      <c r="I35" s="149" t="s">
        <v>122</v>
      </c>
      <c r="J35" s="149" t="s">
        <v>123</v>
      </c>
      <c r="K35" s="149" t="s">
        <v>26</v>
      </c>
      <c r="L35" s="149" t="s">
        <v>27</v>
      </c>
      <c r="M35" s="149" t="s">
        <v>75</v>
      </c>
      <c r="N35" s="148" t="s">
        <v>29</v>
      </c>
      <c r="O35" s="106"/>
      <c r="Q35" s="106"/>
      <c r="R35" s="106"/>
      <c r="S35" s="106"/>
    </row>
    <row r="36" spans="1:27" ht="15.75" customHeight="1" x14ac:dyDescent="0.25">
      <c r="A36" s="161"/>
      <c r="B36" s="160"/>
      <c r="C36" s="160"/>
      <c r="D36" s="160"/>
      <c r="E36" s="160"/>
      <c r="F36" s="160"/>
      <c r="G36" s="160"/>
      <c r="H36" s="160"/>
      <c r="I36" s="160"/>
      <c r="J36" s="160"/>
      <c r="K36" s="160"/>
      <c r="L36" s="160"/>
      <c r="M36" s="160"/>
      <c r="N36" s="159"/>
      <c r="O36" s="106"/>
      <c r="Q36" s="106"/>
      <c r="R36" s="106"/>
      <c r="S36" s="106"/>
    </row>
    <row r="37" spans="1:27" ht="15.75" customHeight="1" thickBot="1" x14ac:dyDescent="0.3">
      <c r="A37" s="158"/>
      <c r="B37" s="157"/>
      <c r="C37" s="157"/>
      <c r="D37" s="157"/>
      <c r="E37" s="157"/>
      <c r="F37" s="157"/>
      <c r="G37" s="157"/>
      <c r="H37" s="157"/>
      <c r="I37" s="157"/>
      <c r="J37" s="157"/>
      <c r="K37" s="157"/>
      <c r="L37" s="157"/>
      <c r="M37" s="157"/>
      <c r="N37" s="156"/>
      <c r="O37" s="106"/>
      <c r="Q37" s="106"/>
      <c r="R37" s="106"/>
      <c r="S37" s="106"/>
    </row>
    <row r="38" spans="1:27" ht="15.75" customHeight="1" x14ac:dyDescent="0.25">
      <c r="A38" s="107"/>
      <c r="B38" s="107"/>
      <c r="C38" s="107"/>
      <c r="D38" s="107"/>
      <c r="E38" s="107"/>
      <c r="F38" s="107"/>
      <c r="G38" s="107"/>
      <c r="H38" s="107"/>
      <c r="I38" s="107"/>
      <c r="J38" s="107"/>
      <c r="K38" s="107"/>
      <c r="L38" s="107"/>
      <c r="M38" s="107"/>
      <c r="N38" s="106"/>
      <c r="O38" s="106"/>
      <c r="Q38" s="106"/>
      <c r="R38" s="106"/>
      <c r="S38" s="106"/>
    </row>
    <row r="39" spans="1:27" ht="14.5" thickBot="1" x14ac:dyDescent="0.35">
      <c r="A39" s="122" t="s">
        <v>171</v>
      </c>
      <c r="B39" s="104"/>
      <c r="C39" s="104"/>
      <c r="D39" s="104"/>
      <c r="E39" s="104"/>
      <c r="F39" s="104"/>
      <c r="G39" s="104"/>
      <c r="H39" s="104"/>
      <c r="L39" s="106"/>
      <c r="M39" s="106"/>
      <c r="N39" s="106"/>
      <c r="O39" s="106"/>
      <c r="Q39" s="106"/>
      <c r="R39" s="106"/>
      <c r="S39" s="106"/>
    </row>
    <row r="40" spans="1:27" ht="13" thickBot="1" x14ac:dyDescent="0.3">
      <c r="A40" s="151" t="s">
        <v>357</v>
      </c>
      <c r="B40" s="149" t="s">
        <v>169</v>
      </c>
      <c r="C40" s="149" t="s">
        <v>10</v>
      </c>
      <c r="D40" s="149" t="s">
        <v>5</v>
      </c>
      <c r="E40" s="149" t="s">
        <v>93</v>
      </c>
      <c r="F40" s="149" t="s">
        <v>170</v>
      </c>
      <c r="G40" s="149" t="s">
        <v>26</v>
      </c>
      <c r="H40" s="149" t="s">
        <v>75</v>
      </c>
      <c r="I40" s="148" t="s">
        <v>29</v>
      </c>
      <c r="L40" s="106"/>
      <c r="M40" s="106"/>
      <c r="N40" s="106"/>
      <c r="O40" s="106"/>
      <c r="Q40" s="106"/>
      <c r="R40" s="106"/>
      <c r="S40" s="106"/>
    </row>
    <row r="41" spans="1:27" ht="15.75" customHeight="1" x14ac:dyDescent="0.25">
      <c r="A41" s="161"/>
      <c r="B41" s="160"/>
      <c r="C41" s="160"/>
      <c r="D41" s="160"/>
      <c r="E41" s="160"/>
      <c r="F41" s="160"/>
      <c r="G41" s="160"/>
      <c r="H41" s="160"/>
      <c r="I41" s="159"/>
      <c r="L41" s="106"/>
      <c r="M41" s="106"/>
      <c r="N41" s="106"/>
      <c r="O41" s="106"/>
      <c r="Q41" s="106"/>
      <c r="R41" s="106"/>
      <c r="S41" s="106"/>
    </row>
    <row r="42" spans="1:27" ht="15.75" customHeight="1" thickBot="1" x14ac:dyDescent="0.3">
      <c r="A42" s="158"/>
      <c r="B42" s="157"/>
      <c r="C42" s="157"/>
      <c r="D42" s="157"/>
      <c r="E42" s="157"/>
      <c r="F42" s="157"/>
      <c r="G42" s="157"/>
      <c r="H42" s="157"/>
      <c r="I42" s="156"/>
      <c r="L42" s="106"/>
      <c r="M42" s="106"/>
      <c r="N42" s="106"/>
      <c r="O42" s="106"/>
      <c r="Q42" s="106"/>
      <c r="R42" s="106"/>
      <c r="S42" s="106"/>
    </row>
    <row r="43" spans="1:27" ht="15.75" customHeight="1" x14ac:dyDescent="0.25">
      <c r="A43" s="107"/>
      <c r="B43" s="107"/>
      <c r="C43" s="107"/>
      <c r="D43" s="107"/>
      <c r="E43" s="107"/>
      <c r="F43" s="107"/>
      <c r="G43" s="107"/>
      <c r="H43" s="107"/>
      <c r="L43" s="106"/>
      <c r="M43" s="106"/>
      <c r="N43" s="106"/>
      <c r="O43" s="106"/>
      <c r="Q43" s="106"/>
      <c r="R43" s="106"/>
      <c r="S43" s="106"/>
    </row>
    <row r="44" spans="1:27" ht="15.75" customHeight="1" x14ac:dyDescent="0.25">
      <c r="A44" s="107"/>
      <c r="B44" s="107"/>
      <c r="C44" s="107"/>
      <c r="D44" s="107"/>
      <c r="E44" s="107"/>
      <c r="F44" s="107"/>
      <c r="G44" s="107"/>
      <c r="H44" s="107"/>
      <c r="L44" s="106"/>
      <c r="M44" s="106"/>
      <c r="N44" s="106"/>
      <c r="O44" s="106"/>
      <c r="Q44" s="106"/>
      <c r="R44" s="106"/>
      <c r="S44" s="106"/>
    </row>
    <row r="45" spans="1:27" ht="15.5" x14ac:dyDescent="0.35">
      <c r="A45" s="112" t="s">
        <v>172</v>
      </c>
      <c r="B45" s="104"/>
      <c r="C45" s="104"/>
      <c r="D45" s="104"/>
      <c r="E45" s="104"/>
      <c r="F45" s="104"/>
      <c r="G45" s="104"/>
      <c r="H45" s="104"/>
      <c r="I45" s="104"/>
      <c r="J45" s="105"/>
      <c r="K45" s="105"/>
      <c r="L45" s="105"/>
      <c r="M45" s="105"/>
      <c r="N45" s="104"/>
      <c r="O45" s="105"/>
      <c r="P45" s="105"/>
      <c r="Q45" s="105"/>
      <c r="R45" s="104"/>
      <c r="S45" s="104"/>
      <c r="T45" s="104"/>
      <c r="U45" s="104"/>
      <c r="V45" s="104"/>
    </row>
    <row r="46" spans="1:27" x14ac:dyDescent="0.25">
      <c r="A46" s="155" t="s">
        <v>357</v>
      </c>
      <c r="B46" s="149" t="s">
        <v>10</v>
      </c>
      <c r="C46" s="149" t="s">
        <v>5</v>
      </c>
      <c r="D46" s="149" t="s">
        <v>173</v>
      </c>
      <c r="E46" s="149" t="s">
        <v>174</v>
      </c>
      <c r="F46" s="149" t="s">
        <v>153</v>
      </c>
      <c r="G46" s="149" t="s">
        <v>154</v>
      </c>
      <c r="H46" s="149" t="s">
        <v>0</v>
      </c>
      <c r="I46" s="149" t="s">
        <v>175</v>
      </c>
      <c r="J46" s="149" t="s">
        <v>158</v>
      </c>
      <c r="K46" s="149" t="s">
        <v>176</v>
      </c>
      <c r="L46" s="149" t="s">
        <v>2</v>
      </c>
      <c r="M46" s="149" t="s">
        <v>4</v>
      </c>
      <c r="N46" s="149" t="s">
        <v>3</v>
      </c>
      <c r="O46" s="149" t="s">
        <v>24</v>
      </c>
      <c r="P46" s="149" t="s">
        <v>162</v>
      </c>
      <c r="Q46" s="149" t="s">
        <v>163</v>
      </c>
      <c r="R46" s="149" t="s">
        <v>32</v>
      </c>
      <c r="S46" s="149" t="s">
        <v>177</v>
      </c>
      <c r="T46" s="149" t="s">
        <v>178</v>
      </c>
      <c r="U46" s="149" t="s">
        <v>179</v>
      </c>
      <c r="V46" s="149" t="s">
        <v>75</v>
      </c>
      <c r="W46" s="149" t="s">
        <v>29</v>
      </c>
    </row>
    <row r="47" spans="1:27" ht="15.75" customHeight="1" x14ac:dyDescent="0.25">
      <c r="A47" s="118" t="s">
        <v>520</v>
      </c>
      <c r="B47" s="152" t="s">
        <v>457</v>
      </c>
      <c r="C47" s="152" t="s">
        <v>457</v>
      </c>
      <c r="D47" s="124"/>
      <c r="E47" s="153" t="s">
        <v>424</v>
      </c>
      <c r="F47" s="152"/>
      <c r="G47" s="152"/>
      <c r="H47" s="154" t="s">
        <v>457</v>
      </c>
      <c r="I47" s="152" t="s">
        <v>446</v>
      </c>
      <c r="J47" s="152"/>
      <c r="K47" s="152"/>
      <c r="L47" s="152" t="s">
        <v>5</v>
      </c>
      <c r="M47" s="152"/>
      <c r="N47" s="152"/>
      <c r="O47" s="152"/>
      <c r="P47" s="152" t="s">
        <v>424</v>
      </c>
      <c r="Q47" s="152"/>
      <c r="R47" s="152"/>
      <c r="S47" s="152"/>
      <c r="T47" s="152"/>
      <c r="U47" s="152"/>
      <c r="V47" s="152"/>
      <c r="W47" s="152" t="s">
        <v>661</v>
      </c>
      <c r="X47" s="154"/>
      <c r="Y47" s="154"/>
      <c r="Z47" s="154"/>
      <c r="AA47" s="154"/>
    </row>
    <row r="48" spans="1:27" ht="15.75" customHeight="1" x14ac:dyDescent="0.25">
      <c r="A48" s="118" t="s">
        <v>512</v>
      </c>
      <c r="B48" s="152" t="s">
        <v>457</v>
      </c>
      <c r="C48" s="152" t="s">
        <v>457</v>
      </c>
      <c r="D48" s="124"/>
      <c r="E48" s="153" t="s">
        <v>424</v>
      </c>
      <c r="F48" s="152"/>
      <c r="G48" s="152"/>
      <c r="H48" s="154" t="s">
        <v>457</v>
      </c>
      <c r="I48" s="152" t="s">
        <v>446</v>
      </c>
      <c r="J48" s="152"/>
      <c r="K48" s="152"/>
      <c r="L48" s="152" t="s">
        <v>5</v>
      </c>
      <c r="M48" s="152"/>
      <c r="N48" s="152"/>
      <c r="O48" s="152"/>
      <c r="P48" s="152" t="s">
        <v>424</v>
      </c>
      <c r="Q48" s="152"/>
      <c r="R48" s="152"/>
      <c r="S48" s="152"/>
      <c r="T48" s="152"/>
      <c r="U48" s="152"/>
      <c r="V48" s="152"/>
      <c r="W48" s="152" t="s">
        <v>661</v>
      </c>
    </row>
    <row r="49" spans="1:23" ht="15.75" customHeight="1" x14ac:dyDescent="0.25">
      <c r="A49" s="118" t="s">
        <v>510</v>
      </c>
      <c r="B49" s="152" t="s">
        <v>468</v>
      </c>
      <c r="C49" s="152" t="s">
        <v>468</v>
      </c>
      <c r="D49" s="152"/>
      <c r="E49" s="153" t="s">
        <v>424</v>
      </c>
      <c r="F49" s="152"/>
      <c r="G49" s="152"/>
      <c r="H49" s="152" t="s">
        <v>634</v>
      </c>
      <c r="I49" s="152" t="s">
        <v>633</v>
      </c>
      <c r="J49" s="152"/>
      <c r="K49" s="152"/>
      <c r="L49" s="152" t="s">
        <v>5</v>
      </c>
      <c r="M49" s="152"/>
      <c r="N49" s="152"/>
      <c r="O49" s="152" t="s">
        <v>424</v>
      </c>
      <c r="P49" s="152"/>
      <c r="Q49" s="152"/>
      <c r="R49" s="152"/>
      <c r="S49" s="152"/>
      <c r="T49" s="152" t="s">
        <v>424</v>
      </c>
      <c r="U49" s="152"/>
      <c r="V49" s="152"/>
      <c r="W49" s="152" t="s">
        <v>661</v>
      </c>
    </row>
    <row r="50" spans="1:23" ht="15.75" customHeight="1" x14ac:dyDescent="0.25">
      <c r="A50" s="118" t="s">
        <v>509</v>
      </c>
      <c r="B50" s="152" t="s">
        <v>521</v>
      </c>
      <c r="C50" s="152" t="s">
        <v>476</v>
      </c>
      <c r="D50" s="152"/>
      <c r="E50" s="153" t="s">
        <v>424</v>
      </c>
      <c r="F50" s="152"/>
      <c r="G50" s="152"/>
      <c r="H50" s="152" t="s">
        <v>634</v>
      </c>
      <c r="I50" s="152" t="s">
        <v>633</v>
      </c>
      <c r="J50" s="152"/>
      <c r="K50" s="152"/>
      <c r="L50" s="152" t="s">
        <v>5</v>
      </c>
      <c r="M50" s="152"/>
      <c r="N50" s="152" t="s">
        <v>522</v>
      </c>
      <c r="O50" s="152"/>
      <c r="P50" s="152" t="s">
        <v>424</v>
      </c>
      <c r="Q50" s="152"/>
      <c r="R50" s="152"/>
      <c r="S50" s="152"/>
      <c r="T50" s="152" t="s">
        <v>424</v>
      </c>
      <c r="U50" s="152"/>
      <c r="V50" s="152"/>
      <c r="W50" s="152" t="s">
        <v>661</v>
      </c>
    </row>
    <row r="51" spans="1:23" ht="15.75" customHeight="1" x14ac:dyDescent="0.25">
      <c r="A51" s="107"/>
      <c r="B51" s="107"/>
      <c r="C51" s="107"/>
      <c r="D51" s="107"/>
      <c r="E51" s="107"/>
      <c r="F51" s="107"/>
      <c r="G51" s="107"/>
      <c r="H51" s="107"/>
      <c r="I51" s="107"/>
      <c r="L51" s="106"/>
      <c r="M51" s="106"/>
      <c r="N51" s="106"/>
      <c r="O51" s="106"/>
      <c r="Q51" s="106"/>
      <c r="R51" s="106"/>
      <c r="S51" s="106"/>
      <c r="T51" s="186"/>
    </row>
    <row r="52" spans="1:23" ht="15.75" customHeight="1" x14ac:dyDescent="0.3">
      <c r="A52" s="122" t="s">
        <v>183</v>
      </c>
      <c r="B52" s="104"/>
      <c r="C52" s="104"/>
      <c r="D52" s="104"/>
      <c r="E52" s="104"/>
      <c r="F52" s="104"/>
      <c r="L52" s="106"/>
      <c r="M52" s="106"/>
      <c r="N52" s="106"/>
      <c r="O52" s="106"/>
      <c r="Q52" s="106"/>
      <c r="R52" s="106"/>
      <c r="S52" s="106"/>
    </row>
    <row r="53" spans="1:23" ht="15.75" customHeight="1" x14ac:dyDescent="0.25">
      <c r="A53" s="155" t="s">
        <v>357</v>
      </c>
      <c r="B53" s="149" t="s">
        <v>184</v>
      </c>
      <c r="C53" s="150" t="s">
        <v>181</v>
      </c>
      <c r="D53" s="150" t="s">
        <v>173</v>
      </c>
      <c r="E53" s="149" t="s">
        <v>178</v>
      </c>
      <c r="F53" s="149" t="s">
        <v>75</v>
      </c>
      <c r="G53" s="149" t="s">
        <v>29</v>
      </c>
      <c r="L53" s="106"/>
      <c r="M53" s="106"/>
      <c r="N53" s="106"/>
      <c r="O53" s="106"/>
      <c r="Q53" s="106"/>
      <c r="R53" s="106"/>
      <c r="S53" s="106"/>
    </row>
    <row r="54" spans="1:23" x14ac:dyDescent="0.25">
      <c r="A54" s="118" t="s">
        <v>520</v>
      </c>
      <c r="B54" s="152" t="s">
        <v>457</v>
      </c>
      <c r="C54" s="95" t="s">
        <v>288</v>
      </c>
      <c r="D54" s="366" t="s">
        <v>424</v>
      </c>
      <c r="E54" s="152"/>
      <c r="F54" s="152"/>
      <c r="G54" s="152" t="s">
        <v>662</v>
      </c>
      <c r="L54" s="106"/>
      <c r="M54" s="106"/>
      <c r="N54" s="106"/>
      <c r="O54" s="106"/>
      <c r="Q54" s="106"/>
      <c r="R54" s="106"/>
      <c r="S54" s="106"/>
    </row>
    <row r="55" spans="1:23" x14ac:dyDescent="0.25">
      <c r="A55" s="118" t="s">
        <v>520</v>
      </c>
      <c r="B55" s="152" t="s">
        <v>457</v>
      </c>
      <c r="C55" s="95" t="s">
        <v>287</v>
      </c>
      <c r="D55" s="366" t="s">
        <v>424</v>
      </c>
      <c r="E55" s="152"/>
      <c r="F55" s="152"/>
      <c r="G55" s="152" t="s">
        <v>662</v>
      </c>
      <c r="L55" s="106"/>
      <c r="M55" s="106"/>
      <c r="N55" s="106"/>
      <c r="O55" s="106"/>
      <c r="Q55" s="106"/>
      <c r="R55" s="106"/>
      <c r="S55" s="106"/>
    </row>
    <row r="56" spans="1:23" x14ac:dyDescent="0.25">
      <c r="A56" s="118" t="s">
        <v>520</v>
      </c>
      <c r="B56" s="152" t="s">
        <v>457</v>
      </c>
      <c r="C56" s="95" t="s">
        <v>627</v>
      </c>
      <c r="D56" s="366" t="s">
        <v>424</v>
      </c>
      <c r="E56" s="152"/>
      <c r="F56" s="152"/>
      <c r="G56" s="152" t="s">
        <v>662</v>
      </c>
      <c r="L56" s="106"/>
      <c r="M56" s="106"/>
      <c r="N56" s="106"/>
      <c r="O56" s="106"/>
      <c r="Q56" s="106"/>
      <c r="R56" s="106"/>
      <c r="S56" s="106"/>
    </row>
    <row r="57" spans="1:23" x14ac:dyDescent="0.25">
      <c r="A57" s="118" t="s">
        <v>512</v>
      </c>
      <c r="B57" s="152" t="s">
        <v>457</v>
      </c>
      <c r="C57" s="95" t="s">
        <v>288</v>
      </c>
      <c r="D57" s="366" t="s">
        <v>424</v>
      </c>
      <c r="E57" s="152"/>
      <c r="F57" s="152"/>
      <c r="G57" s="152" t="s">
        <v>662</v>
      </c>
      <c r="L57" s="106"/>
      <c r="M57" s="106"/>
      <c r="N57" s="106"/>
      <c r="O57" s="106"/>
      <c r="Q57" s="106"/>
      <c r="R57" s="106"/>
      <c r="S57" s="106"/>
    </row>
    <row r="58" spans="1:23" x14ac:dyDescent="0.25">
      <c r="A58" s="118" t="s">
        <v>512</v>
      </c>
      <c r="B58" s="152" t="s">
        <v>457</v>
      </c>
      <c r="C58" s="95" t="s">
        <v>287</v>
      </c>
      <c r="D58" s="366" t="s">
        <v>424</v>
      </c>
      <c r="E58" s="152"/>
      <c r="F58" s="152"/>
      <c r="G58" s="152" t="s">
        <v>662</v>
      </c>
      <c r="L58" s="106"/>
      <c r="M58" s="106"/>
      <c r="N58" s="106"/>
      <c r="O58" s="106"/>
      <c r="Q58" s="106"/>
      <c r="R58" s="106"/>
      <c r="S58" s="106"/>
    </row>
    <row r="59" spans="1:23" x14ac:dyDescent="0.25">
      <c r="A59" s="118" t="s">
        <v>512</v>
      </c>
      <c r="B59" s="152" t="s">
        <v>457</v>
      </c>
      <c r="C59" s="95" t="s">
        <v>627</v>
      </c>
      <c r="D59" s="366" t="s">
        <v>424</v>
      </c>
      <c r="E59" s="152"/>
      <c r="F59" s="152"/>
      <c r="G59" s="152" t="s">
        <v>662</v>
      </c>
    </row>
    <row r="60" spans="1:23" x14ac:dyDescent="0.25">
      <c r="A60" s="118" t="s">
        <v>510</v>
      </c>
      <c r="B60" s="152" t="s">
        <v>468</v>
      </c>
      <c r="C60" s="95" t="s">
        <v>288</v>
      </c>
      <c r="D60" s="366" t="s">
        <v>424</v>
      </c>
      <c r="E60" s="152"/>
      <c r="F60" s="152"/>
      <c r="G60" s="152" t="s">
        <v>662</v>
      </c>
    </row>
    <row r="61" spans="1:23" x14ac:dyDescent="0.25">
      <c r="A61" s="118" t="s">
        <v>510</v>
      </c>
      <c r="B61" s="152" t="s">
        <v>468</v>
      </c>
      <c r="C61" s="95" t="s">
        <v>287</v>
      </c>
      <c r="D61" s="366" t="s">
        <v>424</v>
      </c>
      <c r="E61" s="152"/>
      <c r="F61" s="152"/>
      <c r="G61" s="152" t="s">
        <v>662</v>
      </c>
    </row>
    <row r="62" spans="1:23" x14ac:dyDescent="0.25">
      <c r="A62" s="118" t="s">
        <v>510</v>
      </c>
      <c r="B62" s="152" t="s">
        <v>468</v>
      </c>
      <c r="C62" s="95" t="s">
        <v>627</v>
      </c>
      <c r="D62" s="366" t="s">
        <v>424</v>
      </c>
      <c r="E62" s="152"/>
      <c r="F62" s="152"/>
      <c r="G62" s="152" t="s">
        <v>662</v>
      </c>
    </row>
    <row r="63" spans="1:23" x14ac:dyDescent="0.25">
      <c r="A63" s="124" t="s">
        <v>509</v>
      </c>
      <c r="B63" s="152" t="s">
        <v>521</v>
      </c>
      <c r="C63" s="95" t="s">
        <v>288</v>
      </c>
      <c r="D63" s="366" t="s">
        <v>424</v>
      </c>
      <c r="E63" s="152"/>
      <c r="F63" s="152"/>
      <c r="G63" s="152" t="s">
        <v>662</v>
      </c>
    </row>
    <row r="64" spans="1:23" x14ac:dyDescent="0.25">
      <c r="A64" s="124" t="s">
        <v>509</v>
      </c>
      <c r="B64" s="152" t="s">
        <v>521</v>
      </c>
      <c r="C64" s="95" t="s">
        <v>287</v>
      </c>
      <c r="D64" s="366" t="s">
        <v>424</v>
      </c>
      <c r="E64" s="152"/>
      <c r="F64" s="152"/>
      <c r="G64" s="152" t="s">
        <v>662</v>
      </c>
    </row>
    <row r="65" spans="1:9" ht="13" thickBot="1" x14ac:dyDescent="0.3">
      <c r="A65" s="355" t="s">
        <v>509</v>
      </c>
      <c r="B65" s="298" t="s">
        <v>521</v>
      </c>
      <c r="C65" s="120" t="s">
        <v>627</v>
      </c>
      <c r="D65" s="367" t="s">
        <v>424</v>
      </c>
      <c r="E65" s="298"/>
      <c r="F65" s="298"/>
      <c r="G65" s="298" t="s">
        <v>662</v>
      </c>
    </row>
    <row r="66" spans="1:9" x14ac:dyDescent="0.25">
      <c r="B66" s="147"/>
      <c r="C66" s="146"/>
      <c r="D66" s="144"/>
      <c r="E66" s="145"/>
      <c r="F66" s="145"/>
      <c r="G66" s="145"/>
    </row>
    <row r="67" spans="1:9" ht="14" x14ac:dyDescent="0.3">
      <c r="A67" s="122" t="s">
        <v>496</v>
      </c>
      <c r="D67" s="357"/>
    </row>
    <row r="68" spans="1:9" x14ac:dyDescent="0.25">
      <c r="A68" s="307" t="s">
        <v>357</v>
      </c>
      <c r="B68" s="359" t="s">
        <v>10</v>
      </c>
      <c r="C68" s="359" t="s">
        <v>151</v>
      </c>
      <c r="D68" s="359" t="s">
        <v>396</v>
      </c>
      <c r="E68" s="359" t="s">
        <v>143</v>
      </c>
      <c r="F68" s="359" t="s">
        <v>56</v>
      </c>
      <c r="G68" s="359" t="s">
        <v>497</v>
      </c>
      <c r="H68" s="359" t="s">
        <v>498</v>
      </c>
      <c r="I68" s="360" t="s">
        <v>310</v>
      </c>
    </row>
    <row r="69" spans="1:9" x14ac:dyDescent="0.25">
      <c r="A69" s="361" t="s">
        <v>520</v>
      </c>
      <c r="B69" s="323" t="s">
        <v>519</v>
      </c>
      <c r="C69" s="323" t="s">
        <v>519</v>
      </c>
      <c r="D69" s="323" t="s">
        <v>500</v>
      </c>
      <c r="E69" s="323">
        <v>502</v>
      </c>
      <c r="F69" s="323" t="s">
        <v>508</v>
      </c>
      <c r="G69" s="323"/>
      <c r="H69" s="323"/>
      <c r="I69" s="152" t="s">
        <v>696</v>
      </c>
    </row>
    <row r="70" spans="1:9" x14ac:dyDescent="0.25">
      <c r="A70" s="361" t="s">
        <v>520</v>
      </c>
      <c r="B70" s="323" t="s">
        <v>518</v>
      </c>
      <c r="C70" s="323" t="s">
        <v>517</v>
      </c>
      <c r="D70" s="323" t="s">
        <v>500</v>
      </c>
      <c r="E70" s="323">
        <v>503</v>
      </c>
      <c r="F70" s="323" t="s">
        <v>508</v>
      </c>
      <c r="G70" s="323"/>
      <c r="H70" s="323"/>
      <c r="I70" s="152" t="s">
        <v>696</v>
      </c>
    </row>
    <row r="71" spans="1:9" x14ac:dyDescent="0.25">
      <c r="A71" s="361" t="s">
        <v>520</v>
      </c>
      <c r="B71" s="323" t="s">
        <v>516</v>
      </c>
      <c r="C71" s="323" t="s">
        <v>457</v>
      </c>
      <c r="D71" s="323" t="s">
        <v>500</v>
      </c>
      <c r="E71" s="323">
        <v>504</v>
      </c>
      <c r="F71" s="323" t="s">
        <v>508</v>
      </c>
      <c r="G71" s="323"/>
      <c r="H71" s="323"/>
      <c r="I71" s="152" t="s">
        <v>696</v>
      </c>
    </row>
    <row r="72" spans="1:9" x14ac:dyDescent="0.25">
      <c r="A72" s="361" t="s">
        <v>520</v>
      </c>
      <c r="B72" s="323" t="s">
        <v>515</v>
      </c>
      <c r="C72" s="323" t="s">
        <v>515</v>
      </c>
      <c r="D72" s="323" t="s">
        <v>500</v>
      </c>
      <c r="E72" s="323">
        <v>505</v>
      </c>
      <c r="F72" s="323" t="s">
        <v>508</v>
      </c>
      <c r="G72" s="323"/>
      <c r="H72" s="323"/>
      <c r="I72" s="152" t="s">
        <v>696</v>
      </c>
    </row>
    <row r="73" spans="1:9" x14ac:dyDescent="0.25">
      <c r="A73" s="361" t="s">
        <v>520</v>
      </c>
      <c r="B73" s="323" t="s">
        <v>514</v>
      </c>
      <c r="C73" s="323" t="s">
        <v>514</v>
      </c>
      <c r="D73" s="323" t="s">
        <v>500</v>
      </c>
      <c r="E73" s="323">
        <v>506</v>
      </c>
      <c r="F73" s="323" t="s">
        <v>508</v>
      </c>
      <c r="G73" s="323"/>
      <c r="H73" s="323"/>
      <c r="I73" s="152" t="s">
        <v>696</v>
      </c>
    </row>
    <row r="74" spans="1:9" x14ac:dyDescent="0.25">
      <c r="A74" s="361" t="s">
        <v>520</v>
      </c>
      <c r="B74" s="323" t="s">
        <v>472</v>
      </c>
      <c r="C74" s="323" t="s">
        <v>472</v>
      </c>
      <c r="D74" s="323" t="s">
        <v>500</v>
      </c>
      <c r="E74" s="323">
        <v>507</v>
      </c>
      <c r="F74" s="323" t="s">
        <v>508</v>
      </c>
      <c r="G74" s="323"/>
      <c r="H74" s="323"/>
      <c r="I74" s="152" t="s">
        <v>696</v>
      </c>
    </row>
    <row r="75" spans="1:9" x14ac:dyDescent="0.25">
      <c r="A75" s="361" t="s">
        <v>520</v>
      </c>
      <c r="B75" s="323" t="s">
        <v>513</v>
      </c>
      <c r="C75" s="323" t="s">
        <v>513</v>
      </c>
      <c r="D75" s="323" t="s">
        <v>500</v>
      </c>
      <c r="E75" s="323">
        <v>508</v>
      </c>
      <c r="F75" s="323" t="s">
        <v>508</v>
      </c>
      <c r="G75" s="323"/>
      <c r="H75" s="323"/>
      <c r="I75" s="152" t="s">
        <v>696</v>
      </c>
    </row>
    <row r="76" spans="1:9" x14ac:dyDescent="0.25">
      <c r="A76" s="361" t="s">
        <v>520</v>
      </c>
      <c r="B76" s="323" t="s">
        <v>511</v>
      </c>
      <c r="C76" s="323" t="s">
        <v>511</v>
      </c>
      <c r="D76" s="323" t="s">
        <v>500</v>
      </c>
      <c r="E76" s="323">
        <v>509</v>
      </c>
      <c r="F76" s="323" t="s">
        <v>508</v>
      </c>
      <c r="G76" s="323"/>
      <c r="H76" s="323"/>
      <c r="I76" s="152" t="s">
        <v>696</v>
      </c>
    </row>
    <row r="77" spans="1:9" x14ac:dyDescent="0.25">
      <c r="A77" s="361" t="s">
        <v>512</v>
      </c>
      <c r="B77" s="323" t="s">
        <v>519</v>
      </c>
      <c r="C77" s="323" t="s">
        <v>519</v>
      </c>
      <c r="D77" s="323" t="s">
        <v>500</v>
      </c>
      <c r="E77" s="323">
        <v>502</v>
      </c>
      <c r="F77" s="323" t="s">
        <v>508</v>
      </c>
      <c r="G77" s="323"/>
      <c r="H77" s="323"/>
      <c r="I77" s="152" t="s">
        <v>696</v>
      </c>
    </row>
    <row r="78" spans="1:9" x14ac:dyDescent="0.25">
      <c r="A78" s="361" t="s">
        <v>512</v>
      </c>
      <c r="B78" s="323" t="s">
        <v>518</v>
      </c>
      <c r="C78" s="323" t="s">
        <v>517</v>
      </c>
      <c r="D78" s="323" t="s">
        <v>500</v>
      </c>
      <c r="E78" s="323">
        <v>503</v>
      </c>
      <c r="F78" s="323" t="s">
        <v>508</v>
      </c>
      <c r="G78" s="323"/>
      <c r="H78" s="323"/>
      <c r="I78" s="152" t="s">
        <v>696</v>
      </c>
    </row>
    <row r="79" spans="1:9" x14ac:dyDescent="0.25">
      <c r="A79" s="361" t="s">
        <v>512</v>
      </c>
      <c r="B79" s="323" t="s">
        <v>516</v>
      </c>
      <c r="C79" s="323" t="s">
        <v>457</v>
      </c>
      <c r="D79" s="323" t="s">
        <v>500</v>
      </c>
      <c r="E79" s="323">
        <v>504</v>
      </c>
      <c r="F79" s="323" t="s">
        <v>508</v>
      </c>
      <c r="G79" s="323"/>
      <c r="H79" s="323"/>
      <c r="I79" s="152" t="s">
        <v>696</v>
      </c>
    </row>
    <row r="80" spans="1:9" x14ac:dyDescent="0.25">
      <c r="A80" s="361" t="s">
        <v>512</v>
      </c>
      <c r="B80" s="323" t="s">
        <v>515</v>
      </c>
      <c r="C80" s="323" t="s">
        <v>515</v>
      </c>
      <c r="D80" s="323" t="s">
        <v>500</v>
      </c>
      <c r="E80" s="323">
        <v>505</v>
      </c>
      <c r="F80" s="323" t="s">
        <v>508</v>
      </c>
      <c r="G80" s="323"/>
      <c r="H80" s="323"/>
      <c r="I80" s="152" t="s">
        <v>696</v>
      </c>
    </row>
    <row r="81" spans="1:9" x14ac:dyDescent="0.25">
      <c r="A81" s="361" t="s">
        <v>512</v>
      </c>
      <c r="B81" s="323" t="s">
        <v>514</v>
      </c>
      <c r="C81" s="323" t="s">
        <v>514</v>
      </c>
      <c r="D81" s="323" t="s">
        <v>500</v>
      </c>
      <c r="E81" s="323">
        <v>506</v>
      </c>
      <c r="F81" s="323" t="s">
        <v>508</v>
      </c>
      <c r="G81" s="323"/>
      <c r="H81" s="323"/>
      <c r="I81" s="152" t="s">
        <v>696</v>
      </c>
    </row>
    <row r="82" spans="1:9" x14ac:dyDescent="0.25">
      <c r="A82" s="361" t="s">
        <v>512</v>
      </c>
      <c r="B82" s="323" t="s">
        <v>472</v>
      </c>
      <c r="C82" s="323" t="s">
        <v>472</v>
      </c>
      <c r="D82" s="323" t="s">
        <v>500</v>
      </c>
      <c r="E82" s="323">
        <v>507</v>
      </c>
      <c r="F82" s="323" t="s">
        <v>508</v>
      </c>
      <c r="G82" s="323"/>
      <c r="H82" s="323"/>
      <c r="I82" s="152" t="s">
        <v>696</v>
      </c>
    </row>
    <row r="83" spans="1:9" x14ac:dyDescent="0.25">
      <c r="A83" s="361" t="s">
        <v>512</v>
      </c>
      <c r="B83" s="323" t="s">
        <v>513</v>
      </c>
      <c r="C83" s="323" t="s">
        <v>513</v>
      </c>
      <c r="D83" s="323" t="s">
        <v>500</v>
      </c>
      <c r="E83" s="323">
        <v>508</v>
      </c>
      <c r="F83" s="323" t="s">
        <v>508</v>
      </c>
      <c r="G83" s="323"/>
      <c r="H83" s="323"/>
      <c r="I83" s="152" t="s">
        <v>696</v>
      </c>
    </row>
    <row r="84" spans="1:9" x14ac:dyDescent="0.25">
      <c r="A84" s="361" t="s">
        <v>512</v>
      </c>
      <c r="B84" s="323" t="s">
        <v>511</v>
      </c>
      <c r="C84" s="323" t="s">
        <v>511</v>
      </c>
      <c r="D84" s="323" t="s">
        <v>500</v>
      </c>
      <c r="E84" s="323">
        <v>509</v>
      </c>
      <c r="F84" s="323" t="s">
        <v>508</v>
      </c>
      <c r="G84" s="323"/>
      <c r="H84" s="323"/>
      <c r="I84" s="152" t="s">
        <v>696</v>
      </c>
    </row>
    <row r="85" spans="1:9" x14ac:dyDescent="0.25">
      <c r="A85" s="362" t="s">
        <v>510</v>
      </c>
      <c r="B85" s="323" t="s">
        <v>468</v>
      </c>
      <c r="C85" s="323" t="s">
        <v>468</v>
      </c>
      <c r="D85" s="323" t="s">
        <v>500</v>
      </c>
      <c r="E85" s="323">
        <v>507</v>
      </c>
      <c r="F85" s="323" t="s">
        <v>508</v>
      </c>
      <c r="G85" s="358"/>
      <c r="H85" s="358"/>
      <c r="I85" s="152" t="s">
        <v>696</v>
      </c>
    </row>
    <row r="86" spans="1:9" ht="13" thickBot="1" x14ac:dyDescent="0.3">
      <c r="A86" s="363" t="s">
        <v>509</v>
      </c>
      <c r="B86" s="332" t="s">
        <v>476</v>
      </c>
      <c r="C86" s="332" t="s">
        <v>476</v>
      </c>
      <c r="D86" s="332" t="s">
        <v>500</v>
      </c>
      <c r="E86" s="332">
        <v>509</v>
      </c>
      <c r="F86" s="332" t="s">
        <v>508</v>
      </c>
      <c r="G86" s="364"/>
      <c r="H86" s="364"/>
      <c r="I86" s="152" t="s">
        <v>696</v>
      </c>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D85E0-C90E-4099-B7C0-B560F83AADAD}">
  <sheetPr codeName="Sheet24">
    <pageSetUpPr fitToPage="1"/>
  </sheetPr>
  <dimension ref="A1:Z36"/>
  <sheetViews>
    <sheetView zoomScale="85" workbookViewId="0">
      <selection activeCell="A3" sqref="A3"/>
    </sheetView>
  </sheetViews>
  <sheetFormatPr defaultRowHeight="12.5" x14ac:dyDescent="0.25"/>
  <cols>
    <col min="1" max="1" width="36.1796875" style="133" bestFit="1" customWidth="1"/>
    <col min="2" max="2" width="23.36328125" style="106" bestFit="1" customWidth="1"/>
    <col min="3" max="3" width="23.08984375" style="106" bestFit="1" customWidth="1"/>
    <col min="4" max="4" width="22.453125" style="106" bestFit="1" customWidth="1"/>
    <col min="5" max="5" width="13" style="106" bestFit="1" customWidth="1"/>
    <col min="6" max="6" width="57.6328125" style="106" bestFit="1" customWidth="1"/>
    <col min="7" max="7" width="20.36328125" style="106" customWidth="1"/>
    <col min="8" max="8" width="18" style="106" bestFit="1" customWidth="1"/>
    <col min="9" max="9" width="14.08984375" style="106" bestFit="1" customWidth="1"/>
    <col min="10" max="10" width="10.36328125" style="106" bestFit="1" customWidth="1"/>
    <col min="11" max="11" width="18.36328125" style="106" bestFit="1" customWidth="1"/>
    <col min="12" max="12" width="19.36328125" style="125" bestFit="1" customWidth="1"/>
    <col min="13" max="13" width="18.36328125" style="125" bestFit="1" customWidth="1"/>
    <col min="14" max="14" width="14" style="125" bestFit="1" customWidth="1"/>
    <col min="15" max="15" width="10.54296875" style="125" bestFit="1" customWidth="1"/>
    <col min="16" max="16" width="9.6328125" style="106" bestFit="1" customWidth="1"/>
    <col min="17" max="17" width="7.90625" style="125" bestFit="1" customWidth="1"/>
    <col min="18" max="18" width="12.90625" style="125" bestFit="1" customWidth="1"/>
    <col min="19" max="19" width="13.54296875" style="125" bestFit="1" customWidth="1"/>
    <col min="20" max="20" width="31.36328125" style="106" bestFit="1" customWidth="1"/>
    <col min="21" max="21" width="30" style="106" bestFit="1" customWidth="1"/>
    <col min="22" max="22" width="24.36328125" style="106" customWidth="1"/>
    <col min="23" max="23" width="23.26953125" style="106" bestFit="1" customWidth="1"/>
    <col min="24" max="24" width="10" style="106" bestFit="1" customWidth="1"/>
    <col min="25" max="25" width="50.7265625" style="106" bestFit="1" customWidth="1"/>
    <col min="26" max="26" width="5.36328125" style="106" bestFit="1" customWidth="1"/>
    <col min="27" max="27" width="11.36328125" style="106" bestFit="1" customWidth="1"/>
    <col min="28" max="28" width="8.6328125" style="106" bestFit="1" customWidth="1"/>
    <col min="29" max="29" width="11.08984375" style="106" bestFit="1" customWidth="1"/>
    <col min="30" max="30" width="9.6328125" style="106" bestFit="1" customWidth="1"/>
    <col min="31" max="31" width="27.08984375" style="106" bestFit="1" customWidth="1"/>
    <col min="32" max="32" width="7.90625" style="106" bestFit="1" customWidth="1"/>
    <col min="33" max="33" width="25.54296875" style="106" bestFit="1" customWidth="1"/>
    <col min="34" max="34" width="12.36328125" style="106" bestFit="1" customWidth="1"/>
    <col min="35" max="35" width="13.54296875" style="106" bestFit="1" customWidth="1"/>
    <col min="36" max="36" width="31.36328125" style="106" bestFit="1" customWidth="1"/>
    <col min="37" max="37" width="28.36328125" style="106" bestFit="1" customWidth="1"/>
    <col min="38" max="38" width="12.90625" style="106" bestFit="1" customWidth="1"/>
    <col min="39" max="39" width="11.36328125" style="106" bestFit="1" customWidth="1"/>
    <col min="40" max="40" width="29.36328125" style="106" bestFit="1" customWidth="1"/>
    <col min="41" max="41" width="7.453125" style="106" bestFit="1" customWidth="1"/>
    <col min="42" max="42" width="10" style="106" bestFit="1" customWidth="1"/>
    <col min="43" max="43" width="18.6328125" style="106" bestFit="1" customWidth="1"/>
    <col min="44" max="44" width="36.453125" style="106" bestFit="1" customWidth="1"/>
    <col min="45" max="46" width="8.54296875" style="106" customWidth="1"/>
    <col min="47" max="16384" width="8.7265625" style="106"/>
  </cols>
  <sheetData>
    <row r="1" spans="1:26" ht="18" x14ac:dyDescent="0.4">
      <c r="A1" s="103" t="s">
        <v>35</v>
      </c>
      <c r="B1" s="104"/>
      <c r="C1" s="104"/>
      <c r="D1" s="104"/>
      <c r="E1" s="104"/>
      <c r="F1" s="104"/>
      <c r="G1" s="104"/>
      <c r="H1" s="104"/>
      <c r="I1" s="104"/>
      <c r="J1" s="104"/>
      <c r="K1" s="104"/>
      <c r="L1" s="105"/>
      <c r="M1" s="105"/>
      <c r="N1" s="105"/>
      <c r="O1" s="105"/>
      <c r="P1" s="104"/>
      <c r="Q1" s="105"/>
      <c r="R1" s="105"/>
      <c r="S1" s="105"/>
      <c r="T1" s="104"/>
      <c r="U1" s="104"/>
      <c r="V1" s="104"/>
      <c r="W1" s="104"/>
      <c r="X1" s="104"/>
      <c r="Y1" s="104"/>
      <c r="Z1" s="104"/>
    </row>
    <row r="2" spans="1:26" ht="13" thickBot="1" x14ac:dyDescent="0.3">
      <c r="A2" s="107"/>
      <c r="B2" s="104"/>
      <c r="C2" s="104"/>
      <c r="D2" s="104"/>
      <c r="E2" s="104"/>
      <c r="F2" s="104"/>
      <c r="G2" s="104"/>
      <c r="H2" s="104"/>
      <c r="I2" s="104"/>
      <c r="J2" s="104"/>
      <c r="K2" s="104"/>
      <c r="L2" s="105"/>
      <c r="M2" s="105"/>
      <c r="N2" s="105"/>
      <c r="O2" s="105"/>
      <c r="P2" s="104"/>
      <c r="Q2" s="105"/>
      <c r="R2" s="105"/>
      <c r="S2" s="105"/>
      <c r="T2" s="104"/>
      <c r="U2" s="104"/>
      <c r="V2" s="104"/>
      <c r="W2" s="104"/>
      <c r="X2" s="104"/>
      <c r="Y2" s="104"/>
      <c r="Z2" s="104"/>
    </row>
    <row r="3" spans="1:26" x14ac:dyDescent="0.25">
      <c r="A3" s="108" t="s">
        <v>63</v>
      </c>
      <c r="B3" s="109" t="s">
        <v>64</v>
      </c>
      <c r="C3" s="104"/>
      <c r="D3" s="104"/>
      <c r="E3" s="104"/>
      <c r="F3" s="104"/>
      <c r="G3" s="104"/>
      <c r="H3" s="104"/>
      <c r="I3" s="104"/>
      <c r="J3" s="104"/>
      <c r="K3" s="104"/>
      <c r="L3" s="104"/>
      <c r="M3" s="104"/>
      <c r="N3" s="104"/>
      <c r="O3" s="104"/>
      <c r="P3" s="104"/>
      <c r="Q3" s="104"/>
      <c r="R3" s="104"/>
      <c r="S3" s="104"/>
      <c r="T3" s="104"/>
      <c r="U3" s="104"/>
      <c r="V3" s="104"/>
      <c r="W3" s="104"/>
      <c r="X3" s="104"/>
      <c r="Y3" s="104"/>
      <c r="Z3" s="104"/>
    </row>
    <row r="4" spans="1:26" ht="13" thickBot="1" x14ac:dyDescent="0.3">
      <c r="A4" s="110"/>
      <c r="B4" s="111"/>
      <c r="C4" s="104"/>
      <c r="D4" s="104"/>
      <c r="E4" s="104"/>
      <c r="F4" s="104"/>
      <c r="G4" s="104"/>
      <c r="H4" s="104"/>
      <c r="I4" s="104"/>
      <c r="J4" s="104"/>
      <c r="K4" s="104"/>
      <c r="L4" s="105"/>
      <c r="M4" s="105"/>
      <c r="N4" s="105"/>
      <c r="O4" s="105"/>
      <c r="P4" s="104"/>
      <c r="Q4" s="105"/>
      <c r="R4" s="105"/>
      <c r="S4" s="105"/>
      <c r="T4" s="104"/>
      <c r="U4" s="104"/>
      <c r="V4" s="104"/>
      <c r="W4" s="104"/>
      <c r="X4" s="104"/>
      <c r="Y4" s="104"/>
      <c r="Z4" s="104"/>
    </row>
    <row r="5" spans="1:26" ht="16" thickBot="1" x14ac:dyDescent="0.4">
      <c r="A5" s="112" t="s">
        <v>151</v>
      </c>
      <c r="B5" s="104"/>
      <c r="C5" s="104"/>
      <c r="D5" s="104"/>
      <c r="E5" s="104"/>
      <c r="F5" s="104"/>
      <c r="G5" s="104"/>
      <c r="H5" s="104"/>
      <c r="I5" s="104"/>
      <c r="J5" s="105"/>
      <c r="K5" s="105"/>
      <c r="L5" s="105"/>
      <c r="M5" s="105"/>
      <c r="N5" s="104"/>
      <c r="O5" s="105"/>
      <c r="P5" s="105"/>
      <c r="Q5" s="105"/>
      <c r="R5" s="104"/>
      <c r="S5" s="104"/>
      <c r="T5" s="104"/>
      <c r="U5" s="104"/>
      <c r="V5" s="104"/>
      <c r="W5" s="104"/>
      <c r="X5" s="104"/>
      <c r="Y5" s="104"/>
      <c r="Z5" s="104"/>
    </row>
    <row r="6" spans="1:26" ht="13" thickBot="1" x14ac:dyDescent="0.3">
      <c r="A6" s="113" t="s">
        <v>357</v>
      </c>
      <c r="B6" s="114" t="s">
        <v>10</v>
      </c>
      <c r="C6" s="114" t="s">
        <v>31</v>
      </c>
      <c r="D6" s="114" t="s">
        <v>152</v>
      </c>
      <c r="E6" s="114" t="s">
        <v>154</v>
      </c>
      <c r="F6" s="114" t="s">
        <v>5</v>
      </c>
      <c r="G6" s="114" t="s">
        <v>155</v>
      </c>
      <c r="H6" s="114" t="s">
        <v>156</v>
      </c>
      <c r="I6" s="114" t="s">
        <v>157</v>
      </c>
      <c r="J6" s="114" t="s">
        <v>158</v>
      </c>
      <c r="K6" s="114" t="s">
        <v>159</v>
      </c>
      <c r="L6" s="114" t="s">
        <v>160</v>
      </c>
      <c r="M6" s="114" t="s">
        <v>2</v>
      </c>
      <c r="N6" s="114" t="s">
        <v>4</v>
      </c>
      <c r="O6" s="114" t="s">
        <v>161</v>
      </c>
      <c r="P6" s="114" t="s">
        <v>3</v>
      </c>
      <c r="Q6" s="114" t="s">
        <v>24</v>
      </c>
      <c r="R6" s="114" t="s">
        <v>162</v>
      </c>
      <c r="S6" s="114" t="s">
        <v>163</v>
      </c>
      <c r="T6" s="114" t="s">
        <v>32</v>
      </c>
      <c r="U6" s="114" t="s">
        <v>164</v>
      </c>
      <c r="V6" s="114" t="s">
        <v>165</v>
      </c>
      <c r="W6" s="114" t="s">
        <v>166</v>
      </c>
      <c r="X6" s="114" t="s">
        <v>75</v>
      </c>
      <c r="Y6" s="115" t="s">
        <v>29</v>
      </c>
      <c r="Z6" s="104"/>
    </row>
    <row r="7" spans="1:26" ht="15.75" customHeight="1" x14ac:dyDescent="0.25">
      <c r="A7" s="116" t="s">
        <v>491</v>
      </c>
      <c r="B7" s="95" t="s">
        <v>452</v>
      </c>
      <c r="C7" s="95" t="s">
        <v>452</v>
      </c>
      <c r="D7" s="95" t="s">
        <v>492</v>
      </c>
      <c r="E7" s="95"/>
      <c r="F7" s="95" t="s">
        <v>452</v>
      </c>
      <c r="G7" s="95"/>
      <c r="H7" s="95"/>
      <c r="I7" s="95"/>
      <c r="J7" s="95"/>
      <c r="K7" s="95"/>
      <c r="L7" s="95" t="s">
        <v>424</v>
      </c>
      <c r="M7" s="95" t="s">
        <v>5</v>
      </c>
      <c r="N7" s="95"/>
      <c r="O7" s="95"/>
      <c r="P7" s="95"/>
      <c r="Q7" s="95"/>
      <c r="R7" s="95"/>
      <c r="S7" s="95"/>
      <c r="T7" s="95"/>
      <c r="U7" s="95" t="s">
        <v>493</v>
      </c>
      <c r="V7" s="95"/>
      <c r="W7" s="95" t="s">
        <v>424</v>
      </c>
      <c r="X7" s="95"/>
      <c r="Y7" s="95" t="s">
        <v>658</v>
      </c>
      <c r="Z7" s="104"/>
    </row>
    <row r="8" spans="1:26" ht="15.75" customHeight="1" x14ac:dyDescent="0.25">
      <c r="A8" s="118" t="s">
        <v>491</v>
      </c>
      <c r="B8" s="95" t="s">
        <v>455</v>
      </c>
      <c r="C8" s="95" t="s">
        <v>494</v>
      </c>
      <c r="D8" s="95" t="s">
        <v>435</v>
      </c>
      <c r="E8" s="95"/>
      <c r="F8" s="95" t="s">
        <v>455</v>
      </c>
      <c r="G8" s="95"/>
      <c r="H8" s="95"/>
      <c r="I8" s="95"/>
      <c r="J8" s="95"/>
      <c r="K8" s="95"/>
      <c r="L8" s="95" t="s">
        <v>424</v>
      </c>
      <c r="M8" s="95" t="s">
        <v>5</v>
      </c>
      <c r="N8" s="95"/>
      <c r="O8" s="95"/>
      <c r="P8" s="95"/>
      <c r="Q8" s="95"/>
      <c r="R8" s="95"/>
      <c r="S8" s="95"/>
      <c r="T8" s="95"/>
      <c r="U8" s="95" t="s">
        <v>493</v>
      </c>
      <c r="V8" s="95"/>
      <c r="W8" s="95" t="s">
        <v>424</v>
      </c>
      <c r="X8" s="95"/>
      <c r="Y8" s="95" t="s">
        <v>658</v>
      </c>
      <c r="Z8" s="104"/>
    </row>
    <row r="9" spans="1:26" ht="15.75" customHeight="1" x14ac:dyDescent="0.25">
      <c r="A9" s="118" t="s">
        <v>495</v>
      </c>
      <c r="B9" s="95" t="s">
        <v>452</v>
      </c>
      <c r="C9" s="95" t="s">
        <v>452</v>
      </c>
      <c r="D9" s="95" t="s">
        <v>492</v>
      </c>
      <c r="E9" s="95"/>
      <c r="F9" s="95" t="s">
        <v>452</v>
      </c>
      <c r="G9" s="95"/>
      <c r="H9" s="95"/>
      <c r="I9" s="95"/>
      <c r="J9" s="95"/>
      <c r="K9" s="95"/>
      <c r="L9" s="95" t="s">
        <v>424</v>
      </c>
      <c r="M9" s="95" t="s">
        <v>5</v>
      </c>
      <c r="N9" s="95"/>
      <c r="O9" s="95"/>
      <c r="P9" s="95"/>
      <c r="Q9" s="95" t="s">
        <v>424</v>
      </c>
      <c r="R9" s="95"/>
      <c r="S9" s="95"/>
      <c r="T9" s="95"/>
      <c r="U9" s="95" t="s">
        <v>493</v>
      </c>
      <c r="V9" s="95"/>
      <c r="W9" s="95" t="s">
        <v>424</v>
      </c>
      <c r="X9" s="95"/>
      <c r="Y9" s="95" t="s">
        <v>658</v>
      </c>
      <c r="Z9" s="104"/>
    </row>
    <row r="10" spans="1:26" ht="15.75" customHeight="1" thickBot="1" x14ac:dyDescent="0.3">
      <c r="A10" s="119" t="s">
        <v>495</v>
      </c>
      <c r="B10" s="120" t="s">
        <v>455</v>
      </c>
      <c r="C10" s="120" t="s">
        <v>494</v>
      </c>
      <c r="D10" s="120" t="s">
        <v>435</v>
      </c>
      <c r="E10" s="120"/>
      <c r="F10" s="120" t="s">
        <v>455</v>
      </c>
      <c r="G10" s="120"/>
      <c r="H10" s="120"/>
      <c r="I10" s="120"/>
      <c r="J10" s="120"/>
      <c r="K10" s="120"/>
      <c r="L10" s="120" t="s">
        <v>424</v>
      </c>
      <c r="M10" s="120" t="s">
        <v>5</v>
      </c>
      <c r="N10" s="120"/>
      <c r="O10" s="120"/>
      <c r="P10" s="120"/>
      <c r="Q10" s="120" t="s">
        <v>424</v>
      </c>
      <c r="R10" s="120"/>
      <c r="S10" s="120"/>
      <c r="T10" s="120"/>
      <c r="U10" s="120" t="s">
        <v>493</v>
      </c>
      <c r="V10" s="120"/>
      <c r="W10" s="120" t="s">
        <v>424</v>
      </c>
      <c r="X10" s="120"/>
      <c r="Y10" s="95" t="s">
        <v>658</v>
      </c>
      <c r="Z10" s="104"/>
    </row>
    <row r="11" spans="1:26" ht="15.75" customHeight="1" x14ac:dyDescent="0.35">
      <c r="A11" s="107"/>
      <c r="B11" s="107"/>
      <c r="C11" s="107"/>
      <c r="D11" s="107"/>
      <c r="E11" s="107"/>
      <c r="F11" s="107"/>
      <c r="G11" s="107"/>
      <c r="H11" s="107"/>
      <c r="I11" s="107"/>
      <c r="J11" s="107"/>
      <c r="K11" s="107"/>
      <c r="L11" s="107"/>
      <c r="M11" s="107"/>
      <c r="N11" s="107"/>
      <c r="O11" s="107"/>
      <c r="P11" s="107"/>
      <c r="Q11" s="107"/>
      <c r="R11" s="107"/>
      <c r="S11" s="107"/>
      <c r="T11" s="107"/>
      <c r="U11" s="31"/>
      <c r="V11" s="104"/>
      <c r="W11" s="104"/>
      <c r="X11" s="104"/>
      <c r="Y11" s="104"/>
      <c r="Z11" s="104"/>
    </row>
    <row r="12" spans="1:26" ht="14.5" thickBot="1" x14ac:dyDescent="0.35">
      <c r="A12" s="122" t="s">
        <v>180</v>
      </c>
      <c r="B12" s="104"/>
      <c r="C12" s="104"/>
      <c r="D12" s="104"/>
      <c r="E12" s="104"/>
      <c r="F12" s="104"/>
      <c r="G12" s="104"/>
      <c r="H12" s="104"/>
      <c r="I12" s="104"/>
      <c r="J12" s="104"/>
      <c r="K12" s="104"/>
      <c r="L12" s="104"/>
      <c r="M12" s="104"/>
      <c r="N12" s="104"/>
      <c r="O12" s="104"/>
      <c r="P12" s="104"/>
      <c r="Q12" s="104"/>
      <c r="R12" s="104"/>
      <c r="S12" s="104"/>
      <c r="T12" s="104"/>
      <c r="U12" s="104"/>
      <c r="V12" s="104"/>
      <c r="W12" s="104"/>
      <c r="X12" s="104"/>
      <c r="Y12" s="104"/>
      <c r="Z12" s="104"/>
    </row>
    <row r="13" spans="1:26" x14ac:dyDescent="0.25">
      <c r="A13" s="113" t="s">
        <v>357</v>
      </c>
      <c r="B13" s="114" t="s">
        <v>182</v>
      </c>
      <c r="C13" s="114" t="s">
        <v>181</v>
      </c>
      <c r="D13" s="114" t="s">
        <v>165</v>
      </c>
      <c r="E13" s="114" t="s">
        <v>75</v>
      </c>
      <c r="F13" s="115" t="s">
        <v>29</v>
      </c>
      <c r="G13" s="104"/>
      <c r="H13" s="104"/>
      <c r="I13" s="104"/>
      <c r="J13" s="104"/>
      <c r="K13" s="104"/>
      <c r="L13" s="104"/>
      <c r="M13" s="104"/>
      <c r="N13" s="104"/>
      <c r="O13" s="104"/>
      <c r="P13" s="104"/>
      <c r="Q13" s="104"/>
      <c r="R13" s="104"/>
      <c r="S13" s="104"/>
      <c r="T13" s="104"/>
      <c r="U13" s="104"/>
      <c r="V13" s="104"/>
      <c r="W13" s="104"/>
      <c r="X13" s="104"/>
      <c r="Y13" s="104"/>
      <c r="Z13" s="104"/>
    </row>
    <row r="14" spans="1:26" x14ac:dyDescent="0.25">
      <c r="A14" s="123" t="s">
        <v>491</v>
      </c>
      <c r="B14" s="95" t="s">
        <v>452</v>
      </c>
      <c r="C14" s="95" t="s">
        <v>288</v>
      </c>
      <c r="D14" s="95" t="s">
        <v>424</v>
      </c>
      <c r="E14" s="118"/>
      <c r="F14" s="95" t="s">
        <v>659</v>
      </c>
      <c r="G14" s="104"/>
      <c r="H14" s="104"/>
      <c r="I14" s="104"/>
      <c r="J14" s="104"/>
      <c r="K14" s="104"/>
      <c r="L14" s="104"/>
      <c r="M14" s="104"/>
      <c r="N14" s="104"/>
      <c r="O14" s="104"/>
      <c r="P14" s="104"/>
      <c r="Q14" s="104"/>
      <c r="R14" s="104"/>
      <c r="S14" s="104"/>
      <c r="T14" s="104"/>
      <c r="U14" s="104"/>
      <c r="V14" s="104"/>
      <c r="W14" s="104"/>
      <c r="X14" s="104"/>
      <c r="Y14" s="104"/>
      <c r="Z14" s="104"/>
    </row>
    <row r="15" spans="1:26" x14ac:dyDescent="0.25">
      <c r="A15" s="123" t="s">
        <v>491</v>
      </c>
      <c r="B15" s="95" t="s">
        <v>452</v>
      </c>
      <c r="C15" s="95" t="s">
        <v>287</v>
      </c>
      <c r="D15" s="95" t="s">
        <v>424</v>
      </c>
      <c r="E15" s="118"/>
      <c r="F15" s="95" t="s">
        <v>659</v>
      </c>
      <c r="G15" s="104"/>
      <c r="H15" s="104"/>
      <c r="I15" s="104"/>
      <c r="J15" s="104"/>
      <c r="K15" s="104"/>
      <c r="L15" s="104"/>
      <c r="M15" s="104"/>
      <c r="N15" s="104"/>
      <c r="O15" s="104"/>
      <c r="P15" s="104"/>
      <c r="Q15" s="104"/>
      <c r="R15" s="104"/>
      <c r="S15" s="104"/>
      <c r="T15" s="104"/>
      <c r="U15" s="104"/>
      <c r="V15" s="104"/>
      <c r="W15" s="104"/>
      <c r="X15" s="104"/>
      <c r="Y15" s="104"/>
      <c r="Z15" s="104"/>
    </row>
    <row r="16" spans="1:26" x14ac:dyDescent="0.25">
      <c r="A16" s="123" t="s">
        <v>491</v>
      </c>
      <c r="B16" s="95" t="s">
        <v>452</v>
      </c>
      <c r="C16" s="95" t="s">
        <v>627</v>
      </c>
      <c r="D16" s="95" t="s">
        <v>424</v>
      </c>
      <c r="E16" s="118"/>
      <c r="F16" s="95" t="s">
        <v>659</v>
      </c>
      <c r="G16" s="104"/>
      <c r="H16" s="104"/>
      <c r="I16" s="104"/>
      <c r="J16" s="104"/>
      <c r="K16" s="104"/>
      <c r="L16" s="104"/>
      <c r="M16" s="104"/>
      <c r="N16" s="104"/>
      <c r="O16" s="104"/>
      <c r="P16" s="104"/>
      <c r="Q16" s="104"/>
      <c r="R16" s="104"/>
      <c r="S16" s="104"/>
      <c r="T16" s="104"/>
      <c r="U16" s="104"/>
      <c r="V16" s="104"/>
      <c r="W16" s="104"/>
      <c r="X16" s="104"/>
      <c r="Y16" s="104"/>
      <c r="Z16" s="104"/>
    </row>
    <row r="17" spans="1:26" x14ac:dyDescent="0.25">
      <c r="A17" s="123" t="s">
        <v>491</v>
      </c>
      <c r="B17" s="95" t="s">
        <v>455</v>
      </c>
      <c r="C17" s="95" t="s">
        <v>288</v>
      </c>
      <c r="D17" s="95" t="s">
        <v>424</v>
      </c>
      <c r="E17" s="118"/>
      <c r="F17" s="95" t="s">
        <v>659</v>
      </c>
      <c r="G17" s="104"/>
      <c r="H17" s="104"/>
      <c r="I17" s="104"/>
      <c r="J17" s="104"/>
      <c r="K17" s="104"/>
      <c r="L17" s="104"/>
      <c r="M17" s="104"/>
      <c r="N17" s="104"/>
      <c r="O17" s="104"/>
      <c r="P17" s="104"/>
      <c r="Q17" s="104"/>
      <c r="R17" s="104"/>
      <c r="S17" s="104"/>
      <c r="T17" s="104"/>
      <c r="U17" s="104"/>
      <c r="V17" s="104"/>
      <c r="W17" s="104"/>
      <c r="X17" s="104"/>
      <c r="Y17" s="104"/>
      <c r="Z17" s="104"/>
    </row>
    <row r="18" spans="1:26" x14ac:dyDescent="0.25">
      <c r="A18" s="123" t="s">
        <v>491</v>
      </c>
      <c r="B18" s="95" t="s">
        <v>455</v>
      </c>
      <c r="C18" s="95" t="s">
        <v>287</v>
      </c>
      <c r="D18" s="95" t="s">
        <v>424</v>
      </c>
      <c r="E18" s="124"/>
      <c r="F18" s="95" t="s">
        <v>659</v>
      </c>
    </row>
    <row r="19" spans="1:26" x14ac:dyDescent="0.25">
      <c r="A19" s="123" t="s">
        <v>491</v>
      </c>
      <c r="B19" s="95" t="s">
        <v>455</v>
      </c>
      <c r="C19" s="95" t="s">
        <v>627</v>
      </c>
      <c r="D19" s="95" t="s">
        <v>424</v>
      </c>
      <c r="E19" s="118"/>
      <c r="F19" s="95" t="s">
        <v>659</v>
      </c>
    </row>
    <row r="20" spans="1:26" x14ac:dyDescent="0.25">
      <c r="A20" s="123" t="s">
        <v>495</v>
      </c>
      <c r="B20" s="95" t="s">
        <v>452</v>
      </c>
      <c r="C20" s="95" t="s">
        <v>288</v>
      </c>
      <c r="D20" s="95" t="s">
        <v>424</v>
      </c>
      <c r="E20" s="118"/>
      <c r="F20" s="95" t="s">
        <v>659</v>
      </c>
      <c r="G20" s="104"/>
      <c r="H20" s="104"/>
      <c r="I20" s="104"/>
      <c r="J20" s="104"/>
      <c r="K20" s="104"/>
      <c r="L20" s="104"/>
      <c r="M20" s="104"/>
      <c r="N20" s="104"/>
      <c r="O20" s="104"/>
      <c r="P20" s="104"/>
      <c r="Q20" s="104"/>
      <c r="R20" s="104"/>
      <c r="S20" s="104"/>
      <c r="T20" s="104"/>
      <c r="U20" s="104"/>
      <c r="V20" s="104"/>
      <c r="W20" s="104"/>
      <c r="X20" s="104"/>
      <c r="Y20" s="104"/>
      <c r="Z20" s="104"/>
    </row>
    <row r="21" spans="1:26" x14ac:dyDescent="0.25">
      <c r="A21" s="123" t="s">
        <v>495</v>
      </c>
      <c r="B21" s="95" t="s">
        <v>452</v>
      </c>
      <c r="C21" s="95" t="s">
        <v>287</v>
      </c>
      <c r="D21" s="95" t="s">
        <v>424</v>
      </c>
      <c r="E21" s="118"/>
      <c r="F21" s="95" t="s">
        <v>659</v>
      </c>
      <c r="G21" s="104"/>
      <c r="H21" s="104"/>
      <c r="I21" s="104"/>
      <c r="J21" s="104"/>
      <c r="K21" s="104"/>
      <c r="L21" s="104"/>
      <c r="M21" s="104"/>
      <c r="N21" s="104"/>
      <c r="O21" s="104"/>
      <c r="P21" s="104"/>
      <c r="Q21" s="104"/>
      <c r="R21" s="104"/>
      <c r="S21" s="104"/>
      <c r="T21" s="104"/>
      <c r="U21" s="104"/>
      <c r="V21" s="104"/>
      <c r="W21" s="104"/>
      <c r="X21" s="104"/>
      <c r="Y21" s="104"/>
      <c r="Z21" s="104"/>
    </row>
    <row r="22" spans="1:26" x14ac:dyDescent="0.25">
      <c r="A22" s="123" t="s">
        <v>495</v>
      </c>
      <c r="B22" s="95" t="s">
        <v>452</v>
      </c>
      <c r="C22" s="95" t="s">
        <v>627</v>
      </c>
      <c r="D22" s="95" t="s">
        <v>424</v>
      </c>
      <c r="E22" s="118"/>
      <c r="F22" s="95" t="s">
        <v>659</v>
      </c>
      <c r="G22" s="104"/>
      <c r="H22" s="104"/>
      <c r="I22" s="104"/>
      <c r="J22" s="104"/>
      <c r="K22" s="104"/>
      <c r="L22" s="104"/>
      <c r="M22" s="104"/>
      <c r="N22" s="104"/>
      <c r="O22" s="104"/>
      <c r="P22" s="104"/>
      <c r="Q22" s="104"/>
      <c r="R22" s="104"/>
      <c r="S22" s="104"/>
      <c r="T22" s="104"/>
      <c r="U22" s="104"/>
      <c r="V22" s="104"/>
      <c r="W22" s="104"/>
      <c r="X22" s="104"/>
      <c r="Y22" s="104"/>
      <c r="Z22" s="104"/>
    </row>
    <row r="23" spans="1:26" x14ac:dyDescent="0.25">
      <c r="A23" s="123" t="s">
        <v>495</v>
      </c>
      <c r="B23" s="95" t="s">
        <v>455</v>
      </c>
      <c r="C23" s="95" t="s">
        <v>288</v>
      </c>
      <c r="D23" s="95" t="s">
        <v>424</v>
      </c>
      <c r="E23" s="118"/>
      <c r="F23" s="95" t="s">
        <v>659</v>
      </c>
      <c r="G23" s="104"/>
      <c r="H23" s="104"/>
      <c r="I23" s="104"/>
      <c r="J23" s="104"/>
      <c r="K23" s="104"/>
      <c r="L23" s="104"/>
      <c r="M23" s="104"/>
      <c r="N23" s="104"/>
      <c r="O23" s="104"/>
      <c r="P23" s="104"/>
      <c r="Q23" s="104"/>
      <c r="R23" s="104"/>
      <c r="S23" s="104"/>
      <c r="T23" s="104"/>
      <c r="U23" s="104"/>
      <c r="V23" s="104"/>
      <c r="W23" s="104"/>
      <c r="X23" s="104"/>
      <c r="Y23" s="104"/>
      <c r="Z23" s="104"/>
    </row>
    <row r="24" spans="1:26" x14ac:dyDescent="0.25">
      <c r="A24" s="123" t="s">
        <v>495</v>
      </c>
      <c r="B24" s="95" t="s">
        <v>455</v>
      </c>
      <c r="C24" s="95" t="s">
        <v>287</v>
      </c>
      <c r="D24" s="95" t="s">
        <v>424</v>
      </c>
      <c r="E24" s="124"/>
      <c r="F24" s="95" t="s">
        <v>659</v>
      </c>
    </row>
    <row r="25" spans="1:26" ht="13" thickBot="1" x14ac:dyDescent="0.3">
      <c r="A25" s="119" t="s">
        <v>495</v>
      </c>
      <c r="B25" s="126" t="s">
        <v>455</v>
      </c>
      <c r="C25" s="95" t="s">
        <v>627</v>
      </c>
      <c r="D25" s="126" t="s">
        <v>424</v>
      </c>
      <c r="E25" s="127"/>
      <c r="F25" s="95" t="s">
        <v>659</v>
      </c>
    </row>
    <row r="27" spans="1:26" ht="14.5" thickBot="1" x14ac:dyDescent="0.35">
      <c r="A27" s="122" t="s">
        <v>496</v>
      </c>
    </row>
    <row r="28" spans="1:26" x14ac:dyDescent="0.25">
      <c r="A28" s="128" t="s">
        <v>357</v>
      </c>
      <c r="B28" s="129" t="s">
        <v>10</v>
      </c>
      <c r="C28" s="129" t="s">
        <v>151</v>
      </c>
      <c r="D28" s="129" t="s">
        <v>396</v>
      </c>
      <c r="E28" s="129" t="s">
        <v>143</v>
      </c>
      <c r="F28" s="129" t="s">
        <v>56</v>
      </c>
      <c r="G28" s="129" t="s">
        <v>497</v>
      </c>
      <c r="H28" s="129" t="s">
        <v>498</v>
      </c>
      <c r="I28" s="130" t="s">
        <v>499</v>
      </c>
    </row>
    <row r="29" spans="1:26" x14ac:dyDescent="0.25">
      <c r="A29" s="118" t="s">
        <v>491</v>
      </c>
      <c r="B29" s="95" t="s">
        <v>452</v>
      </c>
      <c r="C29" s="95" t="s">
        <v>452</v>
      </c>
      <c r="D29" s="95" t="s">
        <v>500</v>
      </c>
      <c r="E29" s="95">
        <v>5157</v>
      </c>
      <c r="F29" s="95" t="s">
        <v>151</v>
      </c>
      <c r="G29" s="95">
        <v>15</v>
      </c>
      <c r="H29" s="95">
        <v>3</v>
      </c>
      <c r="I29" s="117" t="s">
        <v>501</v>
      </c>
    </row>
    <row r="30" spans="1:26" x14ac:dyDescent="0.25">
      <c r="A30" s="118" t="s">
        <v>491</v>
      </c>
      <c r="B30" s="95" t="s">
        <v>502</v>
      </c>
      <c r="C30" s="95" t="s">
        <v>452</v>
      </c>
      <c r="D30" s="95" t="s">
        <v>500</v>
      </c>
      <c r="E30" s="95">
        <v>5142</v>
      </c>
      <c r="F30" s="95" t="s">
        <v>151</v>
      </c>
      <c r="G30" s="95">
        <v>15</v>
      </c>
      <c r="H30" s="95">
        <v>3</v>
      </c>
      <c r="I30" s="117" t="s">
        <v>503</v>
      </c>
    </row>
    <row r="31" spans="1:26" x14ac:dyDescent="0.25">
      <c r="A31" s="118" t="s">
        <v>491</v>
      </c>
      <c r="B31" s="95" t="s">
        <v>455</v>
      </c>
      <c r="C31" s="95" t="s">
        <v>455</v>
      </c>
      <c r="D31" s="95" t="s">
        <v>500</v>
      </c>
      <c r="E31" s="95">
        <v>8157</v>
      </c>
      <c r="F31" s="95" t="s">
        <v>151</v>
      </c>
      <c r="G31" s="95">
        <v>15</v>
      </c>
      <c r="H31" s="95">
        <v>3</v>
      </c>
      <c r="I31" s="117" t="s">
        <v>501</v>
      </c>
    </row>
    <row r="32" spans="1:26" x14ac:dyDescent="0.25">
      <c r="A32" s="118" t="s">
        <v>491</v>
      </c>
      <c r="B32" s="95" t="s">
        <v>504</v>
      </c>
      <c r="C32" s="95" t="s">
        <v>455</v>
      </c>
      <c r="D32" s="95" t="s">
        <v>500</v>
      </c>
      <c r="E32" s="95">
        <v>8142</v>
      </c>
      <c r="F32" s="95" t="s">
        <v>151</v>
      </c>
      <c r="G32" s="95">
        <v>15</v>
      </c>
      <c r="H32" s="95">
        <v>3</v>
      </c>
      <c r="I32" s="117" t="s">
        <v>503</v>
      </c>
    </row>
    <row r="33" spans="1:9" x14ac:dyDescent="0.25">
      <c r="A33" s="118" t="s">
        <v>495</v>
      </c>
      <c r="B33" s="95" t="s">
        <v>452</v>
      </c>
      <c r="C33" s="95" t="s">
        <v>452</v>
      </c>
      <c r="D33" s="95" t="s">
        <v>500</v>
      </c>
      <c r="E33" s="131">
        <v>55104</v>
      </c>
      <c r="F33" s="95" t="s">
        <v>151</v>
      </c>
      <c r="G33" s="95">
        <v>15</v>
      </c>
      <c r="H33" s="95">
        <v>3</v>
      </c>
      <c r="I33" s="117" t="s">
        <v>501</v>
      </c>
    </row>
    <row r="34" spans="1:9" x14ac:dyDescent="0.25">
      <c r="A34" s="118" t="s">
        <v>495</v>
      </c>
      <c r="B34" s="95" t="s">
        <v>502</v>
      </c>
      <c r="C34" s="95" t="s">
        <v>452</v>
      </c>
      <c r="D34" s="95" t="s">
        <v>500</v>
      </c>
      <c r="E34" s="131">
        <v>54083</v>
      </c>
      <c r="F34" s="95" t="s">
        <v>151</v>
      </c>
      <c r="G34" s="95">
        <v>15</v>
      </c>
      <c r="H34" s="95">
        <v>3</v>
      </c>
      <c r="I34" s="117" t="s">
        <v>503</v>
      </c>
    </row>
    <row r="35" spans="1:9" x14ac:dyDescent="0.25">
      <c r="A35" s="118" t="s">
        <v>495</v>
      </c>
      <c r="B35" s="95" t="s">
        <v>455</v>
      </c>
      <c r="C35" s="95" t="s">
        <v>455</v>
      </c>
      <c r="D35" s="95" t="s">
        <v>500</v>
      </c>
      <c r="E35" s="131">
        <v>30138</v>
      </c>
      <c r="F35" s="95" t="s">
        <v>151</v>
      </c>
      <c r="G35" s="95">
        <v>15</v>
      </c>
      <c r="H35" s="95">
        <v>3</v>
      </c>
      <c r="I35" s="117" t="s">
        <v>501</v>
      </c>
    </row>
    <row r="36" spans="1:9" ht="13" thickBot="1" x14ac:dyDescent="0.3">
      <c r="A36" s="119" t="s">
        <v>495</v>
      </c>
      <c r="B36" s="126" t="s">
        <v>504</v>
      </c>
      <c r="C36" s="126" t="s">
        <v>455</v>
      </c>
      <c r="D36" s="126" t="s">
        <v>500</v>
      </c>
      <c r="E36" s="132">
        <v>30123</v>
      </c>
      <c r="F36" s="126" t="s">
        <v>151</v>
      </c>
      <c r="G36" s="126">
        <v>15</v>
      </c>
      <c r="H36" s="126">
        <v>3</v>
      </c>
      <c r="I36" s="121" t="s">
        <v>503</v>
      </c>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13EF8-59D5-49ED-A96E-8A94E4B22D0A}">
  <sheetPr codeName="Sheet33">
    <pageSetUpPr fitToPage="1"/>
  </sheetPr>
  <dimension ref="A1:Z58"/>
  <sheetViews>
    <sheetView zoomScale="85" workbookViewId="0">
      <selection activeCell="A3" sqref="A3"/>
    </sheetView>
  </sheetViews>
  <sheetFormatPr defaultRowHeight="12.5" x14ac:dyDescent="0.25"/>
  <cols>
    <col min="1" max="1" width="35.1796875" style="133" bestFit="1" customWidth="1"/>
    <col min="2" max="2" width="19" style="106" bestFit="1" customWidth="1"/>
    <col min="3" max="3" width="23.08984375" style="106" bestFit="1" customWidth="1"/>
    <col min="4" max="4" width="34.81640625" style="106" bestFit="1" customWidth="1"/>
    <col min="5" max="5" width="11.54296875" style="106" bestFit="1" customWidth="1"/>
    <col min="6" max="6" width="16.36328125" style="106" bestFit="1" customWidth="1"/>
    <col min="7" max="7" width="20.36328125" style="106" bestFit="1" customWidth="1"/>
    <col min="8" max="8" width="28.54296875" style="106" bestFit="1" customWidth="1"/>
    <col min="9" max="9" width="14.08984375" style="106" bestFit="1" customWidth="1"/>
    <col min="10" max="10" width="13.453125" style="106" bestFit="1" customWidth="1"/>
    <col min="11" max="11" width="18.36328125" style="106" bestFit="1" customWidth="1"/>
    <col min="12" max="12" width="19.36328125" style="125" bestFit="1" customWidth="1"/>
    <col min="13" max="13" width="18.36328125" style="125" bestFit="1" customWidth="1"/>
    <col min="14" max="14" width="14" style="125" bestFit="1" customWidth="1"/>
    <col min="15" max="15" width="52.6328125" style="125" bestFit="1" customWidth="1"/>
    <col min="16" max="16" width="12.36328125" style="106" bestFit="1" customWidth="1"/>
    <col min="17" max="17" width="14.08984375" style="125" bestFit="1" customWidth="1"/>
    <col min="18" max="18" width="12.90625" style="125" customWidth="1"/>
    <col min="19" max="19" width="13.54296875" style="125" bestFit="1" customWidth="1"/>
    <col min="20" max="20" width="31.36328125" style="106" bestFit="1" customWidth="1"/>
    <col min="21" max="21" width="7.453125" style="106" bestFit="1" customWidth="1"/>
    <col min="22" max="22" width="24.36328125" style="106" customWidth="1"/>
    <col min="23" max="23" width="55.26953125" style="106" bestFit="1" customWidth="1"/>
    <col min="24" max="24" width="10" style="106" bestFit="1" customWidth="1"/>
    <col min="25" max="25" width="71.6328125" style="106" bestFit="1" customWidth="1"/>
    <col min="26" max="26" width="5.36328125" style="106" bestFit="1" customWidth="1"/>
    <col min="27" max="27" width="11.36328125" style="106" bestFit="1" customWidth="1"/>
    <col min="28" max="28" width="8.6328125" style="106" bestFit="1" customWidth="1"/>
    <col min="29" max="29" width="11.08984375" style="106" bestFit="1" customWidth="1"/>
    <col min="30" max="30" width="9.6328125" style="106" bestFit="1" customWidth="1"/>
    <col min="31" max="31" width="27.08984375" style="106" bestFit="1" customWidth="1"/>
    <col min="32" max="32" width="7.90625" style="106" bestFit="1" customWidth="1"/>
    <col min="33" max="33" width="25.54296875" style="106" bestFit="1" customWidth="1"/>
    <col min="34" max="34" width="12.36328125" style="106" bestFit="1" customWidth="1"/>
    <col min="35" max="35" width="13.54296875" style="106" bestFit="1" customWidth="1"/>
    <col min="36" max="36" width="31.36328125" style="106" bestFit="1" customWidth="1"/>
    <col min="37" max="37" width="28.36328125" style="106" bestFit="1" customWidth="1"/>
    <col min="38" max="38" width="12.90625" style="106" bestFit="1" customWidth="1"/>
    <col min="39" max="39" width="11.36328125" style="106" bestFit="1" customWidth="1"/>
    <col min="40" max="40" width="29.36328125" style="106" bestFit="1" customWidth="1"/>
    <col min="41" max="41" width="7.453125" style="106" bestFit="1" customWidth="1"/>
    <col min="42" max="42" width="10" style="106" bestFit="1" customWidth="1"/>
    <col min="43" max="43" width="18.6328125" style="106" bestFit="1" customWidth="1"/>
    <col min="44" max="44" width="36.453125" style="106" bestFit="1" customWidth="1"/>
    <col min="45" max="46" width="8.54296875" style="106" customWidth="1"/>
    <col min="47" max="16384" width="8.7265625" style="106"/>
  </cols>
  <sheetData>
    <row r="1" spans="1:26" ht="18" x14ac:dyDescent="0.4">
      <c r="A1" s="103" t="s">
        <v>684</v>
      </c>
      <c r="B1" s="104"/>
      <c r="C1" s="104"/>
      <c r="D1" s="104"/>
      <c r="E1" s="104"/>
      <c r="F1" s="104"/>
      <c r="G1" s="104"/>
      <c r="H1" s="104"/>
      <c r="I1" s="104"/>
      <c r="J1" s="104"/>
      <c r="K1" s="104"/>
      <c r="L1" s="105"/>
      <c r="M1" s="105"/>
      <c r="N1" s="105"/>
      <c r="O1" s="105"/>
      <c r="P1" s="104"/>
      <c r="Q1" s="105"/>
      <c r="R1" s="105"/>
      <c r="S1" s="105"/>
      <c r="T1" s="104"/>
      <c r="U1" s="104"/>
      <c r="V1" s="104"/>
      <c r="W1" s="104"/>
      <c r="X1" s="104"/>
      <c r="Y1" s="104"/>
      <c r="Z1" s="104"/>
    </row>
    <row r="2" spans="1:26" ht="13" thickBot="1" x14ac:dyDescent="0.3">
      <c r="A2" s="107"/>
      <c r="B2" s="104"/>
      <c r="C2" s="104"/>
      <c r="D2" s="104"/>
      <c r="E2" s="104"/>
      <c r="F2" s="104"/>
      <c r="G2" s="104"/>
      <c r="H2" s="104"/>
      <c r="I2" s="104"/>
      <c r="J2" s="104"/>
      <c r="K2" s="104"/>
      <c r="L2" s="105"/>
      <c r="M2" s="105"/>
      <c r="N2" s="105"/>
      <c r="O2" s="105"/>
      <c r="P2" s="104"/>
      <c r="Q2" s="105"/>
      <c r="R2" s="105"/>
      <c r="S2" s="105"/>
      <c r="T2" s="104"/>
      <c r="U2" s="104"/>
      <c r="V2" s="104"/>
      <c r="W2" s="104"/>
      <c r="X2" s="104"/>
      <c r="Y2" s="104"/>
      <c r="Z2" s="104"/>
    </row>
    <row r="3" spans="1:26" x14ac:dyDescent="0.25">
      <c r="A3" s="108" t="s">
        <v>63</v>
      </c>
      <c r="B3" s="109" t="s">
        <v>64</v>
      </c>
      <c r="C3" s="104"/>
      <c r="D3" s="104"/>
      <c r="E3" s="104"/>
      <c r="F3" s="104"/>
      <c r="G3" s="104"/>
      <c r="H3" s="104"/>
      <c r="I3" s="104"/>
      <c r="J3" s="104"/>
      <c r="K3" s="104"/>
      <c r="L3" s="104"/>
      <c r="M3" s="104"/>
      <c r="N3" s="104"/>
      <c r="O3" s="104"/>
      <c r="P3" s="104"/>
      <c r="Q3" s="104"/>
      <c r="R3" s="104"/>
      <c r="S3" s="104"/>
      <c r="T3" s="104"/>
      <c r="U3" s="104"/>
      <c r="V3" s="104"/>
      <c r="W3" s="104"/>
      <c r="X3" s="104"/>
      <c r="Y3" s="104"/>
      <c r="Z3" s="104"/>
    </row>
    <row r="4" spans="1:26" ht="13" thickBot="1" x14ac:dyDescent="0.3">
      <c r="A4" s="110"/>
      <c r="B4" s="111"/>
      <c r="C4" s="104"/>
      <c r="D4" s="104"/>
      <c r="E4" s="104"/>
      <c r="F4" s="104"/>
      <c r="G4" s="104"/>
      <c r="H4" s="104"/>
      <c r="I4" s="104"/>
      <c r="J4" s="104"/>
      <c r="K4" s="104"/>
      <c r="L4" s="105"/>
      <c r="M4" s="105"/>
      <c r="N4" s="105"/>
      <c r="O4" s="105"/>
      <c r="P4" s="104"/>
      <c r="Q4" s="105"/>
      <c r="R4" s="105"/>
      <c r="S4" s="105"/>
      <c r="T4" s="104"/>
      <c r="U4" s="104"/>
      <c r="V4" s="104"/>
      <c r="W4" s="104"/>
      <c r="X4" s="104"/>
      <c r="Y4" s="104"/>
      <c r="Z4" s="104"/>
    </row>
    <row r="5" spans="1:26" x14ac:dyDescent="0.25">
      <c r="A5" s="107"/>
      <c r="B5" s="104"/>
      <c r="C5" s="104"/>
      <c r="D5" s="104"/>
      <c r="E5" s="104"/>
      <c r="F5" s="104"/>
      <c r="G5" s="104"/>
      <c r="H5" s="104"/>
      <c r="I5" s="104"/>
      <c r="J5" s="104"/>
      <c r="K5" s="104"/>
      <c r="L5" s="105"/>
      <c r="M5" s="105"/>
      <c r="N5" s="105"/>
      <c r="O5" s="105"/>
      <c r="P5" s="104"/>
      <c r="Q5" s="105"/>
      <c r="R5" s="105"/>
      <c r="S5" s="105"/>
      <c r="T5" s="104"/>
      <c r="U5" s="104"/>
      <c r="V5" s="104"/>
      <c r="W5" s="104"/>
      <c r="X5" s="104"/>
      <c r="Y5" s="104"/>
      <c r="Z5" s="104"/>
    </row>
    <row r="6" spans="1:26" ht="16" thickBot="1" x14ac:dyDescent="0.4">
      <c r="A6" s="112" t="s">
        <v>30</v>
      </c>
      <c r="B6" s="104"/>
      <c r="C6" s="104"/>
      <c r="D6" s="104"/>
      <c r="E6" s="104"/>
      <c r="F6" s="104"/>
      <c r="G6" s="104"/>
      <c r="H6" s="104"/>
      <c r="I6" s="104"/>
      <c r="J6" s="105"/>
      <c r="K6" s="105"/>
      <c r="L6" s="105"/>
      <c r="M6" s="105"/>
      <c r="N6" s="104"/>
      <c r="O6" s="105"/>
      <c r="P6" s="104"/>
      <c r="Q6" s="104"/>
      <c r="R6" s="104"/>
      <c r="S6" s="104"/>
      <c r="T6" s="104"/>
      <c r="U6" s="104"/>
      <c r="V6" s="104"/>
      <c r="W6" s="104"/>
      <c r="X6" s="104"/>
      <c r="Y6" s="104"/>
      <c r="Z6" s="104"/>
    </row>
    <row r="7" spans="1:26" ht="13" thickBot="1" x14ac:dyDescent="0.3">
      <c r="A7" s="151" t="s">
        <v>10</v>
      </c>
      <c r="B7" s="151" t="s">
        <v>60</v>
      </c>
      <c r="C7" s="151" t="s">
        <v>145</v>
      </c>
      <c r="D7" s="151" t="s">
        <v>146</v>
      </c>
      <c r="E7" s="151" t="s">
        <v>56</v>
      </c>
      <c r="F7" s="151" t="s">
        <v>325</v>
      </c>
      <c r="G7" s="151" t="s">
        <v>348</v>
      </c>
      <c r="H7" s="151" t="s">
        <v>349</v>
      </c>
      <c r="I7" s="151" t="s">
        <v>113</v>
      </c>
      <c r="J7" s="151" t="s">
        <v>112</v>
      </c>
      <c r="K7" s="151" t="s">
        <v>114</v>
      </c>
      <c r="L7" s="151" t="s">
        <v>350</v>
      </c>
      <c r="M7" s="151" t="s">
        <v>202</v>
      </c>
      <c r="N7" s="151" t="s">
        <v>75</v>
      </c>
      <c r="O7" s="151" t="s">
        <v>29</v>
      </c>
      <c r="P7" s="104"/>
      <c r="Q7" s="104"/>
      <c r="R7" s="104"/>
      <c r="S7" s="104"/>
      <c r="T7" s="104"/>
      <c r="U7" s="104"/>
      <c r="V7" s="104"/>
      <c r="W7" s="104"/>
      <c r="X7" s="104"/>
      <c r="Y7" s="104"/>
      <c r="Z7" s="104"/>
    </row>
    <row r="8" spans="1:26" x14ac:dyDescent="0.25">
      <c r="A8" s="356" t="s">
        <v>526</v>
      </c>
      <c r="B8" s="186" t="s">
        <v>451</v>
      </c>
      <c r="C8" s="186" t="s">
        <v>586</v>
      </c>
      <c r="D8" s="186" t="s">
        <v>587</v>
      </c>
      <c r="E8" s="186" t="s">
        <v>524</v>
      </c>
      <c r="F8" s="186" t="s">
        <v>588</v>
      </c>
      <c r="G8" s="186"/>
      <c r="H8" s="186"/>
      <c r="I8" s="186"/>
      <c r="J8" s="186"/>
      <c r="K8" s="186"/>
      <c r="L8" s="186"/>
      <c r="M8" s="186" t="s">
        <v>589</v>
      </c>
      <c r="N8" s="185"/>
      <c r="O8" s="365" t="s">
        <v>590</v>
      </c>
      <c r="P8" s="104"/>
      <c r="Q8" s="104"/>
      <c r="R8" s="104"/>
      <c r="S8" s="104"/>
      <c r="T8" s="104"/>
      <c r="U8" s="104"/>
      <c r="V8" s="104"/>
      <c r="W8" s="104"/>
      <c r="X8" s="104"/>
      <c r="Y8" s="104"/>
      <c r="Z8" s="104"/>
    </row>
    <row r="9" spans="1:26" ht="13" thickBot="1" x14ac:dyDescent="0.3">
      <c r="A9" s="304" t="s">
        <v>522</v>
      </c>
      <c r="B9" s="305" t="s">
        <v>456</v>
      </c>
      <c r="C9" s="305" t="s">
        <v>521</v>
      </c>
      <c r="D9" s="305" t="s">
        <v>525</v>
      </c>
      <c r="E9" s="305" t="s">
        <v>524</v>
      </c>
      <c r="F9" s="305"/>
      <c r="G9" s="305"/>
      <c r="H9" s="305"/>
      <c r="I9" s="305"/>
      <c r="J9" s="305"/>
      <c r="K9" s="305"/>
      <c r="L9" s="305"/>
      <c r="M9" s="305" t="s">
        <v>523</v>
      </c>
      <c r="N9" s="311"/>
      <c r="O9" s="352" t="s">
        <v>590</v>
      </c>
      <c r="P9" s="104"/>
      <c r="Q9" s="104"/>
      <c r="R9" s="104"/>
      <c r="S9" s="104"/>
      <c r="T9" s="104"/>
      <c r="U9" s="104"/>
      <c r="V9" s="104"/>
      <c r="W9" s="104"/>
      <c r="X9" s="104"/>
      <c r="Y9" s="104"/>
      <c r="Z9" s="104"/>
    </row>
    <row r="10" spans="1:26" x14ac:dyDescent="0.25">
      <c r="A10" s="107"/>
      <c r="B10" s="104"/>
      <c r="C10" s="104"/>
      <c r="D10" s="104"/>
      <c r="E10" s="104"/>
      <c r="F10" s="104"/>
      <c r="G10" s="104"/>
      <c r="H10" s="104"/>
      <c r="I10" s="104"/>
      <c r="J10" s="104"/>
      <c r="K10" s="104"/>
      <c r="L10" s="105"/>
      <c r="M10" s="105"/>
      <c r="N10" s="105"/>
      <c r="O10" s="105"/>
      <c r="P10" s="104"/>
      <c r="Q10" s="105"/>
      <c r="R10" s="105"/>
      <c r="S10" s="105"/>
      <c r="T10" s="104"/>
      <c r="U10" s="104"/>
      <c r="V10" s="104"/>
      <c r="W10" s="104"/>
      <c r="X10" s="104"/>
      <c r="Y10" s="104"/>
      <c r="Z10" s="104"/>
    </row>
    <row r="11" spans="1:26" ht="16" thickBot="1" x14ac:dyDescent="0.4">
      <c r="A11" s="112" t="s">
        <v>150</v>
      </c>
      <c r="B11" s="104"/>
      <c r="C11" s="104"/>
      <c r="D11" s="104"/>
      <c r="E11" s="104"/>
      <c r="F11" s="104"/>
      <c r="G11" s="104"/>
      <c r="H11" s="104"/>
      <c r="I11" s="104"/>
      <c r="J11" s="104"/>
      <c r="K11" s="104"/>
      <c r="L11" s="104"/>
      <c r="M11" s="104"/>
      <c r="N11" s="104"/>
      <c r="O11" s="104"/>
      <c r="P11" s="104"/>
      <c r="Q11" s="104"/>
      <c r="R11" s="104"/>
      <c r="S11" s="104"/>
      <c r="T11" s="104"/>
      <c r="U11" s="104"/>
      <c r="V11" s="104"/>
      <c r="W11" s="104"/>
      <c r="X11" s="104"/>
      <c r="Y11" s="104"/>
      <c r="Z11" s="104"/>
    </row>
    <row r="12" spans="1:26" ht="13" thickBot="1" x14ac:dyDescent="0.3">
      <c r="A12" s="151" t="s">
        <v>357</v>
      </c>
      <c r="B12" s="149" t="s">
        <v>10</v>
      </c>
      <c r="C12" s="149" t="s">
        <v>93</v>
      </c>
      <c r="D12" s="149" t="s">
        <v>75</v>
      </c>
      <c r="E12" s="149" t="s">
        <v>29</v>
      </c>
      <c r="F12" s="148" t="s">
        <v>29</v>
      </c>
      <c r="G12" s="104"/>
      <c r="H12" s="104"/>
      <c r="I12" s="104"/>
      <c r="J12" s="104"/>
      <c r="K12" s="104"/>
      <c r="L12" s="104"/>
      <c r="M12" s="104"/>
      <c r="N12" s="104"/>
      <c r="O12" s="104"/>
      <c r="P12" s="104"/>
      <c r="Q12" s="104"/>
      <c r="R12" s="104"/>
      <c r="S12" s="104"/>
      <c r="T12" s="104"/>
      <c r="U12" s="104"/>
      <c r="V12" s="104"/>
      <c r="W12" s="104"/>
      <c r="X12" s="104"/>
      <c r="Y12" s="104"/>
      <c r="Z12" s="104"/>
    </row>
    <row r="13" spans="1:26" ht="15.75" customHeight="1" x14ac:dyDescent="0.25">
      <c r="A13" s="161"/>
      <c r="B13" s="163"/>
      <c r="C13" s="163"/>
      <c r="D13" s="163"/>
      <c r="E13" s="163"/>
      <c r="F13" s="162"/>
      <c r="G13" s="104"/>
      <c r="H13" s="104"/>
      <c r="I13" s="104"/>
      <c r="J13" s="104"/>
      <c r="K13" s="104"/>
      <c r="L13" s="104"/>
      <c r="M13" s="104"/>
      <c r="N13" s="104"/>
      <c r="O13" s="104"/>
      <c r="P13" s="104"/>
      <c r="Q13" s="104"/>
      <c r="R13" s="104"/>
      <c r="S13" s="104"/>
      <c r="T13" s="104"/>
      <c r="U13" s="104"/>
      <c r="V13" s="104"/>
      <c r="W13" s="104"/>
      <c r="X13" s="104"/>
      <c r="Y13" s="104"/>
      <c r="Z13" s="104"/>
    </row>
    <row r="14" spans="1:26" ht="15.75" customHeight="1" thickBot="1" x14ac:dyDescent="0.3">
      <c r="A14" s="158"/>
      <c r="B14" s="157"/>
      <c r="C14" s="157"/>
      <c r="D14" s="157"/>
      <c r="E14" s="157"/>
      <c r="F14" s="156"/>
      <c r="G14" s="104"/>
      <c r="H14" s="104"/>
      <c r="I14" s="104"/>
      <c r="J14" s="104"/>
      <c r="K14" s="104"/>
      <c r="L14" s="104"/>
      <c r="M14" s="104"/>
      <c r="N14" s="104"/>
      <c r="O14" s="104"/>
      <c r="P14" s="104"/>
      <c r="Q14" s="104"/>
      <c r="R14" s="104"/>
      <c r="S14" s="104"/>
      <c r="T14" s="104"/>
      <c r="U14" s="104"/>
      <c r="V14" s="104"/>
      <c r="W14" s="104"/>
      <c r="X14" s="104"/>
      <c r="Y14" s="104"/>
      <c r="Z14" s="104"/>
    </row>
    <row r="15" spans="1:26" ht="15.75" customHeight="1" x14ac:dyDescent="0.35">
      <c r="A15" s="107"/>
      <c r="B15" s="107"/>
      <c r="C15" s="107"/>
      <c r="D15" s="107"/>
      <c r="E15" s="107"/>
      <c r="F15" s="107"/>
      <c r="G15" s="107"/>
      <c r="H15" s="107"/>
      <c r="I15" s="107"/>
      <c r="J15" s="107"/>
      <c r="K15" s="107"/>
      <c r="L15" s="107"/>
      <c r="M15" s="107"/>
      <c r="N15" s="107"/>
      <c r="O15" s="107"/>
      <c r="P15" s="107"/>
      <c r="Q15" s="107"/>
      <c r="R15" s="107"/>
      <c r="S15" s="107"/>
      <c r="T15" s="107"/>
      <c r="U15" s="31"/>
      <c r="V15" s="104"/>
      <c r="W15" s="104"/>
      <c r="X15" s="104"/>
      <c r="Y15" s="104"/>
      <c r="Z15" s="104"/>
    </row>
    <row r="16" spans="1:26" ht="16" thickBot="1" x14ac:dyDescent="0.4">
      <c r="A16" s="112" t="s">
        <v>151</v>
      </c>
      <c r="B16" s="104"/>
      <c r="C16" s="104"/>
      <c r="D16" s="104"/>
      <c r="E16" s="104"/>
      <c r="F16" s="104"/>
      <c r="G16" s="104"/>
      <c r="H16" s="104"/>
      <c r="I16" s="104"/>
      <c r="J16" s="105"/>
      <c r="K16" s="105"/>
      <c r="L16" s="105"/>
      <c r="M16" s="105"/>
      <c r="N16" s="104"/>
      <c r="O16" s="105"/>
      <c r="P16" s="105"/>
      <c r="Q16" s="105"/>
      <c r="R16" s="104"/>
      <c r="S16" s="104"/>
      <c r="T16" s="104"/>
      <c r="U16" s="104"/>
      <c r="V16" s="104"/>
      <c r="W16" s="104"/>
      <c r="X16" s="104"/>
      <c r="Y16" s="104"/>
      <c r="Z16" s="104"/>
    </row>
    <row r="17" spans="1:26" ht="13" thickBot="1" x14ac:dyDescent="0.3">
      <c r="A17" s="151" t="s">
        <v>357</v>
      </c>
      <c r="B17" s="149" t="s">
        <v>10</v>
      </c>
      <c r="C17" s="149" t="s">
        <v>31</v>
      </c>
      <c r="D17" s="149" t="s">
        <v>152</v>
      </c>
      <c r="E17" s="149" t="s">
        <v>154</v>
      </c>
      <c r="F17" s="149" t="s">
        <v>5</v>
      </c>
      <c r="G17" s="149" t="s">
        <v>155</v>
      </c>
      <c r="H17" s="149" t="s">
        <v>156</v>
      </c>
      <c r="I17" s="149" t="s">
        <v>157</v>
      </c>
      <c r="J17" s="149" t="s">
        <v>158</v>
      </c>
      <c r="K17" s="149" t="s">
        <v>159</v>
      </c>
      <c r="L17" s="149" t="s">
        <v>160</v>
      </c>
      <c r="M17" s="149" t="s">
        <v>2</v>
      </c>
      <c r="N17" s="149" t="s">
        <v>4</v>
      </c>
      <c r="O17" s="149" t="s">
        <v>161</v>
      </c>
      <c r="P17" s="149" t="s">
        <v>3</v>
      </c>
      <c r="Q17" s="149" t="s">
        <v>24</v>
      </c>
      <c r="R17" s="149" t="s">
        <v>162</v>
      </c>
      <c r="S17" s="149" t="s">
        <v>163</v>
      </c>
      <c r="T17" s="149" t="s">
        <v>32</v>
      </c>
      <c r="U17" s="149" t="s">
        <v>164</v>
      </c>
      <c r="V17" s="149" t="s">
        <v>165</v>
      </c>
      <c r="W17" s="149" t="s">
        <v>166</v>
      </c>
      <c r="X17" s="149" t="s">
        <v>75</v>
      </c>
      <c r="Y17" s="148" t="s">
        <v>29</v>
      </c>
      <c r="Z17" s="104"/>
    </row>
    <row r="18" spans="1:26" ht="15.75" customHeight="1" x14ac:dyDescent="0.25">
      <c r="A18" s="356" t="s">
        <v>526</v>
      </c>
      <c r="B18" s="161" t="s">
        <v>685</v>
      </c>
      <c r="C18" s="249" t="s">
        <v>686</v>
      </c>
      <c r="D18" s="249" t="s">
        <v>687</v>
      </c>
      <c r="E18" s="163"/>
      <c r="F18" s="163"/>
      <c r="G18" s="163"/>
      <c r="H18" s="163"/>
      <c r="I18" s="163"/>
      <c r="J18" s="163"/>
      <c r="K18" s="163" t="s">
        <v>424</v>
      </c>
      <c r="L18" s="163" t="s">
        <v>424</v>
      </c>
      <c r="M18" s="163" t="s">
        <v>689</v>
      </c>
      <c r="N18" s="163"/>
      <c r="O18" s="163"/>
      <c r="P18" s="163"/>
      <c r="Q18" s="163"/>
      <c r="R18" s="163"/>
      <c r="S18" s="163"/>
      <c r="T18" s="163"/>
      <c r="U18" s="163" t="s">
        <v>688</v>
      </c>
      <c r="V18" s="163" t="s">
        <v>424</v>
      </c>
      <c r="W18" s="163"/>
      <c r="X18" s="163"/>
      <c r="Y18" s="377" t="s">
        <v>690</v>
      </c>
      <c r="Z18" s="104"/>
    </row>
    <row r="19" spans="1:26" ht="15.75" customHeight="1" thickBot="1" x14ac:dyDescent="0.3">
      <c r="A19" s="158"/>
      <c r="B19" s="157"/>
      <c r="C19" s="157"/>
      <c r="D19" s="157"/>
      <c r="E19" s="157"/>
      <c r="F19" s="157"/>
      <c r="G19" s="157"/>
      <c r="H19" s="157"/>
      <c r="I19" s="157"/>
      <c r="J19" s="157"/>
      <c r="K19" s="157"/>
      <c r="L19" s="157"/>
      <c r="M19" s="157"/>
      <c r="N19" s="157"/>
      <c r="O19" s="157"/>
      <c r="P19" s="157"/>
      <c r="Q19" s="157"/>
      <c r="R19" s="157"/>
      <c r="S19" s="157"/>
      <c r="T19" s="157"/>
      <c r="U19" s="157"/>
      <c r="V19" s="157"/>
      <c r="W19" s="157"/>
      <c r="X19" s="157"/>
      <c r="Y19" s="156"/>
      <c r="Z19" s="104"/>
    </row>
    <row r="20" spans="1:26" ht="15.75" customHeight="1" x14ac:dyDescent="0.35">
      <c r="A20" s="107"/>
      <c r="B20" s="107"/>
      <c r="C20" s="107"/>
      <c r="D20" s="107"/>
      <c r="E20" s="107"/>
      <c r="F20" s="107"/>
      <c r="G20" s="107"/>
      <c r="H20" s="107"/>
      <c r="I20" s="107"/>
      <c r="J20" s="107"/>
      <c r="K20" s="107"/>
      <c r="L20" s="107"/>
      <c r="M20" s="107"/>
      <c r="N20" s="107"/>
      <c r="O20" s="107"/>
      <c r="P20" s="107"/>
      <c r="Q20" s="107"/>
      <c r="R20" s="107"/>
      <c r="S20" s="107"/>
      <c r="T20" s="107"/>
      <c r="U20" s="31"/>
      <c r="V20" s="104"/>
      <c r="W20" s="104"/>
      <c r="X20" s="104"/>
      <c r="Y20" s="104"/>
      <c r="Z20" s="104"/>
    </row>
    <row r="21" spans="1:26" ht="14.5" thickBot="1" x14ac:dyDescent="0.35">
      <c r="A21" s="122" t="s">
        <v>180</v>
      </c>
      <c r="B21" s="104"/>
      <c r="C21" s="104"/>
      <c r="D21" s="104"/>
      <c r="E21" s="104"/>
      <c r="F21" s="104"/>
      <c r="G21" s="104"/>
      <c r="H21" s="104"/>
      <c r="I21" s="104"/>
      <c r="J21" s="105"/>
      <c r="K21" s="105"/>
      <c r="L21" s="105"/>
      <c r="M21" s="105"/>
      <c r="N21" s="104"/>
      <c r="O21" s="105"/>
      <c r="P21" s="105"/>
      <c r="Q21" s="105"/>
      <c r="R21" s="104"/>
      <c r="S21" s="104"/>
      <c r="T21" s="104"/>
      <c r="U21" s="104"/>
      <c r="V21" s="104"/>
      <c r="W21" s="104"/>
      <c r="X21" s="104"/>
      <c r="Y21" s="104"/>
      <c r="Z21" s="104"/>
    </row>
    <row r="22" spans="1:26" ht="13" thickBot="1" x14ac:dyDescent="0.3">
      <c r="A22" s="151" t="s">
        <v>357</v>
      </c>
      <c r="B22" s="149" t="s">
        <v>182</v>
      </c>
      <c r="C22" s="149" t="s">
        <v>181</v>
      </c>
      <c r="D22" s="149" t="s">
        <v>165</v>
      </c>
      <c r="E22" s="149" t="s">
        <v>75</v>
      </c>
      <c r="F22" s="149" t="s">
        <v>29</v>
      </c>
      <c r="G22" s="104"/>
      <c r="H22" s="104"/>
      <c r="I22" s="104"/>
      <c r="J22" s="104"/>
      <c r="K22" s="104"/>
      <c r="L22" s="104"/>
      <c r="M22" s="104"/>
      <c r="N22" s="104"/>
      <c r="O22" s="104"/>
      <c r="P22" s="104"/>
      <c r="Q22" s="104"/>
      <c r="R22" s="104"/>
      <c r="S22" s="104"/>
      <c r="T22" s="104"/>
      <c r="U22" s="104"/>
      <c r="V22" s="104"/>
      <c r="W22" s="104"/>
      <c r="X22" s="104"/>
      <c r="Y22" s="104"/>
      <c r="Z22" s="104"/>
    </row>
    <row r="23" spans="1:26" ht="15.75" customHeight="1" x14ac:dyDescent="0.25">
      <c r="A23" s="161"/>
      <c r="B23" s="160"/>
      <c r="C23" s="160"/>
      <c r="D23" s="160"/>
      <c r="E23" s="160"/>
      <c r="F23" s="160"/>
      <c r="G23" s="104"/>
      <c r="H23" s="104"/>
      <c r="I23" s="104"/>
      <c r="J23" s="104"/>
      <c r="K23" s="104"/>
      <c r="L23" s="104"/>
      <c r="M23" s="104"/>
      <c r="N23" s="104"/>
      <c r="O23" s="104"/>
      <c r="P23" s="104"/>
      <c r="Q23" s="104"/>
      <c r="R23" s="104"/>
      <c r="S23" s="104"/>
      <c r="T23" s="104"/>
      <c r="U23" s="104"/>
      <c r="V23" s="104"/>
      <c r="W23" s="104"/>
      <c r="X23" s="104"/>
      <c r="Y23" s="104"/>
      <c r="Z23" s="104"/>
    </row>
    <row r="24" spans="1:26" ht="15.75" customHeight="1" thickBot="1" x14ac:dyDescent="0.3">
      <c r="A24" s="158"/>
      <c r="B24" s="157"/>
      <c r="C24" s="157"/>
      <c r="D24" s="157"/>
      <c r="E24" s="157"/>
      <c r="F24" s="157"/>
      <c r="G24" s="104"/>
      <c r="H24" s="104"/>
      <c r="I24" s="104"/>
      <c r="J24" s="104"/>
      <c r="K24" s="104"/>
      <c r="L24" s="104"/>
      <c r="M24" s="104"/>
      <c r="N24" s="104"/>
      <c r="O24" s="104"/>
      <c r="P24" s="104"/>
      <c r="Q24" s="104"/>
      <c r="R24" s="104"/>
      <c r="S24" s="104"/>
      <c r="T24" s="104"/>
      <c r="U24" s="104"/>
      <c r="V24" s="104"/>
      <c r="W24" s="104"/>
      <c r="X24" s="104"/>
      <c r="Y24" s="104"/>
      <c r="Z24" s="104"/>
    </row>
    <row r="25" spans="1:26" ht="15.75" customHeight="1" x14ac:dyDescent="0.35">
      <c r="A25" s="107"/>
      <c r="B25" s="107"/>
      <c r="C25" s="107"/>
      <c r="D25" s="107"/>
      <c r="E25" s="107"/>
      <c r="F25" s="107"/>
      <c r="G25" s="107"/>
      <c r="H25" s="107"/>
      <c r="I25" s="107"/>
      <c r="J25" s="107"/>
      <c r="K25" s="107"/>
      <c r="L25" s="107"/>
      <c r="M25" s="107"/>
      <c r="N25" s="107"/>
      <c r="O25" s="107"/>
      <c r="P25" s="107"/>
      <c r="Q25" s="107"/>
      <c r="R25" s="107"/>
      <c r="S25" s="107"/>
      <c r="T25" s="107"/>
      <c r="U25" s="31"/>
      <c r="V25" s="104"/>
      <c r="W25" s="104"/>
      <c r="X25" s="104"/>
      <c r="Y25" s="104"/>
      <c r="Z25" s="104"/>
    </row>
    <row r="26" spans="1:26" ht="16" thickBot="1" x14ac:dyDescent="0.4">
      <c r="A26" s="112" t="s">
        <v>172</v>
      </c>
      <c r="B26" s="104"/>
      <c r="C26" s="104"/>
      <c r="D26" s="104"/>
      <c r="E26" s="104"/>
      <c r="F26" s="104"/>
      <c r="G26" s="104"/>
      <c r="H26" s="104"/>
      <c r="I26" s="104"/>
      <c r="J26" s="105"/>
      <c r="K26" s="105"/>
      <c r="L26" s="105"/>
      <c r="M26" s="105"/>
      <c r="N26" s="104"/>
      <c r="O26" s="105"/>
      <c r="P26" s="105"/>
      <c r="Q26" s="105"/>
      <c r="R26" s="104"/>
      <c r="S26" s="104"/>
      <c r="T26" s="104"/>
      <c r="U26" s="104"/>
      <c r="V26" s="104"/>
      <c r="W26" s="104"/>
      <c r="X26" s="104"/>
      <c r="Y26" s="104"/>
      <c r="Z26" s="104"/>
    </row>
    <row r="27" spans="1:26" ht="13" thickBot="1" x14ac:dyDescent="0.3">
      <c r="A27" s="151" t="s">
        <v>357</v>
      </c>
      <c r="B27" s="149" t="s">
        <v>10</v>
      </c>
      <c r="C27" s="149" t="s">
        <v>5</v>
      </c>
      <c r="D27" s="149" t="s">
        <v>173</v>
      </c>
      <c r="E27" s="149" t="s">
        <v>174</v>
      </c>
      <c r="F27" s="149" t="s">
        <v>153</v>
      </c>
      <c r="G27" s="149" t="s">
        <v>154</v>
      </c>
      <c r="H27" s="149" t="s">
        <v>0</v>
      </c>
      <c r="I27" s="149" t="s">
        <v>175</v>
      </c>
      <c r="J27" s="149" t="s">
        <v>158</v>
      </c>
      <c r="K27" s="149" t="s">
        <v>176</v>
      </c>
      <c r="L27" s="149" t="s">
        <v>2</v>
      </c>
      <c r="M27" s="149" t="s">
        <v>4</v>
      </c>
      <c r="N27" s="149" t="s">
        <v>3</v>
      </c>
      <c r="O27" s="149" t="s">
        <v>24</v>
      </c>
      <c r="P27" s="149" t="s">
        <v>162</v>
      </c>
      <c r="Q27" s="149" t="s">
        <v>163</v>
      </c>
      <c r="R27" s="149" t="s">
        <v>32</v>
      </c>
      <c r="S27" s="149" t="s">
        <v>177</v>
      </c>
      <c r="T27" s="149" t="s">
        <v>178</v>
      </c>
      <c r="U27" s="149" t="s">
        <v>179</v>
      </c>
      <c r="V27" s="149" t="s">
        <v>75</v>
      </c>
      <c r="W27" s="148" t="s">
        <v>29</v>
      </c>
      <c r="X27" s="104"/>
      <c r="Y27" s="104"/>
      <c r="Z27" s="104"/>
    </row>
    <row r="28" spans="1:26" ht="15.75" customHeight="1" x14ac:dyDescent="0.25">
      <c r="A28" s="118" t="s">
        <v>522</v>
      </c>
      <c r="B28" s="152" t="s">
        <v>597</v>
      </c>
      <c r="C28" s="152" t="s">
        <v>519</v>
      </c>
      <c r="D28" s="187" t="s">
        <v>424</v>
      </c>
      <c r="E28" s="153"/>
      <c r="F28" s="152"/>
      <c r="G28" s="152"/>
      <c r="H28" s="152" t="s">
        <v>597</v>
      </c>
      <c r="I28" s="152" t="s">
        <v>635</v>
      </c>
      <c r="J28" s="152"/>
      <c r="K28" s="152"/>
      <c r="L28" s="152" t="s">
        <v>5</v>
      </c>
      <c r="M28" s="152"/>
      <c r="N28" s="152"/>
      <c r="O28" s="152"/>
      <c r="P28" s="152"/>
      <c r="Q28" s="152"/>
      <c r="R28" s="152"/>
      <c r="S28" s="152"/>
      <c r="T28" s="152" t="s">
        <v>424</v>
      </c>
      <c r="U28" s="152"/>
      <c r="V28" s="152"/>
      <c r="W28" s="152" t="s">
        <v>661</v>
      </c>
      <c r="X28" s="104"/>
      <c r="Y28" s="104"/>
      <c r="Z28" s="104"/>
    </row>
    <row r="29" spans="1:26" ht="14.5" x14ac:dyDescent="0.35">
      <c r="A29" s="118" t="s">
        <v>522</v>
      </c>
      <c r="B29" s="152" t="s">
        <v>598</v>
      </c>
      <c r="C29" s="152" t="s">
        <v>598</v>
      </c>
      <c r="D29" s="187" t="s">
        <v>424</v>
      </c>
      <c r="E29" s="153"/>
      <c r="F29" s="152"/>
      <c r="G29" s="152"/>
      <c r="H29" s="152" t="s">
        <v>599</v>
      </c>
      <c r="I29" s="152" t="s">
        <v>636</v>
      </c>
      <c r="J29" s="216"/>
      <c r="K29" s="216"/>
      <c r="L29" s="152" t="s">
        <v>5</v>
      </c>
      <c r="M29" s="216"/>
      <c r="N29" s="216"/>
      <c r="O29" s="216"/>
      <c r="P29" s="216"/>
      <c r="Q29" s="216"/>
      <c r="R29" s="216"/>
      <c r="S29" s="216"/>
      <c r="T29" s="152" t="s">
        <v>424</v>
      </c>
      <c r="U29" s="217"/>
      <c r="V29" s="191"/>
      <c r="W29" s="152" t="s">
        <v>661</v>
      </c>
      <c r="X29" s="104"/>
      <c r="Y29" s="104"/>
      <c r="Z29" s="104"/>
    </row>
    <row r="30" spans="1:26" x14ac:dyDescent="0.25">
      <c r="A30" s="118" t="s">
        <v>522</v>
      </c>
      <c r="B30" s="152" t="s">
        <v>600</v>
      </c>
      <c r="C30" s="152" t="s">
        <v>600</v>
      </c>
      <c r="D30" s="187" t="s">
        <v>424</v>
      </c>
      <c r="E30" s="153"/>
      <c r="F30" s="152"/>
      <c r="G30" s="152"/>
      <c r="H30" s="152" t="s">
        <v>600</v>
      </c>
      <c r="I30" s="152" t="s">
        <v>637</v>
      </c>
      <c r="J30" s="124"/>
      <c r="K30" s="124"/>
      <c r="L30" s="152" t="s">
        <v>5</v>
      </c>
      <c r="M30" s="124"/>
      <c r="N30" s="124"/>
      <c r="O30" s="124"/>
      <c r="P30" s="124"/>
      <c r="Q30" s="124"/>
      <c r="R30" s="124"/>
      <c r="S30" s="124"/>
      <c r="T30" s="152" t="s">
        <v>424</v>
      </c>
      <c r="U30" s="124"/>
      <c r="V30" s="124"/>
      <c r="W30" s="152" t="s">
        <v>661</v>
      </c>
      <c r="X30" s="104"/>
      <c r="Y30" s="104"/>
      <c r="Z30" s="104"/>
    </row>
    <row r="31" spans="1:26" x14ac:dyDescent="0.25">
      <c r="A31" s="118" t="s">
        <v>522</v>
      </c>
      <c r="B31" s="152" t="s">
        <v>517</v>
      </c>
      <c r="C31" s="152" t="s">
        <v>517</v>
      </c>
      <c r="D31" s="187" t="s">
        <v>424</v>
      </c>
      <c r="E31" s="153"/>
      <c r="F31" s="152"/>
      <c r="G31" s="152"/>
      <c r="H31" s="152" t="s">
        <v>601</v>
      </c>
      <c r="I31" s="152" t="s">
        <v>638</v>
      </c>
      <c r="J31" s="124"/>
      <c r="K31" s="124"/>
      <c r="L31" s="152" t="s">
        <v>5</v>
      </c>
      <c r="M31" s="124"/>
      <c r="N31" s="124"/>
      <c r="O31" s="124"/>
      <c r="P31" s="124"/>
      <c r="Q31" s="124"/>
      <c r="R31" s="124"/>
      <c r="S31" s="124"/>
      <c r="T31" s="152" t="s">
        <v>424</v>
      </c>
      <c r="U31" s="124"/>
      <c r="V31" s="124"/>
      <c r="W31" s="152" t="s">
        <v>661</v>
      </c>
      <c r="X31" s="104"/>
      <c r="Y31" s="104"/>
      <c r="Z31" s="104"/>
    </row>
    <row r="32" spans="1:26" x14ac:dyDescent="0.25">
      <c r="A32" s="118" t="s">
        <v>522</v>
      </c>
      <c r="B32" s="81" t="s">
        <v>602</v>
      </c>
      <c r="C32" s="81" t="s">
        <v>602</v>
      </c>
      <c r="D32" s="187" t="s">
        <v>424</v>
      </c>
      <c r="E32" s="35"/>
      <c r="F32" s="35"/>
      <c r="G32" s="35"/>
      <c r="H32" s="81" t="s">
        <v>602</v>
      </c>
      <c r="I32" s="81" t="s">
        <v>639</v>
      </c>
      <c r="J32" s="124"/>
      <c r="K32" s="124"/>
      <c r="L32" s="152" t="s">
        <v>5</v>
      </c>
      <c r="M32" s="124"/>
      <c r="N32" s="124"/>
      <c r="O32" s="124"/>
      <c r="P32" s="124"/>
      <c r="Q32" s="124"/>
      <c r="R32" s="124"/>
      <c r="S32" s="124"/>
      <c r="T32" s="152" t="s">
        <v>424</v>
      </c>
      <c r="U32" s="124"/>
      <c r="V32" s="124"/>
      <c r="W32" s="152" t="s">
        <v>661</v>
      </c>
      <c r="X32" s="104"/>
      <c r="Y32" s="104"/>
      <c r="Z32" s="104"/>
    </row>
    <row r="33" spans="1:26" x14ac:dyDescent="0.25">
      <c r="A33" s="118" t="s">
        <v>522</v>
      </c>
      <c r="B33" s="81" t="s">
        <v>603</v>
      </c>
      <c r="C33" s="81" t="s">
        <v>603</v>
      </c>
      <c r="D33" s="187" t="s">
        <v>424</v>
      </c>
      <c r="E33" s="35"/>
      <c r="F33" s="35"/>
      <c r="G33" s="35"/>
      <c r="H33" s="81" t="s">
        <v>604</v>
      </c>
      <c r="I33" s="81" t="s">
        <v>640</v>
      </c>
      <c r="J33" s="124"/>
      <c r="K33" s="124"/>
      <c r="L33" s="152" t="s">
        <v>5</v>
      </c>
      <c r="M33" s="124"/>
      <c r="N33" s="124"/>
      <c r="O33" s="124"/>
      <c r="P33" s="124"/>
      <c r="Q33" s="124"/>
      <c r="R33" s="124"/>
      <c r="S33" s="124"/>
      <c r="T33" s="152" t="s">
        <v>424</v>
      </c>
      <c r="U33" s="124"/>
      <c r="V33" s="124"/>
      <c r="W33" s="152" t="s">
        <v>661</v>
      </c>
      <c r="X33" s="104"/>
      <c r="Y33" s="104"/>
      <c r="Z33" s="104"/>
    </row>
    <row r="34" spans="1:26" x14ac:dyDescent="0.25">
      <c r="A34" s="118" t="s">
        <v>526</v>
      </c>
      <c r="B34" s="81" t="s">
        <v>519</v>
      </c>
      <c r="C34" s="81" t="s">
        <v>519</v>
      </c>
      <c r="D34" s="187" t="s">
        <v>424</v>
      </c>
      <c r="E34" s="81"/>
      <c r="F34" s="81"/>
      <c r="G34" s="81"/>
      <c r="H34" s="81" t="s">
        <v>519</v>
      </c>
      <c r="I34" s="81" t="s">
        <v>641</v>
      </c>
      <c r="J34" s="124"/>
      <c r="K34" s="124"/>
      <c r="L34" s="152" t="s">
        <v>5</v>
      </c>
      <c r="M34" s="124"/>
      <c r="N34" s="124"/>
      <c r="O34" s="124"/>
      <c r="P34" s="124"/>
      <c r="Q34" s="124"/>
      <c r="R34" s="124"/>
      <c r="S34" s="124"/>
      <c r="T34" s="152" t="s">
        <v>424</v>
      </c>
      <c r="U34" s="124"/>
      <c r="V34" s="124"/>
      <c r="W34" s="152" t="s">
        <v>661</v>
      </c>
      <c r="X34" s="104"/>
      <c r="Y34" s="104"/>
      <c r="Z34" s="104"/>
    </row>
    <row r="35" spans="1:26" x14ac:dyDescent="0.25">
      <c r="A35" s="118" t="s">
        <v>526</v>
      </c>
      <c r="B35" s="81" t="s">
        <v>605</v>
      </c>
      <c r="C35" s="81" t="s">
        <v>605</v>
      </c>
      <c r="D35" s="187" t="s">
        <v>424</v>
      </c>
      <c r="E35" s="81"/>
      <c r="F35" s="81"/>
      <c r="G35" s="81"/>
      <c r="H35" s="81" t="s">
        <v>606</v>
      </c>
      <c r="I35" s="81" t="s">
        <v>642</v>
      </c>
      <c r="J35" s="124"/>
      <c r="K35" s="124"/>
      <c r="L35" s="152" t="s">
        <v>5</v>
      </c>
      <c r="M35" s="124"/>
      <c r="N35" s="124"/>
      <c r="O35" s="124"/>
      <c r="P35" s="124"/>
      <c r="Q35" s="124"/>
      <c r="R35" s="124"/>
      <c r="S35" s="124"/>
      <c r="T35" s="152" t="s">
        <v>424</v>
      </c>
      <c r="U35" s="124"/>
      <c r="V35" s="124"/>
      <c r="W35" s="152" t="s">
        <v>661</v>
      </c>
      <c r="Y35" s="104"/>
      <c r="Z35" s="104"/>
    </row>
    <row r="36" spans="1:26" x14ac:dyDescent="0.25">
      <c r="A36" s="118" t="s">
        <v>526</v>
      </c>
      <c r="B36" s="81" t="s">
        <v>607</v>
      </c>
      <c r="C36" s="81" t="s">
        <v>607</v>
      </c>
      <c r="D36" s="187" t="s">
        <v>424</v>
      </c>
      <c r="E36" s="81"/>
      <c r="F36" s="81"/>
      <c r="G36" s="81"/>
      <c r="H36" s="81" t="s">
        <v>608</v>
      </c>
      <c r="I36" s="81" t="s">
        <v>643</v>
      </c>
      <c r="J36" s="124"/>
      <c r="K36" s="124"/>
      <c r="L36" s="152" t="s">
        <v>5</v>
      </c>
      <c r="M36" s="124"/>
      <c r="N36" s="124"/>
      <c r="O36" s="124"/>
      <c r="P36" s="124"/>
      <c r="Q36" s="124"/>
      <c r="R36" s="124"/>
      <c r="S36" s="124"/>
      <c r="T36" s="152" t="s">
        <v>424</v>
      </c>
      <c r="U36" s="124"/>
      <c r="V36" s="124"/>
      <c r="W36" s="152" t="s">
        <v>661</v>
      </c>
    </row>
    <row r="37" spans="1:26" x14ac:dyDescent="0.25">
      <c r="A37" s="118" t="s">
        <v>526</v>
      </c>
      <c r="B37" s="81" t="s">
        <v>609</v>
      </c>
      <c r="C37" s="81" t="s">
        <v>609</v>
      </c>
      <c r="D37" s="187" t="s">
        <v>424</v>
      </c>
      <c r="E37" s="81"/>
      <c r="F37" s="81"/>
      <c r="G37" s="81"/>
      <c r="H37" s="81" t="s">
        <v>610</v>
      </c>
      <c r="I37" s="81" t="s">
        <v>644</v>
      </c>
      <c r="J37" s="124"/>
      <c r="K37" s="124"/>
      <c r="L37" s="152" t="s">
        <v>5</v>
      </c>
      <c r="M37" s="124"/>
      <c r="N37" s="124"/>
      <c r="O37" s="124"/>
      <c r="P37" s="124"/>
      <c r="Q37" s="124"/>
      <c r="R37" s="124"/>
      <c r="S37" s="124"/>
      <c r="T37" s="152" t="s">
        <v>424</v>
      </c>
      <c r="U37" s="124"/>
      <c r="V37" s="124"/>
      <c r="W37" s="152" t="s">
        <v>661</v>
      </c>
    </row>
    <row r="38" spans="1:26" x14ac:dyDescent="0.25">
      <c r="A38" s="118" t="s">
        <v>526</v>
      </c>
      <c r="B38" s="81" t="s">
        <v>611</v>
      </c>
      <c r="C38" s="81" t="s">
        <v>612</v>
      </c>
      <c r="D38" s="187" t="s">
        <v>424</v>
      </c>
      <c r="E38" s="81"/>
      <c r="F38" s="81"/>
      <c r="G38" s="81"/>
      <c r="H38" s="81" t="s">
        <v>613</v>
      </c>
      <c r="I38" s="81" t="s">
        <v>645</v>
      </c>
      <c r="J38" s="124"/>
      <c r="K38" s="124"/>
      <c r="L38" s="152" t="s">
        <v>5</v>
      </c>
      <c r="M38" s="124"/>
      <c r="N38" s="124"/>
      <c r="O38" s="124"/>
      <c r="P38" s="124"/>
      <c r="Q38" s="124"/>
      <c r="R38" s="124"/>
      <c r="S38" s="124"/>
      <c r="T38" s="152" t="s">
        <v>424</v>
      </c>
      <c r="U38" s="124"/>
      <c r="V38" s="124"/>
      <c r="W38" s="152" t="s">
        <v>661</v>
      </c>
    </row>
    <row r="39" spans="1:26" ht="13" thickBot="1" x14ac:dyDescent="0.3">
      <c r="A39" s="158"/>
      <c r="B39" s="157"/>
      <c r="C39" s="157"/>
      <c r="D39" s="157"/>
      <c r="E39" s="157"/>
      <c r="F39" s="157"/>
      <c r="G39" s="157"/>
      <c r="H39" s="157"/>
      <c r="I39" s="157"/>
      <c r="J39" s="157"/>
      <c r="K39" s="157"/>
      <c r="L39" s="157"/>
      <c r="M39" s="157"/>
      <c r="N39" s="157"/>
      <c r="O39" s="157"/>
      <c r="P39" s="157"/>
      <c r="Q39" s="157"/>
      <c r="R39" s="157"/>
      <c r="S39" s="157"/>
      <c r="T39" s="157"/>
      <c r="U39" s="157"/>
      <c r="V39" s="157"/>
      <c r="W39" s="156"/>
    </row>
    <row r="40" spans="1:26" ht="14.5" x14ac:dyDescent="0.35">
      <c r="A40" s="107"/>
      <c r="B40" s="107"/>
      <c r="C40" s="107"/>
      <c r="D40" s="107"/>
      <c r="E40" s="107"/>
      <c r="F40" s="107"/>
      <c r="G40" s="107"/>
      <c r="H40" s="107"/>
      <c r="I40" s="107"/>
      <c r="J40" s="107"/>
      <c r="K40" s="107"/>
      <c r="L40" s="107"/>
      <c r="M40" s="107"/>
      <c r="N40" s="107"/>
      <c r="O40" s="107"/>
      <c r="P40" s="107"/>
      <c r="Q40" s="107"/>
      <c r="R40" s="107"/>
      <c r="S40" s="107"/>
      <c r="T40" s="107"/>
      <c r="U40" s="31"/>
      <c r="V40" s="104"/>
      <c r="W40" s="104"/>
    </row>
    <row r="41" spans="1:26" ht="14.5" thickBot="1" x14ac:dyDescent="0.35">
      <c r="A41" s="122" t="s">
        <v>183</v>
      </c>
      <c r="B41" s="104"/>
      <c r="C41" s="104"/>
      <c r="D41" s="104"/>
      <c r="E41" s="104"/>
      <c r="F41" s="104"/>
      <c r="G41" s="104"/>
      <c r="H41" s="104"/>
      <c r="I41" s="104"/>
      <c r="J41" s="104"/>
      <c r="K41" s="104"/>
      <c r="L41" s="104"/>
      <c r="M41" s="104"/>
      <c r="N41" s="104"/>
      <c r="O41" s="104"/>
      <c r="P41" s="104"/>
      <c r="Q41" s="104"/>
      <c r="R41" s="104"/>
      <c r="S41" s="104"/>
      <c r="T41" s="104"/>
      <c r="U41" s="104"/>
      <c r="V41" s="104"/>
      <c r="W41" s="104"/>
    </row>
    <row r="42" spans="1:26" ht="13" thickBot="1" x14ac:dyDescent="0.3">
      <c r="A42" s="151" t="s">
        <v>357</v>
      </c>
      <c r="B42" s="149" t="s">
        <v>184</v>
      </c>
      <c r="C42" s="149" t="s">
        <v>181</v>
      </c>
      <c r="D42" s="149" t="s">
        <v>173</v>
      </c>
      <c r="E42" s="149" t="s">
        <v>178</v>
      </c>
      <c r="F42" s="149" t="s">
        <v>75</v>
      </c>
      <c r="G42" s="149" t="s">
        <v>29</v>
      </c>
      <c r="H42" s="104"/>
      <c r="I42" s="104"/>
      <c r="J42" s="104"/>
      <c r="K42" s="104"/>
      <c r="L42" s="104"/>
      <c r="M42" s="104"/>
      <c r="N42" s="104"/>
      <c r="O42" s="104"/>
      <c r="P42" s="104"/>
      <c r="Q42" s="104"/>
      <c r="R42" s="104"/>
      <c r="S42" s="104"/>
      <c r="T42" s="104"/>
      <c r="U42" s="104"/>
      <c r="V42" s="104"/>
      <c r="W42" s="104"/>
    </row>
    <row r="43" spans="1:26" x14ac:dyDescent="0.25">
      <c r="A43" s="161"/>
      <c r="B43" s="160"/>
      <c r="C43" s="160"/>
      <c r="D43" s="160"/>
      <c r="E43" s="160"/>
      <c r="F43" s="160"/>
      <c r="G43" s="160"/>
      <c r="H43" s="104"/>
      <c r="I43" s="104"/>
      <c r="J43" s="104"/>
      <c r="K43" s="104"/>
      <c r="L43" s="104"/>
      <c r="M43" s="104"/>
      <c r="N43" s="104"/>
      <c r="O43" s="104"/>
      <c r="P43" s="104"/>
      <c r="Q43" s="104"/>
      <c r="R43" s="104"/>
      <c r="S43" s="104"/>
      <c r="T43" s="104"/>
      <c r="U43" s="104"/>
      <c r="V43" s="104"/>
      <c r="W43" s="104"/>
    </row>
    <row r="44" spans="1:26" ht="13" thickBot="1" x14ac:dyDescent="0.3">
      <c r="A44" s="158"/>
      <c r="B44" s="157"/>
      <c r="C44" s="157"/>
      <c r="D44" s="157"/>
      <c r="E44" s="157"/>
      <c r="F44" s="157"/>
      <c r="G44" s="157"/>
      <c r="H44" s="104"/>
      <c r="I44" s="104"/>
      <c r="J44" s="104"/>
      <c r="K44" s="104"/>
      <c r="L44" s="104"/>
      <c r="M44" s="104"/>
      <c r="N44" s="104"/>
      <c r="O44" s="104"/>
      <c r="P44" s="104"/>
      <c r="Q44" s="104"/>
      <c r="R44" s="104"/>
      <c r="S44" s="104"/>
      <c r="T44" s="104"/>
      <c r="U44" s="104"/>
      <c r="V44" s="104"/>
      <c r="W44" s="104"/>
    </row>
    <row r="46" spans="1:26" ht="14.5" thickBot="1" x14ac:dyDescent="0.35">
      <c r="A46" s="122" t="s">
        <v>496</v>
      </c>
      <c r="D46" s="144"/>
    </row>
    <row r="47" spans="1:26" x14ac:dyDescent="0.25">
      <c r="A47" s="128" t="s">
        <v>357</v>
      </c>
      <c r="B47" s="129" t="s">
        <v>10</v>
      </c>
      <c r="C47" s="129" t="s">
        <v>151</v>
      </c>
      <c r="D47" s="129" t="s">
        <v>396</v>
      </c>
      <c r="E47" s="129" t="s">
        <v>143</v>
      </c>
      <c r="F47" s="129" t="s">
        <v>56</v>
      </c>
      <c r="G47" s="129" t="s">
        <v>497</v>
      </c>
      <c r="H47" s="129" t="s">
        <v>498</v>
      </c>
      <c r="I47" s="130" t="s">
        <v>310</v>
      </c>
    </row>
    <row r="48" spans="1:26" x14ac:dyDescent="0.25">
      <c r="A48" s="118" t="s">
        <v>526</v>
      </c>
      <c r="B48" s="95" t="s">
        <v>519</v>
      </c>
      <c r="C48" s="95" t="s">
        <v>519</v>
      </c>
      <c r="D48" s="95" t="s">
        <v>500</v>
      </c>
      <c r="E48" s="95">
        <v>501</v>
      </c>
      <c r="F48" s="95" t="s">
        <v>508</v>
      </c>
      <c r="G48" s="124"/>
      <c r="H48" s="124"/>
      <c r="I48" s="124"/>
    </row>
    <row r="49" spans="1:9" x14ac:dyDescent="0.25">
      <c r="A49" s="118" t="s">
        <v>526</v>
      </c>
      <c r="B49" s="95" t="s">
        <v>614</v>
      </c>
      <c r="C49" s="95" t="s">
        <v>605</v>
      </c>
      <c r="D49" s="95" t="s">
        <v>500</v>
      </c>
      <c r="E49" s="95">
        <v>502</v>
      </c>
      <c r="F49" s="95" t="s">
        <v>508</v>
      </c>
      <c r="G49" s="124"/>
      <c r="H49" s="124"/>
      <c r="I49" s="124"/>
    </row>
    <row r="50" spans="1:9" x14ac:dyDescent="0.25">
      <c r="A50" s="118" t="s">
        <v>526</v>
      </c>
      <c r="B50" s="95" t="s">
        <v>607</v>
      </c>
      <c r="C50" s="95" t="s">
        <v>607</v>
      </c>
      <c r="D50" s="95" t="s">
        <v>500</v>
      </c>
      <c r="E50" s="95">
        <v>503</v>
      </c>
      <c r="F50" s="95" t="s">
        <v>508</v>
      </c>
      <c r="G50" s="124"/>
      <c r="H50" s="124"/>
      <c r="I50" s="124"/>
    </row>
    <row r="51" spans="1:9" x14ac:dyDescent="0.25">
      <c r="A51" s="118" t="s">
        <v>526</v>
      </c>
      <c r="B51" s="95" t="s">
        <v>609</v>
      </c>
      <c r="C51" s="95" t="s">
        <v>609</v>
      </c>
      <c r="D51" s="95" t="s">
        <v>500</v>
      </c>
      <c r="E51" s="95">
        <v>504</v>
      </c>
      <c r="F51" s="95" t="s">
        <v>508</v>
      </c>
      <c r="G51" s="124"/>
      <c r="H51" s="124"/>
      <c r="I51" s="124"/>
    </row>
    <row r="52" spans="1:9" x14ac:dyDescent="0.25">
      <c r="A52" s="118" t="s">
        <v>526</v>
      </c>
      <c r="B52" s="95" t="s">
        <v>611</v>
      </c>
      <c r="C52" s="95" t="s">
        <v>611</v>
      </c>
      <c r="D52" s="95" t="s">
        <v>500</v>
      </c>
      <c r="E52" s="95">
        <v>505</v>
      </c>
      <c r="F52" s="95" t="s">
        <v>508</v>
      </c>
      <c r="G52" s="124"/>
      <c r="H52" s="124"/>
      <c r="I52" s="124"/>
    </row>
    <row r="53" spans="1:9" x14ac:dyDescent="0.25">
      <c r="A53" s="79" t="s">
        <v>522</v>
      </c>
      <c r="B53" s="95" t="s">
        <v>597</v>
      </c>
      <c r="C53" s="95" t="s">
        <v>597</v>
      </c>
      <c r="D53" s="95" t="s">
        <v>500</v>
      </c>
      <c r="E53" s="95">
        <v>501</v>
      </c>
      <c r="F53" s="95" t="s">
        <v>508</v>
      </c>
      <c r="G53" s="124"/>
      <c r="H53" s="124"/>
      <c r="I53" s="124"/>
    </row>
    <row r="54" spans="1:9" x14ac:dyDescent="0.25">
      <c r="A54" s="79" t="s">
        <v>522</v>
      </c>
      <c r="B54" s="95" t="s">
        <v>517</v>
      </c>
      <c r="C54" s="95" t="s">
        <v>517</v>
      </c>
      <c r="D54" s="95" t="s">
        <v>500</v>
      </c>
      <c r="E54" s="95">
        <v>502</v>
      </c>
      <c r="F54" s="95" t="s">
        <v>508</v>
      </c>
      <c r="G54" s="124"/>
      <c r="H54" s="124"/>
      <c r="I54" s="124"/>
    </row>
    <row r="55" spans="1:9" x14ac:dyDescent="0.25">
      <c r="A55" s="79" t="s">
        <v>522</v>
      </c>
      <c r="B55" s="95" t="s">
        <v>602</v>
      </c>
      <c r="C55" s="95" t="s">
        <v>602</v>
      </c>
      <c r="D55" s="95" t="s">
        <v>500</v>
      </c>
      <c r="E55" s="95">
        <v>503</v>
      </c>
      <c r="F55" s="95" t="s">
        <v>508</v>
      </c>
      <c r="G55" s="124"/>
      <c r="H55" s="124"/>
      <c r="I55" s="124"/>
    </row>
    <row r="56" spans="1:9" x14ac:dyDescent="0.25">
      <c r="A56" s="79" t="s">
        <v>522</v>
      </c>
      <c r="B56" s="95" t="s">
        <v>600</v>
      </c>
      <c r="C56" s="95" t="s">
        <v>600</v>
      </c>
      <c r="D56" s="95" t="s">
        <v>500</v>
      </c>
      <c r="E56" s="95">
        <v>504</v>
      </c>
      <c r="F56" s="95" t="s">
        <v>508</v>
      </c>
      <c r="G56" s="124"/>
      <c r="H56" s="124"/>
      <c r="I56" s="124"/>
    </row>
    <row r="57" spans="1:9" x14ac:dyDescent="0.25">
      <c r="A57" s="79" t="s">
        <v>522</v>
      </c>
      <c r="B57" s="95" t="s">
        <v>603</v>
      </c>
      <c r="C57" s="95" t="s">
        <v>603</v>
      </c>
      <c r="D57" s="95" t="s">
        <v>500</v>
      </c>
      <c r="E57" s="95">
        <v>505</v>
      </c>
      <c r="F57" s="95" t="s">
        <v>508</v>
      </c>
      <c r="G57" s="124"/>
      <c r="H57" s="124"/>
      <c r="I57" s="124"/>
    </row>
    <row r="58" spans="1:9" ht="13" thickBot="1" x14ac:dyDescent="0.3">
      <c r="A58" s="354" t="s">
        <v>522</v>
      </c>
      <c r="B58" s="120" t="s">
        <v>598</v>
      </c>
      <c r="C58" s="120" t="s">
        <v>598</v>
      </c>
      <c r="D58" s="120" t="s">
        <v>500</v>
      </c>
      <c r="E58" s="120">
        <v>506</v>
      </c>
      <c r="F58" s="120" t="s">
        <v>508</v>
      </c>
      <c r="G58" s="355"/>
      <c r="H58" s="355"/>
      <c r="I58" s="355"/>
    </row>
  </sheetData>
  <pageMargins left="0.75" right="0.75" top="1" bottom="1" header="0.5" footer="0.5"/>
  <pageSetup paperSize="9" scale="20" fitToHeight="0" orientation="landscape" horizontalDpi="4294967294"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5C82C-8AA6-46B7-9BE8-E137CAA31D3D}">
  <sheetPr codeName="Sheet41">
    <pageSetUpPr fitToPage="1"/>
  </sheetPr>
  <dimension ref="A1:G12"/>
  <sheetViews>
    <sheetView zoomScale="85" workbookViewId="0">
      <selection activeCell="A3" sqref="A3"/>
    </sheetView>
  </sheetViews>
  <sheetFormatPr defaultRowHeight="12.5" x14ac:dyDescent="0.25"/>
  <cols>
    <col min="1" max="1" width="41.08984375" style="133" bestFit="1" customWidth="1"/>
    <col min="2" max="2" width="26.36328125" style="106" bestFit="1" customWidth="1"/>
    <col min="3" max="3" width="28.54296875" style="106" bestFit="1" customWidth="1"/>
    <col min="4" max="4" width="38" style="106" bestFit="1" customWidth="1"/>
    <col min="5" max="5" width="65.36328125" style="106" bestFit="1" customWidth="1"/>
    <col min="6" max="6" width="18.08984375" style="106" bestFit="1" customWidth="1"/>
    <col min="7" max="7" width="48.453125" style="106" bestFit="1" customWidth="1"/>
    <col min="8" max="8" width="18.54296875" style="106" bestFit="1" customWidth="1"/>
    <col min="9" max="9" width="11.54296875" style="106" bestFit="1" customWidth="1"/>
    <col min="10" max="10" width="22.36328125" style="106" bestFit="1" customWidth="1"/>
    <col min="11" max="11" width="7.453125" style="106" bestFit="1" customWidth="1"/>
    <col min="12" max="12" width="15.6328125" style="106" bestFit="1" customWidth="1"/>
    <col min="13" max="13" width="11" style="106" bestFit="1" customWidth="1"/>
    <col min="14" max="14" width="14.453125" style="106" bestFit="1" customWidth="1"/>
    <col min="15" max="15" width="11.453125" style="106" bestFit="1" customWidth="1"/>
    <col min="16" max="16" width="9.54296875" style="106" bestFit="1" customWidth="1"/>
    <col min="17" max="17" width="16.54296875" style="106" bestFit="1" customWidth="1"/>
    <col min="18" max="18" width="14.6328125" style="106" bestFit="1" customWidth="1"/>
    <col min="19" max="19" width="10" style="106" bestFit="1" customWidth="1"/>
    <col min="20" max="20" width="9.6328125" style="106" bestFit="1" customWidth="1"/>
    <col min="21" max="21" width="8.453125" style="106" bestFit="1" customWidth="1"/>
    <col min="22" max="22" width="10.6328125" style="106" bestFit="1" customWidth="1"/>
    <col min="23" max="23" width="5.08984375" style="106" bestFit="1" customWidth="1"/>
    <col min="24" max="16384" width="8.7265625" style="106"/>
  </cols>
  <sheetData>
    <row r="1" spans="1:7" ht="18" x14ac:dyDescent="0.4">
      <c r="A1" s="189" t="s">
        <v>277</v>
      </c>
    </row>
    <row r="3" spans="1:7" x14ac:dyDescent="0.25">
      <c r="A3" s="190" t="s">
        <v>63</v>
      </c>
      <c r="B3" s="190" t="s">
        <v>64</v>
      </c>
    </row>
    <row r="4" spans="1:7" x14ac:dyDescent="0.25">
      <c r="A4" s="191"/>
      <c r="B4" s="191"/>
    </row>
    <row r="5" spans="1:7" x14ac:dyDescent="0.25">
      <c r="A5" s="104"/>
      <c r="B5" s="104"/>
    </row>
    <row r="6" spans="1:7" ht="16" thickBot="1" x14ac:dyDescent="0.4">
      <c r="A6" s="112" t="s">
        <v>278</v>
      </c>
      <c r="B6" s="104"/>
      <c r="C6" s="104"/>
      <c r="D6" s="104"/>
      <c r="E6" s="104"/>
      <c r="F6" s="104"/>
    </row>
    <row r="7" spans="1:7" ht="25" x14ac:dyDescent="0.25">
      <c r="A7" s="192" t="s">
        <v>353</v>
      </c>
      <c r="B7" s="113" t="s">
        <v>351</v>
      </c>
      <c r="C7" s="113" t="s">
        <v>352</v>
      </c>
      <c r="D7" s="193" t="s">
        <v>279</v>
      </c>
      <c r="E7" s="193" t="s">
        <v>280</v>
      </c>
      <c r="F7" s="193" t="s">
        <v>75</v>
      </c>
      <c r="G7" s="193" t="s">
        <v>29</v>
      </c>
    </row>
    <row r="8" spans="1:7" ht="14.5" x14ac:dyDescent="0.35">
      <c r="A8" s="124" t="s">
        <v>575</v>
      </c>
      <c r="B8" s="195" t="s">
        <v>449</v>
      </c>
      <c r="C8" s="195" t="s">
        <v>576</v>
      </c>
      <c r="D8" s="187" t="s">
        <v>450</v>
      </c>
      <c r="E8" s="187" t="s">
        <v>577</v>
      </c>
      <c r="F8" s="194"/>
      <c r="G8" s="296" t="s">
        <v>664</v>
      </c>
    </row>
    <row r="9" spans="1:7" ht="14.5" x14ac:dyDescent="0.35">
      <c r="A9" s="124" t="s">
        <v>575</v>
      </c>
      <c r="B9" s="195" t="s">
        <v>449</v>
      </c>
      <c r="C9" s="195" t="s">
        <v>576</v>
      </c>
      <c r="D9" s="187" t="s">
        <v>451</v>
      </c>
      <c r="E9" s="187" t="s">
        <v>595</v>
      </c>
      <c r="F9" s="194"/>
      <c r="G9" s="296" t="s">
        <v>664</v>
      </c>
    </row>
    <row r="10" spans="1:7" ht="14.5" x14ac:dyDescent="0.35">
      <c r="A10" s="118" t="s">
        <v>470</v>
      </c>
      <c r="B10" s="183" t="s">
        <v>470</v>
      </c>
      <c r="C10" s="183" t="s">
        <v>576</v>
      </c>
      <c r="D10" s="152" t="s">
        <v>451</v>
      </c>
      <c r="E10" s="152" t="s">
        <v>578</v>
      </c>
      <c r="F10" s="118"/>
      <c r="G10" s="296" t="s">
        <v>664</v>
      </c>
    </row>
    <row r="11" spans="1:7" ht="14.5" x14ac:dyDescent="0.35">
      <c r="A11" s="118" t="s">
        <v>470</v>
      </c>
      <c r="B11" s="183" t="s">
        <v>470</v>
      </c>
      <c r="C11" s="183" t="s">
        <v>576</v>
      </c>
      <c r="D11" s="152" t="s">
        <v>450</v>
      </c>
      <c r="E11" s="152" t="s">
        <v>577</v>
      </c>
      <c r="F11" s="118"/>
      <c r="G11" s="296" t="s">
        <v>664</v>
      </c>
    </row>
    <row r="12" spans="1:7" ht="15" thickBot="1" x14ac:dyDescent="0.4">
      <c r="A12" s="368" t="s">
        <v>470</v>
      </c>
      <c r="B12" s="297" t="s">
        <v>470</v>
      </c>
      <c r="C12" s="297" t="s">
        <v>576</v>
      </c>
      <c r="D12" s="369" t="s">
        <v>579</v>
      </c>
      <c r="E12" s="369" t="s">
        <v>580</v>
      </c>
      <c r="F12" s="355"/>
      <c r="G12" s="299" t="s">
        <v>664</v>
      </c>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DE0BB-BE03-487E-880A-8403414DC18C}">
  <sheetPr codeName="Sheet25">
    <pageSetUpPr fitToPage="1"/>
  </sheetPr>
  <dimension ref="A1:AB69"/>
  <sheetViews>
    <sheetView zoomScale="85" workbookViewId="0">
      <pane xSplit="1" topLeftCell="B1" activePane="topRight" state="frozen"/>
      <selection activeCell="A10" sqref="A10"/>
      <selection pane="topRight" activeCell="A3" sqref="A3"/>
    </sheetView>
  </sheetViews>
  <sheetFormatPr defaultRowHeight="12.5" x14ac:dyDescent="0.25"/>
  <cols>
    <col min="1" max="1" width="45.90625" style="75" bestFit="1" customWidth="1"/>
    <col min="2" max="2" width="51.26953125" style="1" bestFit="1" customWidth="1"/>
    <col min="3" max="3" width="33" style="1" bestFit="1" customWidth="1"/>
    <col min="4" max="4" width="89.6328125" style="1" bestFit="1" customWidth="1"/>
    <col min="5" max="5" width="59.453125" style="1" bestFit="1" customWidth="1"/>
    <col min="6" max="6" width="50" style="1" customWidth="1"/>
    <col min="7" max="7" width="185.26953125" style="1" bestFit="1" customWidth="1"/>
    <col min="8" max="8" width="45.36328125" style="1" bestFit="1" customWidth="1"/>
    <col min="9" max="9" width="116.7265625" style="1" bestFit="1" customWidth="1"/>
    <col min="10" max="10" width="22.36328125" style="74" bestFit="1" customWidth="1"/>
    <col min="11" max="11" width="9.6328125" style="74" bestFit="1" customWidth="1"/>
    <col min="12" max="12" width="17.453125" style="74" bestFit="1" customWidth="1"/>
    <col min="13" max="13" width="14.453125" style="74" bestFit="1" customWidth="1"/>
    <col min="14" max="14" width="11.453125" style="1" bestFit="1" customWidth="1"/>
    <col min="15" max="15" width="9.54296875" style="74" bestFit="1" customWidth="1"/>
    <col min="16" max="16" width="10.453125" style="74" bestFit="1" customWidth="1"/>
    <col min="17" max="17" width="20.26953125" style="74" bestFit="1" customWidth="1"/>
    <col min="18" max="18" width="14.6328125" style="1" customWidth="1"/>
    <col min="19" max="19" width="39.1796875" style="1" bestFit="1" customWidth="1"/>
    <col min="20" max="20" width="9.6328125" style="1" bestFit="1" customWidth="1"/>
    <col min="21" max="21" width="8.453125" style="1" bestFit="1" customWidth="1"/>
    <col min="22" max="22" width="10.6328125" style="1" bestFit="1" customWidth="1"/>
    <col min="23" max="23" width="5.08984375" style="1" bestFit="1" customWidth="1"/>
    <col min="24" max="24" width="15.453125" style="1" bestFit="1" customWidth="1"/>
    <col min="25" max="25" width="10" style="1" bestFit="1" customWidth="1"/>
    <col min="26" max="26" width="59.453125" style="1" bestFit="1" customWidth="1"/>
    <col min="27" max="28" width="8.7265625" style="1"/>
  </cols>
  <sheetData>
    <row r="1" spans="1:28" ht="18" x14ac:dyDescent="0.4">
      <c r="A1" s="2" t="s">
        <v>85</v>
      </c>
      <c r="B1" s="77"/>
      <c r="C1" s="77"/>
      <c r="D1" s="77"/>
      <c r="E1" s="77"/>
      <c r="F1" s="77"/>
      <c r="G1" s="77"/>
      <c r="H1" s="77"/>
      <c r="I1" s="77"/>
      <c r="J1" s="77"/>
      <c r="K1" s="77"/>
      <c r="L1" s="77"/>
      <c r="M1" s="77"/>
      <c r="N1" s="77"/>
      <c r="O1" s="77"/>
      <c r="P1" s="77"/>
      <c r="Q1" s="77"/>
      <c r="R1" s="77"/>
      <c r="S1" s="77"/>
      <c r="T1" s="77"/>
      <c r="U1" s="77"/>
      <c r="V1" s="77"/>
      <c r="W1" s="77"/>
      <c r="X1" s="77"/>
      <c r="Y1" s="77"/>
      <c r="Z1" s="77"/>
      <c r="AA1" s="77"/>
      <c r="AB1" s="77"/>
    </row>
    <row r="2" spans="1:28" x14ac:dyDescent="0.25">
      <c r="A2" s="77"/>
      <c r="B2" s="77"/>
      <c r="C2" s="77"/>
      <c r="D2" s="77"/>
      <c r="E2" s="77"/>
      <c r="F2" s="77"/>
      <c r="G2" s="77"/>
      <c r="H2" s="77"/>
      <c r="I2" s="77"/>
      <c r="J2" s="77"/>
      <c r="K2" s="77"/>
      <c r="L2" s="77"/>
      <c r="M2" s="77"/>
      <c r="N2" s="77"/>
      <c r="O2" s="77"/>
      <c r="P2" s="77"/>
      <c r="Q2" s="77"/>
      <c r="R2" s="77"/>
      <c r="S2" s="77"/>
      <c r="T2" s="77"/>
      <c r="U2" s="77"/>
      <c r="V2" s="77"/>
      <c r="W2" s="77"/>
      <c r="X2" s="77"/>
      <c r="Y2" s="77"/>
      <c r="Z2" s="77"/>
      <c r="AA2" s="77"/>
      <c r="AB2" s="77"/>
    </row>
    <row r="3" spans="1:28" x14ac:dyDescent="0.25">
      <c r="A3" s="33" t="s">
        <v>63</v>
      </c>
      <c r="B3" s="33" t="s">
        <v>64</v>
      </c>
      <c r="C3" s="77"/>
      <c r="D3" s="77"/>
      <c r="E3" s="77"/>
      <c r="F3" s="77"/>
      <c r="G3" s="77"/>
      <c r="H3" s="77"/>
      <c r="I3" s="77"/>
      <c r="J3" s="77"/>
      <c r="K3" s="77"/>
      <c r="L3" s="77"/>
      <c r="M3" s="77"/>
      <c r="N3" s="77"/>
      <c r="O3" s="77"/>
      <c r="P3" s="77"/>
      <c r="Q3" s="77"/>
      <c r="R3" s="77"/>
      <c r="S3" s="77"/>
      <c r="T3" s="77"/>
      <c r="U3" s="77"/>
      <c r="V3" s="77"/>
      <c r="W3" s="77"/>
      <c r="X3" s="77"/>
      <c r="Y3" s="77"/>
      <c r="Z3" s="77"/>
      <c r="AA3" s="77"/>
      <c r="AB3" s="77"/>
    </row>
    <row r="4" spans="1:28" x14ac:dyDescent="0.25">
      <c r="A4" s="34"/>
      <c r="B4" s="34"/>
      <c r="C4" s="77"/>
      <c r="D4" s="77"/>
      <c r="E4" s="77"/>
      <c r="F4" s="77"/>
      <c r="G4" s="77"/>
      <c r="H4" s="77"/>
      <c r="I4" s="77"/>
      <c r="J4" s="77"/>
      <c r="K4" s="77"/>
      <c r="L4" s="77"/>
      <c r="M4" s="77"/>
      <c r="N4" s="77"/>
      <c r="O4" s="77"/>
      <c r="P4" s="77"/>
      <c r="Q4" s="77"/>
      <c r="R4" s="77"/>
      <c r="S4" s="77"/>
      <c r="T4" s="77"/>
      <c r="U4" s="77"/>
      <c r="V4" s="77"/>
      <c r="W4" s="77"/>
      <c r="X4" s="77"/>
      <c r="Y4" s="77"/>
      <c r="Z4" s="77"/>
      <c r="AA4" s="77"/>
      <c r="AB4" s="77"/>
    </row>
    <row r="5" spans="1:28" x14ac:dyDescent="0.25">
      <c r="A5" s="1"/>
      <c r="C5" s="77"/>
      <c r="D5" s="77"/>
      <c r="E5" s="77"/>
      <c r="F5" s="77"/>
      <c r="G5" s="77"/>
      <c r="H5" s="77"/>
      <c r="I5" s="77"/>
      <c r="J5" s="77"/>
      <c r="K5" s="77"/>
      <c r="L5" s="77"/>
      <c r="M5" s="77"/>
      <c r="N5" s="77"/>
      <c r="O5" s="77"/>
      <c r="P5" s="77"/>
      <c r="Q5" s="77"/>
      <c r="R5" s="77"/>
      <c r="S5" s="77"/>
      <c r="T5" s="77"/>
      <c r="U5" s="77"/>
      <c r="V5" s="77"/>
      <c r="W5" s="77"/>
      <c r="X5" s="77"/>
      <c r="Y5" s="77"/>
      <c r="Z5" s="77"/>
      <c r="AA5" s="77"/>
      <c r="AB5" s="77"/>
    </row>
    <row r="6" spans="1:28" ht="16" thickBot="1" x14ac:dyDescent="0.4">
      <c r="A6" s="88" t="s">
        <v>60</v>
      </c>
      <c r="B6" s="76"/>
      <c r="C6" s="77"/>
      <c r="D6" s="77"/>
      <c r="E6" s="77"/>
      <c r="F6" s="77"/>
      <c r="G6" s="77"/>
      <c r="H6" s="77"/>
      <c r="I6" s="77"/>
      <c r="J6" s="77"/>
      <c r="K6" s="77"/>
      <c r="L6" s="77"/>
      <c r="M6" s="77"/>
      <c r="N6" s="77"/>
      <c r="O6" s="77"/>
      <c r="P6" s="77"/>
      <c r="Q6" s="77"/>
      <c r="R6" s="77"/>
      <c r="S6" s="77"/>
      <c r="T6" s="77"/>
      <c r="U6" s="77"/>
      <c r="V6" s="77"/>
      <c r="W6" s="77"/>
      <c r="X6" s="77"/>
      <c r="Y6" s="77"/>
      <c r="Z6" s="77"/>
      <c r="AA6" s="77"/>
      <c r="AB6" s="77"/>
    </row>
    <row r="7" spans="1:28" ht="13" thickBot="1" x14ac:dyDescent="0.3">
      <c r="A7" s="92" t="s">
        <v>10</v>
      </c>
      <c r="B7" s="92" t="s">
        <v>325</v>
      </c>
      <c r="C7" s="92" t="s">
        <v>113</v>
      </c>
      <c r="D7" s="92" t="s">
        <v>112</v>
      </c>
      <c r="E7" s="92" t="s">
        <v>114</v>
      </c>
      <c r="F7" s="92" t="s">
        <v>205</v>
      </c>
      <c r="G7" s="92" t="s">
        <v>202</v>
      </c>
      <c r="H7" s="63" t="s">
        <v>206</v>
      </c>
      <c r="I7" s="63" t="s">
        <v>29</v>
      </c>
      <c r="J7" s="77"/>
      <c r="K7" s="77"/>
      <c r="L7" s="77"/>
      <c r="M7" s="77"/>
      <c r="N7" s="77"/>
      <c r="O7" s="77"/>
      <c r="P7" s="77"/>
      <c r="Q7" s="77"/>
      <c r="R7" s="77"/>
      <c r="S7" s="77"/>
      <c r="T7" s="77"/>
      <c r="U7" s="77"/>
      <c r="V7" s="77"/>
      <c r="W7" s="77"/>
      <c r="X7" s="77"/>
      <c r="Y7" s="77"/>
      <c r="Z7" s="77"/>
      <c r="AA7" s="77"/>
      <c r="AB7" s="77"/>
    </row>
    <row r="8" spans="1:28" ht="13" customHeight="1" thickBot="1" x14ac:dyDescent="0.3">
      <c r="A8" s="316" t="s">
        <v>450</v>
      </c>
      <c r="B8" s="317"/>
      <c r="C8" s="317"/>
      <c r="D8" s="317"/>
      <c r="E8" s="317"/>
      <c r="F8" s="317"/>
      <c r="G8" s="318" t="s">
        <v>574</v>
      </c>
      <c r="H8" s="315"/>
      <c r="I8" s="378" t="s">
        <v>616</v>
      </c>
      <c r="J8" s="77"/>
      <c r="K8" s="77"/>
      <c r="L8" s="77"/>
      <c r="M8" s="77"/>
      <c r="N8" s="77"/>
      <c r="O8" s="77"/>
      <c r="P8" s="77"/>
      <c r="Q8" s="77"/>
      <c r="R8" s="77"/>
      <c r="S8" s="77"/>
      <c r="T8" s="77"/>
      <c r="U8" s="77"/>
      <c r="V8" s="77"/>
      <c r="W8" s="77"/>
      <c r="X8" s="77"/>
      <c r="Y8" s="77"/>
      <c r="Z8" s="77"/>
      <c r="AA8" s="77"/>
      <c r="AB8" s="77"/>
    </row>
    <row r="9" spans="1:28" ht="13" thickBot="1" x14ac:dyDescent="0.3">
      <c r="A9" s="319" t="s">
        <v>451</v>
      </c>
      <c r="B9" s="320"/>
      <c r="C9" s="320"/>
      <c r="D9" s="320"/>
      <c r="E9" s="320"/>
      <c r="F9" s="320"/>
      <c r="G9" s="321"/>
      <c r="H9" s="75"/>
      <c r="I9" s="378" t="s">
        <v>615</v>
      </c>
      <c r="J9" s="77"/>
      <c r="K9" s="77"/>
      <c r="L9" s="77"/>
      <c r="M9" s="77"/>
      <c r="N9" s="77"/>
      <c r="O9" s="77"/>
      <c r="P9" s="77"/>
      <c r="Q9" s="77"/>
      <c r="R9" s="77"/>
      <c r="S9" s="77"/>
      <c r="T9" s="77"/>
      <c r="U9" s="77"/>
      <c r="V9" s="77"/>
      <c r="W9" s="77"/>
      <c r="X9" s="77"/>
      <c r="Y9" s="77"/>
      <c r="Z9" s="77"/>
      <c r="AA9" s="77"/>
      <c r="AB9" s="77"/>
    </row>
    <row r="10" spans="1:28" x14ac:dyDescent="0.25">
      <c r="B10" s="75"/>
      <c r="C10" s="75"/>
      <c r="D10" s="75"/>
      <c r="E10" s="75"/>
      <c r="F10" s="75"/>
      <c r="G10" s="75"/>
      <c r="H10" s="75"/>
      <c r="I10" s="75"/>
      <c r="J10" s="77"/>
      <c r="K10" s="77"/>
      <c r="L10" s="77"/>
      <c r="M10" s="77"/>
      <c r="N10" s="77"/>
      <c r="O10" s="77"/>
      <c r="P10" s="77"/>
      <c r="Q10" s="77"/>
      <c r="R10" s="77"/>
      <c r="S10" s="77"/>
      <c r="T10" s="77"/>
      <c r="U10" s="77"/>
      <c r="V10" s="77"/>
      <c r="W10" s="77"/>
      <c r="X10" s="77"/>
      <c r="Y10" s="77"/>
      <c r="Z10" s="77"/>
      <c r="AA10" s="77"/>
      <c r="AB10" s="77"/>
    </row>
    <row r="11" spans="1:28" x14ac:dyDescent="0.25">
      <c r="B11" s="75"/>
      <c r="C11" s="75"/>
      <c r="D11" s="75"/>
      <c r="E11" s="75"/>
      <c r="F11" s="75"/>
      <c r="G11" s="75"/>
      <c r="H11" s="75"/>
      <c r="I11" s="75"/>
      <c r="J11" s="77"/>
      <c r="K11" s="77"/>
      <c r="L11" s="77"/>
      <c r="M11" s="77"/>
      <c r="N11" s="77"/>
      <c r="O11" s="77"/>
      <c r="P11" s="77"/>
      <c r="Q11" s="77"/>
      <c r="R11" s="77"/>
      <c r="S11" s="77"/>
      <c r="T11" s="77"/>
      <c r="U11" s="77"/>
      <c r="V11" s="77"/>
      <c r="W11" s="77"/>
      <c r="X11" s="77"/>
      <c r="Y11" s="77"/>
      <c r="Z11" s="77"/>
      <c r="AA11" s="77"/>
      <c r="AB11" s="77"/>
    </row>
    <row r="12" spans="1:28" x14ac:dyDescent="0.25">
      <c r="A12" s="20"/>
      <c r="B12" s="20"/>
      <c r="C12" s="76"/>
      <c r="D12" s="76"/>
      <c r="E12" s="76"/>
      <c r="F12" s="76"/>
      <c r="G12" s="76"/>
      <c r="H12" s="76"/>
      <c r="I12" s="76"/>
      <c r="J12" s="77"/>
      <c r="K12" s="77"/>
      <c r="L12" s="77"/>
      <c r="M12" s="77"/>
      <c r="N12" s="77"/>
      <c r="O12" s="77"/>
      <c r="P12" s="77"/>
      <c r="Q12" s="77"/>
      <c r="R12" s="77"/>
      <c r="S12" s="77"/>
      <c r="T12" s="77"/>
      <c r="U12" s="77"/>
      <c r="V12" s="77"/>
      <c r="W12" s="77"/>
      <c r="X12" s="77"/>
      <c r="Y12" s="77"/>
      <c r="Z12" s="77"/>
      <c r="AA12" s="77"/>
      <c r="AB12" s="77"/>
    </row>
    <row r="13" spans="1:28" ht="16" thickBot="1" x14ac:dyDescent="0.4">
      <c r="A13" s="88" t="s">
        <v>92</v>
      </c>
      <c r="B13" s="76"/>
      <c r="C13" s="76"/>
      <c r="D13" s="76"/>
      <c r="E13" s="76"/>
      <c r="F13" s="76"/>
      <c r="G13" s="76"/>
      <c r="H13" s="76"/>
      <c r="I13" s="76"/>
      <c r="J13" s="77"/>
      <c r="K13" s="77"/>
      <c r="L13" s="77"/>
      <c r="M13" s="77"/>
      <c r="N13" s="77"/>
      <c r="O13" s="77"/>
      <c r="P13" s="77"/>
      <c r="Q13" s="77"/>
      <c r="R13" s="77"/>
      <c r="S13" s="77"/>
      <c r="T13" s="77"/>
      <c r="U13" s="77"/>
      <c r="V13" s="77"/>
      <c r="W13" s="77"/>
      <c r="X13" s="77"/>
      <c r="Y13" s="77"/>
      <c r="Z13" s="77"/>
      <c r="AA13" s="77"/>
      <c r="AB13" s="77"/>
    </row>
    <row r="14" spans="1:28" x14ac:dyDescent="0.25">
      <c r="A14" s="92" t="s">
        <v>359</v>
      </c>
      <c r="B14" s="93" t="s">
        <v>10</v>
      </c>
      <c r="C14" s="93" t="s">
        <v>69</v>
      </c>
      <c r="D14" s="93" t="s">
        <v>68</v>
      </c>
      <c r="E14" s="93" t="s">
        <v>50</v>
      </c>
      <c r="F14" s="93" t="s">
        <v>55</v>
      </c>
      <c r="G14" s="93" t="s">
        <v>70</v>
      </c>
      <c r="H14" s="93" t="s">
        <v>71</v>
      </c>
      <c r="I14" s="93" t="s">
        <v>72</v>
      </c>
      <c r="J14" s="93" t="s">
        <v>73</v>
      </c>
      <c r="K14" s="93" t="s">
        <v>74</v>
      </c>
      <c r="L14" s="93" t="s">
        <v>75</v>
      </c>
      <c r="M14" s="93" t="s">
        <v>76</v>
      </c>
      <c r="N14" s="93" t="s">
        <v>77</v>
      </c>
      <c r="O14" s="93" t="s">
        <v>78</v>
      </c>
      <c r="P14" s="93" t="s">
        <v>79</v>
      </c>
      <c r="Q14" s="93" t="s">
        <v>44</v>
      </c>
      <c r="R14" s="93" t="s">
        <v>80</v>
      </c>
      <c r="S14" s="93" t="s">
        <v>81</v>
      </c>
      <c r="T14" s="93" t="s">
        <v>82</v>
      </c>
      <c r="U14" s="93" t="s">
        <v>24</v>
      </c>
      <c r="V14" s="93" t="s">
        <v>45</v>
      </c>
      <c r="W14" s="93" t="s">
        <v>83</v>
      </c>
      <c r="X14" s="93" t="s">
        <v>56</v>
      </c>
      <c r="Y14" s="93" t="s">
        <v>84</v>
      </c>
      <c r="Z14" s="93" t="s">
        <v>29</v>
      </c>
      <c r="AA14" s="77"/>
      <c r="AB14" s="77"/>
    </row>
    <row r="15" spans="1:28" ht="15.75" customHeight="1" x14ac:dyDescent="0.25">
      <c r="A15" s="94" t="s">
        <v>449</v>
      </c>
      <c r="B15" s="95" t="s">
        <v>452</v>
      </c>
      <c r="C15" s="95"/>
      <c r="D15" s="95"/>
      <c r="E15" s="95"/>
      <c r="F15" s="95" t="s">
        <v>438</v>
      </c>
      <c r="G15" s="95"/>
      <c r="H15" s="95"/>
      <c r="I15" s="95"/>
      <c r="J15" s="95"/>
      <c r="K15" s="95"/>
      <c r="L15" s="95"/>
      <c r="M15" s="95"/>
      <c r="N15" s="95"/>
      <c r="O15" s="95"/>
      <c r="P15" s="95"/>
      <c r="Q15" s="95"/>
      <c r="R15" s="95"/>
      <c r="S15" s="95"/>
      <c r="T15" s="95"/>
      <c r="U15" s="95"/>
      <c r="V15" s="95"/>
      <c r="W15" s="95"/>
      <c r="X15" s="95" t="s">
        <v>453</v>
      </c>
      <c r="Y15" s="95" t="s">
        <v>454</v>
      </c>
      <c r="Z15" s="95" t="s">
        <v>652</v>
      </c>
      <c r="AA15" s="77"/>
      <c r="AB15" s="77"/>
    </row>
    <row r="16" spans="1:28" ht="15.75" customHeight="1" x14ac:dyDescent="0.25">
      <c r="A16" s="94" t="s">
        <v>449</v>
      </c>
      <c r="B16" s="95" t="s">
        <v>455</v>
      </c>
      <c r="C16" s="95"/>
      <c r="D16" s="95"/>
      <c r="E16" s="95"/>
      <c r="F16" s="95" t="s">
        <v>435</v>
      </c>
      <c r="G16" s="95"/>
      <c r="H16" s="95"/>
      <c r="I16" s="95"/>
      <c r="J16" s="95"/>
      <c r="K16" s="95"/>
      <c r="L16" s="95"/>
      <c r="M16" s="95"/>
      <c r="N16" s="95"/>
      <c r="O16" s="95"/>
      <c r="P16" s="95"/>
      <c r="Q16" s="95"/>
      <c r="R16" s="95"/>
      <c r="S16" s="95"/>
      <c r="T16" s="95"/>
      <c r="U16" s="95"/>
      <c r="V16" s="95"/>
      <c r="W16" s="95"/>
      <c r="X16" s="95" t="s">
        <v>453</v>
      </c>
      <c r="Y16" s="95" t="s">
        <v>454</v>
      </c>
      <c r="Z16" s="95" t="s">
        <v>652</v>
      </c>
      <c r="AA16" s="77"/>
      <c r="AB16" s="77"/>
    </row>
    <row r="17" spans="1:28" ht="15.75" customHeight="1" x14ac:dyDescent="0.25">
      <c r="A17" s="94" t="s">
        <v>456</v>
      </c>
      <c r="B17" s="95" t="s">
        <v>457</v>
      </c>
      <c r="C17" s="95"/>
      <c r="D17" s="95"/>
      <c r="E17" s="95"/>
      <c r="F17" s="95" t="s">
        <v>446</v>
      </c>
      <c r="G17" s="95"/>
      <c r="H17" s="95"/>
      <c r="I17" s="95"/>
      <c r="J17" s="95"/>
      <c r="K17" s="95"/>
      <c r="L17" s="95"/>
      <c r="M17" s="95"/>
      <c r="N17" s="95"/>
      <c r="O17" s="95"/>
      <c r="P17" s="95"/>
      <c r="Q17" s="95" t="s">
        <v>458</v>
      </c>
      <c r="R17" s="95"/>
      <c r="S17" s="95"/>
      <c r="T17" s="95"/>
      <c r="U17" s="95"/>
      <c r="V17" s="95"/>
      <c r="W17" s="95"/>
      <c r="X17" s="95" t="s">
        <v>459</v>
      </c>
      <c r="Y17" s="95">
        <v>30</v>
      </c>
      <c r="Z17" s="95" t="s">
        <v>652</v>
      </c>
      <c r="AA17" s="77"/>
      <c r="AB17" s="77"/>
    </row>
    <row r="18" spans="1:28" ht="15.75" customHeight="1" x14ac:dyDescent="0.25">
      <c r="A18" s="94" t="s">
        <v>456</v>
      </c>
      <c r="B18" s="95" t="s">
        <v>460</v>
      </c>
      <c r="C18" s="95" t="s">
        <v>424</v>
      </c>
      <c r="D18" s="95" t="s">
        <v>461</v>
      </c>
      <c r="E18" s="95"/>
      <c r="F18" s="95"/>
      <c r="G18" s="95"/>
      <c r="H18" s="95"/>
      <c r="I18" s="95"/>
      <c r="J18" s="95" t="s">
        <v>424</v>
      </c>
      <c r="K18" s="95"/>
      <c r="L18" s="95"/>
      <c r="M18" s="95"/>
      <c r="N18" s="95"/>
      <c r="O18" s="95"/>
      <c r="P18" s="95"/>
      <c r="Q18" s="95"/>
      <c r="R18" s="95"/>
      <c r="S18" s="95"/>
      <c r="T18" s="95"/>
      <c r="U18" s="95"/>
      <c r="V18" s="95"/>
      <c r="W18" s="95"/>
      <c r="X18" s="95"/>
      <c r="Y18" s="95"/>
      <c r="Z18" s="95" t="s">
        <v>652</v>
      </c>
      <c r="AA18" s="77"/>
      <c r="AB18" s="77"/>
    </row>
    <row r="19" spans="1:28" ht="15.75" customHeight="1" x14ac:dyDescent="0.25">
      <c r="A19" s="94" t="s">
        <v>456</v>
      </c>
      <c r="B19" s="95" t="s">
        <v>462</v>
      </c>
      <c r="C19" s="95" t="s">
        <v>424</v>
      </c>
      <c r="D19" s="95" t="s">
        <v>463</v>
      </c>
      <c r="E19" s="95"/>
      <c r="F19" s="95"/>
      <c r="G19" s="95"/>
      <c r="H19" s="95"/>
      <c r="I19" s="95"/>
      <c r="J19" s="95"/>
      <c r="K19" s="95"/>
      <c r="L19" s="95"/>
      <c r="M19" s="95"/>
      <c r="N19" s="95"/>
      <c r="O19" s="95"/>
      <c r="P19" s="95"/>
      <c r="Q19" s="95"/>
      <c r="R19" s="95"/>
      <c r="S19" s="95"/>
      <c r="T19" s="95"/>
      <c r="U19" s="95"/>
      <c r="V19" s="95"/>
      <c r="W19" s="95"/>
      <c r="X19" s="95"/>
      <c r="Y19" s="95"/>
      <c r="Z19" s="95" t="s">
        <v>652</v>
      </c>
      <c r="AA19" s="77"/>
      <c r="AB19" s="77"/>
    </row>
    <row r="20" spans="1:28" ht="15.75" customHeight="1" x14ac:dyDescent="0.25">
      <c r="A20" s="94" t="s">
        <v>456</v>
      </c>
      <c r="B20" s="95" t="s">
        <v>464</v>
      </c>
      <c r="C20" s="95" t="s">
        <v>424</v>
      </c>
      <c r="D20" s="95" t="s">
        <v>465</v>
      </c>
      <c r="E20" s="95"/>
      <c r="F20" s="95"/>
      <c r="G20" s="95"/>
      <c r="H20" s="95"/>
      <c r="I20" s="95"/>
      <c r="J20" s="95"/>
      <c r="K20" s="95"/>
      <c r="L20" s="95"/>
      <c r="M20" s="95"/>
      <c r="N20" s="95"/>
      <c r="O20" s="95"/>
      <c r="P20" s="95"/>
      <c r="Q20" s="95"/>
      <c r="R20" s="95"/>
      <c r="S20" s="95"/>
      <c r="T20" s="95"/>
      <c r="U20" s="95"/>
      <c r="V20" s="95"/>
      <c r="W20" s="95"/>
      <c r="X20" s="95"/>
      <c r="Y20" s="95"/>
      <c r="Z20" s="95" t="s">
        <v>652</v>
      </c>
      <c r="AA20" s="77"/>
      <c r="AB20" s="77"/>
    </row>
    <row r="21" spans="1:28" ht="15.75" customHeight="1" x14ac:dyDescent="0.25">
      <c r="A21" s="94" t="s">
        <v>456</v>
      </c>
      <c r="B21" s="95" t="s">
        <v>466</v>
      </c>
      <c r="C21" s="95" t="s">
        <v>424</v>
      </c>
      <c r="D21" s="95" t="s">
        <v>467</v>
      </c>
      <c r="E21" s="95"/>
      <c r="F21" s="95"/>
      <c r="G21" s="95"/>
      <c r="H21" s="95"/>
      <c r="I21" s="95"/>
      <c r="J21" s="95"/>
      <c r="K21" s="95"/>
      <c r="L21" s="95"/>
      <c r="M21" s="95"/>
      <c r="N21" s="95"/>
      <c r="O21" s="95"/>
      <c r="P21" s="95"/>
      <c r="Q21" s="95"/>
      <c r="R21" s="95"/>
      <c r="S21" s="95"/>
      <c r="T21" s="95"/>
      <c r="U21" s="95"/>
      <c r="V21" s="95"/>
      <c r="W21" s="95"/>
      <c r="X21" s="95"/>
      <c r="Y21" s="95"/>
      <c r="Z21" s="95" t="s">
        <v>652</v>
      </c>
      <c r="AA21" s="77"/>
      <c r="AB21" s="77"/>
    </row>
    <row r="22" spans="1:28" ht="15.75" customHeight="1" x14ac:dyDescent="0.25">
      <c r="A22" s="94" t="s">
        <v>456</v>
      </c>
      <c r="B22" s="95" t="s">
        <v>468</v>
      </c>
      <c r="C22" s="95"/>
      <c r="D22" s="95"/>
      <c r="E22" s="95"/>
      <c r="F22" s="95" t="s">
        <v>440</v>
      </c>
      <c r="G22" s="95"/>
      <c r="H22" s="95"/>
      <c r="I22" s="95"/>
      <c r="J22" s="95" t="s">
        <v>424</v>
      </c>
      <c r="K22" s="95"/>
      <c r="L22" s="95"/>
      <c r="M22" s="95"/>
      <c r="N22" s="95"/>
      <c r="O22" s="95"/>
      <c r="P22" s="95"/>
      <c r="Q22" s="95"/>
      <c r="R22" s="95"/>
      <c r="S22" s="95"/>
      <c r="T22" s="95"/>
      <c r="U22" s="95"/>
      <c r="V22" s="95"/>
      <c r="W22" s="95"/>
      <c r="X22" s="95" t="s">
        <v>697</v>
      </c>
      <c r="Y22" s="95">
        <v>30</v>
      </c>
      <c r="Z22" s="95" t="s">
        <v>652</v>
      </c>
      <c r="AA22" s="77"/>
      <c r="AB22" s="77"/>
    </row>
    <row r="23" spans="1:28" ht="15.75" customHeight="1" x14ac:dyDescent="0.25">
      <c r="A23" s="94" t="s">
        <v>456</v>
      </c>
      <c r="B23" s="95" t="s">
        <v>469</v>
      </c>
      <c r="C23" s="95"/>
      <c r="D23" s="95"/>
      <c r="E23" s="95"/>
      <c r="F23" s="95" t="s">
        <v>442</v>
      </c>
      <c r="G23" s="95"/>
      <c r="H23" s="95"/>
      <c r="I23" s="95"/>
      <c r="J23" s="95" t="s">
        <v>424</v>
      </c>
      <c r="K23" s="95"/>
      <c r="L23" s="95"/>
      <c r="M23" s="95"/>
      <c r="N23" s="95"/>
      <c r="O23" s="95"/>
      <c r="P23" s="95"/>
      <c r="Q23" s="95"/>
      <c r="R23" s="95"/>
      <c r="S23" s="95"/>
      <c r="T23" s="95"/>
      <c r="U23" s="95"/>
      <c r="V23" s="95"/>
      <c r="W23" s="95"/>
      <c r="X23" s="95" t="s">
        <v>697</v>
      </c>
      <c r="Y23" s="95">
        <v>30</v>
      </c>
      <c r="Z23" s="95" t="s">
        <v>652</v>
      </c>
      <c r="AA23" s="77"/>
      <c r="AB23" s="77"/>
    </row>
    <row r="24" spans="1:28" ht="15.75" customHeight="1" x14ac:dyDescent="0.25">
      <c r="A24" s="94" t="s">
        <v>470</v>
      </c>
      <c r="B24" s="95" t="s">
        <v>471</v>
      </c>
      <c r="C24" s="95"/>
      <c r="D24" s="95"/>
      <c r="E24" s="95"/>
      <c r="F24" s="95"/>
      <c r="G24" s="95"/>
      <c r="H24" s="95" t="s">
        <v>472</v>
      </c>
      <c r="I24" s="95"/>
      <c r="J24" s="95"/>
      <c r="K24" s="95"/>
      <c r="L24" s="95"/>
      <c r="M24" s="95"/>
      <c r="N24" s="95"/>
      <c r="O24" s="95"/>
      <c r="P24" s="95"/>
      <c r="Q24" s="95"/>
      <c r="R24" s="95"/>
      <c r="S24" s="95"/>
      <c r="T24" s="95"/>
      <c r="U24" s="95"/>
      <c r="V24" s="95"/>
      <c r="W24" s="95"/>
      <c r="X24" s="95"/>
      <c r="Y24" s="95"/>
      <c r="Z24" s="95" t="s">
        <v>652</v>
      </c>
      <c r="AA24" s="77"/>
      <c r="AB24" s="77"/>
    </row>
    <row r="25" spans="1:28" ht="15.75" customHeight="1" x14ac:dyDescent="0.25">
      <c r="A25" s="94" t="s">
        <v>470</v>
      </c>
      <c r="B25" s="95" t="s">
        <v>473</v>
      </c>
      <c r="C25" s="95" t="s">
        <v>424</v>
      </c>
      <c r="D25" s="95" t="s">
        <v>474</v>
      </c>
      <c r="E25" s="95"/>
      <c r="F25" s="95"/>
      <c r="G25" s="95"/>
      <c r="H25" s="95"/>
      <c r="I25" s="95"/>
      <c r="J25" s="95" t="s">
        <v>424</v>
      </c>
      <c r="K25" s="95"/>
      <c r="L25" s="95"/>
      <c r="M25" s="95"/>
      <c r="N25" s="95"/>
      <c r="O25" s="95"/>
      <c r="P25" s="95"/>
      <c r="Q25" s="95"/>
      <c r="R25" s="95"/>
      <c r="S25" s="95"/>
      <c r="T25" s="95"/>
      <c r="U25" s="95"/>
      <c r="V25" s="95"/>
      <c r="W25" s="95"/>
      <c r="X25" s="95"/>
      <c r="Y25" s="95"/>
      <c r="Z25" s="95" t="s">
        <v>652</v>
      </c>
      <c r="AA25" s="77"/>
      <c r="AB25" s="77"/>
    </row>
    <row r="26" spans="1:28" ht="15.75" customHeight="1" x14ac:dyDescent="0.25">
      <c r="A26" s="94" t="s">
        <v>470</v>
      </c>
      <c r="B26" s="95" t="s">
        <v>452</v>
      </c>
      <c r="C26" s="95"/>
      <c r="D26" s="95"/>
      <c r="E26" s="95"/>
      <c r="F26" s="95" t="s">
        <v>438</v>
      </c>
      <c r="G26" s="95"/>
      <c r="H26" s="95"/>
      <c r="I26" s="95"/>
      <c r="J26" s="95" t="s">
        <v>424</v>
      </c>
      <c r="K26" s="95"/>
      <c r="L26" s="95"/>
      <c r="M26" s="95"/>
      <c r="N26" s="95"/>
      <c r="O26" s="95"/>
      <c r="P26" s="95"/>
      <c r="Q26" s="95"/>
      <c r="R26" s="95"/>
      <c r="S26" s="95"/>
      <c r="T26" s="95"/>
      <c r="U26" s="95"/>
      <c r="V26" s="95"/>
      <c r="W26" s="95"/>
      <c r="X26" s="95" t="s">
        <v>453</v>
      </c>
      <c r="Y26" s="95" t="s">
        <v>454</v>
      </c>
      <c r="Z26" s="95" t="s">
        <v>652</v>
      </c>
      <c r="AA26" s="77"/>
      <c r="AB26" s="77"/>
    </row>
    <row r="27" spans="1:28" ht="15.75" customHeight="1" x14ac:dyDescent="0.25">
      <c r="A27" s="94" t="s">
        <v>470</v>
      </c>
      <c r="B27" s="95" t="s">
        <v>455</v>
      </c>
      <c r="C27" s="95"/>
      <c r="D27" s="95"/>
      <c r="E27" s="95"/>
      <c r="F27" s="95" t="s">
        <v>435</v>
      </c>
      <c r="G27" s="95"/>
      <c r="H27" s="95"/>
      <c r="I27" s="95"/>
      <c r="J27" s="95" t="s">
        <v>424</v>
      </c>
      <c r="K27" s="95"/>
      <c r="L27" s="95"/>
      <c r="M27" s="95"/>
      <c r="N27" s="95"/>
      <c r="O27" s="95"/>
      <c r="P27" s="95"/>
      <c r="Q27" s="95"/>
      <c r="R27" s="95"/>
      <c r="S27" s="95"/>
      <c r="T27" s="95"/>
      <c r="U27" s="95"/>
      <c r="V27" s="95"/>
      <c r="W27" s="95"/>
      <c r="X27" s="95" t="s">
        <v>453</v>
      </c>
      <c r="Y27" s="95" t="s">
        <v>454</v>
      </c>
      <c r="Z27" s="95" t="s">
        <v>652</v>
      </c>
      <c r="AA27" s="77"/>
      <c r="AB27" s="77"/>
    </row>
    <row r="28" spans="1:28" ht="15.75" customHeight="1" x14ac:dyDescent="0.25">
      <c r="A28" s="94" t="s">
        <v>475</v>
      </c>
      <c r="B28" s="95" t="s">
        <v>476</v>
      </c>
      <c r="C28" s="95"/>
      <c r="D28" s="95"/>
      <c r="E28" s="95" t="s">
        <v>477</v>
      </c>
      <c r="F28" s="95" t="s">
        <v>478</v>
      </c>
      <c r="G28" s="95"/>
      <c r="H28" s="95"/>
      <c r="I28" s="95"/>
      <c r="J28" s="95"/>
      <c r="K28" s="95"/>
      <c r="L28" s="95"/>
      <c r="M28" s="95"/>
      <c r="N28" s="95"/>
      <c r="O28" s="95"/>
      <c r="P28" s="95"/>
      <c r="Q28" s="95" t="s">
        <v>479</v>
      </c>
      <c r="R28" s="95"/>
      <c r="S28" s="95"/>
      <c r="T28" s="95"/>
      <c r="U28" s="95"/>
      <c r="V28" s="95"/>
      <c r="W28" s="95"/>
      <c r="X28" s="95" t="s">
        <v>459</v>
      </c>
      <c r="Y28" s="95">
        <v>100</v>
      </c>
      <c r="Z28" s="95" t="s">
        <v>652</v>
      </c>
      <c r="AA28" s="77"/>
      <c r="AB28" s="77"/>
    </row>
    <row r="29" spans="1:28" ht="15.75" customHeight="1" x14ac:dyDescent="0.25">
      <c r="A29" s="94" t="s">
        <v>475</v>
      </c>
      <c r="B29" s="95" t="s">
        <v>480</v>
      </c>
      <c r="C29" s="95"/>
      <c r="D29" s="95"/>
      <c r="E29" s="95"/>
      <c r="F29" s="95" t="s">
        <v>429</v>
      </c>
      <c r="G29" s="95"/>
      <c r="H29" s="95"/>
      <c r="I29" s="95"/>
      <c r="J29" s="95"/>
      <c r="K29" s="95"/>
      <c r="L29" s="95"/>
      <c r="M29" s="95"/>
      <c r="N29" s="95"/>
      <c r="O29" s="95"/>
      <c r="P29" s="95"/>
      <c r="Q29" s="96"/>
      <c r="R29" s="95"/>
      <c r="S29" s="95"/>
      <c r="T29" s="95"/>
      <c r="U29" s="95"/>
      <c r="V29" s="95"/>
      <c r="W29" s="95"/>
      <c r="X29" s="95" t="s">
        <v>481</v>
      </c>
      <c r="Y29" s="95">
        <v>30</v>
      </c>
      <c r="Z29" s="95" t="s">
        <v>652</v>
      </c>
      <c r="AA29" s="77"/>
      <c r="AB29" s="77"/>
    </row>
    <row r="30" spans="1:28" ht="14.5" x14ac:dyDescent="0.35">
      <c r="A30" s="78"/>
      <c r="B30" s="78"/>
      <c r="C30" s="78"/>
      <c r="D30" s="78"/>
      <c r="E30" s="78"/>
      <c r="F30" s="78"/>
      <c r="G30" s="78"/>
      <c r="H30" s="78"/>
      <c r="I30" s="78"/>
      <c r="J30" s="78"/>
      <c r="K30" s="78"/>
      <c r="L30" s="78"/>
      <c r="M30" s="78"/>
      <c r="N30" s="78"/>
      <c r="O30" s="78"/>
      <c r="P30" s="78"/>
      <c r="Q30" s="78"/>
      <c r="R30" s="78"/>
      <c r="S30" s="31"/>
      <c r="T30" s="76"/>
      <c r="U30" s="76"/>
      <c r="V30" s="76"/>
      <c r="W30" s="76"/>
      <c r="X30" s="76"/>
      <c r="Y30" s="76"/>
      <c r="Z30" s="77"/>
      <c r="AA30" s="77"/>
      <c r="AB30" s="77"/>
    </row>
    <row r="31" spans="1:28" ht="15.75" customHeight="1" thickBot="1" x14ac:dyDescent="0.35">
      <c r="A31" s="97" t="s">
        <v>95</v>
      </c>
      <c r="B31" s="78"/>
      <c r="C31" s="78"/>
      <c r="D31" s="78"/>
      <c r="E31" s="78"/>
      <c r="F31" s="77"/>
      <c r="G31" s="77"/>
      <c r="H31" s="77"/>
      <c r="I31" s="77"/>
      <c r="J31" s="77"/>
      <c r="K31" s="77"/>
      <c r="L31" s="77"/>
      <c r="M31" s="77"/>
      <c r="N31" s="77"/>
      <c r="O31" s="77"/>
      <c r="P31" s="77"/>
      <c r="Q31" s="77"/>
      <c r="R31" s="77"/>
      <c r="S31" s="77"/>
      <c r="T31" s="77"/>
      <c r="U31" s="77"/>
      <c r="V31" s="77"/>
      <c r="W31" s="77"/>
      <c r="X31" s="77"/>
      <c r="Y31" s="77"/>
      <c r="Z31" s="77"/>
      <c r="AA31" s="77"/>
      <c r="AB31" s="77"/>
    </row>
    <row r="32" spans="1:28" ht="15.75" customHeight="1" thickBot="1" x14ac:dyDescent="0.35">
      <c r="A32" s="63" t="s">
        <v>359</v>
      </c>
      <c r="B32" s="18" t="s">
        <v>33</v>
      </c>
      <c r="C32" s="32" t="s">
        <v>10</v>
      </c>
      <c r="D32" s="32" t="s">
        <v>93</v>
      </c>
      <c r="E32" s="32" t="s">
        <v>75</v>
      </c>
      <c r="F32" s="32" t="s">
        <v>29</v>
      </c>
      <c r="G32" s="77"/>
      <c r="H32" s="77"/>
      <c r="I32" s="77"/>
      <c r="J32" s="77"/>
      <c r="K32" s="77"/>
      <c r="L32" s="77"/>
      <c r="M32" s="77"/>
      <c r="N32" s="77"/>
      <c r="O32" s="77"/>
      <c r="P32" s="77"/>
      <c r="Q32" s="77"/>
      <c r="R32" s="77"/>
      <c r="S32" s="77"/>
      <c r="T32" s="77"/>
      <c r="U32" s="77"/>
      <c r="V32" s="77"/>
      <c r="W32" s="77"/>
      <c r="X32" s="77"/>
      <c r="Y32" s="77"/>
      <c r="Z32" s="77"/>
      <c r="AA32" s="77"/>
      <c r="AB32" s="77"/>
    </row>
    <row r="33" spans="1:28" ht="15.75" customHeight="1" x14ac:dyDescent="0.25">
      <c r="G33" s="77"/>
      <c r="H33" s="77"/>
      <c r="I33" s="77"/>
      <c r="J33" s="77"/>
      <c r="K33" s="77"/>
      <c r="L33" s="77"/>
      <c r="M33" s="77"/>
      <c r="N33" s="77"/>
      <c r="O33" s="77"/>
      <c r="P33" s="77"/>
      <c r="Q33" s="77"/>
      <c r="R33" s="77"/>
      <c r="S33" s="77"/>
      <c r="T33" s="77"/>
      <c r="U33" s="77"/>
      <c r="V33" s="77"/>
      <c r="W33" s="77"/>
      <c r="X33" s="77"/>
      <c r="Y33" s="77"/>
      <c r="Z33" s="77"/>
      <c r="AA33" s="77"/>
      <c r="AB33" s="77"/>
    </row>
    <row r="34" spans="1:28" ht="15.75" customHeight="1" x14ac:dyDescent="0.25">
      <c r="G34" s="77"/>
      <c r="H34" s="77"/>
      <c r="I34" s="77"/>
      <c r="J34" s="77"/>
      <c r="K34" s="77"/>
      <c r="L34" s="77"/>
      <c r="M34" s="77"/>
      <c r="N34" s="77"/>
      <c r="O34" s="77"/>
      <c r="P34" s="77"/>
      <c r="Q34" s="77"/>
      <c r="R34" s="77"/>
      <c r="S34" s="77"/>
      <c r="T34" s="77"/>
      <c r="U34" s="77"/>
      <c r="V34" s="77"/>
      <c r="W34" s="77"/>
      <c r="X34" s="77"/>
      <c r="Y34" s="77"/>
      <c r="Z34" s="77"/>
      <c r="AA34" s="77"/>
      <c r="AB34" s="77"/>
    </row>
    <row r="35" spans="1:28" ht="15.75" customHeight="1" x14ac:dyDescent="0.25">
      <c r="G35" s="77"/>
      <c r="H35" s="77"/>
      <c r="I35" s="77"/>
      <c r="J35" s="77"/>
      <c r="K35" s="77"/>
      <c r="L35" s="77"/>
      <c r="M35" s="77"/>
      <c r="N35" s="77"/>
      <c r="O35" s="77"/>
      <c r="P35" s="77"/>
      <c r="Q35" s="77"/>
      <c r="R35" s="77"/>
      <c r="S35" s="77"/>
      <c r="T35" s="77"/>
      <c r="U35" s="77"/>
      <c r="V35" s="77"/>
      <c r="W35" s="77"/>
      <c r="X35" s="77"/>
      <c r="Y35" s="77"/>
      <c r="Z35" s="77"/>
      <c r="AA35" s="77"/>
      <c r="AB35" s="77"/>
    </row>
    <row r="36" spans="1:28" x14ac:dyDescent="0.25">
      <c r="A36" s="78"/>
      <c r="B36" s="78"/>
      <c r="C36" s="78"/>
      <c r="D36" s="78"/>
      <c r="E36" s="78"/>
      <c r="F36" s="77"/>
      <c r="G36" s="77"/>
      <c r="H36" s="77"/>
      <c r="I36" s="77"/>
      <c r="J36" s="77"/>
      <c r="K36" s="77"/>
      <c r="L36" s="77"/>
      <c r="M36" s="77"/>
      <c r="N36" s="77"/>
      <c r="O36" s="77"/>
      <c r="P36" s="77"/>
      <c r="Q36" s="77"/>
      <c r="R36" s="77"/>
      <c r="S36" s="77"/>
      <c r="T36" s="77"/>
      <c r="U36" s="77"/>
      <c r="V36" s="77"/>
      <c r="W36" s="77"/>
      <c r="X36" s="77"/>
      <c r="Y36" s="77"/>
      <c r="Z36" s="77"/>
      <c r="AA36" s="77"/>
      <c r="AB36" s="77"/>
    </row>
    <row r="37" spans="1:28" ht="15.75" customHeight="1" x14ac:dyDescent="0.3">
      <c r="A37" s="97" t="s">
        <v>96</v>
      </c>
      <c r="B37" s="78"/>
      <c r="C37" s="78"/>
      <c r="D37" s="78"/>
      <c r="E37" s="78"/>
      <c r="F37" s="78"/>
      <c r="G37" s="78"/>
      <c r="H37" s="78"/>
      <c r="I37" s="77"/>
      <c r="J37" s="77"/>
      <c r="K37" s="77"/>
      <c r="L37" s="77"/>
      <c r="M37" s="77"/>
      <c r="N37" s="77"/>
      <c r="O37" s="77"/>
      <c r="P37" s="77"/>
      <c r="Q37" s="77"/>
      <c r="R37" s="77"/>
      <c r="S37" s="77"/>
      <c r="T37" s="77"/>
      <c r="U37" s="77"/>
      <c r="V37" s="77"/>
      <c r="W37" s="77"/>
      <c r="X37" s="77"/>
      <c r="Y37" s="77"/>
      <c r="Z37" s="77"/>
      <c r="AA37" s="77"/>
      <c r="AB37" s="77"/>
    </row>
    <row r="38" spans="1:28" ht="15.75" customHeight="1" x14ac:dyDescent="0.3">
      <c r="A38" s="324" t="s">
        <v>359</v>
      </c>
      <c r="B38" s="325" t="s">
        <v>124</v>
      </c>
      <c r="C38" s="326" t="s">
        <v>5</v>
      </c>
      <c r="D38" s="326" t="s">
        <v>97</v>
      </c>
      <c r="E38" s="326" t="s">
        <v>98</v>
      </c>
      <c r="F38" s="326" t="s">
        <v>99</v>
      </c>
      <c r="G38" s="326" t="s">
        <v>26</v>
      </c>
      <c r="H38" s="326" t="s">
        <v>75</v>
      </c>
      <c r="I38" s="327" t="s">
        <v>29</v>
      </c>
      <c r="J38" s="77"/>
      <c r="K38" s="77"/>
      <c r="L38" s="77"/>
      <c r="M38" s="77"/>
      <c r="N38" s="77"/>
      <c r="O38" s="77"/>
      <c r="P38" s="77"/>
      <c r="Q38" s="77"/>
      <c r="R38" s="77"/>
      <c r="S38" s="77"/>
      <c r="T38" s="77"/>
      <c r="U38" s="77"/>
      <c r="V38" s="77"/>
      <c r="W38" s="77"/>
      <c r="X38" s="77"/>
      <c r="Y38" s="77"/>
      <c r="Z38" s="77"/>
      <c r="AA38" s="77"/>
      <c r="AB38" s="77"/>
    </row>
    <row r="39" spans="1:28" x14ac:dyDescent="0.25">
      <c r="A39" s="328" t="s">
        <v>482</v>
      </c>
      <c r="B39" s="322" t="s">
        <v>457</v>
      </c>
      <c r="C39" s="323" t="s">
        <v>457</v>
      </c>
      <c r="D39" s="322"/>
      <c r="E39" s="323"/>
      <c r="F39" s="323" t="s">
        <v>93</v>
      </c>
      <c r="G39" s="323"/>
      <c r="H39" s="323"/>
      <c r="I39" s="329" t="s">
        <v>653</v>
      </c>
      <c r="J39" s="77"/>
      <c r="K39" s="77"/>
      <c r="L39" s="77"/>
      <c r="M39" s="77"/>
      <c r="N39" s="77"/>
      <c r="O39" s="77"/>
      <c r="P39" s="77"/>
      <c r="Q39" s="77"/>
      <c r="R39" s="77"/>
      <c r="S39" s="77"/>
      <c r="T39" s="77"/>
      <c r="U39" s="77"/>
      <c r="V39" s="77"/>
      <c r="W39" s="77"/>
      <c r="X39" s="77"/>
      <c r="Y39" s="77"/>
      <c r="Z39" s="77"/>
      <c r="AA39" s="77"/>
      <c r="AB39" s="77"/>
    </row>
    <row r="40" spans="1:28" ht="15.75" customHeight="1" thickBot="1" x14ac:dyDescent="0.3">
      <c r="A40" s="330" t="s">
        <v>456</v>
      </c>
      <c r="B40" s="331" t="s">
        <v>457</v>
      </c>
      <c r="C40" s="332" t="s">
        <v>457</v>
      </c>
      <c r="D40" s="331"/>
      <c r="E40" s="332"/>
      <c r="F40" s="332" t="s">
        <v>93</v>
      </c>
      <c r="G40" s="320"/>
      <c r="H40" s="320"/>
      <c r="I40" s="333" t="s">
        <v>653</v>
      </c>
      <c r="J40" s="77"/>
      <c r="K40" s="77"/>
      <c r="L40" s="77"/>
      <c r="M40" s="77"/>
      <c r="N40" s="77"/>
      <c r="O40" s="77"/>
      <c r="P40" s="77"/>
      <c r="Q40" s="77"/>
      <c r="R40" s="77"/>
      <c r="S40" s="77"/>
      <c r="T40" s="77"/>
      <c r="U40" s="77"/>
      <c r="V40" s="77"/>
      <c r="W40" s="77"/>
      <c r="X40" s="77"/>
      <c r="Y40" s="77"/>
      <c r="Z40" s="77"/>
      <c r="AA40" s="77"/>
      <c r="AB40" s="77"/>
    </row>
    <row r="41" spans="1:28" x14ac:dyDescent="0.25">
      <c r="A41" s="78"/>
      <c r="B41" s="76"/>
      <c r="C41" s="76"/>
      <c r="D41" s="76"/>
      <c r="E41" s="76"/>
      <c r="F41" s="76"/>
      <c r="G41" s="76"/>
      <c r="H41" s="76"/>
      <c r="I41" s="77"/>
      <c r="J41" s="77"/>
      <c r="K41" s="77"/>
      <c r="L41" s="77"/>
      <c r="M41" s="77"/>
      <c r="N41" s="77"/>
      <c r="O41" s="77"/>
      <c r="P41" s="77"/>
      <c r="Q41" s="77"/>
      <c r="R41" s="77"/>
      <c r="S41" s="77"/>
      <c r="T41" s="77"/>
      <c r="U41" s="77"/>
      <c r="V41" s="77"/>
      <c r="W41" s="77"/>
      <c r="X41" s="77"/>
      <c r="Y41" s="77"/>
      <c r="Z41" s="77"/>
      <c r="AA41" s="77"/>
      <c r="AB41" s="77"/>
    </row>
    <row r="42" spans="1:28" ht="15.75" customHeight="1" thickBot="1" x14ac:dyDescent="0.4">
      <c r="A42" s="88" t="s">
        <v>91</v>
      </c>
      <c r="B42" s="78"/>
      <c r="C42" s="78"/>
      <c r="D42" s="78"/>
      <c r="E42" s="78"/>
      <c r="F42" s="78"/>
      <c r="G42" s="78"/>
      <c r="H42" s="78"/>
      <c r="I42" s="77"/>
      <c r="J42" s="77"/>
      <c r="K42" s="77"/>
      <c r="L42" s="77"/>
      <c r="M42" s="77"/>
      <c r="N42" s="77"/>
      <c r="O42" s="77"/>
      <c r="P42" s="77"/>
      <c r="Q42" s="77"/>
      <c r="R42" s="77"/>
      <c r="S42" s="77"/>
      <c r="T42" s="77"/>
      <c r="U42" s="77"/>
      <c r="V42" s="77"/>
      <c r="W42" s="77"/>
      <c r="X42" s="77"/>
      <c r="Y42" s="77"/>
      <c r="Z42" s="77"/>
      <c r="AA42" s="77"/>
      <c r="AB42" s="77"/>
    </row>
    <row r="43" spans="1:28" ht="15.75" customHeight="1" thickBot="1" x14ac:dyDescent="0.3">
      <c r="A43" s="63" t="s">
        <v>359</v>
      </c>
      <c r="B43" s="32" t="s">
        <v>10</v>
      </c>
      <c r="C43" s="32" t="s">
        <v>86</v>
      </c>
      <c r="D43" s="32" t="s">
        <v>87</v>
      </c>
      <c r="E43" s="32" t="s">
        <v>88</v>
      </c>
      <c r="F43" s="32" t="s">
        <v>89</v>
      </c>
      <c r="G43" s="32" t="s">
        <v>90</v>
      </c>
      <c r="H43" s="32" t="s">
        <v>75</v>
      </c>
      <c r="I43" s="32" t="s">
        <v>29</v>
      </c>
      <c r="J43" s="77"/>
      <c r="K43" s="77"/>
      <c r="L43" s="77"/>
      <c r="M43" s="77"/>
      <c r="N43" s="77"/>
      <c r="O43" s="77"/>
      <c r="P43" s="77"/>
      <c r="Q43" s="77"/>
      <c r="R43" s="77"/>
      <c r="S43" s="77"/>
      <c r="T43" s="77"/>
      <c r="U43" s="77"/>
      <c r="V43" s="77"/>
      <c r="W43" s="77"/>
      <c r="X43" s="77"/>
      <c r="Y43" s="77"/>
      <c r="Z43" s="77"/>
      <c r="AA43" s="77"/>
      <c r="AB43" s="77"/>
    </row>
    <row r="44" spans="1:28" ht="12" customHeight="1" x14ac:dyDescent="0.25">
      <c r="A44" s="89"/>
      <c r="B44" s="98"/>
      <c r="C44" s="99"/>
      <c r="D44" s="89"/>
      <c r="E44" s="89"/>
      <c r="F44" s="89"/>
      <c r="G44" s="89"/>
      <c r="H44" s="89"/>
      <c r="I44" s="89"/>
      <c r="J44" s="77"/>
      <c r="K44" s="77"/>
      <c r="L44" s="77"/>
      <c r="M44" s="77"/>
      <c r="N44" s="77"/>
      <c r="O44" s="77"/>
      <c r="P44" s="77"/>
      <c r="Q44" s="77"/>
      <c r="R44" s="77"/>
      <c r="S44" s="77"/>
      <c r="T44" s="77"/>
      <c r="U44" s="77"/>
      <c r="V44" s="77"/>
      <c r="W44" s="77"/>
      <c r="X44" s="77"/>
      <c r="Y44" s="77"/>
      <c r="Z44" s="77"/>
      <c r="AA44" s="77"/>
      <c r="AB44" s="77"/>
    </row>
    <row r="45" spans="1:28" ht="13" thickBot="1" x14ac:dyDescent="0.3">
      <c r="A45" s="90"/>
      <c r="B45" s="100"/>
      <c r="C45" s="90"/>
      <c r="D45" s="90"/>
      <c r="E45" s="90"/>
      <c r="F45" s="90"/>
      <c r="G45" s="90"/>
      <c r="H45" s="90"/>
      <c r="I45" s="90"/>
      <c r="J45" s="77"/>
      <c r="K45" s="77"/>
      <c r="L45" s="77"/>
      <c r="M45" s="77"/>
      <c r="N45" s="77"/>
      <c r="O45" s="77"/>
      <c r="P45" s="77"/>
      <c r="Q45" s="77"/>
      <c r="R45" s="77"/>
      <c r="S45" s="77"/>
      <c r="T45" s="77"/>
      <c r="U45" s="77"/>
      <c r="V45" s="77"/>
      <c r="W45" s="77"/>
      <c r="X45" s="77"/>
      <c r="Y45" s="77"/>
      <c r="Z45" s="77"/>
      <c r="AA45" s="77"/>
      <c r="AB45" s="77"/>
    </row>
    <row r="46" spans="1:28" x14ac:dyDescent="0.25">
      <c r="A46" s="78"/>
      <c r="B46" s="76"/>
      <c r="C46" s="76"/>
      <c r="D46" s="76"/>
      <c r="E46" s="76"/>
      <c r="F46" s="76"/>
      <c r="G46" s="76"/>
      <c r="H46" s="76"/>
      <c r="I46" s="77"/>
      <c r="J46" s="77"/>
      <c r="K46" s="77"/>
      <c r="L46" s="77"/>
      <c r="M46" s="77"/>
      <c r="N46" s="77"/>
      <c r="O46" s="77"/>
      <c r="P46" s="77"/>
      <c r="Q46" s="77"/>
      <c r="R46" s="77"/>
      <c r="S46" s="77"/>
      <c r="T46" s="77"/>
      <c r="U46" s="77"/>
      <c r="V46" s="77"/>
      <c r="W46" s="77"/>
      <c r="X46" s="77"/>
      <c r="Y46" s="77"/>
      <c r="Z46" s="77"/>
      <c r="AA46" s="77"/>
      <c r="AB46" s="77"/>
    </row>
    <row r="47" spans="1:28" ht="15.75" customHeight="1" thickBot="1" x14ac:dyDescent="0.4">
      <c r="A47" s="88" t="s">
        <v>94</v>
      </c>
      <c r="B47" s="76"/>
      <c r="C47" s="76"/>
      <c r="D47" s="76"/>
      <c r="E47" s="76"/>
      <c r="F47" s="76"/>
      <c r="G47" s="76"/>
      <c r="H47" s="76"/>
      <c r="I47" s="77"/>
      <c r="J47" s="77"/>
      <c r="K47" s="77"/>
      <c r="L47" s="77"/>
      <c r="M47" s="77"/>
      <c r="N47" s="77"/>
      <c r="O47" s="77"/>
      <c r="P47" s="77"/>
      <c r="Q47" s="77"/>
      <c r="R47" s="77"/>
      <c r="S47" s="77"/>
      <c r="T47" s="77"/>
      <c r="U47" s="77"/>
      <c r="V47" s="77"/>
      <c r="W47" s="77"/>
      <c r="X47" s="77"/>
      <c r="Y47" s="77"/>
      <c r="Z47" s="77"/>
      <c r="AA47" s="77"/>
      <c r="AB47" s="77"/>
    </row>
    <row r="48" spans="1:28" ht="15.75" customHeight="1" thickBot="1" x14ac:dyDescent="0.3">
      <c r="A48" s="63" t="s">
        <v>359</v>
      </c>
      <c r="B48" s="101" t="s">
        <v>10</v>
      </c>
      <c r="C48" s="101" t="s">
        <v>93</v>
      </c>
      <c r="D48" s="101" t="s">
        <v>75</v>
      </c>
      <c r="E48" s="102" t="s">
        <v>29</v>
      </c>
      <c r="F48" s="77"/>
      <c r="G48" s="77"/>
      <c r="H48" s="77"/>
      <c r="I48" s="77"/>
      <c r="J48" s="77"/>
      <c r="K48" s="77"/>
      <c r="L48" s="77"/>
      <c r="M48" s="77"/>
      <c r="N48" s="77"/>
      <c r="O48" s="77"/>
      <c r="P48" s="77"/>
      <c r="Q48" s="77"/>
      <c r="R48" s="77"/>
      <c r="S48" s="77"/>
      <c r="T48" s="77"/>
      <c r="U48" s="77"/>
      <c r="V48" s="77"/>
      <c r="W48" s="77"/>
      <c r="X48" s="77"/>
      <c r="Y48" s="77"/>
      <c r="Z48" s="77"/>
      <c r="AA48" s="77"/>
      <c r="AB48" s="77"/>
    </row>
    <row r="49" spans="1:28" x14ac:dyDescent="0.25">
      <c r="A49" s="209" t="s">
        <v>456</v>
      </c>
      <c r="B49" s="210" t="s">
        <v>483</v>
      </c>
      <c r="C49" s="210" t="s">
        <v>466</v>
      </c>
      <c r="D49" s="209"/>
      <c r="E49" s="247" t="s">
        <v>654</v>
      </c>
      <c r="F49" s="77"/>
      <c r="G49" s="77"/>
      <c r="H49" s="77"/>
      <c r="I49" s="77"/>
      <c r="J49" s="77"/>
      <c r="K49" s="77"/>
      <c r="L49" s="77"/>
      <c r="M49" s="77"/>
      <c r="N49" s="77"/>
      <c r="O49" s="77"/>
      <c r="P49" s="77"/>
      <c r="Q49" s="77"/>
      <c r="R49" s="77"/>
      <c r="S49" s="77"/>
      <c r="T49" s="77"/>
      <c r="U49" s="77"/>
      <c r="V49" s="77"/>
      <c r="W49" s="77"/>
      <c r="X49" s="77"/>
      <c r="Y49" s="77"/>
      <c r="Z49" s="77"/>
      <c r="AA49" s="77"/>
      <c r="AB49"/>
    </row>
    <row r="50" spans="1:28" x14ac:dyDescent="0.25">
      <c r="A50" s="209" t="s">
        <v>456</v>
      </c>
      <c r="B50" s="85" t="s">
        <v>484</v>
      </c>
      <c r="C50" s="85" t="s">
        <v>464</v>
      </c>
      <c r="D50" s="84"/>
      <c r="E50" s="247" t="s">
        <v>654</v>
      </c>
      <c r="F50" s="77"/>
      <c r="G50" s="77"/>
      <c r="H50" s="77"/>
      <c r="I50" s="77"/>
      <c r="J50" s="77"/>
      <c r="K50" s="77"/>
      <c r="L50" s="77"/>
      <c r="M50" s="77"/>
      <c r="N50" s="77"/>
      <c r="O50" s="77"/>
      <c r="P50" s="77"/>
      <c r="Q50" s="77"/>
      <c r="R50" s="77"/>
      <c r="S50" s="77"/>
      <c r="T50" s="77"/>
      <c r="U50" s="77"/>
      <c r="V50" s="77"/>
      <c r="W50" s="77"/>
      <c r="X50" s="77"/>
      <c r="Y50" s="77"/>
      <c r="Z50" s="77"/>
      <c r="AA50" s="77"/>
      <c r="AB50"/>
    </row>
    <row r="51" spans="1:28" ht="13" thickBot="1" x14ac:dyDescent="0.3">
      <c r="A51" s="209" t="s">
        <v>456</v>
      </c>
      <c r="B51" s="188" t="s">
        <v>485</v>
      </c>
      <c r="C51" s="188" t="s">
        <v>462</v>
      </c>
      <c r="D51" s="188"/>
      <c r="E51" s="247" t="s">
        <v>654</v>
      </c>
      <c r="F51" s="77"/>
      <c r="G51" s="77"/>
      <c r="H51" s="77"/>
      <c r="I51" s="77"/>
      <c r="J51" s="77"/>
      <c r="K51" s="77"/>
      <c r="L51" s="77"/>
      <c r="M51" s="77"/>
      <c r="N51" s="77"/>
      <c r="O51" s="77"/>
      <c r="P51" s="77"/>
      <c r="Q51" s="77"/>
      <c r="R51" s="77"/>
      <c r="S51" s="77"/>
      <c r="T51" s="77"/>
      <c r="U51" s="77"/>
      <c r="V51" s="77"/>
      <c r="W51" s="77"/>
      <c r="X51" s="77"/>
      <c r="Y51" s="77"/>
      <c r="Z51" s="77"/>
      <c r="AA51" s="77"/>
      <c r="AB51"/>
    </row>
    <row r="52" spans="1:28" ht="15.75" customHeight="1" thickBot="1" x14ac:dyDescent="0.4">
      <c r="A52" s="88" t="s">
        <v>50</v>
      </c>
      <c r="B52" s="211"/>
      <c r="C52" s="211"/>
      <c r="D52" s="211"/>
      <c r="E52" s="76"/>
      <c r="F52" s="77"/>
      <c r="G52" s="77"/>
      <c r="H52" s="77"/>
      <c r="I52" s="77"/>
      <c r="J52" s="77"/>
      <c r="K52" s="77"/>
      <c r="L52" s="77"/>
      <c r="M52" s="77"/>
      <c r="N52" s="77"/>
      <c r="O52" s="77"/>
      <c r="P52" s="77"/>
      <c r="Q52" s="77"/>
      <c r="R52" s="77"/>
      <c r="S52" s="77"/>
      <c r="T52" s="77"/>
      <c r="U52" s="77"/>
      <c r="V52" s="77"/>
      <c r="W52" s="77"/>
      <c r="X52" s="77"/>
      <c r="Y52" s="77"/>
      <c r="Z52" s="77"/>
      <c r="AA52" s="77"/>
      <c r="AB52" s="77"/>
    </row>
    <row r="53" spans="1:28" ht="15.75" customHeight="1" thickBot="1" x14ac:dyDescent="0.3">
      <c r="A53" s="63" t="s">
        <v>359</v>
      </c>
      <c r="B53" s="61" t="s">
        <v>100</v>
      </c>
      <c r="C53" s="61" t="s">
        <v>101</v>
      </c>
      <c r="D53" s="61" t="s">
        <v>102</v>
      </c>
      <c r="E53" s="61" t="s">
        <v>75</v>
      </c>
      <c r="F53" s="32" t="s">
        <v>29</v>
      </c>
      <c r="G53" s="77"/>
      <c r="H53" s="77"/>
      <c r="I53" s="77"/>
      <c r="J53" s="77"/>
      <c r="K53" s="77"/>
      <c r="L53" s="77"/>
      <c r="M53" s="77"/>
      <c r="N53" s="77"/>
      <c r="O53" s="77"/>
      <c r="P53" s="77"/>
      <c r="Q53" s="77"/>
      <c r="R53" s="77"/>
      <c r="S53" s="77"/>
      <c r="T53" s="77"/>
      <c r="U53" s="77"/>
      <c r="V53" s="77"/>
      <c r="W53" s="77"/>
      <c r="X53" s="77"/>
      <c r="Y53" s="77"/>
      <c r="Z53" s="77"/>
      <c r="AA53" s="77"/>
      <c r="AB53" s="77"/>
    </row>
    <row r="54" spans="1:28" x14ac:dyDescent="0.25">
      <c r="A54" s="212" t="s">
        <v>475</v>
      </c>
      <c r="B54" s="213" t="s">
        <v>486</v>
      </c>
      <c r="C54" s="209" t="s">
        <v>477</v>
      </c>
      <c r="D54" s="209" t="s">
        <v>424</v>
      </c>
      <c r="E54" s="89"/>
      <c r="F54" s="247" t="s">
        <v>655</v>
      </c>
      <c r="G54" s="77"/>
      <c r="H54" s="77"/>
      <c r="I54" s="77"/>
      <c r="J54" s="77"/>
      <c r="K54" s="77"/>
      <c r="L54" s="77"/>
      <c r="M54" s="77"/>
      <c r="N54" s="77"/>
      <c r="O54" s="77"/>
      <c r="P54" s="77"/>
      <c r="Q54" s="77"/>
      <c r="R54" s="77"/>
      <c r="S54" s="77"/>
      <c r="T54" s="77"/>
      <c r="U54" s="77"/>
      <c r="V54" s="77"/>
      <c r="W54" s="77"/>
      <c r="X54" s="77"/>
      <c r="Y54" s="77"/>
      <c r="Z54" s="77"/>
      <c r="AA54" s="77"/>
      <c r="AB54" s="77"/>
    </row>
    <row r="55" spans="1:28" ht="13" thickBot="1" x14ac:dyDescent="0.3">
      <c r="A55" s="188"/>
      <c r="B55" s="214"/>
      <c r="C55" s="188"/>
      <c r="D55" s="188"/>
      <c r="E55" s="90"/>
      <c r="F55" s="91"/>
      <c r="G55" s="77"/>
      <c r="H55" s="77"/>
      <c r="I55" s="77"/>
      <c r="J55" s="77"/>
      <c r="K55" s="77"/>
      <c r="L55" s="77"/>
      <c r="M55" s="77"/>
      <c r="N55" s="77"/>
      <c r="O55" s="77"/>
      <c r="P55" s="77"/>
      <c r="Q55" s="77"/>
      <c r="R55" s="77"/>
      <c r="S55" s="77"/>
      <c r="T55" s="77"/>
      <c r="U55" s="77"/>
      <c r="V55" s="77"/>
      <c r="W55" s="77"/>
      <c r="X55" s="77"/>
      <c r="Y55" s="77"/>
      <c r="Z55" s="77"/>
      <c r="AA55" s="77"/>
      <c r="AB55" s="77"/>
    </row>
    <row r="56" spans="1:28" x14ac:dyDescent="0.25">
      <c r="A56" s="215"/>
      <c r="B56" s="211"/>
      <c r="C56" s="211"/>
      <c r="D56" s="211"/>
      <c r="E56" s="76"/>
      <c r="F56" s="77"/>
      <c r="G56" s="77"/>
      <c r="H56" s="77"/>
      <c r="I56" s="77"/>
      <c r="J56" s="77"/>
      <c r="K56" s="77"/>
      <c r="L56" s="77"/>
      <c r="M56" s="77"/>
      <c r="N56" s="77"/>
      <c r="O56" s="77"/>
      <c r="P56" s="77"/>
      <c r="Q56" s="77"/>
      <c r="R56" s="77"/>
      <c r="S56" s="77"/>
      <c r="T56" s="77"/>
      <c r="U56" s="77"/>
      <c r="V56" s="77"/>
      <c r="W56" s="77"/>
      <c r="X56" s="77"/>
      <c r="Y56" s="77"/>
      <c r="Z56" s="77"/>
      <c r="AA56" s="77"/>
      <c r="AB56" s="77"/>
    </row>
    <row r="57" spans="1:28" ht="15.75" customHeight="1" thickBot="1" x14ac:dyDescent="0.4">
      <c r="A57" s="88" t="s">
        <v>103</v>
      </c>
      <c r="B57" s="211"/>
      <c r="C57" s="211"/>
      <c r="D57" s="211"/>
      <c r="E57" s="76"/>
      <c r="F57" s="76"/>
      <c r="G57" s="77"/>
      <c r="H57" s="77"/>
      <c r="I57" s="77"/>
      <c r="J57" s="77"/>
      <c r="K57" s="77"/>
      <c r="L57" s="77"/>
      <c r="M57" s="77"/>
      <c r="N57" s="77"/>
      <c r="O57" s="77"/>
      <c r="P57" s="77"/>
      <c r="Q57" s="77"/>
      <c r="R57" s="77"/>
      <c r="S57" s="77"/>
      <c r="T57" s="77"/>
      <c r="U57" s="77"/>
      <c r="V57" s="77"/>
      <c r="W57" s="77"/>
      <c r="X57" s="77"/>
      <c r="Y57" s="77"/>
      <c r="Z57" s="77"/>
      <c r="AA57" s="77"/>
      <c r="AB57" s="77"/>
    </row>
    <row r="58" spans="1:28" ht="15.75" customHeight="1" thickBot="1" x14ac:dyDescent="0.35">
      <c r="A58" s="63" t="s">
        <v>359</v>
      </c>
      <c r="B58" s="18" t="s">
        <v>125</v>
      </c>
      <c r="C58" s="61" t="s">
        <v>10</v>
      </c>
      <c r="D58" s="61" t="s">
        <v>104</v>
      </c>
      <c r="E58" s="32" t="s">
        <v>75</v>
      </c>
      <c r="F58" s="32" t="s">
        <v>105</v>
      </c>
      <c r="G58" s="32" t="s">
        <v>29</v>
      </c>
      <c r="H58" s="77"/>
      <c r="I58" s="77"/>
      <c r="J58" s="77"/>
      <c r="K58" s="77"/>
      <c r="L58" s="77"/>
      <c r="M58" s="77"/>
      <c r="N58" s="77"/>
      <c r="O58" s="77"/>
      <c r="P58" s="77"/>
      <c r="Q58" s="77"/>
      <c r="R58" s="77"/>
      <c r="S58" s="77"/>
      <c r="T58" s="77"/>
      <c r="U58" s="77"/>
      <c r="V58" s="77"/>
      <c r="W58" s="77"/>
      <c r="X58" s="77"/>
      <c r="Y58" s="77"/>
      <c r="Z58" s="77"/>
      <c r="AA58" s="77"/>
      <c r="AB58" s="77"/>
    </row>
    <row r="59" spans="1:28" x14ac:dyDescent="0.25">
      <c r="A59" s="212" t="s">
        <v>475</v>
      </c>
      <c r="B59" s="209" t="s">
        <v>477</v>
      </c>
      <c r="C59" s="213" t="s">
        <v>487</v>
      </c>
      <c r="D59" s="209" t="s">
        <v>488</v>
      </c>
      <c r="E59" s="89"/>
      <c r="F59" s="89" t="s">
        <v>480</v>
      </c>
      <c r="G59" s="247" t="s">
        <v>656</v>
      </c>
      <c r="H59" s="77"/>
      <c r="I59" s="77"/>
      <c r="J59" s="77"/>
      <c r="K59" s="77"/>
      <c r="L59" s="77"/>
      <c r="M59" s="77"/>
      <c r="N59" s="77"/>
      <c r="O59" s="77"/>
      <c r="P59" s="77"/>
      <c r="Q59" s="77"/>
      <c r="R59" s="77"/>
      <c r="S59" s="77"/>
      <c r="T59" s="77"/>
      <c r="U59" s="77"/>
      <c r="V59" s="77"/>
      <c r="W59" s="77"/>
      <c r="X59" s="77"/>
      <c r="Y59" s="77"/>
      <c r="Z59" s="77"/>
      <c r="AA59" s="77"/>
      <c r="AB59" s="77"/>
    </row>
    <row r="60" spans="1:28" ht="13" thickBot="1" x14ac:dyDescent="0.3">
      <c r="A60" s="188"/>
      <c r="B60" s="214"/>
      <c r="C60" s="214"/>
      <c r="D60" s="188"/>
      <c r="E60" s="90"/>
      <c r="F60" s="90"/>
      <c r="G60" s="91"/>
      <c r="H60" s="77"/>
      <c r="I60" s="77"/>
      <c r="J60" s="77"/>
      <c r="K60" s="77"/>
      <c r="L60" s="77"/>
      <c r="M60" s="77"/>
      <c r="N60" s="77"/>
      <c r="O60" s="77"/>
      <c r="P60" s="77"/>
      <c r="Q60" s="77"/>
      <c r="R60" s="77"/>
      <c r="S60" s="77"/>
      <c r="T60" s="77"/>
      <c r="U60" s="77"/>
      <c r="V60" s="77"/>
      <c r="W60" s="77"/>
      <c r="X60" s="77"/>
      <c r="Y60" s="77"/>
      <c r="Z60" s="77"/>
      <c r="AA60" s="77"/>
      <c r="AB60" s="77"/>
    </row>
    <row r="61" spans="1:28" x14ac:dyDescent="0.25">
      <c r="A61" s="215"/>
      <c r="B61" s="211"/>
      <c r="C61" s="211"/>
      <c r="D61" s="211"/>
      <c r="E61" s="76"/>
      <c r="F61" s="76"/>
      <c r="G61" s="76"/>
      <c r="H61" s="76"/>
      <c r="I61" s="76"/>
      <c r="J61" s="77"/>
      <c r="K61" s="77"/>
      <c r="L61" s="77"/>
      <c r="M61" s="77"/>
      <c r="N61" s="76"/>
      <c r="O61" s="77"/>
      <c r="P61" s="77"/>
      <c r="Q61" s="77"/>
      <c r="R61" s="76"/>
      <c r="S61" s="76"/>
      <c r="T61" s="76"/>
      <c r="U61" s="76"/>
      <c r="V61" s="76"/>
      <c r="W61" s="76"/>
      <c r="X61" s="76"/>
      <c r="Y61" s="77"/>
      <c r="Z61" s="77"/>
      <c r="AA61" s="77"/>
      <c r="AB61" s="77"/>
    </row>
    <row r="62" spans="1:28" ht="15.75" customHeight="1" thickBot="1" x14ac:dyDescent="0.4">
      <c r="A62" s="88" t="s">
        <v>106</v>
      </c>
      <c r="B62" s="211"/>
      <c r="C62" s="211"/>
      <c r="D62" s="211"/>
      <c r="E62" s="76"/>
      <c r="F62" s="76"/>
      <c r="G62" s="76"/>
      <c r="H62" s="76"/>
      <c r="I62" s="76"/>
      <c r="J62" s="77"/>
      <c r="K62" s="77"/>
      <c r="L62" s="77"/>
      <c r="M62" s="77"/>
      <c r="N62" s="76"/>
      <c r="O62" s="77"/>
      <c r="P62" s="77"/>
      <c r="Q62" s="77"/>
      <c r="R62" s="76"/>
      <c r="S62" s="77"/>
      <c r="T62" s="77"/>
      <c r="U62" s="77"/>
      <c r="V62" s="77"/>
      <c r="W62" s="77"/>
      <c r="X62" s="77"/>
      <c r="Y62" s="77"/>
      <c r="Z62" s="77"/>
      <c r="AA62" s="77"/>
      <c r="AB62" s="77"/>
    </row>
    <row r="63" spans="1:28" ht="15.75" customHeight="1" thickBot="1" x14ac:dyDescent="0.3">
      <c r="A63" s="63" t="s">
        <v>359</v>
      </c>
      <c r="B63" s="61" t="s">
        <v>10</v>
      </c>
      <c r="C63" s="61" t="s">
        <v>109</v>
      </c>
      <c r="D63" s="61" t="s">
        <v>108</v>
      </c>
      <c r="E63" s="61" t="s">
        <v>107</v>
      </c>
      <c r="F63" s="32" t="s">
        <v>110</v>
      </c>
      <c r="G63" s="32" t="s">
        <v>75</v>
      </c>
      <c r="H63" s="32" t="s">
        <v>111</v>
      </c>
      <c r="I63" s="32" t="s">
        <v>79</v>
      </c>
      <c r="J63" s="32" t="s">
        <v>112</v>
      </c>
      <c r="K63" s="32" t="s">
        <v>113</v>
      </c>
      <c r="L63" s="32" t="s">
        <v>114</v>
      </c>
      <c r="M63" s="32" t="s">
        <v>115</v>
      </c>
      <c r="N63" s="32" t="s">
        <v>116</v>
      </c>
      <c r="O63" s="32" t="s">
        <v>105</v>
      </c>
      <c r="P63" s="32" t="s">
        <v>117</v>
      </c>
      <c r="Q63" s="32" t="s">
        <v>118</v>
      </c>
      <c r="R63" s="32" t="s">
        <v>119</v>
      </c>
      <c r="S63" s="32" t="s">
        <v>29</v>
      </c>
      <c r="T63" s="77"/>
      <c r="U63" s="77"/>
      <c r="V63" s="77"/>
      <c r="W63" s="77"/>
      <c r="X63" s="77"/>
      <c r="Y63" s="77"/>
      <c r="Z63" s="77"/>
      <c r="AA63" s="77"/>
      <c r="AB63" s="77"/>
    </row>
    <row r="64" spans="1:28" x14ac:dyDescent="0.25">
      <c r="A64" s="209" t="s">
        <v>470</v>
      </c>
      <c r="B64" s="213" t="s">
        <v>489</v>
      </c>
      <c r="C64" s="209" t="s">
        <v>456</v>
      </c>
      <c r="D64" s="210"/>
      <c r="E64" s="99"/>
      <c r="F64" s="99" t="s">
        <v>490</v>
      </c>
      <c r="H64" s="99"/>
      <c r="I64" s="99"/>
      <c r="J64" s="99" t="s">
        <v>424</v>
      </c>
      <c r="K64" s="99" t="s">
        <v>424</v>
      </c>
      <c r="L64" s="99"/>
      <c r="M64" s="99"/>
      <c r="N64" s="99"/>
      <c r="O64" s="99"/>
      <c r="P64" s="99"/>
      <c r="Q64" s="99"/>
      <c r="R64" s="99"/>
      <c r="S64" s="247" t="s">
        <v>657</v>
      </c>
      <c r="T64" s="77"/>
      <c r="U64" s="77"/>
      <c r="V64" s="77"/>
      <c r="W64" s="77"/>
      <c r="X64" s="77"/>
      <c r="Y64" s="77"/>
      <c r="Z64" s="77"/>
    </row>
    <row r="65" spans="1:28" ht="13" thickBot="1" x14ac:dyDescent="0.3">
      <c r="A65" s="90"/>
      <c r="B65" s="100"/>
      <c r="C65" s="90"/>
      <c r="D65" s="90"/>
      <c r="E65" s="90"/>
      <c r="F65" s="90"/>
      <c r="G65" s="90"/>
      <c r="H65" s="90"/>
      <c r="I65" s="90"/>
      <c r="J65" s="90"/>
      <c r="K65" s="90"/>
      <c r="L65" s="90"/>
      <c r="M65" s="90"/>
      <c r="N65" s="90"/>
      <c r="O65" s="90"/>
      <c r="P65" s="90"/>
      <c r="Q65" s="90"/>
      <c r="R65" s="90"/>
      <c r="S65" s="91"/>
      <c r="T65" s="77"/>
      <c r="U65" s="77"/>
      <c r="V65" s="77"/>
      <c r="W65" s="77"/>
      <c r="X65" s="77"/>
      <c r="Y65" s="77"/>
      <c r="Z65" s="77"/>
    </row>
    <row r="67" spans="1:28" ht="16" thickBot="1" x14ac:dyDescent="0.4">
      <c r="A67" s="88" t="s">
        <v>617</v>
      </c>
      <c r="B67" s="211"/>
      <c r="C67" s="211"/>
      <c r="D67" s="211"/>
      <c r="E67" s="76"/>
      <c r="F67" s="76"/>
      <c r="G67" s="76"/>
      <c r="H67" s="76"/>
      <c r="I67" s="76"/>
      <c r="J67" s="77"/>
    </row>
    <row r="68" spans="1:28" x14ac:dyDescent="0.25">
      <c r="A68" s="92" t="s">
        <v>359</v>
      </c>
      <c r="B68" s="218" t="s">
        <v>10</v>
      </c>
      <c r="C68" s="218" t="s">
        <v>77</v>
      </c>
      <c r="D68" s="218" t="s">
        <v>5</v>
      </c>
      <c r="E68" s="218" t="s">
        <v>618</v>
      </c>
      <c r="F68" s="218" t="s">
        <v>76</v>
      </c>
      <c r="G68" s="93" t="s">
        <v>75</v>
      </c>
      <c r="H68" s="218" t="s">
        <v>29</v>
      </c>
      <c r="I68" s="74"/>
      <c r="L68" s="1"/>
      <c r="N68" s="74"/>
      <c r="P68" s="1"/>
      <c r="Q68" s="1"/>
      <c r="AA68"/>
      <c r="AB68"/>
    </row>
    <row r="69" spans="1:28" ht="25" x14ac:dyDescent="0.25">
      <c r="A69" s="80" t="s">
        <v>470</v>
      </c>
      <c r="B69" s="80" t="s">
        <v>471</v>
      </c>
      <c r="C69" s="80" t="s">
        <v>489</v>
      </c>
      <c r="D69" s="80" t="s">
        <v>472</v>
      </c>
      <c r="E69" s="80" t="s">
        <v>424</v>
      </c>
      <c r="F69" s="80"/>
      <c r="G69" s="247"/>
      <c r="H69" s="379" t="s">
        <v>698</v>
      </c>
      <c r="I69" s="74"/>
      <c r="L69" s="1"/>
      <c r="N69" s="74"/>
      <c r="P69" s="1"/>
      <c r="Q69" s="1"/>
      <c r="AA69"/>
      <c r="AB69"/>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919A6-9453-4883-94B4-2A6141E2CC41}">
  <sheetPr codeName="Sheet6"/>
  <dimension ref="A1:X11"/>
  <sheetViews>
    <sheetView workbookViewId="0">
      <selection activeCell="A3" sqref="A3"/>
    </sheetView>
  </sheetViews>
  <sheetFormatPr defaultColWidth="9.08984375" defaultRowHeight="12.5" x14ac:dyDescent="0.25"/>
  <cols>
    <col min="1" max="1" width="67.453125" style="198" bestFit="1" customWidth="1"/>
    <col min="2" max="2" width="21.453125" style="198" bestFit="1" customWidth="1"/>
    <col min="3" max="3" width="29.08984375" style="198" bestFit="1" customWidth="1"/>
    <col min="4" max="4" width="38.36328125" style="198" bestFit="1" customWidth="1"/>
    <col min="5" max="5" width="11.6328125" style="198" bestFit="1" customWidth="1"/>
    <col min="6" max="6" width="23.54296875" style="198" bestFit="1" customWidth="1"/>
    <col min="7" max="7" width="9.54296875" style="198" bestFit="1" customWidth="1"/>
    <col min="8" max="8" width="17.6328125" style="198" bestFit="1" customWidth="1"/>
    <col min="9" max="9" width="16.36328125" style="198" bestFit="1" customWidth="1"/>
    <col min="10" max="10" width="15.36328125" style="198" bestFit="1" customWidth="1"/>
    <col min="11" max="11" width="14.453125" style="198" bestFit="1" customWidth="1"/>
    <col min="12" max="12" width="14.36328125" style="198" bestFit="1" customWidth="1"/>
    <col min="13" max="13" width="18.36328125" style="198" bestFit="1" customWidth="1"/>
    <col min="14" max="14" width="30.08984375" style="198" bestFit="1" customWidth="1"/>
    <col min="15" max="15" width="12.08984375" style="198" bestFit="1" customWidth="1"/>
    <col min="16" max="16" width="9.08984375" style="198" bestFit="1" customWidth="1"/>
    <col min="17" max="17" width="8.453125" style="198" bestFit="1" customWidth="1"/>
    <col min="18" max="18" width="13.453125" style="198" bestFit="1" customWidth="1"/>
    <col min="19" max="19" width="9.6328125" style="198" bestFit="1" customWidth="1"/>
    <col min="20" max="20" width="15.36328125" style="198" bestFit="1" customWidth="1"/>
    <col min="21" max="21" width="19.36328125" style="198" bestFit="1" customWidth="1"/>
    <col min="22" max="22" width="12.54296875" style="198" bestFit="1" customWidth="1"/>
    <col min="23" max="23" width="7.08984375" style="198" bestFit="1" customWidth="1"/>
    <col min="24" max="24" width="49.453125" style="198" bestFit="1" customWidth="1"/>
    <col min="25" max="25" width="10" style="198" bestFit="1" customWidth="1"/>
    <col min="26" max="16384" width="9.08984375" style="198"/>
  </cols>
  <sheetData>
    <row r="1" spans="1:24" ht="18" x14ac:dyDescent="0.25">
      <c r="A1" s="196" t="s">
        <v>280</v>
      </c>
      <c r="B1" s="197"/>
      <c r="C1" s="197"/>
      <c r="D1" s="197"/>
      <c r="E1" s="197"/>
      <c r="F1" s="197"/>
    </row>
    <row r="2" spans="1:24" ht="13" thickBot="1" x14ac:dyDescent="0.3">
      <c r="A2" s="199"/>
      <c r="B2" s="197"/>
    </row>
    <row r="3" spans="1:24" x14ac:dyDescent="0.25">
      <c r="A3" s="200" t="s">
        <v>63</v>
      </c>
      <c r="B3" s="201" t="s">
        <v>64</v>
      </c>
    </row>
    <row r="4" spans="1:24" ht="13" thickBot="1" x14ac:dyDescent="0.3">
      <c r="A4" s="202"/>
      <c r="B4" s="203"/>
    </row>
    <row r="6" spans="1:24" ht="16" thickBot="1" x14ac:dyDescent="0.3">
      <c r="A6" s="204" t="s">
        <v>365</v>
      </c>
    </row>
    <row r="7" spans="1:24" ht="13" x14ac:dyDescent="0.25">
      <c r="A7" s="205" t="s">
        <v>366</v>
      </c>
      <c r="B7" s="206" t="s">
        <v>367</v>
      </c>
      <c r="C7" s="206" t="s">
        <v>368</v>
      </c>
      <c r="D7" s="206" t="s">
        <v>369</v>
      </c>
      <c r="E7" s="206" t="s">
        <v>105</v>
      </c>
      <c r="F7" s="206" t="s">
        <v>168</v>
      </c>
      <c r="G7" s="206" t="s">
        <v>370</v>
      </c>
      <c r="H7" s="206" t="s">
        <v>371</v>
      </c>
      <c r="I7" s="206" t="s">
        <v>372</v>
      </c>
      <c r="J7" s="206" t="s">
        <v>373</v>
      </c>
      <c r="K7" s="206" t="s">
        <v>116</v>
      </c>
      <c r="L7" s="206" t="s">
        <v>374</v>
      </c>
      <c r="M7" s="206" t="s">
        <v>202</v>
      </c>
      <c r="N7" s="206" t="s">
        <v>375</v>
      </c>
      <c r="O7" s="206" t="s">
        <v>111</v>
      </c>
      <c r="P7" s="206" t="s">
        <v>112</v>
      </c>
      <c r="Q7" s="206" t="s">
        <v>113</v>
      </c>
      <c r="R7" s="206" t="s">
        <v>376</v>
      </c>
      <c r="S7" s="206" t="s">
        <v>114</v>
      </c>
      <c r="T7" s="206" t="s">
        <v>204</v>
      </c>
      <c r="U7" s="206" t="s">
        <v>377</v>
      </c>
      <c r="V7" s="206" t="s">
        <v>27</v>
      </c>
      <c r="W7" s="206" t="s">
        <v>75</v>
      </c>
      <c r="X7" s="207" t="s">
        <v>29</v>
      </c>
    </row>
    <row r="8" spans="1:24" ht="14.5" x14ac:dyDescent="0.35">
      <c r="A8" s="152" t="s">
        <v>577</v>
      </c>
      <c r="B8" s="194" t="s">
        <v>581</v>
      </c>
      <c r="C8" s="194" t="s">
        <v>456</v>
      </c>
      <c r="D8" s="194" t="s">
        <v>450</v>
      </c>
      <c r="E8" s="194" t="s">
        <v>582</v>
      </c>
      <c r="F8" s="194" t="s">
        <v>469</v>
      </c>
      <c r="G8" s="194"/>
      <c r="H8" s="194"/>
      <c r="I8" s="194"/>
      <c r="J8" s="118"/>
      <c r="K8" s="194"/>
      <c r="L8" s="194" t="s">
        <v>583</v>
      </c>
      <c r="M8" s="194"/>
      <c r="N8" s="194"/>
      <c r="O8" s="194"/>
      <c r="P8" s="194"/>
      <c r="Q8" s="194"/>
      <c r="R8" s="194"/>
      <c r="S8" s="118"/>
      <c r="T8" s="194"/>
      <c r="U8" s="194"/>
      <c r="V8" s="194"/>
      <c r="W8" s="194"/>
      <c r="X8" s="296" t="s">
        <v>663</v>
      </c>
    </row>
    <row r="9" spans="1:24" ht="14.5" x14ac:dyDescent="0.35">
      <c r="A9" s="152" t="s">
        <v>584</v>
      </c>
      <c r="B9" s="194" t="s">
        <v>581</v>
      </c>
      <c r="C9" s="194" t="s">
        <v>456</v>
      </c>
      <c r="D9" s="194" t="s">
        <v>451</v>
      </c>
      <c r="E9" s="194" t="s">
        <v>585</v>
      </c>
      <c r="F9" s="194" t="s">
        <v>582</v>
      </c>
      <c r="G9" s="194"/>
      <c r="H9" s="194"/>
      <c r="I9" s="194"/>
      <c r="J9" s="118"/>
      <c r="K9" s="194"/>
      <c r="L9" s="194" t="s">
        <v>583</v>
      </c>
      <c r="M9" s="194"/>
      <c r="N9" s="194"/>
      <c r="O9" s="194"/>
      <c r="P9" s="194"/>
      <c r="Q9" s="194"/>
      <c r="R9" s="194"/>
      <c r="S9" s="118"/>
      <c r="T9" s="194"/>
      <c r="U9" s="194"/>
      <c r="V9" s="194"/>
      <c r="W9" s="194"/>
      <c r="X9" s="296" t="s">
        <v>663</v>
      </c>
    </row>
    <row r="10" spans="1:24" ht="14.5" x14ac:dyDescent="0.35">
      <c r="A10" s="152" t="s">
        <v>578</v>
      </c>
      <c r="B10" s="194" t="s">
        <v>581</v>
      </c>
      <c r="C10" s="194" t="s">
        <v>470</v>
      </c>
      <c r="D10" s="194" t="s">
        <v>451</v>
      </c>
      <c r="E10" s="194"/>
      <c r="F10" s="194" t="s">
        <v>585</v>
      </c>
      <c r="G10" s="194"/>
      <c r="H10" s="194"/>
      <c r="I10" s="194"/>
      <c r="J10" s="118"/>
      <c r="K10" s="194"/>
      <c r="L10" s="194" t="s">
        <v>583</v>
      </c>
      <c r="M10" s="194"/>
      <c r="N10" s="194"/>
      <c r="O10" s="194"/>
      <c r="P10" s="194"/>
      <c r="Q10" s="194"/>
      <c r="R10" s="194"/>
      <c r="S10" s="118"/>
      <c r="T10" s="194"/>
      <c r="U10" s="194"/>
      <c r="V10" s="194"/>
      <c r="W10" s="194"/>
      <c r="X10" s="296" t="s">
        <v>663</v>
      </c>
    </row>
    <row r="11" spans="1:24" ht="15" thickBot="1" x14ac:dyDescent="0.4">
      <c r="A11" s="370" t="s">
        <v>595</v>
      </c>
      <c r="B11" s="370" t="s">
        <v>581</v>
      </c>
      <c r="C11" s="370" t="s">
        <v>449</v>
      </c>
      <c r="D11" s="370" t="s">
        <v>451</v>
      </c>
      <c r="E11" s="370"/>
      <c r="F11" s="370" t="s">
        <v>585</v>
      </c>
      <c r="G11" s="371"/>
      <c r="H11" s="371"/>
      <c r="I11" s="371"/>
      <c r="J11" s="371"/>
      <c r="K11" s="371"/>
      <c r="L11" s="371"/>
      <c r="M11" s="371"/>
      <c r="N11" s="371"/>
      <c r="O11" s="371"/>
      <c r="P11" s="371"/>
      <c r="Q11" s="371"/>
      <c r="R11" s="371"/>
      <c r="S11" s="371"/>
      <c r="T11" s="371"/>
      <c r="U11" s="371"/>
      <c r="V11" s="371"/>
      <c r="W11" s="371"/>
      <c r="X11" s="299" t="s">
        <v>663</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667BB-A50B-4339-86E4-A9238111942B}">
  <sheetPr codeName="Sheet28">
    <pageSetUpPr fitToPage="1"/>
  </sheetPr>
  <dimension ref="A1:R9"/>
  <sheetViews>
    <sheetView zoomScale="85" workbookViewId="0">
      <selection activeCell="A8" sqref="A8"/>
    </sheetView>
  </sheetViews>
  <sheetFormatPr defaultRowHeight="12.5" x14ac:dyDescent="0.25"/>
  <cols>
    <col min="1" max="1" width="34.26953125" style="133" bestFit="1" customWidth="1"/>
    <col min="2" max="2" width="8.54296875" style="106" bestFit="1" customWidth="1"/>
    <col min="3" max="3" width="24.36328125" style="106" bestFit="1" customWidth="1"/>
    <col min="4" max="4" width="7.453125" style="106" bestFit="1" customWidth="1"/>
    <col min="5" max="5" width="8.54296875" style="106" bestFit="1" customWidth="1"/>
    <col min="6" max="6" width="8.7265625" style="106"/>
    <col min="7" max="7" width="8.453125" style="106" bestFit="1" customWidth="1"/>
    <col min="8" max="8" width="9" style="106" bestFit="1" customWidth="1"/>
    <col min="9" max="9" width="9.6328125" style="106" bestFit="1" customWidth="1"/>
    <col min="10" max="10" width="18.36328125" style="125" bestFit="1" customWidth="1"/>
    <col min="11" max="11" width="15.6328125" style="125" bestFit="1" customWidth="1"/>
    <col min="12" max="12" width="5.90625" style="125" bestFit="1" customWidth="1"/>
    <col min="13" max="13" width="9.54296875" style="125" bestFit="1" customWidth="1"/>
    <col min="14" max="14" width="17.7265625" style="106" bestFit="1" customWidth="1"/>
    <col min="15" max="15" width="15.36328125" style="125" bestFit="1" customWidth="1"/>
    <col min="16" max="16" width="12.54296875" style="125" bestFit="1" customWidth="1"/>
    <col min="17" max="17" width="40.81640625" style="125" bestFit="1" customWidth="1"/>
    <col min="18" max="18" width="12.54296875" style="106" bestFit="1" customWidth="1"/>
    <col min="19" max="21" width="10" style="106" bestFit="1" customWidth="1"/>
    <col min="22" max="16384" width="8.7265625" style="106"/>
  </cols>
  <sheetData>
    <row r="1" spans="1:18" ht="18" x14ac:dyDescent="0.4">
      <c r="A1" s="189" t="s">
        <v>671</v>
      </c>
      <c r="B1" s="104"/>
      <c r="C1" s="104"/>
      <c r="D1" s="104"/>
      <c r="E1" s="104"/>
      <c r="F1" s="104"/>
      <c r="G1" s="104"/>
      <c r="H1" s="104"/>
      <c r="I1" s="104"/>
      <c r="J1" s="104"/>
      <c r="K1" s="104"/>
      <c r="L1" s="104"/>
      <c r="M1" s="104"/>
      <c r="N1" s="104"/>
      <c r="O1" s="104"/>
      <c r="P1" s="104"/>
      <c r="Q1" s="104"/>
      <c r="R1" s="104"/>
    </row>
    <row r="2" spans="1:18" x14ac:dyDescent="0.25">
      <c r="A2" s="104"/>
      <c r="C2" s="104"/>
      <c r="D2" s="104"/>
      <c r="E2" s="104"/>
      <c r="F2" s="104"/>
      <c r="G2" s="104"/>
      <c r="H2" s="104"/>
      <c r="I2" s="104"/>
      <c r="J2" s="104"/>
      <c r="K2" s="104"/>
      <c r="L2" s="104"/>
      <c r="M2" s="104"/>
      <c r="N2" s="104"/>
      <c r="O2" s="104"/>
      <c r="P2" s="104"/>
      <c r="Q2" s="104"/>
      <c r="R2" s="104"/>
    </row>
    <row r="3" spans="1:18" x14ac:dyDescent="0.25">
      <c r="A3" s="190" t="s">
        <v>63</v>
      </c>
      <c r="B3" s="190" t="s">
        <v>64</v>
      </c>
      <c r="C3" s="104"/>
      <c r="D3" s="104"/>
      <c r="E3" s="104"/>
      <c r="F3" s="104"/>
      <c r="G3" s="104"/>
      <c r="H3" s="104"/>
      <c r="I3" s="104"/>
      <c r="J3" s="104"/>
      <c r="K3" s="104"/>
      <c r="L3" s="104"/>
      <c r="M3" s="104"/>
      <c r="N3" s="104"/>
      <c r="O3" s="104"/>
      <c r="P3" s="104"/>
      <c r="Q3" s="104"/>
      <c r="R3" s="104"/>
    </row>
    <row r="4" spans="1:18" x14ac:dyDescent="0.25">
      <c r="A4" s="191"/>
      <c r="B4" s="191"/>
      <c r="C4" s="104"/>
      <c r="D4" s="104"/>
      <c r="E4" s="104"/>
      <c r="F4" s="104"/>
      <c r="G4" s="104"/>
      <c r="H4" s="104"/>
      <c r="I4" s="104"/>
      <c r="J4" s="104"/>
      <c r="K4" s="104"/>
      <c r="L4" s="104"/>
      <c r="M4" s="104"/>
      <c r="N4" s="104"/>
      <c r="O4" s="104"/>
      <c r="P4" s="104"/>
      <c r="Q4" s="104"/>
      <c r="R4" s="104"/>
    </row>
    <row r="5" spans="1:18" x14ac:dyDescent="0.25">
      <c r="A5" s="104"/>
      <c r="B5" s="104"/>
      <c r="C5" s="104"/>
      <c r="D5" s="104"/>
      <c r="E5" s="104"/>
      <c r="F5" s="104"/>
      <c r="G5" s="104"/>
      <c r="H5" s="104"/>
      <c r="I5" s="104"/>
      <c r="J5" s="105"/>
      <c r="K5" s="105"/>
      <c r="L5" s="105"/>
      <c r="M5" s="105"/>
      <c r="N5" s="104"/>
      <c r="O5" s="105"/>
      <c r="P5" s="105"/>
      <c r="Q5" s="105"/>
      <c r="R5" s="104"/>
    </row>
    <row r="6" spans="1:18" ht="15.5" x14ac:dyDescent="0.35">
      <c r="A6" s="112" t="s">
        <v>672</v>
      </c>
      <c r="B6" s="104"/>
      <c r="C6" s="104"/>
      <c r="D6" s="104"/>
      <c r="E6" s="104"/>
      <c r="F6" s="104"/>
      <c r="G6" s="104"/>
      <c r="H6" s="104"/>
      <c r="I6" s="104"/>
      <c r="J6" s="105"/>
      <c r="K6" s="105"/>
      <c r="L6" s="105"/>
      <c r="M6" s="105"/>
      <c r="N6" s="104"/>
      <c r="O6" s="105"/>
      <c r="P6" s="105"/>
      <c r="Q6" s="105"/>
      <c r="R6" s="104"/>
    </row>
    <row r="7" spans="1:18" x14ac:dyDescent="0.25">
      <c r="A7" s="193" t="s">
        <v>10</v>
      </c>
      <c r="B7" s="193" t="s">
        <v>673</v>
      </c>
      <c r="C7" s="193" t="s">
        <v>60</v>
      </c>
      <c r="D7" s="193" t="s">
        <v>75</v>
      </c>
      <c r="E7" s="193" t="s">
        <v>674</v>
      </c>
      <c r="F7" s="193" t="s">
        <v>112</v>
      </c>
      <c r="G7" s="193" t="s">
        <v>113</v>
      </c>
      <c r="H7" s="193" t="s">
        <v>205</v>
      </c>
      <c r="I7" s="193" t="s">
        <v>114</v>
      </c>
      <c r="J7" s="193" t="s">
        <v>202</v>
      </c>
      <c r="K7" s="193" t="s">
        <v>206</v>
      </c>
      <c r="L7" s="193" t="s">
        <v>675</v>
      </c>
      <c r="M7" s="193" t="s">
        <v>117</v>
      </c>
      <c r="N7" s="193" t="s">
        <v>118</v>
      </c>
      <c r="O7" s="193" t="s">
        <v>204</v>
      </c>
      <c r="P7" s="193" t="s">
        <v>27</v>
      </c>
      <c r="Q7" s="193" t="s">
        <v>29</v>
      </c>
      <c r="R7" s="104"/>
    </row>
    <row r="8" spans="1:18" ht="15.75" customHeight="1" x14ac:dyDescent="0.25">
      <c r="A8" s="351" t="s">
        <v>458</v>
      </c>
      <c r="B8" s="302"/>
      <c r="C8" s="302" t="s">
        <v>682</v>
      </c>
      <c r="D8" s="302"/>
      <c r="E8" s="302"/>
      <c r="F8" s="302" t="s">
        <v>424</v>
      </c>
      <c r="G8" s="302" t="s">
        <v>424</v>
      </c>
      <c r="H8" s="302" t="s">
        <v>424</v>
      </c>
      <c r="I8" s="302" t="s">
        <v>424</v>
      </c>
      <c r="J8" s="302"/>
      <c r="K8" s="302" t="s">
        <v>683</v>
      </c>
      <c r="L8" s="302"/>
      <c r="M8" s="302" t="s">
        <v>56</v>
      </c>
      <c r="N8" s="302" t="s">
        <v>443</v>
      </c>
      <c r="O8" s="302"/>
      <c r="P8" s="302"/>
      <c r="Q8" s="341" t="s">
        <v>699</v>
      </c>
      <c r="R8" s="104"/>
    </row>
    <row r="9" spans="1:18" ht="15.75" customHeight="1" thickBot="1" x14ac:dyDescent="0.3">
      <c r="A9" s="310" t="s">
        <v>479</v>
      </c>
      <c r="B9" s="305"/>
      <c r="C9" s="305" t="s">
        <v>456</v>
      </c>
      <c r="D9" s="305"/>
      <c r="E9" s="305" t="s">
        <v>424</v>
      </c>
      <c r="F9" s="305" t="s">
        <v>424</v>
      </c>
      <c r="G9" s="305" t="s">
        <v>424</v>
      </c>
      <c r="H9" s="305" t="s">
        <v>424</v>
      </c>
      <c r="I9" s="305" t="s">
        <v>424</v>
      </c>
      <c r="J9" s="305"/>
      <c r="K9" s="305"/>
      <c r="L9" s="305"/>
      <c r="M9" s="305"/>
      <c r="N9" s="305"/>
      <c r="O9" s="305"/>
      <c r="P9" s="305" t="s">
        <v>193</v>
      </c>
      <c r="Q9" s="341" t="s">
        <v>699</v>
      </c>
      <c r="R9" s="104"/>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0B40-492A-4D8E-9F91-FCF796FA15E3}">
  <sheetPr codeName="Sheet29">
    <pageSetUpPr fitToPage="1"/>
  </sheetPr>
  <dimension ref="A1:I34"/>
  <sheetViews>
    <sheetView zoomScale="85" workbookViewId="0">
      <selection activeCell="A3" sqref="A3"/>
    </sheetView>
  </sheetViews>
  <sheetFormatPr defaultRowHeight="12.5" x14ac:dyDescent="0.25"/>
  <cols>
    <col min="1" max="1" width="34.90625" style="242" bestFit="1" customWidth="1"/>
    <col min="2" max="2" width="52.36328125" style="243" bestFit="1" customWidth="1"/>
    <col min="3" max="3" width="9" style="243" customWidth="1"/>
    <col min="4" max="4" width="9.36328125" style="243" bestFit="1" customWidth="1"/>
    <col min="5" max="5" width="10.453125" style="243" bestFit="1" customWidth="1"/>
    <col min="6" max="6" width="20.453125" style="243" bestFit="1" customWidth="1"/>
    <col min="7" max="7" width="60.90625" style="243" bestFit="1" customWidth="1"/>
    <col min="8" max="8" width="18.54296875" style="243" bestFit="1" customWidth="1"/>
    <col min="9" max="9" width="11.54296875" style="243" bestFit="1" customWidth="1"/>
    <col min="10" max="10" width="22.36328125" bestFit="1" customWidth="1"/>
    <col min="11" max="11" width="7.453125" bestFit="1" customWidth="1"/>
    <col min="12" max="12" width="15.6328125" bestFit="1" customWidth="1"/>
    <col min="13" max="13" width="11" bestFit="1" customWidth="1"/>
    <col min="14" max="14" width="14.453125" bestFit="1" customWidth="1"/>
    <col min="15" max="15" width="11.453125" bestFit="1" customWidth="1"/>
    <col min="16" max="16" width="9.54296875" bestFit="1" customWidth="1"/>
    <col min="17" max="17" width="16.54296875" bestFit="1" customWidth="1"/>
    <col min="18" max="18" width="14.6328125" bestFit="1" customWidth="1"/>
    <col min="19" max="19" width="10" bestFit="1" customWidth="1"/>
    <col min="20" max="20" width="9.6328125" bestFit="1" customWidth="1"/>
    <col min="21" max="21" width="8.453125" bestFit="1" customWidth="1"/>
    <col min="22" max="22" width="10.6328125" bestFit="1" customWidth="1"/>
    <col min="23" max="23" width="5.08984375" bestFit="1" customWidth="1"/>
  </cols>
  <sheetData>
    <row r="1" spans="1:9" ht="18" x14ac:dyDescent="0.25">
      <c r="A1" s="219" t="s">
        <v>620</v>
      </c>
      <c r="B1" s="220"/>
      <c r="C1" s="220"/>
      <c r="D1" s="220"/>
      <c r="E1" s="220"/>
      <c r="F1" s="220"/>
      <c r="G1" s="220"/>
      <c r="H1" s="220"/>
      <c r="I1" s="220"/>
    </row>
    <row r="2" spans="1:9" x14ac:dyDescent="0.25">
      <c r="A2" s="220"/>
      <c r="B2" s="220"/>
      <c r="C2" s="220"/>
      <c r="D2" s="220"/>
      <c r="E2" s="220"/>
      <c r="F2" s="220"/>
      <c r="G2" s="220"/>
      <c r="H2" s="220"/>
      <c r="I2" s="220"/>
    </row>
    <row r="3" spans="1:9" x14ac:dyDescent="0.25">
      <c r="A3" s="221" t="s">
        <v>63</v>
      </c>
      <c r="B3" s="221" t="s">
        <v>64</v>
      </c>
      <c r="C3" s="220"/>
      <c r="D3" s="220"/>
      <c r="E3" s="220"/>
      <c r="F3" s="220"/>
      <c r="G3" s="220"/>
      <c r="H3" s="220"/>
      <c r="I3" s="220"/>
    </row>
    <row r="4" spans="1:9" x14ac:dyDescent="0.25">
      <c r="A4" s="222"/>
      <c r="B4" s="222"/>
      <c r="C4" s="220"/>
      <c r="D4" s="220"/>
      <c r="E4" s="220"/>
      <c r="F4" s="220"/>
      <c r="G4" s="220"/>
      <c r="H4" s="220"/>
      <c r="I4" s="220"/>
    </row>
    <row r="5" spans="1:9" x14ac:dyDescent="0.25">
      <c r="A5" s="223"/>
      <c r="B5" s="223"/>
      <c r="C5" s="220"/>
      <c r="D5" s="220"/>
      <c r="E5" s="220"/>
      <c r="F5" s="220"/>
      <c r="G5" s="220"/>
      <c r="H5" s="220"/>
      <c r="I5" s="220"/>
    </row>
    <row r="6" spans="1:9" ht="16" thickBot="1" x14ac:dyDescent="0.3">
      <c r="A6" s="224" t="s">
        <v>621</v>
      </c>
      <c r="B6" s="220"/>
      <c r="C6" s="220"/>
      <c r="D6" s="220"/>
      <c r="E6" s="220"/>
      <c r="F6" s="220"/>
      <c r="G6" s="220"/>
      <c r="H6" s="220"/>
      <c r="I6" s="220"/>
    </row>
    <row r="7" spans="1:9" ht="13" thickBot="1" x14ac:dyDescent="0.3">
      <c r="A7" s="225" t="s">
        <v>244</v>
      </c>
      <c r="B7" s="226" t="s">
        <v>622</v>
      </c>
      <c r="C7" s="227" t="s">
        <v>56</v>
      </c>
      <c r="D7" s="228" t="s">
        <v>192</v>
      </c>
      <c r="E7" s="229" t="s">
        <v>623</v>
      </c>
      <c r="F7" s="229" t="s">
        <v>624</v>
      </c>
      <c r="G7" s="230" t="s">
        <v>29</v>
      </c>
      <c r="H7" s="220"/>
      <c r="I7" s="220"/>
    </row>
    <row r="8" spans="1:9" ht="12.75" customHeight="1" x14ac:dyDescent="0.25">
      <c r="A8" s="231" t="s">
        <v>492</v>
      </c>
      <c r="B8" s="232" t="s">
        <v>628</v>
      </c>
      <c r="C8" s="233"/>
      <c r="D8" s="237" t="s">
        <v>626</v>
      </c>
      <c r="E8" s="232"/>
      <c r="F8" s="232" t="s">
        <v>628</v>
      </c>
      <c r="G8" s="233" t="s">
        <v>625</v>
      </c>
      <c r="H8" s="220"/>
      <c r="I8" s="220"/>
    </row>
    <row r="9" spans="1:9" ht="12.75" customHeight="1" x14ac:dyDescent="0.25">
      <c r="A9" s="231" t="s">
        <v>492</v>
      </c>
      <c r="B9" s="232" t="s">
        <v>628</v>
      </c>
      <c r="C9" s="236"/>
      <c r="D9" s="237" t="s">
        <v>288</v>
      </c>
      <c r="E9" s="235" t="s">
        <v>650</v>
      </c>
      <c r="F9" s="232" t="s">
        <v>628</v>
      </c>
      <c r="G9" s="236" t="s">
        <v>625</v>
      </c>
      <c r="H9" s="220"/>
      <c r="I9" s="220"/>
    </row>
    <row r="10" spans="1:9" ht="12.75" customHeight="1" x14ac:dyDescent="0.25">
      <c r="A10" s="231" t="s">
        <v>492</v>
      </c>
      <c r="B10" s="232" t="s">
        <v>628</v>
      </c>
      <c r="C10" s="236"/>
      <c r="D10" s="237" t="s">
        <v>287</v>
      </c>
      <c r="E10" s="235" t="s">
        <v>648</v>
      </c>
      <c r="F10" s="232" t="s">
        <v>628</v>
      </c>
      <c r="G10" s="236" t="s">
        <v>625</v>
      </c>
      <c r="H10" s="220"/>
      <c r="I10" s="220"/>
    </row>
    <row r="11" spans="1:9" ht="12.75" customHeight="1" x14ac:dyDescent="0.25">
      <c r="A11" s="231" t="s">
        <v>492</v>
      </c>
      <c r="B11" s="232" t="s">
        <v>628</v>
      </c>
      <c r="C11" s="236"/>
      <c r="D11" s="237" t="s">
        <v>627</v>
      </c>
      <c r="E11" s="235"/>
      <c r="F11" s="232" t="s">
        <v>628</v>
      </c>
      <c r="G11" s="236" t="s">
        <v>625</v>
      </c>
      <c r="H11" s="220"/>
      <c r="I11" s="220"/>
    </row>
    <row r="12" spans="1:9" ht="12.75" customHeight="1" x14ac:dyDescent="0.25">
      <c r="A12" s="234" t="s">
        <v>435</v>
      </c>
      <c r="B12" s="235" t="s">
        <v>494</v>
      </c>
      <c r="C12" s="236"/>
      <c r="D12" s="237" t="s">
        <v>626</v>
      </c>
      <c r="E12" s="235"/>
      <c r="F12" s="235" t="s">
        <v>494</v>
      </c>
      <c r="G12" s="236" t="s">
        <v>625</v>
      </c>
      <c r="H12" s="220"/>
      <c r="I12" s="220"/>
    </row>
    <row r="13" spans="1:9" ht="12.75" customHeight="1" x14ac:dyDescent="0.25">
      <c r="A13" s="234" t="s">
        <v>435</v>
      </c>
      <c r="B13" s="235" t="s">
        <v>494</v>
      </c>
      <c r="C13" s="236"/>
      <c r="D13" s="237" t="s">
        <v>288</v>
      </c>
      <c r="E13" s="235"/>
      <c r="F13" s="235" t="s">
        <v>494</v>
      </c>
      <c r="G13" s="236" t="s">
        <v>625</v>
      </c>
      <c r="H13" s="220"/>
      <c r="I13" s="220"/>
    </row>
    <row r="14" spans="1:9" ht="12.75" customHeight="1" x14ac:dyDescent="0.25">
      <c r="A14" s="234" t="s">
        <v>435</v>
      </c>
      <c r="B14" s="235" t="s">
        <v>494</v>
      </c>
      <c r="C14" s="236"/>
      <c r="D14" s="237" t="s">
        <v>287</v>
      </c>
      <c r="E14" s="235"/>
      <c r="F14" s="235" t="s">
        <v>494</v>
      </c>
      <c r="G14" s="236" t="s">
        <v>625</v>
      </c>
      <c r="H14" s="220"/>
      <c r="I14" s="220"/>
    </row>
    <row r="15" spans="1:9" ht="12.75" customHeight="1" x14ac:dyDescent="0.25">
      <c r="A15" s="234" t="s">
        <v>435</v>
      </c>
      <c r="B15" s="235" t="s">
        <v>494</v>
      </c>
      <c r="C15" s="236"/>
      <c r="D15" s="237" t="s">
        <v>627</v>
      </c>
      <c r="E15" s="235"/>
      <c r="F15" s="235" t="s">
        <v>494</v>
      </c>
      <c r="G15" s="236" t="s">
        <v>625</v>
      </c>
      <c r="H15" s="220"/>
      <c r="I15" s="220"/>
    </row>
    <row r="16" spans="1:9" ht="12.75" customHeight="1" x14ac:dyDescent="0.25">
      <c r="A16" s="234" t="s">
        <v>629</v>
      </c>
      <c r="B16" s="235" t="s">
        <v>630</v>
      </c>
      <c r="C16" s="236"/>
      <c r="D16" s="237" t="s">
        <v>626</v>
      </c>
      <c r="E16" s="235"/>
      <c r="F16" s="235" t="s">
        <v>630</v>
      </c>
      <c r="G16" s="236" t="s">
        <v>625</v>
      </c>
      <c r="H16" s="220"/>
      <c r="I16" s="220"/>
    </row>
    <row r="17" spans="1:9" ht="12.75" customHeight="1" x14ac:dyDescent="0.3">
      <c r="A17" s="234" t="s">
        <v>629</v>
      </c>
      <c r="B17" s="235" t="s">
        <v>630</v>
      </c>
      <c r="C17" s="236"/>
      <c r="D17" s="237" t="s">
        <v>288</v>
      </c>
      <c r="E17" s="244"/>
      <c r="F17" s="235" t="s">
        <v>630</v>
      </c>
      <c r="G17" s="236" t="s">
        <v>625</v>
      </c>
      <c r="H17" s="220"/>
      <c r="I17" s="220"/>
    </row>
    <row r="18" spans="1:9" ht="12.75" customHeight="1" x14ac:dyDescent="0.3">
      <c r="A18" s="234" t="s">
        <v>629</v>
      </c>
      <c r="B18" s="235" t="s">
        <v>630</v>
      </c>
      <c r="C18" s="236"/>
      <c r="D18" s="237" t="s">
        <v>287</v>
      </c>
      <c r="E18" s="244"/>
      <c r="F18" s="235" t="s">
        <v>630</v>
      </c>
      <c r="G18" s="236" t="s">
        <v>625</v>
      </c>
      <c r="H18" s="220"/>
      <c r="I18" s="220"/>
    </row>
    <row r="19" spans="1:9" ht="12.75" customHeight="1" x14ac:dyDescent="0.3">
      <c r="A19" s="234" t="s">
        <v>629</v>
      </c>
      <c r="B19" s="235" t="s">
        <v>630</v>
      </c>
      <c r="C19" s="236"/>
      <c r="D19" s="237" t="s">
        <v>627</v>
      </c>
      <c r="E19" s="244"/>
      <c r="F19" s="235" t="s">
        <v>630</v>
      </c>
      <c r="G19" s="236" t="s">
        <v>625</v>
      </c>
      <c r="H19" s="220"/>
      <c r="I19" s="220"/>
    </row>
    <row r="20" spans="1:9" ht="12.75" customHeight="1" x14ac:dyDescent="0.25">
      <c r="A20" s="234" t="s">
        <v>631</v>
      </c>
      <c r="B20" s="235" t="s">
        <v>632</v>
      </c>
      <c r="C20" s="236"/>
      <c r="D20" s="237" t="s">
        <v>626</v>
      </c>
      <c r="E20" s="235"/>
      <c r="F20" s="235" t="s">
        <v>632</v>
      </c>
      <c r="G20" s="236" t="s">
        <v>625</v>
      </c>
      <c r="H20" s="220"/>
      <c r="I20" s="220"/>
    </row>
    <row r="21" spans="1:9" ht="12.75" customHeight="1" x14ac:dyDescent="0.3">
      <c r="A21" s="234" t="s">
        <v>631</v>
      </c>
      <c r="B21" s="235" t="s">
        <v>632</v>
      </c>
      <c r="C21" s="236"/>
      <c r="D21" s="237" t="s">
        <v>288</v>
      </c>
      <c r="E21" s="244"/>
      <c r="F21" s="235" t="s">
        <v>632</v>
      </c>
      <c r="G21" s="236" t="s">
        <v>625</v>
      </c>
      <c r="H21" s="220"/>
      <c r="I21" s="220"/>
    </row>
    <row r="22" spans="1:9" ht="12.75" customHeight="1" x14ac:dyDescent="0.3">
      <c r="A22" s="234" t="s">
        <v>631</v>
      </c>
      <c r="B22" s="235" t="s">
        <v>632</v>
      </c>
      <c r="C22" s="236"/>
      <c r="D22" s="237" t="s">
        <v>287</v>
      </c>
      <c r="E22" s="244"/>
      <c r="F22" s="235" t="s">
        <v>632</v>
      </c>
      <c r="G22" s="236" t="s">
        <v>625</v>
      </c>
      <c r="H22" s="220"/>
      <c r="I22" s="220"/>
    </row>
    <row r="23" spans="1:9" ht="12.75" customHeight="1" x14ac:dyDescent="0.3">
      <c r="A23" s="234" t="s">
        <v>631</v>
      </c>
      <c r="B23" s="235" t="s">
        <v>632</v>
      </c>
      <c r="C23" s="236"/>
      <c r="D23" s="237" t="s">
        <v>627</v>
      </c>
      <c r="E23" s="244"/>
      <c r="F23" s="235" t="s">
        <v>632</v>
      </c>
      <c r="G23" s="236" t="s">
        <v>625</v>
      </c>
      <c r="H23" s="220"/>
      <c r="I23" s="220"/>
    </row>
    <row r="24" spans="1:9" ht="12.75" customHeight="1" x14ac:dyDescent="0.3">
      <c r="A24" s="234" t="s">
        <v>633</v>
      </c>
      <c r="B24" s="235" t="s">
        <v>634</v>
      </c>
      <c r="C24" s="236"/>
      <c r="D24" s="237" t="s">
        <v>626</v>
      </c>
      <c r="E24" s="244"/>
      <c r="F24" s="235" t="s">
        <v>634</v>
      </c>
      <c r="G24" s="236" t="s">
        <v>625</v>
      </c>
      <c r="H24" s="220"/>
      <c r="I24" s="220"/>
    </row>
    <row r="25" spans="1:9" ht="12.75" customHeight="1" x14ac:dyDescent="0.3">
      <c r="A25" s="234" t="s">
        <v>633</v>
      </c>
      <c r="B25" s="235" t="s">
        <v>634</v>
      </c>
      <c r="C25" s="236"/>
      <c r="D25" s="237" t="s">
        <v>288</v>
      </c>
      <c r="E25" s="245" t="s">
        <v>649</v>
      </c>
      <c r="F25" s="235" t="s">
        <v>634</v>
      </c>
      <c r="G25" s="236" t="s">
        <v>625</v>
      </c>
      <c r="H25" s="220"/>
      <c r="I25" s="220"/>
    </row>
    <row r="26" spans="1:9" ht="12.75" customHeight="1" x14ac:dyDescent="0.3">
      <c r="A26" s="234" t="s">
        <v>633</v>
      </c>
      <c r="B26" s="235" t="s">
        <v>634</v>
      </c>
      <c r="C26" s="236"/>
      <c r="D26" s="237" t="s">
        <v>287</v>
      </c>
      <c r="E26" s="244"/>
      <c r="F26" s="235" t="s">
        <v>634</v>
      </c>
      <c r="G26" s="236" t="s">
        <v>625</v>
      </c>
      <c r="H26" s="220"/>
      <c r="I26" s="220"/>
    </row>
    <row r="27" spans="1:9" ht="12.75" customHeight="1" x14ac:dyDescent="0.3">
      <c r="A27" s="234" t="s">
        <v>633</v>
      </c>
      <c r="B27" s="235" t="s">
        <v>634</v>
      </c>
      <c r="C27" s="236"/>
      <c r="D27" s="237" t="s">
        <v>627</v>
      </c>
      <c r="E27" s="245" t="s">
        <v>634</v>
      </c>
      <c r="F27" s="235" t="s">
        <v>634</v>
      </c>
      <c r="G27" s="236" t="s">
        <v>625</v>
      </c>
      <c r="H27" s="220"/>
      <c r="I27" s="220"/>
    </row>
    <row r="28" spans="1:9" ht="12.75" customHeight="1" x14ac:dyDescent="0.25">
      <c r="A28" s="234" t="s">
        <v>446</v>
      </c>
      <c r="B28" s="235" t="s">
        <v>457</v>
      </c>
      <c r="C28" s="236"/>
      <c r="D28" s="237" t="s">
        <v>626</v>
      </c>
      <c r="E28" s="246"/>
      <c r="F28" s="235" t="s">
        <v>457</v>
      </c>
      <c r="G28" s="236" t="s">
        <v>625</v>
      </c>
      <c r="H28" s="220"/>
      <c r="I28" s="220"/>
    </row>
    <row r="29" spans="1:9" ht="12.75" customHeight="1" x14ac:dyDescent="0.3">
      <c r="A29" s="234" t="s">
        <v>446</v>
      </c>
      <c r="B29" s="235" t="s">
        <v>457</v>
      </c>
      <c r="C29" s="236"/>
      <c r="D29" s="237" t="s">
        <v>288</v>
      </c>
      <c r="E29" s="245" t="s">
        <v>646</v>
      </c>
      <c r="F29" s="235" t="s">
        <v>457</v>
      </c>
      <c r="G29" s="236" t="s">
        <v>625</v>
      </c>
      <c r="H29" s="220"/>
      <c r="I29" s="220"/>
    </row>
    <row r="30" spans="1:9" ht="12.75" customHeight="1" x14ac:dyDescent="0.3">
      <c r="A30" s="234" t="s">
        <v>446</v>
      </c>
      <c r="B30" s="235" t="s">
        <v>457</v>
      </c>
      <c r="C30" s="236"/>
      <c r="D30" s="237" t="s">
        <v>287</v>
      </c>
      <c r="E30" s="244"/>
      <c r="F30" s="235" t="s">
        <v>457</v>
      </c>
      <c r="G30" s="236" t="s">
        <v>625</v>
      </c>
      <c r="H30" s="220"/>
      <c r="I30" s="220"/>
    </row>
    <row r="31" spans="1:9" ht="12.75" customHeight="1" x14ac:dyDescent="0.3">
      <c r="A31" s="234" t="s">
        <v>446</v>
      </c>
      <c r="B31" s="235" t="s">
        <v>457</v>
      </c>
      <c r="C31" s="236"/>
      <c r="D31" s="237" t="s">
        <v>627</v>
      </c>
      <c r="E31" s="245" t="s">
        <v>647</v>
      </c>
      <c r="F31" s="235" t="s">
        <v>457</v>
      </c>
      <c r="G31" s="236" t="s">
        <v>625</v>
      </c>
      <c r="H31" s="220"/>
      <c r="I31" s="220"/>
    </row>
    <row r="32" spans="1:9" ht="12.75" customHeight="1" x14ac:dyDescent="0.25">
      <c r="A32" s="234"/>
      <c r="B32" s="235"/>
      <c r="C32" s="236"/>
      <c r="D32" s="237"/>
      <c r="E32" s="235"/>
      <c r="F32" s="235"/>
      <c r="G32" s="236"/>
      <c r="H32" s="220"/>
      <c r="I32" s="220"/>
    </row>
    <row r="33" spans="1:9" ht="12.75" customHeight="1" thickBot="1" x14ac:dyDescent="0.3">
      <c r="A33" s="238"/>
      <c r="B33" s="239"/>
      <c r="C33" s="240"/>
      <c r="D33" s="241"/>
      <c r="E33" s="239"/>
      <c r="F33" s="239"/>
      <c r="G33" s="240"/>
      <c r="H33" s="220"/>
      <c r="I33" s="220"/>
    </row>
    <row r="34" spans="1:9" x14ac:dyDescent="0.25">
      <c r="H34" s="220"/>
      <c r="I34" s="220"/>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2E066-0EA4-47FB-B7E5-49D03490FF87}">
  <sheetPr codeName="Sheet7"/>
  <dimension ref="A1:AR16"/>
  <sheetViews>
    <sheetView workbookViewId="0">
      <selection activeCell="A3" sqref="A3"/>
    </sheetView>
  </sheetViews>
  <sheetFormatPr defaultRowHeight="12.5" outlineLevelRow="1" x14ac:dyDescent="0.25"/>
  <cols>
    <col min="1" max="1" width="30" style="75" customWidth="1"/>
    <col min="2" max="2" width="30.36328125" style="1" bestFit="1" customWidth="1"/>
    <col min="3" max="3" width="11.1796875" style="1" bestFit="1" customWidth="1"/>
    <col min="4" max="4" width="28" style="1" customWidth="1"/>
    <col min="5" max="5" width="29.26953125" style="1" customWidth="1"/>
    <col min="6" max="6" width="10.90625" style="1" bestFit="1" customWidth="1"/>
    <col min="7" max="7" width="11.36328125" style="1" bestFit="1" customWidth="1"/>
    <col min="8" max="8" width="17.90625" style="1" bestFit="1" customWidth="1"/>
    <col min="9" max="9" width="7.54296875" style="1" bestFit="1" customWidth="1"/>
    <col min="10" max="10" width="8.54296875" style="74" bestFit="1" customWidth="1"/>
    <col min="11" max="11" width="20.6328125" style="74" bestFit="1" customWidth="1"/>
    <col min="12" max="12" width="8.36328125" style="74" bestFit="1" customWidth="1"/>
    <col min="13" max="13" width="16.08984375" style="74" bestFit="1" customWidth="1"/>
    <col min="14" max="14" width="16" style="1" bestFit="1" customWidth="1"/>
    <col min="15" max="15" width="12.6328125" style="74" bestFit="1" customWidth="1"/>
    <col min="16" max="16" width="6.54296875" style="74" bestFit="1" customWidth="1"/>
    <col min="17" max="17" width="8.6328125" style="74" bestFit="1" customWidth="1"/>
    <col min="18" max="18" width="5.6328125" style="1" bestFit="1" customWidth="1"/>
    <col min="19" max="19" width="6.6328125" style="1" bestFit="1" customWidth="1"/>
    <col min="20" max="20" width="17.7265625" style="1" bestFit="1" customWidth="1"/>
    <col min="21" max="21" width="12.54296875" style="1" bestFit="1" customWidth="1"/>
    <col min="22" max="22" width="15.453125" style="1" bestFit="1" customWidth="1"/>
    <col min="23" max="23" width="10.54296875" style="1" bestFit="1" customWidth="1"/>
    <col min="24" max="24" width="13.36328125" style="1" bestFit="1" customWidth="1"/>
    <col min="25" max="25" width="19.36328125" style="1" bestFit="1" customWidth="1"/>
    <col min="26" max="26" width="16.6328125" style="1" bestFit="1" customWidth="1"/>
    <col min="27" max="27" width="19.36328125" style="1" bestFit="1" customWidth="1"/>
    <col min="28" max="28" width="13.54296875" style="1" bestFit="1" customWidth="1"/>
    <col min="29" max="29" width="19" style="1" bestFit="1" customWidth="1"/>
    <col min="30" max="30" width="17.453125" style="1" bestFit="1" customWidth="1"/>
    <col min="31" max="31" width="18.453125" style="1" bestFit="1" customWidth="1"/>
    <col min="32" max="32" width="6.453125" style="1" bestFit="1" customWidth="1"/>
    <col min="33" max="34" width="23.08984375" style="1" bestFit="1" customWidth="1"/>
    <col min="35" max="35" width="9.453125" style="1" bestFit="1" customWidth="1"/>
    <col min="36" max="36" width="10.08984375" style="1" bestFit="1" customWidth="1"/>
    <col min="37" max="37" width="7.453125" style="1" bestFit="1" customWidth="1"/>
    <col min="38" max="38" width="14.453125" style="1" bestFit="1" customWidth="1"/>
    <col min="39" max="39" width="19.90625" style="1" bestFit="1" customWidth="1"/>
    <col min="40" max="40" width="10" style="1" bestFit="1" customWidth="1"/>
    <col min="41" max="42" width="8.7265625" style="1"/>
    <col min="43" max="43" width="92.453125" style="1" bestFit="1" customWidth="1"/>
    <col min="44" max="44" width="8.7265625" style="1"/>
  </cols>
  <sheetData>
    <row r="1" spans="1:44" ht="18" x14ac:dyDescent="0.4">
      <c r="A1" s="2" t="s">
        <v>213</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row>
    <row r="2" spans="1:44"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row>
    <row r="3" spans="1:44" outlineLevel="1" x14ac:dyDescent="0.25">
      <c r="A3" s="33" t="s">
        <v>63</v>
      </c>
      <c r="B3" s="33" t="s">
        <v>64</v>
      </c>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row>
    <row r="4" spans="1:44" outlineLevel="1" x14ac:dyDescent="0.25">
      <c r="A4" s="34"/>
      <c r="B4" s="34"/>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row>
    <row r="5" spans="1:44" outlineLevel="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44" ht="16" outlineLevel="1" thickBot="1" x14ac:dyDescent="0.4">
      <c r="A6" s="88" t="s">
        <v>55</v>
      </c>
      <c r="B6" s="76"/>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row>
    <row r="7" spans="1:44" ht="13" outlineLevel="1" thickBot="1" x14ac:dyDescent="0.3">
      <c r="A7" s="64" t="s">
        <v>354</v>
      </c>
      <c r="B7" s="64" t="s">
        <v>214</v>
      </c>
      <c r="C7" s="64" t="s">
        <v>56</v>
      </c>
      <c r="D7" s="32" t="s">
        <v>10</v>
      </c>
      <c r="E7" s="32" t="s">
        <v>214</v>
      </c>
      <c r="F7" s="32" t="s">
        <v>56</v>
      </c>
      <c r="G7" s="32" t="s">
        <v>215</v>
      </c>
      <c r="H7" s="32" t="s">
        <v>216</v>
      </c>
      <c r="I7" s="32" t="s">
        <v>217</v>
      </c>
      <c r="J7" s="32" t="s">
        <v>218</v>
      </c>
      <c r="K7" s="32" t="s">
        <v>219</v>
      </c>
      <c r="L7" s="32" t="s">
        <v>45</v>
      </c>
      <c r="M7" s="32" t="s">
        <v>220</v>
      </c>
      <c r="N7" s="32" t="s">
        <v>221</v>
      </c>
      <c r="O7" s="32" t="s">
        <v>222</v>
      </c>
      <c r="P7" s="32" t="s">
        <v>223</v>
      </c>
      <c r="Q7" s="32" t="s">
        <v>82</v>
      </c>
      <c r="R7" s="32" t="s">
        <v>224</v>
      </c>
      <c r="S7" s="32" t="s">
        <v>195</v>
      </c>
      <c r="T7" s="32" t="s">
        <v>225</v>
      </c>
      <c r="U7" s="32" t="s">
        <v>226</v>
      </c>
      <c r="V7" s="32" t="s">
        <v>227</v>
      </c>
      <c r="W7" s="32" t="s">
        <v>228</v>
      </c>
      <c r="X7" s="32" t="s">
        <v>229</v>
      </c>
      <c r="Y7" s="32" t="s">
        <v>230</v>
      </c>
      <c r="Z7" s="32" t="s">
        <v>231</v>
      </c>
      <c r="AA7" s="32" t="s">
        <v>232</v>
      </c>
      <c r="AB7" s="32" t="s">
        <v>233</v>
      </c>
      <c r="AC7" s="32" t="s">
        <v>234</v>
      </c>
      <c r="AD7" s="32" t="s">
        <v>235</v>
      </c>
      <c r="AE7" s="32" t="s">
        <v>230</v>
      </c>
      <c r="AF7" s="32" t="s">
        <v>198</v>
      </c>
      <c r="AG7" s="32" t="s">
        <v>236</v>
      </c>
      <c r="AH7" s="32" t="s">
        <v>237</v>
      </c>
      <c r="AI7" s="32" t="s">
        <v>238</v>
      </c>
      <c r="AJ7" s="32" t="s">
        <v>239</v>
      </c>
      <c r="AK7" s="32" t="s">
        <v>240</v>
      </c>
      <c r="AL7" s="32" t="s">
        <v>26</v>
      </c>
      <c r="AM7" s="32" t="s">
        <v>241</v>
      </c>
      <c r="AN7" s="32" t="s">
        <v>75</v>
      </c>
      <c r="AO7" s="32" t="s">
        <v>242</v>
      </c>
      <c r="AP7" s="32" t="s">
        <v>243</v>
      </c>
      <c r="AQ7" s="32" t="s">
        <v>29</v>
      </c>
      <c r="AR7" s="20"/>
    </row>
    <row r="8" spans="1:44" ht="15.75" customHeight="1" outlineLevel="1" x14ac:dyDescent="0.25">
      <c r="A8" s="87" t="s">
        <v>448</v>
      </c>
      <c r="B8" s="87" t="s">
        <v>447</v>
      </c>
      <c r="C8" s="86" t="s">
        <v>427</v>
      </c>
      <c r="D8" s="85" t="s">
        <v>438</v>
      </c>
      <c r="E8" s="85" t="s">
        <v>437</v>
      </c>
      <c r="F8" s="84" t="s">
        <v>433</v>
      </c>
      <c r="G8" s="84"/>
      <c r="H8" s="84"/>
      <c r="I8" s="84" t="s">
        <v>424</v>
      </c>
      <c r="J8" s="84"/>
      <c r="K8" s="84"/>
      <c r="L8" s="84"/>
      <c r="M8" s="84"/>
      <c r="N8" s="84"/>
      <c r="O8" s="84" t="s">
        <v>432</v>
      </c>
      <c r="P8" s="84">
        <v>22</v>
      </c>
      <c r="Q8" s="84">
        <v>22</v>
      </c>
      <c r="R8" s="84">
        <v>7</v>
      </c>
      <c r="S8" s="84"/>
      <c r="T8" s="346"/>
      <c r="U8" s="84"/>
      <c r="V8" s="84"/>
      <c r="W8" s="84"/>
      <c r="X8" s="84"/>
      <c r="Y8" s="84"/>
      <c r="Z8" s="84"/>
      <c r="AA8" s="84" t="s">
        <v>424</v>
      </c>
      <c r="AB8" s="83"/>
      <c r="AC8" s="83"/>
      <c r="AD8" s="83"/>
      <c r="AE8" s="83"/>
      <c r="AF8" s="83"/>
      <c r="AG8" s="83"/>
      <c r="AH8" s="83"/>
      <c r="AI8" s="83"/>
      <c r="AJ8" s="83"/>
      <c r="AK8" s="83"/>
      <c r="AL8" s="83">
        <v>129</v>
      </c>
      <c r="AM8" s="83"/>
      <c r="AN8" s="83"/>
      <c r="AO8" s="83"/>
      <c r="AP8" s="83"/>
      <c r="AQ8" s="83" t="s">
        <v>651</v>
      </c>
      <c r="AR8" s="20"/>
    </row>
    <row r="9" spans="1:44" ht="15.75" customHeight="1" outlineLevel="1" x14ac:dyDescent="0.25">
      <c r="A9" s="82" t="s">
        <v>448</v>
      </c>
      <c r="B9" s="82" t="s">
        <v>447</v>
      </c>
      <c r="C9" s="82" t="s">
        <v>427</v>
      </c>
      <c r="D9" s="81" t="s">
        <v>435</v>
      </c>
      <c r="E9" s="81" t="s">
        <v>434</v>
      </c>
      <c r="F9" s="80" t="s">
        <v>433</v>
      </c>
      <c r="G9" s="80"/>
      <c r="H9" s="80"/>
      <c r="I9" s="80" t="s">
        <v>424</v>
      </c>
      <c r="J9" s="80"/>
      <c r="K9" s="80"/>
      <c r="L9" s="80"/>
      <c r="M9" s="80"/>
      <c r="N9" s="80"/>
      <c r="O9" s="80" t="s">
        <v>432</v>
      </c>
      <c r="P9" s="80">
        <v>22</v>
      </c>
      <c r="Q9" s="80">
        <v>22</v>
      </c>
      <c r="R9" s="80">
        <v>7</v>
      </c>
      <c r="S9" s="80"/>
      <c r="T9" s="81"/>
      <c r="U9" s="80"/>
      <c r="V9" s="80"/>
      <c r="W9" s="80"/>
      <c r="X9" s="80"/>
      <c r="Y9" s="80"/>
      <c r="Z9" s="80"/>
      <c r="AA9" s="80" t="s">
        <v>424</v>
      </c>
      <c r="AB9" s="80"/>
      <c r="AC9" s="80"/>
      <c r="AD9" s="80"/>
      <c r="AE9" s="80"/>
      <c r="AF9" s="80"/>
      <c r="AG9" s="80"/>
      <c r="AH9" s="80"/>
      <c r="AI9" s="80"/>
      <c r="AJ9" s="80"/>
      <c r="AK9" s="80"/>
      <c r="AL9" s="80">
        <v>130</v>
      </c>
      <c r="AM9" s="80"/>
      <c r="AN9" s="80"/>
      <c r="AO9" s="80"/>
      <c r="AP9" s="80"/>
      <c r="AQ9" s="83" t="s">
        <v>651</v>
      </c>
      <c r="AR9" s="20"/>
    </row>
    <row r="10" spans="1:44" ht="15.75" customHeight="1" outlineLevel="1" x14ac:dyDescent="0.25">
      <c r="A10" s="82" t="s">
        <v>426</v>
      </c>
      <c r="B10" s="82" t="s">
        <v>436</v>
      </c>
      <c r="C10" s="82" t="s">
        <v>427</v>
      </c>
      <c r="D10" s="81" t="s">
        <v>446</v>
      </c>
      <c r="E10" s="81" t="s">
        <v>445</v>
      </c>
      <c r="F10" s="80" t="s">
        <v>433</v>
      </c>
      <c r="G10" s="80"/>
      <c r="H10" s="80"/>
      <c r="I10" s="80" t="s">
        <v>424</v>
      </c>
      <c r="J10" s="80"/>
      <c r="K10" s="80" t="s">
        <v>444</v>
      </c>
      <c r="L10" s="80"/>
      <c r="M10" s="80"/>
      <c r="N10" s="80"/>
      <c r="O10" s="80" t="s">
        <v>425</v>
      </c>
      <c r="P10" s="80">
        <v>30</v>
      </c>
      <c r="Q10" s="80"/>
      <c r="R10" s="80"/>
      <c r="S10" s="80"/>
      <c r="T10" s="81" t="s">
        <v>443</v>
      </c>
      <c r="U10" s="80"/>
      <c r="V10" s="80"/>
      <c r="W10" s="80"/>
      <c r="X10" s="80"/>
      <c r="Y10" s="80"/>
      <c r="Z10" s="80"/>
      <c r="AA10" s="80" t="s">
        <v>424</v>
      </c>
      <c r="AB10" s="80"/>
      <c r="AC10" s="80"/>
      <c r="AD10" s="80"/>
      <c r="AE10" s="80"/>
      <c r="AF10" s="80"/>
      <c r="AG10" s="80"/>
      <c r="AH10" s="80"/>
      <c r="AI10" s="80"/>
      <c r="AJ10" s="80"/>
      <c r="AK10" s="80"/>
      <c r="AL10" s="80">
        <v>132</v>
      </c>
      <c r="AM10" s="80"/>
      <c r="AN10" s="80"/>
      <c r="AO10" s="80"/>
      <c r="AP10" s="80"/>
      <c r="AQ10" s="83" t="s">
        <v>651</v>
      </c>
      <c r="AR10" s="20"/>
    </row>
    <row r="11" spans="1:44" ht="15.75" customHeight="1" outlineLevel="1" x14ac:dyDescent="0.25">
      <c r="A11" s="82" t="s">
        <v>426</v>
      </c>
      <c r="B11" s="82" t="s">
        <v>436</v>
      </c>
      <c r="C11" s="82" t="s">
        <v>427</v>
      </c>
      <c r="D11" s="81" t="s">
        <v>442</v>
      </c>
      <c r="E11" s="81" t="s">
        <v>441</v>
      </c>
      <c r="F11" s="80" t="s">
        <v>433</v>
      </c>
      <c r="G11" s="80"/>
      <c r="H11" s="80"/>
      <c r="I11" s="80" t="s">
        <v>424</v>
      </c>
      <c r="J11" s="80"/>
      <c r="K11" s="80"/>
      <c r="L11" s="80"/>
      <c r="M11" s="80"/>
      <c r="N11" s="80"/>
      <c r="O11" s="80" t="s">
        <v>425</v>
      </c>
      <c r="P11" s="80">
        <v>30</v>
      </c>
      <c r="Q11" s="80"/>
      <c r="R11" s="80"/>
      <c r="S11" s="80"/>
      <c r="T11" s="81"/>
      <c r="U11" s="80"/>
      <c r="V11" s="80"/>
      <c r="W11" s="80"/>
      <c r="X11" s="80"/>
      <c r="Y11" s="80"/>
      <c r="Z11" s="80"/>
      <c r="AA11" s="80" t="s">
        <v>424</v>
      </c>
      <c r="AB11" s="80"/>
      <c r="AC11" s="80"/>
      <c r="AD11" s="80"/>
      <c r="AE11" s="80"/>
      <c r="AF11" s="80"/>
      <c r="AG11" s="80"/>
      <c r="AH11" s="80"/>
      <c r="AI11" s="80"/>
      <c r="AJ11" s="80"/>
      <c r="AK11" s="80"/>
      <c r="AL11" s="80">
        <v>133</v>
      </c>
      <c r="AM11" s="80"/>
      <c r="AN11" s="80"/>
      <c r="AO11" s="80"/>
      <c r="AP11" s="80"/>
      <c r="AQ11" s="83" t="s">
        <v>651</v>
      </c>
      <c r="AR11" s="20"/>
    </row>
    <row r="12" spans="1:44" ht="15.75" customHeight="1" outlineLevel="1" x14ac:dyDescent="0.25">
      <c r="A12" s="82" t="s">
        <v>426</v>
      </c>
      <c r="B12" s="82" t="s">
        <v>436</v>
      </c>
      <c r="C12" s="82" t="s">
        <v>427</v>
      </c>
      <c r="D12" s="81" t="s">
        <v>440</v>
      </c>
      <c r="E12" s="81" t="s">
        <v>439</v>
      </c>
      <c r="F12" s="80" t="s">
        <v>433</v>
      </c>
      <c r="G12" s="80"/>
      <c r="H12" s="80"/>
      <c r="I12" s="80" t="s">
        <v>424</v>
      </c>
      <c r="J12" s="80"/>
      <c r="K12" s="80"/>
      <c r="L12" s="80"/>
      <c r="M12" s="80"/>
      <c r="N12" s="80"/>
      <c r="O12" s="80" t="s">
        <v>425</v>
      </c>
      <c r="P12" s="80">
        <v>30</v>
      </c>
      <c r="Q12" s="80"/>
      <c r="R12" s="80"/>
      <c r="S12" s="80"/>
      <c r="T12" s="81"/>
      <c r="U12" s="80"/>
      <c r="V12" s="80"/>
      <c r="W12" s="80"/>
      <c r="X12" s="80"/>
      <c r="Y12" s="80"/>
      <c r="Z12" s="80"/>
      <c r="AA12" s="80" t="s">
        <v>424</v>
      </c>
      <c r="AB12" s="80"/>
      <c r="AC12" s="80"/>
      <c r="AD12" s="80"/>
      <c r="AE12" s="80"/>
      <c r="AF12" s="80"/>
      <c r="AG12" s="80"/>
      <c r="AH12" s="80"/>
      <c r="AI12" s="80"/>
      <c r="AJ12" s="80"/>
      <c r="AK12" s="80"/>
      <c r="AL12" s="80">
        <v>134</v>
      </c>
      <c r="AM12" s="80"/>
      <c r="AN12" s="80"/>
      <c r="AO12" s="80"/>
      <c r="AP12" s="80"/>
      <c r="AQ12" s="83" t="s">
        <v>651</v>
      </c>
      <c r="AR12" s="20"/>
    </row>
    <row r="13" spans="1:44" ht="15.75" customHeight="1" outlineLevel="1" x14ac:dyDescent="0.25">
      <c r="A13" s="82" t="s">
        <v>426</v>
      </c>
      <c r="B13" s="82" t="s">
        <v>436</v>
      </c>
      <c r="C13" s="82" t="s">
        <v>427</v>
      </c>
      <c r="D13" s="81" t="s">
        <v>438</v>
      </c>
      <c r="E13" s="81" t="s">
        <v>437</v>
      </c>
      <c r="F13" s="80" t="s">
        <v>433</v>
      </c>
      <c r="G13" s="80"/>
      <c r="H13" s="80"/>
      <c r="I13" s="80" t="s">
        <v>424</v>
      </c>
      <c r="J13" s="80"/>
      <c r="K13" s="80"/>
      <c r="L13" s="80"/>
      <c r="M13" s="80"/>
      <c r="N13" s="80"/>
      <c r="O13" s="80" t="s">
        <v>432</v>
      </c>
      <c r="P13" s="80">
        <v>22</v>
      </c>
      <c r="Q13" s="80">
        <v>22</v>
      </c>
      <c r="R13" s="80">
        <v>7</v>
      </c>
      <c r="S13" s="80"/>
      <c r="T13" s="81"/>
      <c r="U13" s="80"/>
      <c r="V13" s="80"/>
      <c r="W13" s="80"/>
      <c r="X13" s="80"/>
      <c r="Y13" s="80"/>
      <c r="Z13" s="80"/>
      <c r="AA13" s="80" t="s">
        <v>424</v>
      </c>
      <c r="AB13" s="80"/>
      <c r="AC13" s="80"/>
      <c r="AD13" s="80"/>
      <c r="AE13" s="80"/>
      <c r="AF13" s="80"/>
      <c r="AG13" s="80"/>
      <c r="AH13" s="80"/>
      <c r="AI13" s="80"/>
      <c r="AJ13" s="80"/>
      <c r="AK13" s="80"/>
      <c r="AL13" s="80">
        <v>135</v>
      </c>
      <c r="AM13" s="80"/>
      <c r="AN13" s="80"/>
      <c r="AO13" s="80"/>
      <c r="AP13" s="80"/>
      <c r="AQ13" s="83" t="s">
        <v>651</v>
      </c>
      <c r="AR13" s="20"/>
    </row>
    <row r="14" spans="1:44" ht="15.75" customHeight="1" outlineLevel="1" x14ac:dyDescent="0.25">
      <c r="A14" s="82" t="s">
        <v>426</v>
      </c>
      <c r="B14" s="82" t="s">
        <v>436</v>
      </c>
      <c r="C14" s="82" t="s">
        <v>427</v>
      </c>
      <c r="D14" s="81" t="s">
        <v>435</v>
      </c>
      <c r="E14" s="81" t="s">
        <v>434</v>
      </c>
      <c r="F14" s="80" t="s">
        <v>433</v>
      </c>
      <c r="G14" s="80"/>
      <c r="H14" s="80"/>
      <c r="I14" s="80" t="s">
        <v>424</v>
      </c>
      <c r="J14" s="80"/>
      <c r="K14" s="80"/>
      <c r="L14" s="80"/>
      <c r="M14" s="80"/>
      <c r="N14" s="80"/>
      <c r="O14" s="80" t="s">
        <v>432</v>
      </c>
      <c r="P14" s="80">
        <v>22</v>
      </c>
      <c r="Q14" s="80">
        <v>22</v>
      </c>
      <c r="R14" s="80">
        <v>7</v>
      </c>
      <c r="S14" s="80"/>
      <c r="T14" s="81"/>
      <c r="U14" s="80"/>
      <c r="V14" s="80"/>
      <c r="W14" s="80"/>
      <c r="X14" s="80"/>
      <c r="Y14" s="80"/>
      <c r="Z14" s="80"/>
      <c r="AA14" s="80" t="s">
        <v>424</v>
      </c>
      <c r="AB14" s="80"/>
      <c r="AC14" s="80"/>
      <c r="AD14" s="80"/>
      <c r="AE14" s="80"/>
      <c r="AF14" s="80"/>
      <c r="AG14" s="80"/>
      <c r="AH14" s="80"/>
      <c r="AI14" s="80"/>
      <c r="AJ14" s="80"/>
      <c r="AK14" s="80"/>
      <c r="AL14" s="80">
        <v>136</v>
      </c>
      <c r="AM14" s="80"/>
      <c r="AN14" s="80"/>
      <c r="AO14" s="80"/>
      <c r="AP14" s="80"/>
      <c r="AQ14" s="83" t="s">
        <v>651</v>
      </c>
      <c r="AR14" s="20"/>
    </row>
    <row r="15" spans="1:44" ht="13" outlineLevel="1" thickBot="1" x14ac:dyDescent="0.3">
      <c r="A15" s="354" t="s">
        <v>431</v>
      </c>
      <c r="B15" s="372" t="s">
        <v>430</v>
      </c>
      <c r="C15" s="372" t="s">
        <v>427</v>
      </c>
      <c r="D15" s="373" t="s">
        <v>429</v>
      </c>
      <c r="E15" s="373" t="s">
        <v>428</v>
      </c>
      <c r="F15" s="373" t="s">
        <v>427</v>
      </c>
      <c r="G15" s="372"/>
      <c r="H15" s="372"/>
      <c r="I15" s="374" t="s">
        <v>424</v>
      </c>
      <c r="J15" s="372"/>
      <c r="K15" s="372"/>
      <c r="L15" s="372"/>
      <c r="M15" s="375" t="s">
        <v>426</v>
      </c>
      <c r="N15" s="375"/>
      <c r="O15" s="375" t="s">
        <v>425</v>
      </c>
      <c r="P15" s="375">
        <v>30</v>
      </c>
      <c r="Q15" s="375"/>
      <c r="R15" s="375"/>
      <c r="S15" s="375"/>
      <c r="T15" s="375"/>
      <c r="U15" s="375"/>
      <c r="V15" s="375"/>
      <c r="W15" s="375"/>
      <c r="X15" s="375"/>
      <c r="Y15" s="375"/>
      <c r="Z15" s="375"/>
      <c r="AA15" s="375" t="s">
        <v>424</v>
      </c>
      <c r="AB15" s="375"/>
      <c r="AC15" s="375"/>
      <c r="AD15" s="375"/>
      <c r="AE15" s="375"/>
      <c r="AF15" s="375"/>
      <c r="AG15" s="375"/>
      <c r="AH15" s="375"/>
      <c r="AI15" s="375"/>
      <c r="AJ15" s="375"/>
      <c r="AK15" s="375"/>
      <c r="AL15" s="375"/>
      <c r="AM15" s="375"/>
      <c r="AN15" s="375"/>
      <c r="AO15" s="375"/>
      <c r="AP15" s="375"/>
      <c r="AQ15" s="376" t="s">
        <v>651</v>
      </c>
      <c r="AR15" s="20"/>
    </row>
    <row r="16" spans="1:44" x14ac:dyDescent="0.25">
      <c r="A16" s="78"/>
      <c r="B16" s="76"/>
      <c r="C16" s="76"/>
      <c r="D16" s="76"/>
      <c r="E16" s="76"/>
      <c r="F16" s="76"/>
      <c r="G16" s="76"/>
      <c r="H16" s="76"/>
      <c r="I16" s="76"/>
      <c r="J16" s="77"/>
      <c r="K16" s="77"/>
      <c r="L16" s="77"/>
      <c r="M16" s="77"/>
      <c r="N16" s="76"/>
      <c r="O16" s="77"/>
      <c r="P16" s="77"/>
      <c r="Q16" s="77"/>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20"/>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3A685-2CD2-4C32-84C1-F8D22ED060F6}">
  <sheetPr codeName="Sheet8">
    <pageSetUpPr fitToPage="1"/>
  </sheetPr>
  <dimension ref="A1:AS32"/>
  <sheetViews>
    <sheetView showGridLines="0" workbookViewId="0">
      <selection activeCell="A3" sqref="A3:F3"/>
    </sheetView>
  </sheetViews>
  <sheetFormatPr defaultColWidth="4.36328125" defaultRowHeight="12.5" x14ac:dyDescent="0.25"/>
  <cols>
    <col min="1" max="21" width="4.36328125" style="134"/>
    <col min="22" max="22" width="7.54296875" style="134" bestFit="1" customWidth="1"/>
    <col min="23" max="45" width="4.36328125" style="134"/>
  </cols>
  <sheetData>
    <row r="1" spans="1:41" ht="18" x14ac:dyDescent="0.4">
      <c r="A1" s="279" t="s">
        <v>57</v>
      </c>
      <c r="B1" s="279"/>
      <c r="C1" s="279"/>
      <c r="D1" s="279"/>
      <c r="E1" s="279"/>
      <c r="F1" s="279"/>
      <c r="I1" s="142"/>
    </row>
    <row r="2" spans="1:41" ht="13" thickBot="1" x14ac:dyDescent="0.3">
      <c r="A2" s="142"/>
      <c r="I2" s="142"/>
    </row>
    <row r="3" spans="1:41" ht="13.5" thickBot="1" x14ac:dyDescent="0.35">
      <c r="A3" s="280" t="s">
        <v>58</v>
      </c>
      <c r="B3" s="281"/>
      <c r="C3" s="281"/>
      <c r="D3" s="281"/>
      <c r="E3" s="281"/>
      <c r="F3" s="281"/>
      <c r="G3" s="281"/>
      <c r="H3" s="281"/>
      <c r="I3" s="281"/>
      <c r="J3" s="281"/>
      <c r="K3" s="281"/>
      <c r="L3" s="281"/>
      <c r="M3" s="281"/>
      <c r="N3" s="282"/>
      <c r="Q3" s="276" t="s">
        <v>63</v>
      </c>
      <c r="R3" s="277"/>
      <c r="S3" s="277"/>
      <c r="T3" s="277"/>
      <c r="U3" s="278"/>
      <c r="V3" s="143" t="s">
        <v>67</v>
      </c>
    </row>
    <row r="4" spans="1:41" ht="13" thickBot="1" x14ac:dyDescent="0.3">
      <c r="A4" s="142"/>
      <c r="G4" s="140"/>
      <c r="H4" s="140"/>
      <c r="I4" s="141"/>
      <c r="J4" s="140"/>
      <c r="K4" s="140"/>
      <c r="L4" s="140"/>
      <c r="M4" s="140"/>
      <c r="N4" s="140"/>
      <c r="Q4" s="288"/>
      <c r="R4" s="289"/>
      <c r="S4" s="289"/>
      <c r="T4" s="289"/>
      <c r="U4" s="290"/>
      <c r="V4" s="139"/>
    </row>
    <row r="5" spans="1:41" ht="53" customHeight="1" x14ac:dyDescent="0.25">
      <c r="A5" s="283" t="s">
        <v>59</v>
      </c>
      <c r="B5" s="284"/>
      <c r="C5" s="284"/>
      <c r="D5" s="284"/>
      <c r="E5" s="284"/>
      <c r="F5" s="284"/>
      <c r="G5" s="285" t="s">
        <v>693</v>
      </c>
      <c r="H5" s="286"/>
      <c r="I5" s="286"/>
      <c r="J5" s="286"/>
      <c r="K5" s="286"/>
      <c r="L5" s="286"/>
      <c r="M5" s="286"/>
      <c r="N5" s="287"/>
    </row>
    <row r="6" spans="1:41" ht="13" x14ac:dyDescent="0.25">
      <c r="A6" s="271" t="s">
        <v>60</v>
      </c>
      <c r="B6" s="272"/>
      <c r="C6" s="272"/>
      <c r="D6" s="272"/>
      <c r="E6" s="272"/>
      <c r="F6" s="272"/>
      <c r="G6" s="273" t="s">
        <v>449</v>
      </c>
      <c r="H6" s="274"/>
      <c r="I6" s="274"/>
      <c r="J6" s="274"/>
      <c r="K6" s="274"/>
      <c r="L6" s="274"/>
      <c r="M6" s="274"/>
      <c r="N6" s="275"/>
    </row>
    <row r="7" spans="1:41" ht="13" thickBot="1" x14ac:dyDescent="0.3">
      <c r="K7" s="138"/>
    </row>
    <row r="8" spans="1:41" ht="30.75" customHeight="1" thickBot="1" x14ac:dyDescent="0.3">
      <c r="A8" s="267" t="s">
        <v>61</v>
      </c>
      <c r="B8" s="268"/>
      <c r="C8" s="268"/>
      <c r="D8" s="268"/>
      <c r="E8" s="268"/>
      <c r="F8" s="268"/>
      <c r="G8" s="269" t="s">
        <v>505</v>
      </c>
      <c r="H8" s="269"/>
      <c r="I8" s="269"/>
      <c r="J8" s="269"/>
      <c r="K8" s="269"/>
      <c r="L8" s="269"/>
      <c r="M8" s="269"/>
      <c r="N8" s="269"/>
      <c r="O8" s="269"/>
      <c r="P8" s="269"/>
      <c r="Q8" s="269"/>
      <c r="R8" s="269"/>
      <c r="S8" s="269"/>
      <c r="T8" s="269"/>
      <c r="U8" s="269"/>
      <c r="V8" s="269"/>
      <c r="W8" s="269"/>
      <c r="X8" s="269"/>
      <c r="Y8" s="269"/>
      <c r="Z8" s="269"/>
      <c r="AA8" s="269"/>
      <c r="AB8" s="269"/>
      <c r="AC8" s="269"/>
      <c r="AD8" s="269"/>
      <c r="AE8" s="269"/>
      <c r="AF8" s="269"/>
      <c r="AG8" s="269"/>
      <c r="AH8" s="269"/>
      <c r="AI8" s="269"/>
      <c r="AJ8" s="269"/>
      <c r="AK8" s="269"/>
      <c r="AL8" s="269"/>
      <c r="AM8" s="269"/>
      <c r="AN8" s="269"/>
      <c r="AO8" s="270"/>
    </row>
    <row r="15" spans="1:41" x14ac:dyDescent="0.25">
      <c r="AB15" s="136"/>
      <c r="AC15" s="136"/>
      <c r="AD15" s="136"/>
      <c r="AE15" s="136"/>
      <c r="AF15" s="136"/>
      <c r="AG15" s="136"/>
      <c r="AH15" s="136"/>
      <c r="AI15" s="136"/>
      <c r="AJ15" s="136"/>
      <c r="AK15" s="136"/>
      <c r="AL15" s="136"/>
    </row>
    <row r="16" spans="1:41" ht="17.5" x14ac:dyDescent="0.35">
      <c r="AB16" s="136"/>
      <c r="AC16" s="137"/>
      <c r="AD16" s="136"/>
      <c r="AE16" s="136"/>
      <c r="AF16" s="136"/>
      <c r="AG16" s="136"/>
      <c r="AH16" s="136"/>
      <c r="AI16" s="136"/>
      <c r="AJ16" s="136"/>
      <c r="AK16" s="136"/>
      <c r="AL16" s="136"/>
    </row>
    <row r="17" spans="4:38" x14ac:dyDescent="0.25">
      <c r="AB17" s="136"/>
      <c r="AC17" s="136"/>
      <c r="AD17" s="136"/>
      <c r="AE17" s="136"/>
      <c r="AF17" s="136"/>
      <c r="AG17" s="136"/>
      <c r="AH17" s="136"/>
      <c r="AI17" s="136"/>
      <c r="AJ17" s="136"/>
      <c r="AK17" s="136"/>
      <c r="AL17" s="136"/>
    </row>
    <row r="18" spans="4:38" x14ac:dyDescent="0.25">
      <c r="AB18" s="136"/>
      <c r="AC18" s="136"/>
      <c r="AD18" s="136"/>
      <c r="AE18" s="136"/>
      <c r="AF18" s="136"/>
      <c r="AG18" s="136"/>
      <c r="AH18" s="136"/>
      <c r="AI18" s="136"/>
      <c r="AJ18" s="136"/>
      <c r="AK18" s="136"/>
      <c r="AL18" s="136"/>
    </row>
    <row r="19" spans="4:38" x14ac:dyDescent="0.25">
      <c r="AB19" s="136"/>
      <c r="AC19" s="136"/>
      <c r="AD19" s="136"/>
      <c r="AE19" s="136"/>
      <c r="AF19" s="136"/>
      <c r="AG19" s="136"/>
      <c r="AH19" s="136"/>
      <c r="AI19" s="136"/>
      <c r="AJ19" s="136"/>
      <c r="AK19" s="136"/>
      <c r="AL19" s="136"/>
    </row>
    <row r="20" spans="4:38" x14ac:dyDescent="0.25">
      <c r="AB20" s="136"/>
      <c r="AC20" s="136"/>
      <c r="AD20" s="136"/>
      <c r="AE20" s="136"/>
      <c r="AF20" s="136"/>
      <c r="AG20" s="136"/>
      <c r="AH20" s="136"/>
      <c r="AI20" s="136"/>
      <c r="AJ20" s="136"/>
      <c r="AK20" s="136"/>
      <c r="AL20" s="136"/>
    </row>
    <row r="21" spans="4:38" x14ac:dyDescent="0.25">
      <c r="AB21" s="136"/>
      <c r="AC21" s="136"/>
      <c r="AD21" s="136"/>
      <c r="AE21" s="136"/>
      <c r="AF21" s="136"/>
      <c r="AG21" s="136"/>
      <c r="AH21" s="136"/>
      <c r="AI21" s="136"/>
      <c r="AJ21" s="136"/>
      <c r="AK21" s="136"/>
      <c r="AL21" s="136"/>
    </row>
    <row r="28" spans="4:38" ht="13" x14ac:dyDescent="0.3">
      <c r="D28" s="135"/>
    </row>
    <row r="29" spans="4:38" ht="13" x14ac:dyDescent="0.3">
      <c r="D29" s="135"/>
    </row>
    <row r="32" spans="4:38" ht="13" x14ac:dyDescent="0.3">
      <c r="D32" s="135"/>
    </row>
  </sheetData>
  <mergeCells count="11">
    <mergeCell ref="A1:F1"/>
    <mergeCell ref="A3:F3"/>
    <mergeCell ref="G3:N3"/>
    <mergeCell ref="A5:F5"/>
    <mergeCell ref="G5:N5"/>
    <mergeCell ref="A8:F8"/>
    <mergeCell ref="G8:AO8"/>
    <mergeCell ref="A6:F6"/>
    <mergeCell ref="G6:N6"/>
    <mergeCell ref="Q3:U3"/>
    <mergeCell ref="Q4:U4"/>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650C2-6101-4B0E-B0B0-F864A955FADD}">
  <sheetPr codeName="Sheet12">
    <pageSetUpPr fitToPage="1"/>
  </sheetPr>
  <dimension ref="A1:AS32"/>
  <sheetViews>
    <sheetView showGridLines="0" workbookViewId="0">
      <selection activeCell="A3" sqref="A3:F3"/>
    </sheetView>
  </sheetViews>
  <sheetFormatPr defaultColWidth="4.36328125" defaultRowHeight="12.5" x14ac:dyDescent="0.25"/>
  <cols>
    <col min="1" max="21" width="4.36328125" style="134"/>
    <col min="22" max="22" width="7.54296875" style="134" bestFit="1" customWidth="1"/>
    <col min="23" max="45" width="4.36328125" style="134"/>
  </cols>
  <sheetData>
    <row r="1" spans="1:41" ht="18" x14ac:dyDescent="0.4">
      <c r="A1" s="279" t="s">
        <v>57</v>
      </c>
      <c r="B1" s="279"/>
      <c r="C1" s="279"/>
      <c r="D1" s="279"/>
      <c r="E1" s="279"/>
      <c r="F1" s="279"/>
      <c r="I1" s="142"/>
    </row>
    <row r="2" spans="1:41" ht="13" thickBot="1" x14ac:dyDescent="0.3">
      <c r="A2" s="142"/>
      <c r="I2" s="142"/>
    </row>
    <row r="3" spans="1:41" ht="13.5" thickBot="1" x14ac:dyDescent="0.35">
      <c r="A3" s="280" t="s">
        <v>58</v>
      </c>
      <c r="B3" s="281"/>
      <c r="C3" s="281"/>
      <c r="D3" s="281"/>
      <c r="E3" s="281"/>
      <c r="F3" s="281"/>
      <c r="G3" s="281"/>
      <c r="H3" s="281"/>
      <c r="I3" s="281"/>
      <c r="J3" s="281"/>
      <c r="K3" s="281"/>
      <c r="L3" s="281"/>
      <c r="M3" s="281"/>
      <c r="N3" s="282"/>
      <c r="Q3" s="276" t="s">
        <v>63</v>
      </c>
      <c r="R3" s="277"/>
      <c r="S3" s="277"/>
      <c r="T3" s="277"/>
      <c r="U3" s="278"/>
      <c r="V3" s="143" t="s">
        <v>67</v>
      </c>
    </row>
    <row r="4" spans="1:41" ht="13" thickBot="1" x14ac:dyDescent="0.3">
      <c r="A4" s="142"/>
      <c r="G4" s="140"/>
      <c r="H4" s="140"/>
      <c r="I4" s="141"/>
      <c r="J4" s="140"/>
      <c r="K4" s="140"/>
      <c r="L4" s="140"/>
      <c r="M4" s="140"/>
      <c r="N4" s="140"/>
      <c r="Q4" s="288"/>
      <c r="R4" s="289"/>
      <c r="S4" s="289"/>
      <c r="T4" s="289"/>
      <c r="U4" s="290"/>
      <c r="V4" s="139"/>
    </row>
    <row r="5" spans="1:41" ht="40" customHeight="1" x14ac:dyDescent="0.25">
      <c r="A5" s="283" t="s">
        <v>59</v>
      </c>
      <c r="B5" s="284"/>
      <c r="C5" s="284"/>
      <c r="D5" s="284"/>
      <c r="E5" s="284"/>
      <c r="F5" s="284"/>
      <c r="G5" s="285" t="s">
        <v>692</v>
      </c>
      <c r="H5" s="286"/>
      <c r="I5" s="286"/>
      <c r="J5" s="286"/>
      <c r="K5" s="286"/>
      <c r="L5" s="286"/>
      <c r="M5" s="286"/>
      <c r="N5" s="287"/>
    </row>
    <row r="6" spans="1:41" ht="13" x14ac:dyDescent="0.25">
      <c r="A6" s="271" t="s">
        <v>60</v>
      </c>
      <c r="B6" s="272"/>
      <c r="C6" s="272"/>
      <c r="D6" s="272"/>
      <c r="E6" s="272"/>
      <c r="F6" s="272"/>
      <c r="G6" s="291" t="s">
        <v>470</v>
      </c>
      <c r="H6" s="292"/>
      <c r="I6" s="292"/>
      <c r="J6" s="292"/>
      <c r="K6" s="292"/>
      <c r="L6" s="292"/>
      <c r="M6" s="292"/>
      <c r="N6" s="293"/>
    </row>
    <row r="7" spans="1:41" ht="13" thickBot="1" x14ac:dyDescent="0.3">
      <c r="K7" s="138"/>
    </row>
    <row r="8" spans="1:41" ht="30.75" customHeight="1" thickBot="1" x14ac:dyDescent="0.3">
      <c r="A8" s="267" t="s">
        <v>61</v>
      </c>
      <c r="B8" s="268"/>
      <c r="C8" s="268"/>
      <c r="D8" s="268"/>
      <c r="E8" s="268"/>
      <c r="F8" s="268"/>
      <c r="G8" s="269" t="s">
        <v>691</v>
      </c>
      <c r="H8" s="269"/>
      <c r="I8" s="269"/>
      <c r="J8" s="269"/>
      <c r="K8" s="269"/>
      <c r="L8" s="269"/>
      <c r="M8" s="269"/>
      <c r="N8" s="269"/>
      <c r="O8" s="269"/>
      <c r="P8" s="269"/>
      <c r="Q8" s="269"/>
      <c r="R8" s="269"/>
      <c r="S8" s="269"/>
      <c r="T8" s="269"/>
      <c r="U8" s="269"/>
      <c r="V8" s="269"/>
      <c r="W8" s="269"/>
      <c r="X8" s="269"/>
      <c r="Y8" s="269"/>
      <c r="Z8" s="269"/>
      <c r="AA8" s="269"/>
      <c r="AB8" s="269"/>
      <c r="AC8" s="269"/>
      <c r="AD8" s="269"/>
      <c r="AE8" s="269"/>
      <c r="AF8" s="269"/>
      <c r="AG8" s="269"/>
      <c r="AH8" s="269"/>
      <c r="AI8" s="269"/>
      <c r="AJ8" s="269"/>
      <c r="AK8" s="269"/>
      <c r="AL8" s="269"/>
      <c r="AM8" s="269"/>
      <c r="AN8" s="269"/>
      <c r="AO8" s="270"/>
    </row>
    <row r="15" spans="1:41" x14ac:dyDescent="0.25">
      <c r="AB15" s="136"/>
      <c r="AC15" s="136"/>
      <c r="AD15" s="136"/>
      <c r="AE15" s="136"/>
      <c r="AF15" s="136"/>
      <c r="AG15" s="136"/>
      <c r="AH15" s="136"/>
      <c r="AI15" s="136"/>
      <c r="AJ15" s="136"/>
      <c r="AK15" s="136"/>
      <c r="AL15" s="136"/>
    </row>
    <row r="16" spans="1:41" ht="17.5" x14ac:dyDescent="0.35">
      <c r="AB16" s="136"/>
      <c r="AC16" s="137"/>
      <c r="AD16" s="136"/>
      <c r="AE16" s="136"/>
      <c r="AF16" s="136"/>
      <c r="AG16" s="136"/>
      <c r="AH16" s="136"/>
      <c r="AI16" s="136"/>
      <c r="AJ16" s="136"/>
      <c r="AK16" s="136"/>
      <c r="AL16" s="136"/>
    </row>
    <row r="17" spans="4:38" x14ac:dyDescent="0.25">
      <c r="AB17" s="136"/>
      <c r="AC17" s="136"/>
      <c r="AD17" s="136"/>
      <c r="AE17" s="136"/>
      <c r="AF17" s="136"/>
      <c r="AG17" s="136"/>
      <c r="AH17" s="136"/>
      <c r="AI17" s="136"/>
      <c r="AJ17" s="136"/>
      <c r="AK17" s="136"/>
      <c r="AL17" s="136"/>
    </row>
    <row r="18" spans="4:38" x14ac:dyDescent="0.25">
      <c r="AB18" s="136"/>
      <c r="AC18" s="136"/>
      <c r="AD18" s="136"/>
      <c r="AE18" s="136"/>
      <c r="AF18" s="136"/>
      <c r="AG18" s="136"/>
      <c r="AH18" s="136"/>
      <c r="AI18" s="136"/>
      <c r="AJ18" s="136"/>
      <c r="AK18" s="136"/>
      <c r="AL18" s="136"/>
    </row>
    <row r="19" spans="4:38" x14ac:dyDescent="0.25">
      <c r="AB19" s="136"/>
      <c r="AC19" s="136"/>
      <c r="AD19" s="136"/>
      <c r="AE19" s="136"/>
      <c r="AF19" s="136"/>
      <c r="AG19" s="136"/>
      <c r="AH19" s="136"/>
      <c r="AI19" s="136"/>
      <c r="AJ19" s="136"/>
      <c r="AK19" s="136"/>
      <c r="AL19" s="136"/>
    </row>
    <row r="20" spans="4:38" x14ac:dyDescent="0.25">
      <c r="AB20" s="136"/>
      <c r="AC20" s="136"/>
      <c r="AD20" s="136"/>
      <c r="AE20" s="136"/>
      <c r="AF20" s="136"/>
      <c r="AG20" s="136"/>
      <c r="AH20" s="136"/>
      <c r="AI20" s="136"/>
      <c r="AJ20" s="136"/>
      <c r="AK20" s="136"/>
      <c r="AL20" s="136"/>
    </row>
    <row r="21" spans="4:38" x14ac:dyDescent="0.25">
      <c r="AB21" s="136"/>
      <c r="AC21" s="136"/>
      <c r="AD21" s="136"/>
      <c r="AE21" s="136"/>
      <c r="AF21" s="136"/>
      <c r="AG21" s="136"/>
      <c r="AH21" s="136"/>
      <c r="AI21" s="136"/>
      <c r="AJ21" s="136"/>
      <c r="AK21" s="136"/>
      <c r="AL21" s="136"/>
    </row>
    <row r="28" spans="4:38" ht="13" x14ac:dyDescent="0.3">
      <c r="D28" s="135"/>
    </row>
    <row r="29" spans="4:38" ht="13" x14ac:dyDescent="0.3">
      <c r="D29" s="135"/>
    </row>
    <row r="32" spans="4:38" ht="13" x14ac:dyDescent="0.3">
      <c r="D32" s="135"/>
    </row>
  </sheetData>
  <mergeCells count="11">
    <mergeCell ref="A6:F6"/>
    <mergeCell ref="G6:N6"/>
    <mergeCell ref="A8:F8"/>
    <mergeCell ref="G8:AO8"/>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2B13C-33FD-48C2-A481-3E20540E6531}">
  <sheetPr codeName="Sheet13">
    <pageSetUpPr fitToPage="1"/>
  </sheetPr>
  <dimension ref="A1:AS32"/>
  <sheetViews>
    <sheetView showGridLines="0" workbookViewId="0">
      <selection activeCell="A3" sqref="A3:F3"/>
    </sheetView>
  </sheetViews>
  <sheetFormatPr defaultColWidth="4.36328125" defaultRowHeight="12.5" x14ac:dyDescent="0.25"/>
  <cols>
    <col min="1" max="21" width="4.36328125" style="134"/>
    <col min="22" max="22" width="7.54296875" style="134" bestFit="1" customWidth="1"/>
    <col min="23" max="45" width="4.36328125" style="134"/>
  </cols>
  <sheetData>
    <row r="1" spans="1:41" ht="18" x14ac:dyDescent="0.4">
      <c r="A1" s="279" t="s">
        <v>57</v>
      </c>
      <c r="B1" s="279"/>
      <c r="C1" s="279"/>
      <c r="D1" s="279"/>
      <c r="E1" s="279"/>
      <c r="F1" s="279"/>
      <c r="I1" s="142"/>
    </row>
    <row r="2" spans="1:41" ht="13" thickBot="1" x14ac:dyDescent="0.3">
      <c r="A2" s="142"/>
      <c r="I2" s="142"/>
    </row>
    <row r="3" spans="1:41" ht="13.5" thickBot="1" x14ac:dyDescent="0.35">
      <c r="A3" s="280" t="s">
        <v>58</v>
      </c>
      <c r="B3" s="281"/>
      <c r="C3" s="281"/>
      <c r="D3" s="281"/>
      <c r="E3" s="281"/>
      <c r="F3" s="281"/>
      <c r="G3" s="281"/>
      <c r="H3" s="281"/>
      <c r="I3" s="281"/>
      <c r="J3" s="281"/>
      <c r="K3" s="281"/>
      <c r="L3" s="281"/>
      <c r="M3" s="281"/>
      <c r="N3" s="282"/>
      <c r="Q3" s="276" t="s">
        <v>63</v>
      </c>
      <c r="R3" s="277"/>
      <c r="S3" s="277"/>
      <c r="T3" s="277"/>
      <c r="U3" s="278"/>
      <c r="V3" s="143" t="s">
        <v>67</v>
      </c>
    </row>
    <row r="4" spans="1:41" ht="13" thickBot="1" x14ac:dyDescent="0.3">
      <c r="A4" s="142"/>
      <c r="G4" s="140"/>
      <c r="H4" s="140"/>
      <c r="I4" s="141"/>
      <c r="J4" s="140"/>
      <c r="K4" s="140"/>
      <c r="L4" s="140"/>
      <c r="M4" s="140"/>
      <c r="N4" s="140"/>
      <c r="Q4" s="288"/>
      <c r="R4" s="289"/>
      <c r="S4" s="289"/>
      <c r="T4" s="289"/>
      <c r="U4" s="290"/>
      <c r="V4" s="139"/>
    </row>
    <row r="5" spans="1:41" ht="52" customHeight="1" x14ac:dyDescent="0.25">
      <c r="A5" s="283" t="s">
        <v>59</v>
      </c>
      <c r="B5" s="284"/>
      <c r="C5" s="284"/>
      <c r="D5" s="284"/>
      <c r="E5" s="284"/>
      <c r="F5" s="284"/>
      <c r="G5" s="285" t="s">
        <v>506</v>
      </c>
      <c r="H5" s="286"/>
      <c r="I5" s="286"/>
      <c r="J5" s="286"/>
      <c r="K5" s="286"/>
      <c r="L5" s="286"/>
      <c r="M5" s="286"/>
      <c r="N5" s="287"/>
    </row>
    <row r="6" spans="1:41" ht="13" x14ac:dyDescent="0.25">
      <c r="A6" s="271" t="s">
        <v>60</v>
      </c>
      <c r="B6" s="272"/>
      <c r="C6" s="272"/>
      <c r="D6" s="272"/>
      <c r="E6" s="272"/>
      <c r="F6" s="272"/>
      <c r="G6" s="291" t="s">
        <v>456</v>
      </c>
      <c r="H6" s="292"/>
      <c r="I6" s="292"/>
      <c r="J6" s="292"/>
      <c r="K6" s="292"/>
      <c r="L6" s="292"/>
      <c r="M6" s="292"/>
      <c r="N6" s="293"/>
    </row>
    <row r="7" spans="1:41" ht="13" thickBot="1" x14ac:dyDescent="0.3">
      <c r="K7" s="138"/>
    </row>
    <row r="8" spans="1:41" ht="30.75" customHeight="1" thickBot="1" x14ac:dyDescent="0.3">
      <c r="A8" s="267" t="s">
        <v>61</v>
      </c>
      <c r="B8" s="268"/>
      <c r="C8" s="268"/>
      <c r="D8" s="268"/>
      <c r="E8" s="268"/>
      <c r="F8" s="268"/>
      <c r="G8" s="269" t="s">
        <v>507</v>
      </c>
      <c r="H8" s="269"/>
      <c r="I8" s="269"/>
      <c r="J8" s="269"/>
      <c r="K8" s="269"/>
      <c r="L8" s="269"/>
      <c r="M8" s="269"/>
      <c r="N8" s="269"/>
      <c r="O8" s="269"/>
      <c r="P8" s="269"/>
      <c r="Q8" s="269"/>
      <c r="R8" s="269"/>
      <c r="S8" s="269"/>
      <c r="T8" s="269"/>
      <c r="U8" s="269"/>
      <c r="V8" s="269"/>
      <c r="W8" s="269"/>
      <c r="X8" s="269"/>
      <c r="Y8" s="269"/>
      <c r="Z8" s="269"/>
      <c r="AA8" s="269"/>
      <c r="AB8" s="269"/>
      <c r="AC8" s="269"/>
      <c r="AD8" s="269"/>
      <c r="AE8" s="269"/>
      <c r="AF8" s="269"/>
      <c r="AG8" s="269"/>
      <c r="AH8" s="269"/>
      <c r="AI8" s="269"/>
      <c r="AJ8" s="269"/>
      <c r="AK8" s="269"/>
      <c r="AL8" s="269"/>
      <c r="AM8" s="269"/>
      <c r="AN8" s="269"/>
      <c r="AO8" s="270"/>
    </row>
    <row r="15" spans="1:41" x14ac:dyDescent="0.25">
      <c r="AB15" s="136"/>
      <c r="AC15" s="136"/>
      <c r="AD15" s="136"/>
      <c r="AE15" s="136"/>
      <c r="AF15" s="136"/>
      <c r="AG15" s="136"/>
      <c r="AH15" s="136"/>
      <c r="AI15" s="136"/>
      <c r="AJ15" s="136"/>
      <c r="AK15" s="136"/>
      <c r="AL15" s="136"/>
    </row>
    <row r="16" spans="1:41" ht="17.5" x14ac:dyDescent="0.35">
      <c r="AB16" s="136"/>
      <c r="AC16" s="137"/>
      <c r="AD16" s="136"/>
      <c r="AE16" s="136"/>
      <c r="AF16" s="136"/>
      <c r="AG16" s="136"/>
      <c r="AH16" s="136"/>
      <c r="AI16" s="136"/>
      <c r="AJ16" s="136"/>
      <c r="AK16" s="136"/>
      <c r="AL16" s="136"/>
    </row>
    <row r="17" spans="4:38" x14ac:dyDescent="0.25">
      <c r="AB17" s="136"/>
      <c r="AC17" s="136"/>
      <c r="AD17" s="136"/>
      <c r="AE17" s="136"/>
      <c r="AF17" s="136"/>
      <c r="AG17" s="136"/>
      <c r="AH17" s="136"/>
      <c r="AI17" s="136"/>
      <c r="AJ17" s="136"/>
      <c r="AK17" s="136"/>
      <c r="AL17" s="136"/>
    </row>
    <row r="18" spans="4:38" x14ac:dyDescent="0.25">
      <c r="AB18" s="136"/>
      <c r="AC18" s="136"/>
      <c r="AD18" s="136"/>
      <c r="AE18" s="136"/>
      <c r="AF18" s="136"/>
      <c r="AG18" s="136"/>
      <c r="AH18" s="136"/>
      <c r="AI18" s="136"/>
      <c r="AJ18" s="136"/>
      <c r="AK18" s="136"/>
      <c r="AL18" s="136"/>
    </row>
    <row r="19" spans="4:38" x14ac:dyDescent="0.25">
      <c r="AB19" s="136"/>
      <c r="AC19" s="136"/>
      <c r="AD19" s="136"/>
      <c r="AE19" s="136"/>
      <c r="AF19" s="136"/>
      <c r="AG19" s="136"/>
      <c r="AH19" s="136"/>
      <c r="AI19" s="136"/>
      <c r="AJ19" s="136"/>
      <c r="AK19" s="136"/>
      <c r="AL19" s="136"/>
    </row>
    <row r="20" spans="4:38" x14ac:dyDescent="0.25">
      <c r="AB20" s="136"/>
      <c r="AC20" s="136"/>
      <c r="AD20" s="136"/>
      <c r="AE20" s="136"/>
      <c r="AF20" s="136"/>
      <c r="AG20" s="136"/>
      <c r="AH20" s="136"/>
      <c r="AI20" s="136"/>
      <c r="AJ20" s="136"/>
      <c r="AK20" s="136"/>
      <c r="AL20" s="136"/>
    </row>
    <row r="21" spans="4:38" x14ac:dyDescent="0.25">
      <c r="AB21" s="136"/>
      <c r="AC21" s="136"/>
      <c r="AD21" s="136"/>
      <c r="AE21" s="136"/>
      <c r="AF21" s="136"/>
      <c r="AG21" s="136"/>
      <c r="AH21" s="136"/>
      <c r="AI21" s="136"/>
      <c r="AJ21" s="136"/>
      <c r="AK21" s="136"/>
      <c r="AL21" s="136"/>
    </row>
    <row r="28" spans="4:38" ht="13" x14ac:dyDescent="0.3">
      <c r="D28" s="135"/>
    </row>
    <row r="29" spans="4:38" ht="13" x14ac:dyDescent="0.3">
      <c r="D29" s="135"/>
    </row>
    <row r="32" spans="4:38" ht="13" x14ac:dyDescent="0.3">
      <c r="D32" s="135"/>
    </row>
  </sheetData>
  <mergeCells count="11">
    <mergeCell ref="A6:F6"/>
    <mergeCell ref="G6:N6"/>
    <mergeCell ref="A8:F8"/>
    <mergeCell ref="G8:AO8"/>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33F29-38CB-4E07-9E5B-BE2295641138}">
  <sheetPr codeName="Sheet9">
    <pageSetUpPr fitToPage="1"/>
  </sheetPr>
  <dimension ref="A1:AS32"/>
  <sheetViews>
    <sheetView showGridLines="0" workbookViewId="0">
      <selection activeCell="A3" sqref="A3:F3"/>
    </sheetView>
  </sheetViews>
  <sheetFormatPr defaultColWidth="4.36328125" defaultRowHeight="12.5" x14ac:dyDescent="0.25"/>
  <cols>
    <col min="1" max="21" width="4.36328125" style="134"/>
    <col min="22" max="22" width="7.54296875" style="134" bestFit="1" customWidth="1"/>
    <col min="23" max="45" width="4.36328125" style="134"/>
    <col min="46" max="16384" width="4.36328125" style="106"/>
  </cols>
  <sheetData>
    <row r="1" spans="1:41" ht="18" x14ac:dyDescent="0.4">
      <c r="A1" s="279" t="s">
        <v>57</v>
      </c>
      <c r="B1" s="279"/>
      <c r="C1" s="279"/>
      <c r="D1" s="279"/>
      <c r="E1" s="279"/>
      <c r="F1" s="279"/>
      <c r="I1" s="142"/>
    </row>
    <row r="2" spans="1:41" ht="13" thickBot="1" x14ac:dyDescent="0.3">
      <c r="A2" s="142"/>
      <c r="I2" s="142"/>
    </row>
    <row r="3" spans="1:41" ht="13.5" thickBot="1" x14ac:dyDescent="0.35">
      <c r="A3" s="280" t="s">
        <v>58</v>
      </c>
      <c r="B3" s="281"/>
      <c r="C3" s="281"/>
      <c r="D3" s="281"/>
      <c r="E3" s="281"/>
      <c r="F3" s="281"/>
      <c r="G3" s="281"/>
      <c r="H3" s="281"/>
      <c r="I3" s="281"/>
      <c r="J3" s="281"/>
      <c r="K3" s="281"/>
      <c r="L3" s="281"/>
      <c r="M3" s="281"/>
      <c r="N3" s="282"/>
      <c r="Q3" s="276" t="s">
        <v>63</v>
      </c>
      <c r="R3" s="277"/>
      <c r="S3" s="277"/>
      <c r="T3" s="277"/>
      <c r="U3" s="278"/>
      <c r="V3" s="143" t="s">
        <v>67</v>
      </c>
    </row>
    <row r="4" spans="1:41" ht="13" thickBot="1" x14ac:dyDescent="0.3">
      <c r="A4" s="142"/>
      <c r="G4" s="140"/>
      <c r="H4" s="140"/>
      <c r="I4" s="141"/>
      <c r="J4" s="140"/>
      <c r="K4" s="140"/>
      <c r="L4" s="140"/>
      <c r="M4" s="140"/>
      <c r="N4" s="140"/>
      <c r="Q4" s="288"/>
      <c r="R4" s="294"/>
      <c r="S4" s="294"/>
      <c r="T4" s="294"/>
      <c r="U4" s="295"/>
      <c r="V4" s="139"/>
    </row>
    <row r="5" spans="1:41" ht="13" x14ac:dyDescent="0.25">
      <c r="A5" s="283" t="s">
        <v>59</v>
      </c>
      <c r="B5" s="284"/>
      <c r="C5" s="284"/>
      <c r="D5" s="284"/>
      <c r="E5" s="284"/>
      <c r="F5" s="284"/>
      <c r="G5" s="285" t="s">
        <v>596</v>
      </c>
      <c r="H5" s="286"/>
      <c r="I5" s="286"/>
      <c r="J5" s="286"/>
      <c r="K5" s="286"/>
      <c r="L5" s="286"/>
      <c r="M5" s="286"/>
      <c r="N5" s="287"/>
    </row>
    <row r="6" spans="1:41" ht="16" customHeight="1" x14ac:dyDescent="0.25">
      <c r="A6" s="271" t="s">
        <v>30</v>
      </c>
      <c r="B6" s="272"/>
      <c r="C6" s="272"/>
      <c r="D6" s="272"/>
      <c r="E6" s="272"/>
      <c r="F6" s="272"/>
      <c r="G6" s="273" t="s">
        <v>526</v>
      </c>
      <c r="H6" s="274"/>
      <c r="I6" s="274"/>
      <c r="J6" s="274"/>
      <c r="K6" s="274"/>
      <c r="L6" s="274"/>
      <c r="M6" s="274"/>
      <c r="N6" s="275"/>
    </row>
    <row r="7" spans="1:41" ht="13" thickBot="1" x14ac:dyDescent="0.3">
      <c r="K7" s="138"/>
    </row>
    <row r="8" spans="1:41" ht="30.75" customHeight="1" thickBot="1" x14ac:dyDescent="0.3">
      <c r="A8" s="267" t="s">
        <v>61</v>
      </c>
      <c r="B8" s="268"/>
      <c r="C8" s="268"/>
      <c r="D8" s="268"/>
      <c r="E8" s="268"/>
      <c r="F8" s="268"/>
      <c r="G8" s="269" t="s">
        <v>619</v>
      </c>
      <c r="H8" s="269"/>
      <c r="I8" s="269"/>
      <c r="J8" s="269"/>
      <c r="K8" s="269"/>
      <c r="L8" s="269"/>
      <c r="M8" s="269"/>
      <c r="N8" s="269"/>
      <c r="O8" s="269"/>
      <c r="P8" s="269"/>
      <c r="Q8" s="269"/>
      <c r="R8" s="269"/>
      <c r="S8" s="269"/>
      <c r="T8" s="269"/>
      <c r="U8" s="269"/>
      <c r="V8" s="269"/>
      <c r="W8" s="269"/>
      <c r="X8" s="269"/>
      <c r="Y8" s="269"/>
      <c r="Z8" s="269"/>
      <c r="AA8" s="269"/>
      <c r="AB8" s="269"/>
      <c r="AC8" s="269"/>
      <c r="AD8" s="269"/>
      <c r="AE8" s="269"/>
      <c r="AF8" s="269"/>
      <c r="AG8" s="269"/>
      <c r="AH8" s="269"/>
      <c r="AI8" s="269"/>
      <c r="AJ8" s="269"/>
      <c r="AK8" s="269"/>
      <c r="AL8" s="269"/>
      <c r="AM8" s="269"/>
      <c r="AN8" s="269"/>
      <c r="AO8" s="270"/>
    </row>
    <row r="15" spans="1:41" s="134" customFormat="1" x14ac:dyDescent="0.25">
      <c r="AB15" s="136"/>
      <c r="AC15" s="136"/>
      <c r="AD15" s="136"/>
      <c r="AE15" s="136"/>
      <c r="AF15" s="136"/>
      <c r="AG15" s="136"/>
      <c r="AH15" s="136"/>
      <c r="AI15" s="136"/>
      <c r="AJ15" s="136"/>
      <c r="AK15" s="136"/>
      <c r="AL15" s="136"/>
    </row>
    <row r="16" spans="1:41" s="134" customFormat="1" ht="17.5" x14ac:dyDescent="0.35">
      <c r="AB16" s="136"/>
      <c r="AC16" s="137"/>
      <c r="AD16" s="136"/>
      <c r="AE16" s="136"/>
      <c r="AF16" s="136"/>
      <c r="AG16" s="136"/>
      <c r="AH16" s="136"/>
      <c r="AI16" s="136"/>
      <c r="AJ16" s="136"/>
      <c r="AK16" s="136"/>
      <c r="AL16" s="136"/>
    </row>
    <row r="17" spans="4:38" s="134" customFormat="1" x14ac:dyDescent="0.25">
      <c r="AB17" s="136"/>
      <c r="AC17" s="136"/>
      <c r="AD17" s="136"/>
      <c r="AE17" s="136"/>
      <c r="AF17" s="136"/>
      <c r="AG17" s="136"/>
      <c r="AH17" s="136"/>
      <c r="AI17" s="136"/>
      <c r="AJ17" s="136"/>
      <c r="AK17" s="136"/>
      <c r="AL17" s="136"/>
    </row>
    <row r="18" spans="4:38" s="134" customFormat="1" x14ac:dyDescent="0.25">
      <c r="AB18" s="136"/>
      <c r="AC18" s="136"/>
      <c r="AD18" s="136"/>
      <c r="AE18" s="136"/>
      <c r="AF18" s="136"/>
      <c r="AG18" s="136"/>
      <c r="AH18" s="136"/>
      <c r="AI18" s="136"/>
      <c r="AJ18" s="136"/>
      <c r="AK18" s="136"/>
      <c r="AL18" s="136"/>
    </row>
    <row r="19" spans="4:38" s="134" customFormat="1" x14ac:dyDescent="0.25">
      <c r="AB19" s="136"/>
      <c r="AC19" s="136"/>
      <c r="AD19" s="136"/>
      <c r="AE19" s="136"/>
      <c r="AF19" s="136"/>
      <c r="AG19" s="136"/>
      <c r="AH19" s="136"/>
      <c r="AI19" s="136"/>
      <c r="AJ19" s="136"/>
      <c r="AK19" s="136"/>
      <c r="AL19" s="136"/>
    </row>
    <row r="20" spans="4:38" s="134" customFormat="1" x14ac:dyDescent="0.25">
      <c r="AB20" s="136"/>
      <c r="AC20" s="136"/>
      <c r="AD20" s="136"/>
      <c r="AE20" s="136"/>
      <c r="AF20" s="136"/>
      <c r="AG20" s="136"/>
      <c r="AH20" s="136"/>
      <c r="AI20" s="136"/>
      <c r="AJ20" s="136"/>
      <c r="AK20" s="136"/>
      <c r="AL20" s="136"/>
    </row>
    <row r="21" spans="4:38" s="134" customFormat="1" x14ac:dyDescent="0.25">
      <c r="AB21" s="136"/>
      <c r="AC21" s="136"/>
      <c r="AD21" s="136"/>
      <c r="AE21" s="136"/>
      <c r="AF21" s="136"/>
      <c r="AG21" s="136"/>
      <c r="AH21" s="136"/>
      <c r="AI21" s="136"/>
      <c r="AJ21" s="136"/>
      <c r="AK21" s="136"/>
      <c r="AL21" s="136"/>
    </row>
    <row r="28" spans="4:38" s="134" customFormat="1" ht="13" x14ac:dyDescent="0.3">
      <c r="D28" s="135"/>
    </row>
    <row r="29" spans="4:38" s="134" customFormat="1" ht="13" x14ac:dyDescent="0.3">
      <c r="D29" s="135"/>
    </row>
    <row r="32" spans="4:38" s="134" customFormat="1" ht="13" x14ac:dyDescent="0.3">
      <c r="D32" s="135"/>
    </row>
  </sheetData>
  <mergeCells count="11">
    <mergeCell ref="A8:F8"/>
    <mergeCell ref="G8:AO8"/>
    <mergeCell ref="A6:F6"/>
    <mergeCell ref="G6:N6"/>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BBD4-317E-45A2-A5C5-DAEF92F4DEEB}">
  <sheetPr codeName="Sheet16">
    <pageSetUpPr fitToPage="1"/>
  </sheetPr>
  <dimension ref="A1:AS32"/>
  <sheetViews>
    <sheetView showGridLines="0" workbookViewId="0">
      <selection activeCell="A3" sqref="A3:F3"/>
    </sheetView>
  </sheetViews>
  <sheetFormatPr defaultColWidth="4.36328125" defaultRowHeight="12.5" x14ac:dyDescent="0.25"/>
  <cols>
    <col min="1" max="13" width="4.36328125" style="134"/>
    <col min="14" max="14" width="9.36328125" style="134" customWidth="1"/>
    <col min="15" max="21" width="4.36328125" style="134"/>
    <col min="22" max="22" width="7.54296875" style="134" bestFit="1" customWidth="1"/>
    <col min="23" max="45" width="4.36328125" style="134"/>
    <col min="46" max="16384" width="4.36328125" style="106"/>
  </cols>
  <sheetData>
    <row r="1" spans="1:41" ht="18" x14ac:dyDescent="0.4">
      <c r="A1" s="279" t="s">
        <v>57</v>
      </c>
      <c r="B1" s="279"/>
      <c r="C1" s="279"/>
      <c r="D1" s="279"/>
      <c r="E1" s="279"/>
      <c r="F1" s="279"/>
      <c r="I1" s="142"/>
    </row>
    <row r="2" spans="1:41" ht="13" thickBot="1" x14ac:dyDescent="0.3">
      <c r="A2" s="142"/>
      <c r="I2" s="142"/>
    </row>
    <row r="3" spans="1:41" ht="13.5" thickBot="1" x14ac:dyDescent="0.35">
      <c r="A3" s="280" t="s">
        <v>58</v>
      </c>
      <c r="B3" s="281"/>
      <c r="C3" s="281"/>
      <c r="D3" s="281"/>
      <c r="E3" s="281"/>
      <c r="F3" s="281"/>
      <c r="G3" s="281"/>
      <c r="H3" s="281"/>
      <c r="I3" s="281"/>
      <c r="J3" s="281"/>
      <c r="K3" s="281"/>
      <c r="L3" s="281"/>
      <c r="M3" s="281"/>
      <c r="N3" s="282"/>
      <c r="Q3" s="276" t="s">
        <v>63</v>
      </c>
      <c r="R3" s="277"/>
      <c r="S3" s="277"/>
      <c r="T3" s="277"/>
      <c r="U3" s="278"/>
      <c r="V3" s="143" t="s">
        <v>67</v>
      </c>
    </row>
    <row r="4" spans="1:41" ht="13" thickBot="1" x14ac:dyDescent="0.3">
      <c r="A4" s="142"/>
      <c r="G4" s="140"/>
      <c r="H4" s="140"/>
      <c r="I4" s="141"/>
      <c r="J4" s="140"/>
      <c r="K4" s="140"/>
      <c r="L4" s="140"/>
      <c r="M4" s="140"/>
      <c r="N4" s="140"/>
      <c r="Q4" s="288"/>
      <c r="R4" s="294"/>
      <c r="S4" s="294"/>
      <c r="T4" s="294"/>
      <c r="U4" s="295"/>
      <c r="V4" s="139"/>
    </row>
    <row r="5" spans="1:41" ht="39" customHeight="1" x14ac:dyDescent="0.25">
      <c r="A5" s="283" t="s">
        <v>59</v>
      </c>
      <c r="B5" s="284"/>
      <c r="C5" s="284"/>
      <c r="D5" s="284"/>
      <c r="E5" s="284"/>
      <c r="F5" s="284"/>
      <c r="G5" s="285" t="s">
        <v>695</v>
      </c>
      <c r="H5" s="286"/>
      <c r="I5" s="286"/>
      <c r="J5" s="286"/>
      <c r="K5" s="286"/>
      <c r="L5" s="286"/>
      <c r="M5" s="286"/>
      <c r="N5" s="287"/>
    </row>
    <row r="6" spans="1:41" ht="16" customHeight="1" x14ac:dyDescent="0.25">
      <c r="A6" s="271" t="s">
        <v>30</v>
      </c>
      <c r="B6" s="272"/>
      <c r="C6" s="272"/>
      <c r="D6" s="272"/>
      <c r="E6" s="272"/>
      <c r="F6" s="272"/>
      <c r="G6" s="273" t="s">
        <v>528</v>
      </c>
      <c r="H6" s="274"/>
      <c r="I6" s="274"/>
      <c r="J6" s="274"/>
      <c r="K6" s="274"/>
      <c r="L6" s="274"/>
      <c r="M6" s="274"/>
      <c r="N6" s="275"/>
    </row>
    <row r="7" spans="1:41" ht="13" thickBot="1" x14ac:dyDescent="0.3">
      <c r="K7" s="138"/>
    </row>
    <row r="8" spans="1:41" ht="30.75" customHeight="1" thickBot="1" x14ac:dyDescent="0.3">
      <c r="A8" s="267" t="s">
        <v>61</v>
      </c>
      <c r="B8" s="268"/>
      <c r="C8" s="268"/>
      <c r="D8" s="268"/>
      <c r="E8" s="268"/>
      <c r="F8" s="268"/>
      <c r="G8" s="269" t="s">
        <v>694</v>
      </c>
      <c r="H8" s="269"/>
      <c r="I8" s="269"/>
      <c r="J8" s="269"/>
      <c r="K8" s="269"/>
      <c r="L8" s="269"/>
      <c r="M8" s="269"/>
      <c r="N8" s="269"/>
      <c r="O8" s="269"/>
      <c r="P8" s="269"/>
      <c r="Q8" s="269"/>
      <c r="R8" s="269"/>
      <c r="S8" s="269"/>
      <c r="T8" s="269"/>
      <c r="U8" s="269"/>
      <c r="V8" s="269"/>
      <c r="W8" s="269"/>
      <c r="X8" s="269"/>
      <c r="Y8" s="269"/>
      <c r="Z8" s="269"/>
      <c r="AA8" s="269"/>
      <c r="AB8" s="269"/>
      <c r="AC8" s="269"/>
      <c r="AD8" s="269"/>
      <c r="AE8" s="269"/>
      <c r="AF8" s="269"/>
      <c r="AG8" s="269"/>
      <c r="AH8" s="269"/>
      <c r="AI8" s="269"/>
      <c r="AJ8" s="269"/>
      <c r="AK8" s="269"/>
      <c r="AL8" s="269"/>
      <c r="AM8" s="269"/>
      <c r="AN8" s="269"/>
      <c r="AO8" s="270"/>
    </row>
    <row r="15" spans="1:41" s="134" customFormat="1" x14ac:dyDescent="0.25">
      <c r="AB15" s="136"/>
      <c r="AC15" s="136"/>
      <c r="AD15" s="136"/>
      <c r="AE15" s="136"/>
      <c r="AF15" s="136"/>
      <c r="AG15" s="136"/>
      <c r="AH15" s="136"/>
      <c r="AI15" s="136"/>
      <c r="AJ15" s="136"/>
      <c r="AK15" s="136"/>
      <c r="AL15" s="136"/>
    </row>
    <row r="16" spans="1:41" s="134" customFormat="1" ht="17.5" x14ac:dyDescent="0.35">
      <c r="AB16" s="136"/>
      <c r="AC16" s="137"/>
      <c r="AD16" s="136"/>
      <c r="AE16" s="136"/>
      <c r="AF16" s="136"/>
      <c r="AG16" s="136"/>
      <c r="AH16" s="136"/>
      <c r="AI16" s="136"/>
      <c r="AJ16" s="136"/>
      <c r="AK16" s="136"/>
      <c r="AL16" s="136"/>
    </row>
    <row r="17" spans="4:38" s="134" customFormat="1" x14ac:dyDescent="0.25">
      <c r="AB17" s="136"/>
      <c r="AC17" s="136"/>
      <c r="AD17" s="136"/>
      <c r="AE17" s="136"/>
      <c r="AF17" s="136"/>
      <c r="AG17" s="136"/>
      <c r="AH17" s="136"/>
      <c r="AI17" s="136"/>
      <c r="AJ17" s="136"/>
      <c r="AK17" s="136"/>
      <c r="AL17" s="136"/>
    </row>
    <row r="18" spans="4:38" s="134" customFormat="1" x14ac:dyDescent="0.25">
      <c r="AB18" s="136"/>
      <c r="AC18" s="136"/>
      <c r="AD18" s="136"/>
      <c r="AE18" s="136"/>
      <c r="AF18" s="136"/>
      <c r="AG18" s="136"/>
      <c r="AH18" s="136"/>
      <c r="AI18" s="136"/>
      <c r="AJ18" s="136"/>
      <c r="AK18" s="136"/>
      <c r="AL18" s="136"/>
    </row>
    <row r="19" spans="4:38" s="134" customFormat="1" x14ac:dyDescent="0.25">
      <c r="AB19" s="136"/>
      <c r="AC19" s="136"/>
      <c r="AD19" s="136"/>
      <c r="AE19" s="136"/>
      <c r="AF19" s="136"/>
      <c r="AG19" s="136"/>
      <c r="AH19" s="136"/>
      <c r="AI19" s="136"/>
      <c r="AJ19" s="136"/>
      <c r="AK19" s="136"/>
      <c r="AL19" s="136"/>
    </row>
    <row r="20" spans="4:38" s="134" customFormat="1" x14ac:dyDescent="0.25">
      <c r="AB20" s="136"/>
      <c r="AC20" s="136"/>
      <c r="AD20" s="136"/>
      <c r="AE20" s="136"/>
      <c r="AF20" s="136"/>
      <c r="AG20" s="136"/>
      <c r="AH20" s="136"/>
      <c r="AI20" s="136"/>
      <c r="AJ20" s="136"/>
      <c r="AK20" s="136"/>
      <c r="AL20" s="136"/>
    </row>
    <row r="21" spans="4:38" s="134" customFormat="1" x14ac:dyDescent="0.25">
      <c r="AB21" s="136"/>
      <c r="AC21" s="136"/>
      <c r="AD21" s="136"/>
      <c r="AE21" s="136"/>
      <c r="AF21" s="136"/>
      <c r="AG21" s="136"/>
      <c r="AH21" s="136"/>
      <c r="AI21" s="136"/>
      <c r="AJ21" s="136"/>
      <c r="AK21" s="136"/>
      <c r="AL21" s="136"/>
    </row>
    <row r="28" spans="4:38" s="134" customFormat="1" ht="13" x14ac:dyDescent="0.3">
      <c r="D28" s="135"/>
    </row>
    <row r="29" spans="4:38" s="134" customFormat="1" ht="13" x14ac:dyDescent="0.3">
      <c r="D29" s="135"/>
    </row>
    <row r="32" spans="4:38" s="134" customFormat="1" ht="13" x14ac:dyDescent="0.3">
      <c r="D32" s="135"/>
    </row>
  </sheetData>
  <mergeCells count="11">
    <mergeCell ref="A6:F6"/>
    <mergeCell ref="G6:N6"/>
    <mergeCell ref="A8:F8"/>
    <mergeCell ref="G8:AO8"/>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4612F-96ED-4472-8E14-087FBC45A7ED}">
  <sheetPr codeName="Sheet11">
    <pageSetUpPr fitToPage="1"/>
  </sheetPr>
  <dimension ref="A1:AS32"/>
  <sheetViews>
    <sheetView showGridLines="0" workbookViewId="0">
      <selection activeCell="A3" sqref="A3:F3"/>
    </sheetView>
  </sheetViews>
  <sheetFormatPr defaultColWidth="4.36328125" defaultRowHeight="12.5" x14ac:dyDescent="0.25"/>
  <cols>
    <col min="1" max="21" width="4.36328125" style="134"/>
    <col min="22" max="22" width="7.54296875" style="134" bestFit="1" customWidth="1"/>
    <col min="23" max="45" width="4.36328125" style="134"/>
    <col min="46" max="16384" width="4.36328125" style="106"/>
  </cols>
  <sheetData>
    <row r="1" spans="1:41" ht="18" x14ac:dyDescent="0.4">
      <c r="A1" s="279" t="s">
        <v>57</v>
      </c>
      <c r="B1" s="279"/>
      <c r="C1" s="279"/>
      <c r="D1" s="279"/>
      <c r="E1" s="279"/>
      <c r="F1" s="279"/>
      <c r="I1" s="142"/>
    </row>
    <row r="2" spans="1:41" ht="13" thickBot="1" x14ac:dyDescent="0.3">
      <c r="A2" s="142"/>
      <c r="I2" s="142"/>
    </row>
    <row r="3" spans="1:41" ht="13.5" thickBot="1" x14ac:dyDescent="0.35">
      <c r="A3" s="280" t="s">
        <v>58</v>
      </c>
      <c r="B3" s="281"/>
      <c r="C3" s="281"/>
      <c r="D3" s="281"/>
      <c r="E3" s="281"/>
      <c r="F3" s="281"/>
      <c r="G3" s="281"/>
      <c r="H3" s="281"/>
      <c r="I3" s="281"/>
      <c r="J3" s="281"/>
      <c r="K3" s="281"/>
      <c r="L3" s="281"/>
      <c r="M3" s="281"/>
      <c r="N3" s="282"/>
      <c r="Q3" s="276" t="s">
        <v>63</v>
      </c>
      <c r="R3" s="277"/>
      <c r="S3" s="277"/>
      <c r="T3" s="277"/>
      <c r="U3" s="278"/>
      <c r="V3" s="143" t="s">
        <v>67</v>
      </c>
    </row>
    <row r="4" spans="1:41" ht="13" thickBot="1" x14ac:dyDescent="0.3">
      <c r="A4" s="142"/>
      <c r="G4" s="140"/>
      <c r="H4" s="140"/>
      <c r="I4" s="141"/>
      <c r="J4" s="140"/>
      <c r="K4" s="140"/>
      <c r="L4" s="140"/>
      <c r="M4" s="140"/>
      <c r="N4" s="140"/>
      <c r="Q4" s="288"/>
      <c r="R4" s="294"/>
      <c r="S4" s="294"/>
      <c r="T4" s="294"/>
      <c r="U4" s="295"/>
      <c r="V4" s="139"/>
    </row>
    <row r="5" spans="1:41" ht="13" x14ac:dyDescent="0.25">
      <c r="A5" s="283" t="s">
        <v>59</v>
      </c>
      <c r="B5" s="284"/>
      <c r="C5" s="284"/>
      <c r="D5" s="284"/>
      <c r="E5" s="284"/>
      <c r="F5" s="284"/>
      <c r="G5" s="285" t="s">
        <v>547</v>
      </c>
      <c r="H5" s="286"/>
      <c r="I5" s="286"/>
      <c r="J5" s="286"/>
      <c r="K5" s="286"/>
      <c r="L5" s="286"/>
      <c r="M5" s="286"/>
      <c r="N5" s="287"/>
    </row>
    <row r="6" spans="1:41" ht="13" x14ac:dyDescent="0.25">
      <c r="A6" s="271" t="s">
        <v>199</v>
      </c>
      <c r="B6" s="272"/>
      <c r="C6" s="272"/>
      <c r="D6" s="272"/>
      <c r="E6" s="272"/>
      <c r="F6" s="272"/>
      <c r="G6" s="273" t="s">
        <v>546</v>
      </c>
      <c r="H6" s="274"/>
      <c r="I6" s="274"/>
      <c r="J6" s="274"/>
      <c r="K6" s="274"/>
      <c r="L6" s="274"/>
      <c r="M6" s="274"/>
      <c r="N6" s="275"/>
    </row>
    <row r="7" spans="1:41" ht="13" thickBot="1" x14ac:dyDescent="0.3">
      <c r="K7" s="138"/>
    </row>
    <row r="8" spans="1:41" ht="13.5" customHeight="1" thickBot="1" x14ac:dyDescent="0.3">
      <c r="A8" s="267" t="s">
        <v>61</v>
      </c>
      <c r="B8" s="268"/>
      <c r="C8" s="268"/>
      <c r="D8" s="268"/>
      <c r="E8" s="268"/>
      <c r="F8" s="268"/>
      <c r="G8" s="269" t="s">
        <v>545</v>
      </c>
      <c r="H8" s="269"/>
      <c r="I8" s="269"/>
      <c r="J8" s="269"/>
      <c r="K8" s="269"/>
      <c r="L8" s="269"/>
      <c r="M8" s="269"/>
      <c r="N8" s="269"/>
      <c r="O8" s="269"/>
      <c r="P8" s="269"/>
      <c r="Q8" s="269"/>
      <c r="R8" s="269"/>
      <c r="S8" s="269"/>
      <c r="T8" s="269"/>
      <c r="U8" s="269"/>
      <c r="V8" s="269"/>
      <c r="W8" s="269"/>
      <c r="X8" s="269"/>
      <c r="Y8" s="269"/>
      <c r="Z8" s="269"/>
      <c r="AA8" s="269"/>
      <c r="AB8" s="269"/>
      <c r="AC8" s="269"/>
      <c r="AD8" s="269"/>
      <c r="AE8" s="269"/>
      <c r="AF8" s="269"/>
      <c r="AG8" s="269"/>
      <c r="AH8" s="269"/>
      <c r="AI8" s="269"/>
      <c r="AJ8" s="269"/>
      <c r="AK8" s="269"/>
      <c r="AL8" s="269"/>
      <c r="AM8" s="269"/>
      <c r="AN8" s="269"/>
      <c r="AO8" s="270"/>
    </row>
    <row r="15" spans="1:41" x14ac:dyDescent="0.25">
      <c r="AB15" s="136"/>
      <c r="AC15" s="136"/>
      <c r="AD15" s="136"/>
      <c r="AE15" s="136"/>
      <c r="AF15" s="136"/>
      <c r="AG15" s="136"/>
      <c r="AH15" s="136"/>
      <c r="AI15" s="136"/>
      <c r="AJ15" s="136"/>
      <c r="AK15" s="136"/>
      <c r="AL15" s="136"/>
    </row>
    <row r="16" spans="1:41" ht="17.5" x14ac:dyDescent="0.35">
      <c r="AB16" s="136"/>
      <c r="AC16" s="137"/>
      <c r="AD16" s="136"/>
      <c r="AE16" s="136"/>
      <c r="AF16" s="136"/>
      <c r="AG16" s="136"/>
      <c r="AH16" s="136"/>
      <c r="AI16" s="136"/>
      <c r="AJ16" s="136"/>
      <c r="AK16" s="136"/>
      <c r="AL16" s="136"/>
    </row>
    <row r="17" spans="4:38" x14ac:dyDescent="0.25">
      <c r="AB17" s="136"/>
      <c r="AC17" s="136"/>
      <c r="AD17" s="136"/>
      <c r="AE17" s="136"/>
      <c r="AF17" s="136"/>
      <c r="AG17" s="136"/>
      <c r="AH17" s="136"/>
      <c r="AI17" s="136"/>
      <c r="AJ17" s="136"/>
      <c r="AK17" s="136"/>
      <c r="AL17" s="136"/>
    </row>
    <row r="18" spans="4:38" x14ac:dyDescent="0.25">
      <c r="AB18" s="136"/>
      <c r="AC18" s="136"/>
      <c r="AD18" s="136"/>
      <c r="AE18" s="136"/>
      <c r="AF18" s="136"/>
      <c r="AG18" s="136"/>
      <c r="AH18" s="136"/>
      <c r="AI18" s="136"/>
      <c r="AJ18" s="136"/>
      <c r="AK18" s="136"/>
      <c r="AL18" s="136"/>
    </row>
    <row r="19" spans="4:38" x14ac:dyDescent="0.25">
      <c r="AB19" s="136"/>
      <c r="AC19" s="136"/>
      <c r="AD19" s="136"/>
      <c r="AE19" s="136"/>
      <c r="AF19" s="136"/>
      <c r="AG19" s="136"/>
      <c r="AH19" s="136"/>
      <c r="AI19" s="136"/>
      <c r="AJ19" s="136"/>
      <c r="AK19" s="136"/>
      <c r="AL19" s="136"/>
    </row>
    <row r="20" spans="4:38" x14ac:dyDescent="0.25">
      <c r="AB20" s="136"/>
      <c r="AC20" s="136"/>
      <c r="AD20" s="136"/>
      <c r="AE20" s="136"/>
      <c r="AF20" s="136"/>
      <c r="AG20" s="136"/>
      <c r="AH20" s="136"/>
      <c r="AI20" s="136"/>
      <c r="AJ20" s="136"/>
      <c r="AK20" s="136"/>
      <c r="AL20" s="136"/>
    </row>
    <row r="21" spans="4:38" x14ac:dyDescent="0.25">
      <c r="AB21" s="136"/>
      <c r="AC21" s="136"/>
      <c r="AD21" s="136"/>
      <c r="AE21" s="136"/>
      <c r="AF21" s="136"/>
      <c r="AG21" s="136"/>
      <c r="AH21" s="136"/>
      <c r="AI21" s="136"/>
      <c r="AJ21" s="136"/>
      <c r="AK21" s="136"/>
      <c r="AL21" s="136"/>
    </row>
    <row r="28" spans="4:38" ht="13" x14ac:dyDescent="0.3">
      <c r="D28" s="135"/>
    </row>
    <row r="29" spans="4:38" ht="13" x14ac:dyDescent="0.3">
      <c r="D29" s="135"/>
    </row>
    <row r="32" spans="4:38" ht="13" x14ac:dyDescent="0.3">
      <c r="D32" s="135"/>
    </row>
  </sheetData>
  <mergeCells count="11">
    <mergeCell ref="A1:F1"/>
    <mergeCell ref="A3:F3"/>
    <mergeCell ref="G3:N3"/>
    <mergeCell ref="Q3:U3"/>
    <mergeCell ref="Q4:U4"/>
    <mergeCell ref="G5:N5"/>
    <mergeCell ref="A6:F6"/>
    <mergeCell ref="G6:N6"/>
    <mergeCell ref="A8:F8"/>
    <mergeCell ref="G8:AO8"/>
    <mergeCell ref="A5:F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0661-B0EC-4CB7-A0DA-A027081ECAC7}">
  <sheetPr codeName="Sheet14"/>
  <dimension ref="A1:Y18"/>
  <sheetViews>
    <sheetView zoomScale="70" workbookViewId="0">
      <selection activeCell="A3" sqref="A3"/>
    </sheetView>
  </sheetViews>
  <sheetFormatPr defaultRowHeight="12.5" x14ac:dyDescent="0.25"/>
  <cols>
    <col min="1" max="1" width="33.453125" style="133" bestFit="1" customWidth="1"/>
    <col min="2" max="2" width="28.26953125" style="106" bestFit="1" customWidth="1"/>
    <col min="3" max="3" width="23" style="106" bestFit="1" customWidth="1"/>
    <col min="4" max="4" width="21.6328125" style="106" bestFit="1" customWidth="1"/>
    <col min="5" max="5" width="12.7265625" style="106" bestFit="1" customWidth="1"/>
    <col min="6" max="6" width="16.453125" style="106" bestFit="1" customWidth="1"/>
    <col min="7" max="7" width="22" style="106" bestFit="1" customWidth="1"/>
    <col min="8" max="8" width="11.08984375" style="106" bestFit="1" customWidth="1"/>
    <col min="9" max="9" width="11" style="106" bestFit="1" customWidth="1"/>
    <col min="10" max="10" width="13.453125" style="106" bestFit="1" customWidth="1"/>
    <col min="11" max="11" width="17.36328125" style="106" bestFit="1" customWidth="1"/>
    <col min="12" max="12" width="14.453125" style="125" bestFit="1" customWidth="1"/>
    <col min="13" max="13" width="16.90625" style="125" bestFit="1" customWidth="1"/>
    <col min="14" max="14" width="16.36328125" style="125" bestFit="1" customWidth="1"/>
    <col min="15" max="15" width="18.6328125" style="125" bestFit="1" customWidth="1"/>
    <col min="16" max="16" width="12.36328125" style="106" bestFit="1" customWidth="1"/>
    <col min="17" max="17" width="14.08984375" style="125" bestFit="1" customWidth="1"/>
    <col min="18" max="18" width="15.26953125" style="125" bestFit="1" customWidth="1"/>
    <col min="19" max="19" width="13.54296875" style="125" bestFit="1" customWidth="1"/>
    <col min="20" max="20" width="31.36328125" style="106" bestFit="1" customWidth="1"/>
    <col min="21" max="21" width="24.54296875" style="106" bestFit="1" customWidth="1"/>
    <col min="22" max="22" width="24.36328125" style="106" customWidth="1"/>
    <col min="23" max="23" width="11.36328125" style="106" bestFit="1" customWidth="1"/>
    <col min="24" max="24" width="11.08984375" style="106" bestFit="1" customWidth="1"/>
    <col min="25" max="25" width="13.54296875" style="106" bestFit="1" customWidth="1"/>
    <col min="26" max="26" width="5.36328125" style="106" bestFit="1" customWidth="1"/>
    <col min="27" max="27" width="11.36328125" style="106" bestFit="1" customWidth="1"/>
    <col min="28" max="28" width="8.6328125" style="106" bestFit="1" customWidth="1"/>
    <col min="29" max="29" width="11.08984375" style="106" bestFit="1" customWidth="1"/>
    <col min="30" max="30" width="9.6328125" style="106" bestFit="1" customWidth="1"/>
    <col min="31" max="31" width="27.08984375" style="106" bestFit="1" customWidth="1"/>
    <col min="32" max="32" width="7.90625" style="106" bestFit="1" customWidth="1"/>
    <col min="33" max="33" width="25.54296875" style="106" bestFit="1" customWidth="1"/>
    <col min="34" max="34" width="12.36328125" style="106" bestFit="1" customWidth="1"/>
    <col min="35" max="35" width="13.54296875" style="106" bestFit="1" customWidth="1"/>
    <col min="36" max="36" width="31.36328125" style="106" bestFit="1" customWidth="1"/>
    <col min="37" max="37" width="28.36328125" style="106" bestFit="1" customWidth="1"/>
    <col min="38" max="38" width="12.90625" style="106" bestFit="1" customWidth="1"/>
    <col min="39" max="39" width="11.36328125" style="106" bestFit="1" customWidth="1"/>
    <col min="40" max="40" width="29.36328125" style="106" bestFit="1" customWidth="1"/>
    <col min="41" max="41" width="7.453125" style="106" bestFit="1" customWidth="1"/>
    <col min="42" max="42" width="10" style="106" bestFit="1" customWidth="1"/>
    <col min="43" max="43" width="18.6328125" style="106" bestFit="1" customWidth="1"/>
    <col min="44" max="44" width="36.453125" style="106" bestFit="1" customWidth="1"/>
    <col min="45" max="46" width="8.54296875" style="106" customWidth="1"/>
    <col min="47" max="16384" width="8.7265625" style="106"/>
  </cols>
  <sheetData>
    <row r="1" spans="1:25" ht="18" x14ac:dyDescent="0.4">
      <c r="A1" s="103" t="s">
        <v>201</v>
      </c>
      <c r="B1" s="104"/>
      <c r="C1" s="104"/>
      <c r="D1" s="104"/>
      <c r="E1" s="104"/>
      <c r="F1" s="104"/>
      <c r="G1" s="104"/>
      <c r="H1" s="104"/>
      <c r="I1" s="104"/>
      <c r="J1" s="104"/>
      <c r="K1" s="104"/>
      <c r="L1" s="104"/>
      <c r="M1" s="104"/>
      <c r="N1" s="104"/>
      <c r="O1" s="104"/>
      <c r="P1" s="104"/>
      <c r="Q1" s="104"/>
      <c r="R1" s="104"/>
      <c r="S1" s="104"/>
      <c r="T1" s="104"/>
      <c r="U1" s="104"/>
      <c r="V1" s="104"/>
      <c r="W1" s="104"/>
      <c r="X1" s="104"/>
      <c r="Y1" s="104"/>
    </row>
    <row r="2" spans="1:25" ht="13" thickBot="1" x14ac:dyDescent="0.3">
      <c r="A2" s="107"/>
      <c r="B2" s="104"/>
      <c r="C2" s="104"/>
      <c r="D2" s="104"/>
      <c r="E2" s="104"/>
      <c r="F2" s="104"/>
      <c r="G2" s="104"/>
      <c r="H2" s="104"/>
      <c r="I2" s="104"/>
      <c r="J2" s="104"/>
      <c r="K2" s="104"/>
      <c r="L2" s="104"/>
      <c r="M2" s="104"/>
      <c r="N2" s="104"/>
      <c r="O2" s="104"/>
      <c r="P2" s="104"/>
      <c r="Q2" s="104"/>
      <c r="R2" s="104"/>
      <c r="S2" s="104"/>
      <c r="T2" s="104"/>
      <c r="U2" s="104"/>
      <c r="V2" s="104"/>
      <c r="W2" s="104"/>
      <c r="X2" s="104"/>
      <c r="Y2" s="104"/>
    </row>
    <row r="3" spans="1:25" x14ac:dyDescent="0.25">
      <c r="A3" s="108" t="s">
        <v>63</v>
      </c>
      <c r="B3" s="109" t="s">
        <v>64</v>
      </c>
      <c r="C3" s="104"/>
      <c r="D3" s="104"/>
      <c r="E3" s="104"/>
      <c r="F3" s="104"/>
      <c r="G3" s="104"/>
      <c r="H3" s="104"/>
      <c r="I3" s="104"/>
      <c r="J3" s="104"/>
      <c r="K3" s="104"/>
      <c r="L3" s="104"/>
      <c r="M3" s="104"/>
      <c r="N3" s="104"/>
      <c r="O3" s="104"/>
      <c r="P3" s="104"/>
      <c r="Q3" s="104"/>
      <c r="R3" s="104"/>
      <c r="S3" s="104"/>
      <c r="T3" s="104"/>
      <c r="U3" s="104"/>
      <c r="V3" s="104"/>
      <c r="W3" s="104"/>
      <c r="X3" s="104"/>
      <c r="Y3" s="104"/>
    </row>
    <row r="4" spans="1:25" ht="13" thickBot="1" x14ac:dyDescent="0.3">
      <c r="A4" s="110"/>
      <c r="B4" s="111"/>
      <c r="C4" s="104"/>
      <c r="D4" s="104"/>
      <c r="E4" s="104"/>
      <c r="F4" s="104"/>
      <c r="G4" s="104"/>
      <c r="H4" s="104"/>
      <c r="I4" s="104"/>
      <c r="J4" s="104"/>
      <c r="K4" s="104"/>
      <c r="L4" s="104"/>
      <c r="M4" s="104"/>
      <c r="N4" s="104"/>
      <c r="O4" s="104"/>
      <c r="P4" s="104"/>
      <c r="Q4" s="104"/>
      <c r="R4" s="104"/>
      <c r="S4" s="104"/>
      <c r="T4" s="104"/>
      <c r="U4" s="104"/>
      <c r="V4" s="104"/>
      <c r="W4" s="104"/>
      <c r="X4" s="104"/>
      <c r="Y4" s="104"/>
    </row>
    <row r="5" spans="1:25" ht="13" thickBot="1" x14ac:dyDescent="0.3">
      <c r="A5" s="107"/>
      <c r="B5" s="104"/>
      <c r="C5" s="104"/>
      <c r="D5" s="104"/>
      <c r="E5" s="104"/>
      <c r="F5" s="104"/>
      <c r="G5" s="104"/>
      <c r="H5" s="104"/>
      <c r="I5" s="104"/>
      <c r="J5" s="104"/>
      <c r="K5" s="104"/>
      <c r="L5" s="104"/>
      <c r="M5" s="104"/>
      <c r="N5" s="104"/>
      <c r="O5" s="104"/>
      <c r="P5" s="104"/>
      <c r="Q5" s="104"/>
      <c r="R5" s="104"/>
      <c r="S5" s="104"/>
      <c r="T5" s="104"/>
      <c r="U5" s="104"/>
      <c r="V5" s="104"/>
      <c r="W5" s="104"/>
      <c r="X5" s="104"/>
      <c r="Y5" s="104"/>
    </row>
    <row r="6" spans="1:25" ht="13" thickBot="1" x14ac:dyDescent="0.3">
      <c r="A6" s="180" t="s">
        <v>10</v>
      </c>
      <c r="B6" s="180" t="s">
        <v>356</v>
      </c>
      <c r="C6" s="180" t="s">
        <v>36</v>
      </c>
      <c r="D6" s="180" t="s">
        <v>257</v>
      </c>
      <c r="E6" s="180" t="s">
        <v>261</v>
      </c>
      <c r="F6" s="180" t="s">
        <v>29</v>
      </c>
      <c r="G6" s="104"/>
      <c r="H6" s="104"/>
      <c r="I6" s="104"/>
      <c r="J6" s="104"/>
      <c r="K6" s="104"/>
      <c r="L6" s="104"/>
      <c r="M6" s="104"/>
      <c r="N6" s="104"/>
      <c r="O6" s="104"/>
      <c r="P6" s="104"/>
      <c r="Q6" s="104"/>
      <c r="R6" s="104"/>
      <c r="S6" s="104"/>
      <c r="T6" s="104"/>
      <c r="U6" s="104"/>
      <c r="V6" s="104"/>
      <c r="W6" s="104"/>
      <c r="X6" s="104"/>
      <c r="Y6" s="104"/>
    </row>
    <row r="7" spans="1:25" ht="15.75" customHeight="1" x14ac:dyDescent="0.25">
      <c r="A7" s="163"/>
      <c r="B7" s="163"/>
      <c r="C7" s="163"/>
      <c r="D7" s="163"/>
      <c r="E7" s="163"/>
      <c r="F7" s="162"/>
      <c r="G7" s="104"/>
      <c r="H7" s="104"/>
      <c r="I7" s="104"/>
      <c r="J7" s="104"/>
      <c r="K7" s="104"/>
      <c r="L7" s="104"/>
      <c r="M7" s="104"/>
      <c r="N7" s="104"/>
      <c r="O7" s="104"/>
      <c r="P7" s="104"/>
      <c r="Q7" s="104"/>
      <c r="R7" s="104"/>
      <c r="S7" s="104"/>
      <c r="T7" s="104"/>
      <c r="U7" s="104"/>
      <c r="V7" s="104"/>
      <c r="W7" s="104"/>
      <c r="X7" s="104"/>
      <c r="Y7" s="104"/>
    </row>
    <row r="8" spans="1:25" ht="15.75" customHeight="1" thickBot="1" x14ac:dyDescent="0.3">
      <c r="A8" s="157"/>
      <c r="B8" s="157"/>
      <c r="C8" s="157"/>
      <c r="D8" s="157"/>
      <c r="E8" s="157"/>
      <c r="F8" s="156"/>
      <c r="G8" s="104"/>
      <c r="H8" s="104"/>
      <c r="I8" s="104"/>
      <c r="J8" s="104"/>
      <c r="K8" s="104"/>
      <c r="L8" s="104"/>
      <c r="M8" s="104"/>
      <c r="N8" s="104"/>
      <c r="O8" s="104"/>
      <c r="P8" s="104"/>
      <c r="Q8" s="104"/>
      <c r="R8" s="104"/>
      <c r="S8" s="104"/>
      <c r="T8" s="104"/>
      <c r="U8" s="104"/>
      <c r="V8" s="104"/>
      <c r="W8" s="104"/>
      <c r="X8" s="104"/>
      <c r="Y8" s="104"/>
    </row>
    <row r="9" spans="1:25" ht="15.75" customHeight="1" x14ac:dyDescent="0.25">
      <c r="A9" s="107"/>
      <c r="B9" s="107"/>
      <c r="C9" s="107"/>
      <c r="D9" s="107"/>
      <c r="E9" s="107"/>
      <c r="F9" s="107"/>
      <c r="G9" s="104"/>
      <c r="H9" s="104"/>
      <c r="I9" s="104"/>
      <c r="J9" s="104"/>
      <c r="K9" s="104"/>
      <c r="L9" s="104"/>
      <c r="M9" s="104"/>
      <c r="N9" s="104"/>
      <c r="O9" s="104"/>
      <c r="P9" s="104"/>
      <c r="Q9" s="104"/>
      <c r="R9" s="104"/>
      <c r="S9" s="104"/>
      <c r="T9" s="104"/>
      <c r="U9" s="104"/>
      <c r="V9" s="104"/>
      <c r="W9" s="104"/>
      <c r="X9" s="104"/>
      <c r="Y9" s="104"/>
    </row>
    <row r="10" spans="1:25" ht="16" thickBot="1" x14ac:dyDescent="0.4">
      <c r="A10" s="112" t="s">
        <v>355</v>
      </c>
      <c r="B10" s="104"/>
      <c r="C10" s="104"/>
      <c r="D10" s="104"/>
      <c r="E10" s="104"/>
      <c r="F10" s="104"/>
      <c r="G10" s="104"/>
      <c r="H10" s="104"/>
      <c r="I10" s="104"/>
      <c r="J10" s="104"/>
      <c r="K10" s="104"/>
      <c r="L10" s="104"/>
      <c r="M10" s="104"/>
      <c r="N10" s="104"/>
      <c r="O10" s="104"/>
      <c r="P10" s="104"/>
      <c r="Q10" s="104"/>
      <c r="R10" s="104"/>
      <c r="S10" s="104"/>
      <c r="T10" s="104"/>
      <c r="U10" s="104"/>
      <c r="V10" s="104"/>
      <c r="W10" s="104"/>
      <c r="X10" s="104"/>
      <c r="Y10" s="104"/>
    </row>
    <row r="11" spans="1:25" ht="13" thickBot="1" x14ac:dyDescent="0.3">
      <c r="A11" s="180" t="s">
        <v>360</v>
      </c>
      <c r="B11" s="149" t="s">
        <v>255</v>
      </c>
      <c r="C11" s="149" t="s">
        <v>10</v>
      </c>
      <c r="D11" s="149" t="s">
        <v>256</v>
      </c>
      <c r="E11" s="149" t="s">
        <v>257</v>
      </c>
      <c r="F11" s="149" t="s">
        <v>258</v>
      </c>
      <c r="G11" s="149" t="s">
        <v>259</v>
      </c>
      <c r="H11" s="149" t="s">
        <v>260</v>
      </c>
      <c r="I11" s="149" t="s">
        <v>261</v>
      </c>
      <c r="J11" s="148" t="s">
        <v>29</v>
      </c>
      <c r="K11" s="104"/>
      <c r="L11" s="104"/>
      <c r="M11" s="104"/>
      <c r="N11" s="104"/>
      <c r="O11" s="104"/>
      <c r="P11" s="104"/>
      <c r="Q11" s="104"/>
      <c r="R11" s="104"/>
      <c r="S11" s="104"/>
      <c r="T11" s="104"/>
      <c r="U11" s="104"/>
      <c r="V11" s="104"/>
      <c r="W11" s="104"/>
      <c r="X11" s="104"/>
      <c r="Y11" s="104"/>
    </row>
    <row r="12" spans="1:25" ht="15.75" customHeight="1" x14ac:dyDescent="0.25">
      <c r="B12" s="163"/>
      <c r="C12" s="163"/>
      <c r="D12" s="163"/>
      <c r="E12" s="163"/>
      <c r="F12" s="163"/>
      <c r="G12" s="163"/>
      <c r="H12" s="163"/>
      <c r="I12" s="163"/>
      <c r="J12" s="162"/>
      <c r="K12" s="104"/>
      <c r="L12" s="104"/>
      <c r="M12" s="104"/>
      <c r="N12" s="104"/>
      <c r="O12" s="104"/>
      <c r="P12" s="104"/>
      <c r="Q12" s="104"/>
      <c r="R12" s="104"/>
      <c r="S12" s="104"/>
      <c r="T12" s="104"/>
      <c r="U12" s="104"/>
      <c r="V12" s="104"/>
      <c r="W12" s="104"/>
      <c r="X12" s="104"/>
      <c r="Y12" s="104"/>
    </row>
    <row r="13" spans="1:25" ht="15.75" customHeight="1" thickBot="1" x14ac:dyDescent="0.3">
      <c r="A13" s="157"/>
      <c r="B13" s="157"/>
      <c r="C13" s="157"/>
      <c r="D13" s="157"/>
      <c r="E13" s="157"/>
      <c r="F13" s="157"/>
      <c r="G13" s="157"/>
      <c r="H13" s="157"/>
      <c r="I13" s="157"/>
      <c r="J13" s="156"/>
      <c r="K13" s="104"/>
      <c r="L13" s="104"/>
      <c r="M13" s="104"/>
      <c r="N13" s="104"/>
      <c r="O13" s="104"/>
      <c r="P13" s="104"/>
      <c r="Q13" s="104"/>
      <c r="R13" s="104"/>
      <c r="S13" s="104"/>
      <c r="T13" s="104"/>
      <c r="U13" s="104"/>
      <c r="V13" s="104"/>
      <c r="W13" s="104"/>
      <c r="X13" s="104"/>
      <c r="Y13" s="104"/>
    </row>
    <row r="14" spans="1:25" ht="15.75" customHeight="1" x14ac:dyDescent="0.25">
      <c r="A14" s="107"/>
      <c r="B14" s="107"/>
      <c r="C14" s="107"/>
      <c r="D14" s="107"/>
      <c r="E14" s="107"/>
      <c r="F14" s="107"/>
      <c r="G14" s="107"/>
      <c r="H14" s="107"/>
      <c r="I14" s="107"/>
      <c r="J14" s="104"/>
      <c r="K14" s="104"/>
      <c r="L14" s="104"/>
      <c r="M14" s="104"/>
      <c r="N14" s="104"/>
      <c r="O14" s="104"/>
      <c r="P14" s="104"/>
      <c r="Q14" s="104"/>
      <c r="R14" s="104"/>
      <c r="S14" s="104"/>
      <c r="T14" s="104"/>
      <c r="U14" s="104"/>
      <c r="V14" s="104"/>
      <c r="W14" s="104"/>
      <c r="X14" s="104"/>
      <c r="Y14" s="104"/>
    </row>
    <row r="15" spans="1:25" ht="16" thickBot="1" x14ac:dyDescent="0.4">
      <c r="A15" s="112" t="s">
        <v>262</v>
      </c>
      <c r="B15" s="104"/>
      <c r="C15" s="104"/>
      <c r="D15" s="104"/>
      <c r="E15" s="104"/>
      <c r="F15" s="104"/>
      <c r="G15" s="104"/>
      <c r="H15" s="104"/>
      <c r="I15" s="104"/>
      <c r="J15" s="105"/>
      <c r="K15" s="105"/>
      <c r="L15" s="105"/>
      <c r="M15" s="105"/>
      <c r="N15" s="104"/>
      <c r="O15" s="105"/>
      <c r="P15" s="105"/>
      <c r="Q15" s="105"/>
      <c r="R15" s="104"/>
      <c r="S15" s="104"/>
      <c r="T15" s="104"/>
      <c r="U15" s="104"/>
      <c r="V15" s="104"/>
      <c r="W15" s="104"/>
      <c r="X15" s="104"/>
      <c r="Y15" s="104"/>
    </row>
    <row r="16" spans="1:25" ht="13" thickBot="1" x14ac:dyDescent="0.3">
      <c r="A16" s="180" t="s">
        <v>360</v>
      </c>
      <c r="B16" s="180" t="s">
        <v>355</v>
      </c>
      <c r="C16" s="149" t="s">
        <v>10</v>
      </c>
      <c r="D16" s="149" t="s">
        <v>200</v>
      </c>
      <c r="E16" s="149" t="s">
        <v>223</v>
      </c>
      <c r="F16" s="149" t="s">
        <v>82</v>
      </c>
      <c r="G16" s="149" t="s">
        <v>224</v>
      </c>
      <c r="H16" s="149" t="s">
        <v>45</v>
      </c>
      <c r="I16" s="149" t="s">
        <v>263</v>
      </c>
      <c r="J16" s="149" t="s">
        <v>56</v>
      </c>
      <c r="K16" s="149" t="s">
        <v>257</v>
      </c>
      <c r="L16" s="149" t="s">
        <v>264</v>
      </c>
      <c r="M16" s="149" t="s">
        <v>265</v>
      </c>
      <c r="N16" s="149" t="s">
        <v>266</v>
      </c>
      <c r="O16" s="149" t="s">
        <v>267</v>
      </c>
      <c r="P16" s="149" t="s">
        <v>268</v>
      </c>
      <c r="Q16" s="149" t="s">
        <v>258</v>
      </c>
      <c r="R16" s="149" t="s">
        <v>269</v>
      </c>
      <c r="S16" s="149" t="s">
        <v>270</v>
      </c>
      <c r="T16" s="149" t="s">
        <v>271</v>
      </c>
      <c r="U16" s="149" t="s">
        <v>272</v>
      </c>
      <c r="V16" s="149" t="s">
        <v>261</v>
      </c>
      <c r="W16" s="149" t="s">
        <v>75</v>
      </c>
      <c r="X16" s="148" t="s">
        <v>29</v>
      </c>
      <c r="Y16" s="104"/>
    </row>
    <row r="17" spans="1:25" ht="14.5" x14ac:dyDescent="0.35">
      <c r="A17" s="249" t="s">
        <v>548</v>
      </c>
      <c r="B17" s="249" t="s">
        <v>482</v>
      </c>
      <c r="C17" s="249" t="s">
        <v>457</v>
      </c>
      <c r="D17" s="249" t="s">
        <v>459</v>
      </c>
      <c r="E17" s="249">
        <v>30</v>
      </c>
      <c r="F17" s="249"/>
      <c r="G17" s="249"/>
      <c r="H17" s="249"/>
      <c r="I17" s="249"/>
      <c r="J17" s="249" t="s">
        <v>549</v>
      </c>
      <c r="K17" s="249" t="s">
        <v>457</v>
      </c>
      <c r="L17" s="249" t="s">
        <v>459</v>
      </c>
      <c r="M17" s="249">
        <v>30</v>
      </c>
      <c r="N17" s="249"/>
      <c r="O17" s="249"/>
      <c r="P17" s="249"/>
      <c r="Q17" s="249"/>
      <c r="R17" s="249"/>
      <c r="S17" s="249"/>
      <c r="T17" s="249"/>
      <c r="U17" s="249" t="s">
        <v>550</v>
      </c>
      <c r="V17" s="249" t="s">
        <v>551</v>
      </c>
      <c r="W17" s="163"/>
      <c r="X17" s="248" t="s">
        <v>666</v>
      </c>
      <c r="Y17" s="104"/>
    </row>
    <row r="18" spans="1:25" ht="15.75" customHeight="1" thickBot="1" x14ac:dyDescent="0.3">
      <c r="A18" s="157"/>
      <c r="B18" s="157"/>
      <c r="C18" s="157"/>
      <c r="D18" s="157"/>
      <c r="E18" s="157"/>
      <c r="F18" s="157"/>
      <c r="G18" s="157"/>
      <c r="H18" s="157"/>
      <c r="I18" s="157"/>
      <c r="J18" s="157"/>
      <c r="K18" s="157"/>
      <c r="L18" s="157"/>
      <c r="M18" s="157"/>
      <c r="N18" s="157"/>
      <c r="O18" s="157"/>
      <c r="P18" s="157"/>
      <c r="Q18" s="157"/>
      <c r="R18" s="157"/>
      <c r="S18" s="157"/>
      <c r="T18" s="157"/>
      <c r="U18" s="157"/>
      <c r="V18" s="157"/>
      <c r="W18" s="157"/>
      <c r="X18" s="156"/>
      <c r="Y18" s="104"/>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A0F34-054E-40C6-8BF2-64D515AAE6A7}">
  <sheetPr codeName="Sheet30">
    <pageSetUpPr fitToPage="1"/>
  </sheetPr>
  <dimension ref="A1:G10"/>
  <sheetViews>
    <sheetView zoomScale="85" workbookViewId="0">
      <selection activeCell="A3" sqref="A3"/>
    </sheetView>
  </sheetViews>
  <sheetFormatPr defaultRowHeight="12.5" x14ac:dyDescent="0.25"/>
  <cols>
    <col min="1" max="1" width="37.36328125" style="133" bestFit="1" customWidth="1"/>
    <col min="2" max="2" width="29.54296875" style="106" bestFit="1" customWidth="1"/>
    <col min="3" max="3" width="52.36328125" style="106" bestFit="1" customWidth="1"/>
    <col min="4" max="4" width="29.54296875" style="106" bestFit="1" customWidth="1"/>
    <col min="5" max="5" width="10" style="106" bestFit="1" customWidth="1"/>
    <col min="6" max="6" width="54.7265625" style="106" bestFit="1" customWidth="1"/>
    <col min="7" max="7" width="18.08984375" style="106" bestFit="1" customWidth="1"/>
    <col min="8" max="8" width="12.08984375" style="106" bestFit="1" customWidth="1"/>
    <col min="9" max="9" width="18.54296875" style="106" bestFit="1" customWidth="1"/>
    <col min="10" max="10" width="11.54296875" style="106" bestFit="1" customWidth="1"/>
    <col min="11" max="11" width="22.36328125" style="106" bestFit="1" customWidth="1"/>
    <col min="12" max="12" width="7.453125" style="106" bestFit="1" customWidth="1"/>
    <col min="13" max="13" width="15.6328125" style="106" bestFit="1" customWidth="1"/>
    <col min="14" max="14" width="11" style="106" bestFit="1" customWidth="1"/>
    <col min="15" max="15" width="14.453125" style="106" bestFit="1" customWidth="1"/>
    <col min="16" max="16" width="11.453125" style="106" bestFit="1" customWidth="1"/>
    <col min="17" max="17" width="9.54296875" style="106" bestFit="1" customWidth="1"/>
    <col min="18" max="18" width="16.54296875" style="106" bestFit="1" customWidth="1"/>
    <col min="19" max="19" width="14.6328125" style="106" bestFit="1" customWidth="1"/>
    <col min="20" max="20" width="10" style="106" bestFit="1" customWidth="1"/>
    <col min="21" max="21" width="9.6328125" style="106" bestFit="1" customWidth="1"/>
    <col min="22" max="22" width="8.453125" style="106" bestFit="1" customWidth="1"/>
    <col min="23" max="23" width="10.6328125" style="106" bestFit="1" customWidth="1"/>
    <col min="24" max="24" width="5.08984375" style="106" bestFit="1" customWidth="1"/>
    <col min="25" max="16384" width="8.7265625" style="106"/>
  </cols>
  <sheetData>
    <row r="1" spans="1:7" ht="18" x14ac:dyDescent="0.4">
      <c r="A1" s="189" t="s">
        <v>676</v>
      </c>
      <c r="B1" s="104"/>
      <c r="C1" s="104"/>
      <c r="D1" s="104"/>
      <c r="E1" s="104"/>
      <c r="F1" s="104"/>
      <c r="G1" s="104"/>
    </row>
    <row r="2" spans="1:7" x14ac:dyDescent="0.25">
      <c r="A2" s="104"/>
      <c r="B2" s="104"/>
      <c r="C2" s="104"/>
      <c r="D2" s="104"/>
      <c r="E2" s="104"/>
      <c r="F2" s="104"/>
      <c r="G2" s="104"/>
    </row>
    <row r="3" spans="1:7" x14ac:dyDescent="0.25">
      <c r="A3" s="190" t="s">
        <v>63</v>
      </c>
      <c r="B3" s="190" t="s">
        <v>64</v>
      </c>
      <c r="C3" s="104"/>
      <c r="D3" s="104"/>
      <c r="E3" s="104"/>
      <c r="F3" s="104"/>
      <c r="G3" s="104"/>
    </row>
    <row r="4" spans="1:7" x14ac:dyDescent="0.25">
      <c r="A4" s="191"/>
      <c r="B4" s="191"/>
      <c r="C4" s="104"/>
      <c r="D4" s="104"/>
      <c r="E4" s="104"/>
      <c r="F4" s="104"/>
      <c r="G4" s="104"/>
    </row>
    <row r="5" spans="1:7" x14ac:dyDescent="0.25">
      <c r="A5" s="104"/>
      <c r="B5" s="104"/>
      <c r="C5" s="104"/>
      <c r="D5" s="104"/>
      <c r="E5" s="104"/>
      <c r="F5" s="104"/>
      <c r="G5" s="104"/>
    </row>
    <row r="6" spans="1:7" ht="16" thickBot="1" x14ac:dyDescent="0.4">
      <c r="A6" s="112" t="s">
        <v>677</v>
      </c>
      <c r="B6" s="104"/>
      <c r="C6" s="104"/>
      <c r="D6" s="104"/>
      <c r="E6" s="104"/>
      <c r="F6" s="104"/>
      <c r="G6" s="104"/>
    </row>
    <row r="7" spans="1:7" ht="13.5" thickBot="1" x14ac:dyDescent="0.35">
      <c r="A7" s="334" t="s">
        <v>246</v>
      </c>
      <c r="B7" s="149" t="s">
        <v>10</v>
      </c>
      <c r="C7" s="149" t="s">
        <v>678</v>
      </c>
      <c r="D7" s="335" t="s">
        <v>679</v>
      </c>
      <c r="E7" s="336" t="s">
        <v>75</v>
      </c>
      <c r="F7" s="336" t="s">
        <v>29</v>
      </c>
      <c r="G7" s="104"/>
    </row>
    <row r="8" spans="1:7" ht="15.75" customHeight="1" x14ac:dyDescent="0.25">
      <c r="A8" s="337" t="s">
        <v>680</v>
      </c>
      <c r="B8" s="339" t="s">
        <v>629</v>
      </c>
      <c r="C8" s="339" t="s">
        <v>630</v>
      </c>
      <c r="D8" s="339" t="s">
        <v>629</v>
      </c>
      <c r="E8" s="337"/>
      <c r="F8" s="339" t="s">
        <v>681</v>
      </c>
      <c r="G8" s="104"/>
    </row>
    <row r="9" spans="1:7" ht="15.75" customHeight="1" x14ac:dyDescent="0.25">
      <c r="A9" s="337" t="s">
        <v>680</v>
      </c>
      <c r="B9" s="341" t="s">
        <v>631</v>
      </c>
      <c r="C9" s="341" t="s">
        <v>632</v>
      </c>
      <c r="D9" s="341" t="s">
        <v>631</v>
      </c>
      <c r="E9" s="340"/>
      <c r="F9" s="339" t="s">
        <v>681</v>
      </c>
      <c r="G9" s="104"/>
    </row>
    <row r="10" spans="1:7" ht="15.75" customHeight="1" thickBot="1" x14ac:dyDescent="0.3">
      <c r="A10" s="338"/>
      <c r="B10" s="338"/>
      <c r="C10" s="338"/>
      <c r="D10" s="338"/>
      <c r="E10" s="338"/>
      <c r="F10" s="338"/>
      <c r="G10" s="104"/>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08DBA-C3FA-4EB2-9AE7-712413B5F418}">
  <sheetPr codeName="Sheet10">
    <outlinePr summaryBelow="0"/>
  </sheetPr>
  <dimension ref="A1:AF30"/>
  <sheetViews>
    <sheetView topLeftCell="A2" zoomScale="85" workbookViewId="0">
      <selection activeCell="A2" sqref="A2"/>
    </sheetView>
  </sheetViews>
  <sheetFormatPr defaultColWidth="9.08984375" defaultRowHeight="12.5" outlineLevelRow="1" x14ac:dyDescent="0.25"/>
  <cols>
    <col min="1" max="1" width="51.81640625" style="1" bestFit="1" customWidth="1"/>
    <col min="2" max="2" width="44.90625" style="1" bestFit="1" customWidth="1"/>
    <col min="3" max="3" width="30.7265625" style="1" bestFit="1" customWidth="1"/>
    <col min="4" max="4" width="58.08984375" style="1" bestFit="1" customWidth="1"/>
    <col min="5" max="5" width="47.90625" style="1" bestFit="1" customWidth="1"/>
    <col min="6" max="6" width="58.08984375" style="1" bestFit="1" customWidth="1"/>
    <col min="7" max="7" width="25.90625" style="1" bestFit="1" customWidth="1"/>
    <col min="8" max="9" width="25.90625" style="1" customWidth="1"/>
    <col min="10" max="10" width="17" style="1" bestFit="1" customWidth="1"/>
    <col min="11" max="11" width="11.54296875" style="1" bestFit="1" customWidth="1"/>
    <col min="12" max="12" width="12.453125" style="1" bestFit="1" customWidth="1"/>
    <col min="13" max="15" width="11.453125" style="1" bestFit="1" customWidth="1"/>
    <col min="16" max="16" width="12.6328125" style="1" bestFit="1" customWidth="1"/>
    <col min="17" max="17" width="12.453125" style="1" bestFit="1" customWidth="1"/>
    <col min="18" max="18" width="11.453125" style="1" bestFit="1" customWidth="1"/>
    <col min="19" max="20" width="12.453125" style="1" bestFit="1" customWidth="1"/>
    <col min="21" max="22" width="11.453125" style="1" bestFit="1" customWidth="1"/>
    <col min="23" max="23" width="11.54296875" style="1" bestFit="1" customWidth="1"/>
    <col min="24" max="24" width="10.36328125" style="1" customWidth="1"/>
    <col min="25" max="25" width="11.54296875" style="1" bestFit="1" customWidth="1"/>
    <col min="26" max="27" width="9.08984375" style="1"/>
    <col min="28" max="28" width="9.90625" style="1" customWidth="1"/>
    <col min="29" max="29" width="10" style="1" customWidth="1"/>
    <col min="30" max="30" width="11" style="1" customWidth="1"/>
    <col min="31" max="31" width="12.453125" style="1" bestFit="1" customWidth="1"/>
    <col min="32" max="32" width="9.90625" style="1" customWidth="1"/>
    <col min="33" max="33" width="8.6328125" style="1" customWidth="1"/>
    <col min="34" max="34" width="11.08984375" style="1" customWidth="1"/>
    <col min="35" max="16384" width="9.08984375" style="1"/>
  </cols>
  <sheetData>
    <row r="1" spans="1:32" ht="14.5" hidden="1" outlineLevel="1" x14ac:dyDescent="0.25">
      <c r="A1" s="35"/>
      <c r="B1" s="167"/>
      <c r="C1" s="168"/>
      <c r="D1" s="168"/>
      <c r="E1" s="168"/>
      <c r="F1" s="168"/>
      <c r="G1" s="168"/>
      <c r="H1" s="168"/>
      <c r="I1" s="168"/>
      <c r="J1" s="168"/>
      <c r="K1" s="168"/>
      <c r="L1" s="168"/>
      <c r="M1" s="168"/>
      <c r="N1" s="169"/>
      <c r="O1" s="168"/>
      <c r="P1" s="169"/>
      <c r="Q1" s="169"/>
      <c r="R1" s="168"/>
      <c r="S1" s="168"/>
      <c r="T1" s="168"/>
      <c r="U1" s="168"/>
    </row>
    <row r="2" spans="1:32" ht="18" outlineLevel="1" x14ac:dyDescent="0.4">
      <c r="A2" s="42" t="s">
        <v>194</v>
      </c>
      <c r="B2" s="43"/>
      <c r="C2" s="43"/>
      <c r="D2" s="43"/>
      <c r="E2" s="43"/>
      <c r="F2" s="43"/>
      <c r="G2" s="43"/>
      <c r="H2" s="43"/>
      <c r="I2" s="43"/>
      <c r="J2" s="43"/>
      <c r="K2" s="43"/>
      <c r="L2" s="43"/>
      <c r="M2" s="43"/>
      <c r="N2" s="42"/>
      <c r="O2" s="43"/>
      <c r="P2" s="43"/>
      <c r="Q2" s="43"/>
      <c r="R2" s="43"/>
      <c r="S2" s="43"/>
      <c r="T2" s="43"/>
      <c r="U2" s="43"/>
      <c r="V2" s="43"/>
      <c r="W2" s="43"/>
      <c r="X2" s="43"/>
      <c r="Y2" s="43"/>
      <c r="Z2" s="43"/>
      <c r="AA2" s="43"/>
      <c r="AB2" s="43"/>
      <c r="AC2" s="43"/>
      <c r="AD2" s="43"/>
      <c r="AE2" s="43"/>
      <c r="AF2" s="43"/>
    </row>
    <row r="3" spans="1:32" ht="29" x14ac:dyDescent="0.25">
      <c r="A3" s="170" t="s">
        <v>529</v>
      </c>
      <c r="B3" s="170" t="s">
        <v>218</v>
      </c>
      <c r="C3" s="170" t="s">
        <v>305</v>
      </c>
      <c r="D3" s="171" t="s">
        <v>530</v>
      </c>
      <c r="E3" s="171" t="s">
        <v>193</v>
      </c>
      <c r="F3" s="172" t="s">
        <v>185</v>
      </c>
      <c r="G3" s="172" t="s">
        <v>292</v>
      </c>
      <c r="H3" s="172" t="s">
        <v>276</v>
      </c>
      <c r="I3" s="172" t="s">
        <v>293</v>
      </c>
      <c r="J3" s="172" t="s">
        <v>294</v>
      </c>
      <c r="K3" s="172" t="s">
        <v>186</v>
      </c>
      <c r="L3" s="172" t="s">
        <v>187</v>
      </c>
      <c r="M3" s="173" t="s">
        <v>298</v>
      </c>
      <c r="N3" s="173" t="s">
        <v>299</v>
      </c>
      <c r="O3" s="173" t="s">
        <v>300</v>
      </c>
      <c r="P3" s="173" t="s">
        <v>301</v>
      </c>
      <c r="Q3" s="173" t="s">
        <v>302</v>
      </c>
      <c r="R3" s="173" t="s">
        <v>303</v>
      </c>
      <c r="S3" s="173" t="s">
        <v>304</v>
      </c>
      <c r="T3" s="174" t="s">
        <v>29</v>
      </c>
      <c r="U3" s="175" t="s">
        <v>296</v>
      </c>
      <c r="V3" s="175" t="s">
        <v>297</v>
      </c>
    </row>
    <row r="4" spans="1:32" ht="14.5" x14ac:dyDescent="0.25">
      <c r="A4" s="342" t="s">
        <v>443</v>
      </c>
      <c r="B4" s="342" t="s">
        <v>424</v>
      </c>
      <c r="C4" s="342" t="s">
        <v>424</v>
      </c>
      <c r="D4" s="343" t="s">
        <v>424</v>
      </c>
      <c r="E4" s="176"/>
      <c r="F4" s="176"/>
      <c r="G4" s="176"/>
      <c r="H4" s="176"/>
      <c r="I4" s="176"/>
      <c r="J4" s="176"/>
      <c r="K4" s="176"/>
      <c r="L4" s="176"/>
      <c r="M4" s="176"/>
      <c r="N4" s="176"/>
      <c r="O4" s="176"/>
      <c r="P4" s="177"/>
      <c r="Q4" s="177"/>
      <c r="R4" s="177"/>
      <c r="S4" s="177"/>
      <c r="T4" s="177"/>
      <c r="U4" s="177"/>
      <c r="V4" s="177"/>
      <c r="W4" s="177"/>
      <c r="X4" s="177"/>
      <c r="Y4" s="177"/>
      <c r="Z4" s="177"/>
      <c r="AA4" s="177"/>
      <c r="AB4" s="177"/>
      <c r="AC4" s="177"/>
      <c r="AD4" s="176"/>
      <c r="AE4" s="177"/>
      <c r="AF4" s="177"/>
    </row>
    <row r="5" spans="1:32" s="41" customForma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row>
    <row r="6" spans="1:32" ht="29" x14ac:dyDescent="0.25">
      <c r="A6" s="170" t="s">
        <v>188</v>
      </c>
      <c r="B6" s="170" t="s">
        <v>189</v>
      </c>
      <c r="C6" s="170" t="s">
        <v>190</v>
      </c>
      <c r="D6" s="171" t="s">
        <v>191</v>
      </c>
      <c r="E6" s="171" t="s">
        <v>197</v>
      </c>
      <c r="F6" s="171" t="s">
        <v>218</v>
      </c>
      <c r="G6" s="171" t="s">
        <v>305</v>
      </c>
      <c r="H6" s="171" t="s">
        <v>192</v>
      </c>
      <c r="I6" s="171" t="s">
        <v>306</v>
      </c>
      <c r="J6" s="171" t="s">
        <v>193</v>
      </c>
      <c r="K6" s="171" t="s">
        <v>307</v>
      </c>
      <c r="L6" s="171" t="s">
        <v>308</v>
      </c>
      <c r="M6" s="171" t="s">
        <v>309</v>
      </c>
      <c r="N6" s="171" t="s">
        <v>306</v>
      </c>
      <c r="O6" s="171" t="s">
        <v>1</v>
      </c>
      <c r="P6" s="172" t="s">
        <v>185</v>
      </c>
      <c r="Q6" s="172" t="s">
        <v>292</v>
      </c>
      <c r="R6" s="172" t="s">
        <v>276</v>
      </c>
      <c r="S6" s="172" t="s">
        <v>293</v>
      </c>
      <c r="T6" s="172" t="s">
        <v>294</v>
      </c>
      <c r="U6" s="172" t="s">
        <v>186</v>
      </c>
      <c r="V6" s="172" t="s">
        <v>187</v>
      </c>
      <c r="W6" s="173" t="s">
        <v>298</v>
      </c>
      <c r="X6" s="173" t="s">
        <v>299</v>
      </c>
      <c r="Y6" s="173" t="s">
        <v>300</v>
      </c>
      <c r="Z6" s="173" t="s">
        <v>301</v>
      </c>
      <c r="AA6" s="173" t="s">
        <v>302</v>
      </c>
      <c r="AB6" s="173" t="s">
        <v>303</v>
      </c>
      <c r="AC6" s="173" t="s">
        <v>304</v>
      </c>
      <c r="AD6" s="174" t="s">
        <v>29</v>
      </c>
      <c r="AE6" s="175" t="s">
        <v>296</v>
      </c>
      <c r="AF6" s="175" t="s">
        <v>297</v>
      </c>
    </row>
    <row r="7" spans="1:32" x14ac:dyDescent="0.25">
      <c r="A7" s="81" t="s">
        <v>443</v>
      </c>
      <c r="B7" s="81" t="s">
        <v>531</v>
      </c>
      <c r="C7" s="81" t="s">
        <v>531</v>
      </c>
      <c r="D7" s="81"/>
      <c r="E7" s="81" t="s">
        <v>424</v>
      </c>
      <c r="F7" s="81" t="s">
        <v>424</v>
      </c>
      <c r="G7" s="81" t="s">
        <v>424</v>
      </c>
      <c r="H7" s="81" t="s">
        <v>532</v>
      </c>
      <c r="I7" s="81"/>
      <c r="J7" s="81" t="s">
        <v>319</v>
      </c>
      <c r="K7" s="35"/>
      <c r="L7" s="35"/>
      <c r="M7" s="35"/>
      <c r="N7" s="35"/>
      <c r="O7" s="35"/>
      <c r="P7" s="35"/>
      <c r="Q7" s="35"/>
      <c r="R7" s="35"/>
      <c r="S7" s="35"/>
      <c r="T7" s="35"/>
      <c r="U7" s="35"/>
      <c r="V7" s="35"/>
      <c r="W7" s="35"/>
      <c r="X7" s="35"/>
      <c r="Y7" s="35"/>
      <c r="Z7" s="35"/>
      <c r="AA7" s="35"/>
      <c r="AB7" s="35"/>
      <c r="AC7" s="35"/>
      <c r="AD7" s="35"/>
      <c r="AE7" s="35"/>
      <c r="AF7" s="35"/>
    </row>
    <row r="8" spans="1:32" x14ac:dyDescent="0.25">
      <c r="A8" s="81" t="s">
        <v>443</v>
      </c>
      <c r="B8" s="81" t="s">
        <v>533</v>
      </c>
      <c r="C8" s="81" t="s">
        <v>533</v>
      </c>
      <c r="D8" s="81"/>
      <c r="E8" s="81" t="s">
        <v>424</v>
      </c>
      <c r="F8" s="81" t="s">
        <v>424</v>
      </c>
      <c r="G8" s="81" t="s">
        <v>424</v>
      </c>
      <c r="H8" s="81" t="s">
        <v>532</v>
      </c>
      <c r="I8" s="81"/>
      <c r="J8" s="81" t="s">
        <v>319</v>
      </c>
      <c r="K8" s="35"/>
      <c r="L8" s="35"/>
      <c r="M8" s="35"/>
      <c r="N8" s="35"/>
      <c r="O8" s="35"/>
      <c r="P8" s="35"/>
      <c r="Q8" s="35"/>
      <c r="R8" s="35"/>
      <c r="S8" s="35"/>
      <c r="T8" s="35"/>
      <c r="U8" s="35"/>
      <c r="V8" s="35"/>
      <c r="W8" s="35"/>
      <c r="X8" s="35"/>
      <c r="Y8" s="35"/>
      <c r="Z8" s="35"/>
      <c r="AA8" s="35"/>
      <c r="AB8" s="35"/>
      <c r="AC8" s="35"/>
      <c r="AD8" s="35"/>
      <c r="AE8" s="35"/>
      <c r="AF8" s="35"/>
    </row>
    <row r="9" spans="1:32" x14ac:dyDescent="0.25">
      <c r="A9" s="81" t="s">
        <v>443</v>
      </c>
      <c r="B9" s="81" t="s">
        <v>531</v>
      </c>
      <c r="C9" s="81" t="s">
        <v>534</v>
      </c>
      <c r="D9" s="81"/>
      <c r="E9" s="81" t="s">
        <v>424</v>
      </c>
      <c r="F9" s="81" t="s">
        <v>424</v>
      </c>
      <c r="G9" s="81" t="s">
        <v>424</v>
      </c>
      <c r="H9" s="81" t="s">
        <v>535</v>
      </c>
      <c r="I9" s="81"/>
      <c r="J9" s="81" t="s">
        <v>284</v>
      </c>
      <c r="K9" s="35"/>
      <c r="L9" s="35"/>
      <c r="M9" s="35"/>
      <c r="N9" s="35"/>
      <c r="O9" s="35"/>
      <c r="P9" s="35"/>
      <c r="Q9" s="35"/>
      <c r="R9" s="35"/>
      <c r="S9" s="35"/>
      <c r="T9" s="35"/>
      <c r="U9" s="35"/>
      <c r="V9" s="35"/>
      <c r="W9" s="35"/>
      <c r="X9" s="35"/>
      <c r="Y9" s="35"/>
      <c r="Z9" s="35"/>
      <c r="AA9" s="35"/>
      <c r="AB9" s="35"/>
      <c r="AC9" s="35"/>
      <c r="AD9" s="35"/>
      <c r="AE9" s="35"/>
      <c r="AF9" s="35"/>
    </row>
    <row r="10" spans="1:32" customFormat="1" outlineLevel="1" x14ac:dyDescent="0.25">
      <c r="A10" s="81" t="s">
        <v>443</v>
      </c>
      <c r="B10" s="81" t="s">
        <v>531</v>
      </c>
      <c r="C10" s="81" t="s">
        <v>536</v>
      </c>
      <c r="D10" s="81"/>
      <c r="E10" s="81" t="s">
        <v>424</v>
      </c>
      <c r="F10" s="81" t="s">
        <v>424</v>
      </c>
      <c r="G10" s="81" t="s">
        <v>424</v>
      </c>
      <c r="H10" s="81" t="s">
        <v>537</v>
      </c>
      <c r="I10" s="81"/>
      <c r="J10" s="81" t="s">
        <v>285</v>
      </c>
      <c r="K10" s="35"/>
      <c r="L10" s="35"/>
      <c r="M10" s="35"/>
      <c r="N10" s="35"/>
      <c r="O10" s="35"/>
      <c r="P10" s="35"/>
      <c r="Q10" s="35"/>
      <c r="R10" s="35"/>
      <c r="S10" s="35"/>
      <c r="T10" s="35"/>
      <c r="U10" s="35"/>
      <c r="V10" s="35"/>
      <c r="W10" s="35"/>
      <c r="X10" s="35"/>
      <c r="Y10" s="35"/>
      <c r="Z10" s="35"/>
      <c r="AA10" s="35"/>
      <c r="AB10" s="35"/>
      <c r="AC10" s="35"/>
      <c r="AD10" s="35"/>
      <c r="AE10" s="35"/>
      <c r="AF10" s="35"/>
    </row>
    <row r="11" spans="1:32" ht="14" outlineLevel="1" x14ac:dyDescent="0.3">
      <c r="A11" s="81" t="s">
        <v>443</v>
      </c>
      <c r="B11" s="81" t="s">
        <v>531</v>
      </c>
      <c r="C11" s="344" t="s">
        <v>538</v>
      </c>
      <c r="D11" s="344"/>
      <c r="E11" s="81" t="s">
        <v>424</v>
      </c>
      <c r="F11" s="81" t="s">
        <v>424</v>
      </c>
      <c r="G11" s="81" t="s">
        <v>424</v>
      </c>
      <c r="H11" s="81" t="s">
        <v>539</v>
      </c>
      <c r="I11" s="81"/>
      <c r="J11" s="81" t="s">
        <v>539</v>
      </c>
      <c r="K11" s="29"/>
      <c r="L11" s="29"/>
      <c r="M11" s="35"/>
      <c r="N11" s="35"/>
      <c r="O11" s="35"/>
      <c r="P11" s="35"/>
      <c r="Q11" s="35"/>
      <c r="R11" s="35"/>
      <c r="S11" s="35"/>
      <c r="T11" s="35"/>
      <c r="U11" s="35"/>
      <c r="V11" s="35"/>
      <c r="W11" s="35"/>
      <c r="X11" s="35"/>
      <c r="Y11" s="35"/>
      <c r="Z11" s="35"/>
      <c r="AA11" s="35"/>
      <c r="AB11" s="35"/>
      <c r="AC11" s="35"/>
      <c r="AD11" s="35"/>
      <c r="AE11" s="35"/>
      <c r="AF11" s="35"/>
    </row>
    <row r="12" spans="1:32" ht="14" outlineLevel="1" x14ac:dyDescent="0.3">
      <c r="A12" s="29"/>
      <c r="B12" s="29"/>
      <c r="C12" s="29"/>
      <c r="D12" s="29"/>
      <c r="E12" s="29"/>
      <c r="F12" s="29"/>
      <c r="G12" s="29"/>
      <c r="H12" s="29"/>
      <c r="I12" s="29"/>
      <c r="J12" s="29"/>
      <c r="K12" s="29"/>
      <c r="L12" s="29"/>
      <c r="M12" s="35"/>
      <c r="N12" s="29"/>
      <c r="O12" s="29"/>
      <c r="P12" s="29"/>
      <c r="Q12" s="29"/>
      <c r="R12" s="29"/>
      <c r="S12" s="29"/>
      <c r="T12" s="29"/>
      <c r="U12" s="29"/>
      <c r="V12" s="29"/>
      <c r="W12" s="29"/>
      <c r="X12" s="29"/>
      <c r="Y12" s="29"/>
      <c r="Z12" s="29"/>
      <c r="AA12" s="29"/>
      <c r="AB12" s="29"/>
      <c r="AC12" s="29"/>
      <c r="AD12" s="29"/>
      <c r="AE12" s="29"/>
      <c r="AF12" s="29"/>
    </row>
    <row r="13" spans="1:32" ht="14" outlineLevel="1" x14ac:dyDescent="0.3">
      <c r="A13" s="29"/>
      <c r="B13" s="29"/>
      <c r="C13" s="29"/>
      <c r="D13" s="29"/>
      <c r="E13" s="29"/>
      <c r="F13" s="29"/>
      <c r="G13" s="29"/>
      <c r="H13" s="29"/>
      <c r="I13" s="29"/>
      <c r="J13" s="29"/>
      <c r="K13" s="29"/>
      <c r="L13" s="29"/>
      <c r="M13" s="35"/>
      <c r="N13" s="29"/>
      <c r="O13" s="29"/>
      <c r="P13" s="29"/>
      <c r="Q13" s="29"/>
      <c r="R13" s="29"/>
      <c r="S13" s="29"/>
      <c r="T13" s="29"/>
      <c r="U13" s="29"/>
      <c r="V13" s="29"/>
      <c r="W13" s="29"/>
      <c r="X13" s="29"/>
      <c r="Y13" s="29"/>
      <c r="Z13" s="29"/>
      <c r="AA13" s="29"/>
      <c r="AB13" s="29"/>
      <c r="AC13" s="29"/>
      <c r="AD13" s="29"/>
      <c r="AE13" s="29"/>
      <c r="AF13" s="29"/>
    </row>
    <row r="14" spans="1:32" ht="14" outlineLevel="1" x14ac:dyDescent="0.3">
      <c r="A14" s="29"/>
      <c r="B14" s="29"/>
      <c r="C14" s="29"/>
      <c r="D14" s="29"/>
      <c r="E14" s="29"/>
      <c r="F14" s="29"/>
      <c r="G14" s="29"/>
      <c r="H14" s="29"/>
      <c r="I14" s="29"/>
      <c r="J14" s="29"/>
      <c r="K14" s="29"/>
      <c r="L14" s="29"/>
      <c r="M14" s="35"/>
      <c r="N14" s="29"/>
      <c r="O14" s="29"/>
      <c r="P14" s="29"/>
      <c r="Q14" s="29"/>
      <c r="R14" s="29"/>
      <c r="S14" s="29"/>
      <c r="T14" s="29"/>
      <c r="U14" s="29"/>
      <c r="V14" s="29"/>
      <c r="W14" s="29"/>
      <c r="X14" s="29"/>
      <c r="Y14" s="29"/>
      <c r="Z14" s="29"/>
      <c r="AA14" s="29"/>
      <c r="AB14" s="29"/>
      <c r="AC14" s="29"/>
      <c r="AD14" s="29"/>
      <c r="AE14" s="29"/>
      <c r="AF14" s="29"/>
    </row>
    <row r="15" spans="1:32" ht="14.5" outlineLevel="1" thickBot="1" x14ac:dyDescent="0.35">
      <c r="A15" s="30" t="s">
        <v>196</v>
      </c>
      <c r="B15" s="178"/>
      <c r="C15" s="178"/>
      <c r="D15" s="178"/>
      <c r="E15" s="178"/>
      <c r="F15" s="178"/>
      <c r="G15" s="178"/>
      <c r="H15" s="178"/>
      <c r="I15" s="178"/>
      <c r="J15" s="178"/>
      <c r="K15" s="178"/>
      <c r="L15" s="178"/>
      <c r="M15" s="35"/>
      <c r="N15" s="29"/>
      <c r="O15" s="29"/>
      <c r="P15" s="29"/>
      <c r="Q15" s="29"/>
      <c r="R15" s="29"/>
      <c r="S15" s="29"/>
      <c r="T15" s="29"/>
      <c r="U15" s="29"/>
      <c r="V15" s="29"/>
      <c r="W15" s="29"/>
      <c r="X15" s="29"/>
      <c r="Y15" s="29"/>
      <c r="Z15" s="29"/>
      <c r="AA15" s="29"/>
      <c r="AB15" s="29"/>
      <c r="AC15" s="29"/>
      <c r="AD15" s="29"/>
      <c r="AE15" s="29"/>
      <c r="AF15" s="29"/>
    </row>
    <row r="17" spans="1:10" ht="18" x14ac:dyDescent="0.4">
      <c r="A17" s="42" t="s">
        <v>552</v>
      </c>
      <c r="B17" s="42"/>
      <c r="C17" s="42"/>
      <c r="D17" s="42"/>
      <c r="E17" s="42"/>
      <c r="F17" s="42"/>
      <c r="G17" s="76"/>
      <c r="H17" s="76"/>
      <c r="I17" s="76"/>
      <c r="J17" s="76"/>
    </row>
    <row r="18" spans="1:10" ht="16" thickBot="1" x14ac:dyDescent="0.4">
      <c r="A18" s="88" t="s">
        <v>553</v>
      </c>
      <c r="B18" s="76"/>
      <c r="C18" s="76"/>
      <c r="D18" s="76"/>
      <c r="E18" s="76"/>
      <c r="F18" s="76"/>
      <c r="G18" s="76"/>
      <c r="H18" s="76"/>
      <c r="I18" s="76"/>
      <c r="J18" s="76"/>
    </row>
    <row r="19" spans="1:10" ht="13" thickBot="1" x14ac:dyDescent="0.3">
      <c r="A19" s="62" t="s">
        <v>10</v>
      </c>
      <c r="B19" s="61" t="s">
        <v>554</v>
      </c>
      <c r="C19" s="61" t="s">
        <v>555</v>
      </c>
      <c r="D19" s="32" t="s">
        <v>256</v>
      </c>
      <c r="E19" s="61" t="s">
        <v>556</v>
      </c>
      <c r="F19" s="61" t="s">
        <v>29</v>
      </c>
    </row>
    <row r="20" spans="1:10" ht="14.5" x14ac:dyDescent="0.35">
      <c r="A20" s="208" t="s">
        <v>557</v>
      </c>
      <c r="B20" s="345" t="s">
        <v>548</v>
      </c>
      <c r="C20" s="345" t="s">
        <v>548</v>
      </c>
      <c r="D20" s="184"/>
      <c r="E20" s="184"/>
      <c r="F20" s="248" t="s">
        <v>667</v>
      </c>
    </row>
    <row r="21" spans="1:10" ht="13" thickBot="1" x14ac:dyDescent="0.3">
      <c r="A21" s="90"/>
      <c r="B21" s="90"/>
      <c r="C21" s="90"/>
      <c r="D21" s="90"/>
      <c r="E21" s="90"/>
      <c r="F21" s="90"/>
    </row>
    <row r="23" spans="1:10" ht="16" thickBot="1" x14ac:dyDescent="0.4">
      <c r="A23" s="88" t="s">
        <v>558</v>
      </c>
      <c r="B23" s="76"/>
      <c r="C23" s="76"/>
      <c r="D23" s="76"/>
      <c r="E23" s="76"/>
      <c r="F23" s="76"/>
    </row>
    <row r="24" spans="1:10" ht="13" thickBot="1" x14ac:dyDescent="0.3">
      <c r="A24" s="62" t="s">
        <v>10</v>
      </c>
      <c r="B24" s="61" t="s">
        <v>560</v>
      </c>
      <c r="C24" s="61" t="s">
        <v>561</v>
      </c>
      <c r="D24" s="61" t="s">
        <v>562</v>
      </c>
      <c r="E24" s="61" t="s">
        <v>563</v>
      </c>
      <c r="F24" s="61" t="s">
        <v>29</v>
      </c>
    </row>
    <row r="25" spans="1:10" ht="14.5" x14ac:dyDescent="0.35">
      <c r="A25" s="208" t="s">
        <v>559</v>
      </c>
      <c r="B25" s="345" t="s">
        <v>482</v>
      </c>
      <c r="C25" s="345" t="s">
        <v>482</v>
      </c>
      <c r="D25" s="345"/>
      <c r="E25" s="345" t="s">
        <v>564</v>
      </c>
      <c r="F25" s="248" t="s">
        <v>667</v>
      </c>
    </row>
    <row r="26" spans="1:10" ht="13" thickBot="1" x14ac:dyDescent="0.3">
      <c r="A26" s="90"/>
      <c r="B26" s="90"/>
      <c r="C26" s="90"/>
      <c r="D26" s="90"/>
      <c r="E26" s="90"/>
      <c r="F26" s="90"/>
    </row>
    <row r="28" spans="1:10" ht="15.5" x14ac:dyDescent="0.35">
      <c r="A28" s="88" t="s">
        <v>565</v>
      </c>
    </row>
    <row r="29" spans="1:10" x14ac:dyDescent="0.25">
      <c r="A29" s="324" t="s">
        <v>567</v>
      </c>
      <c r="B29" s="347" t="s">
        <v>568</v>
      </c>
      <c r="C29" s="347" t="s">
        <v>569</v>
      </c>
      <c r="D29" s="348" t="s">
        <v>310</v>
      </c>
    </row>
    <row r="30" spans="1:10" ht="15" thickBot="1" x14ac:dyDescent="0.4">
      <c r="A30" s="349" t="s">
        <v>566</v>
      </c>
      <c r="B30" s="350"/>
      <c r="C30" s="350" t="s">
        <v>457</v>
      </c>
      <c r="D30" s="306" t="s">
        <v>667</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Title</vt:lpstr>
      <vt:lpstr>Version Control</vt:lpstr>
      <vt:lpstr>Overview</vt:lpstr>
      <vt:lpstr>DTD Review Crosscheck</vt:lpstr>
      <vt:lpstr>1. View &lt;View Name&gt;</vt:lpstr>
      <vt:lpstr>2. LA &lt;List Applet&gt;</vt:lpstr>
      <vt:lpstr>3. FA</vt:lpstr>
      <vt:lpstr>4. PA &lt;Pick Applet&gt;</vt:lpstr>
      <vt:lpstr>5. BO &lt;BO Name&gt;</vt:lpstr>
      <vt:lpstr>6. BC</vt:lpstr>
      <vt:lpstr>7. Link</vt:lpstr>
      <vt:lpstr>8. PickList &lt;Pick List Name&gt;</vt:lpstr>
      <vt:lpstr>9. Symbolic String</vt:lpstr>
      <vt:lpstr>10. Table Column Creation</vt:lpstr>
      <vt:lpstr>11.1 Script&lt;BC&gt;</vt:lpstr>
      <vt:lpstr>11.2 Script&lt;BC&gt;</vt:lpstr>
      <vt:lpstr>11.3 Script&lt;BC&gt;</vt:lpstr>
      <vt:lpstr>11.4 Script&lt;Applet&gt;</vt:lpstr>
      <vt:lpstr>11.5 Script&lt;Applet&gt;</vt:lpstr>
      <vt:lpstr>11.5. Script&lt;BS&gt;</vt:lpstr>
      <vt:lpstr>12. Integration Object</vt:lpstr>
      <vt:lpstr>13. Message Category</vt:lpstr>
      <vt:lpstr>14. PR Tasks</vt:lpstr>
      <vt:lpstr>'Version Control'!Print_Area</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Detailed FD - Accounts</dc:title>
  <dc:creator>Emmanuel Mauger</dc:creator>
  <cp:keywords/>
  <dc:description>Detailed FD - Accounts</dc:description>
  <cp:lastModifiedBy>Ramakrishnan Krishna, Nithin</cp:lastModifiedBy>
  <cp:lastPrinted>2005-08-03T13:52:44Z</cp:lastPrinted>
  <dcterms:created xsi:type="dcterms:W3CDTF">2005-02-15T13:55:00Z</dcterms:created>
  <dcterms:modified xsi:type="dcterms:W3CDTF">2021-10-23T19:55:59Z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Type">
    <vt:lpwstr>Technical</vt:lpwstr>
  </property>
  <property fmtid="{D5CDD505-2E9C-101B-9397-08002B2CF9AE}" pid="3" name="_AdHocReviewCycleID">
    <vt:i4>-2090330415</vt:i4>
  </property>
  <property fmtid="{D5CDD505-2E9C-101B-9397-08002B2CF9AE}" pid="4" name="_NewReviewCycle">
    <vt:lpwstr/>
  </property>
  <property fmtid="{D5CDD505-2E9C-101B-9397-08002B2CF9AE}" pid="5" name="_EmailSubject">
    <vt:lpwstr>TME Phase 2 - Detailed FD - Pricing Administration v1_0.xls</vt:lpwstr>
  </property>
  <property fmtid="{D5CDD505-2E9C-101B-9397-08002B2CF9AE}" pid="6" name="_AuthorEmail">
    <vt:lpwstr>denny.volkardt@accenture.com</vt:lpwstr>
  </property>
  <property fmtid="{D5CDD505-2E9C-101B-9397-08002B2CF9AE}" pid="7" name="_AuthorEmailDisplayName">
    <vt:lpwstr>Volkardt, Denny</vt:lpwstr>
  </property>
  <property fmtid="{D5CDD505-2E9C-101B-9397-08002B2CF9AE}" pid="8" name="_PreviousAdHocReviewCycleID">
    <vt:i4>1950141634</vt:i4>
  </property>
  <property fmtid="{D5CDD505-2E9C-101B-9397-08002B2CF9AE}" pid="9" name="_ReviewingToolsShownOnce">
    <vt:lpwstr/>
  </property>
</Properties>
</file>