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3427\02-Design\"/>
    </mc:Choice>
  </mc:AlternateContent>
  <xr:revisionPtr revIDLastSave="0" documentId="13_ncr:1_{6394518C-C3E6-4FF5-9F8E-0DB54833BEA7}" xr6:coauthVersionLast="46" xr6:coauthVersionMax="46" xr10:uidLastSave="{00000000-0000-0000-0000-000000000000}"/>
  <bookViews>
    <workbookView xWindow="28680" yWindow="-5295" windowWidth="24240" windowHeight="13140" tabRatio="924" firstSheet="4" activeTab="13" xr2:uid="{00000000-000D-0000-FFFF-FFFF00000000}"/>
  </bookViews>
  <sheets>
    <sheet name="Title" sheetId="1" r:id="rId1"/>
    <sheet name="Version Control" sheetId="2" r:id="rId2"/>
    <sheet name="Overview" sheetId="3" r:id="rId3"/>
    <sheet name="DTD Review Crosscheck" sheetId="101" r:id="rId4"/>
    <sheet name="1. View" sheetId="114" r:id="rId5"/>
    <sheet name="2. LA" sheetId="112" r:id="rId6"/>
    <sheet name="3. FA" sheetId="108" r:id="rId7"/>
    <sheet name="4. PA" sheetId="125" r:id="rId8"/>
    <sheet name="5. BO" sheetId="117" r:id="rId9"/>
    <sheet name="6. BC" sheetId="107" r:id="rId10"/>
    <sheet name="7. Link" sheetId="118" r:id="rId11"/>
    <sheet name="8. PickList" sheetId="121" r:id="rId12"/>
    <sheet name="9. Message Category" sheetId="122" r:id="rId13"/>
    <sheet name="10. Symbolic String" sheetId="120" r:id="rId14"/>
    <sheet name="11. Table Column Creation" sheetId="106" r:id="rId15"/>
    <sheet name="12.0 Script&lt;BC&gt;" sheetId="110" r:id="rId16"/>
    <sheet name="12.1 Script&lt;BC&gt;" sheetId="109" r:id="rId17"/>
    <sheet name="12.2 Script&lt;BS&gt;" sheetId="115" r:id="rId18"/>
    <sheet name="12.3 Script&lt;Applet&gt;" sheetId="119" r:id="rId19"/>
    <sheet name="12.4 Script&lt;Applet&gt;" sheetId="124" r:id="rId20"/>
    <sheet name="13. Integration Object" sheetId="116" r:id="rId21"/>
    <sheet name="14. PR Tasks" sheetId="113" r:id="rId22"/>
  </sheets>
  <definedNames>
    <definedName name="_xlnm._FilterDatabase" localSheetId="3" hidden="1">'DTD Review Crosscheck'!$A$4:$E$44</definedName>
    <definedName name="_xlnm.Print_Area" localSheetId="1">'Version Control'!$A$1:$H$6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 i="2" l="1"/>
  <c r="B10" i="2"/>
  <c r="B16" i="2" l="1"/>
  <c r="B38" i="1"/>
</calcChain>
</file>

<file path=xl/sharedStrings.xml><?xml version="1.0" encoding="utf-8"?>
<sst xmlns="http://schemas.openxmlformats.org/spreadsheetml/2006/main" count="2793" uniqueCount="578">
  <si>
    <t>Display Name</t>
  </si>
  <si>
    <t>Description</t>
  </si>
  <si>
    <t>HTML Type</t>
  </si>
  <si>
    <t>Pick Applet</t>
  </si>
  <si>
    <t>MVG Applet</t>
  </si>
  <si>
    <t>Field</t>
  </si>
  <si>
    <t>Trade Marketing Excellence Programme</t>
  </si>
  <si>
    <t>Date:</t>
  </si>
  <si>
    <t>Status:</t>
  </si>
  <si>
    <t>Reviewer Control Section</t>
  </si>
  <si>
    <t>Name</t>
  </si>
  <si>
    <t>First Name</t>
  </si>
  <si>
    <t>Function</t>
  </si>
  <si>
    <t>Document Version</t>
  </si>
  <si>
    <t>Date</t>
  </si>
  <si>
    <t xml:space="preserve">Draft </t>
  </si>
  <si>
    <t>Functional Design</t>
  </si>
  <si>
    <t>Content</t>
  </si>
  <si>
    <t>Worksheet</t>
  </si>
  <si>
    <t>Ownership</t>
  </si>
  <si>
    <t>Area</t>
  </si>
  <si>
    <t>Purpose</t>
  </si>
  <si>
    <r>
      <t xml:space="preserve">Functional design of </t>
    </r>
    <r>
      <rPr>
        <u/>
        <sz val="10"/>
        <rFont val="Arial"/>
        <family val="2"/>
      </rPr>
      <t>one</t>
    </r>
    <r>
      <rPr>
        <sz val="10"/>
        <rFont val="Arial"/>
        <family val="2"/>
      </rPr>
      <t xml:space="preserve"> view
Multiplied with the number of views</t>
    </r>
  </si>
  <si>
    <t>Functional design and configuration of views</t>
  </si>
  <si>
    <t>Read Only</t>
  </si>
  <si>
    <t>View</t>
  </si>
  <si>
    <t>Sequence</t>
  </si>
  <si>
    <t>View Design</t>
  </si>
  <si>
    <t>Comments</t>
  </si>
  <si>
    <t>Applet</t>
  </si>
  <si>
    <t>Caption</t>
  </si>
  <si>
    <t>Text Alignment</t>
  </si>
  <si>
    <t>List Applet Design</t>
  </si>
  <si>
    <t>Form Applet Design</t>
  </si>
  <si>
    <r>
      <t>Overview of all list applets</t>
    </r>
    <r>
      <rPr>
        <sz val="10"/>
        <rFont val="Arial"/>
        <family val="2"/>
      </rPr>
      <t xml:space="preserve">
Multiplied with the number of applets
</t>
    </r>
    <r>
      <rPr>
        <i/>
        <sz val="10"/>
        <color indexed="12"/>
        <rFont val="Arial"/>
        <family val="2"/>
      </rPr>
      <t>Applets are parts of a view</t>
    </r>
  </si>
  <si>
    <t>Functional design and configuration of list applets</t>
  </si>
  <si>
    <t>Functional design and configuration of form applets</t>
  </si>
  <si>
    <r>
      <t xml:space="preserve">Overview of all form applets
Multiplied with the number of applets
</t>
    </r>
    <r>
      <rPr>
        <i/>
        <sz val="10"/>
        <color indexed="12"/>
        <rFont val="Arial"/>
        <family val="2"/>
      </rPr>
      <t>Applets are parts of a view</t>
    </r>
  </si>
  <si>
    <t>Picklist</t>
  </si>
  <si>
    <t>Required</t>
  </si>
  <si>
    <t>Functional Design of all PickApplet
Multiplied with the Number of Applets</t>
  </si>
  <si>
    <t>Functional design and configuration of pickapplets</t>
  </si>
  <si>
    <t>Join</t>
  </si>
  <si>
    <t>Column</t>
  </si>
  <si>
    <t>Type</t>
  </si>
  <si>
    <t>Script Design</t>
  </si>
  <si>
    <t>Script</t>
  </si>
  <si>
    <t>Event Name:</t>
  </si>
  <si>
    <t>Business Component</t>
  </si>
  <si>
    <t>Description:</t>
  </si>
  <si>
    <t>Scripting</t>
  </si>
  <si>
    <t>Estimation</t>
  </si>
  <si>
    <t>Mandays</t>
  </si>
  <si>
    <t>Dev/Configuration</t>
  </si>
  <si>
    <t>Peer Review</t>
  </si>
  <si>
    <t>Manday</t>
  </si>
  <si>
    <t>Calculated Value</t>
  </si>
  <si>
    <t>Calculated</t>
  </si>
  <si>
    <t>Currency Code Field</t>
  </si>
  <si>
    <t>Dest Field</t>
  </si>
  <si>
    <t>Exchange Date Field</t>
  </si>
  <si>
    <t>Force Active</t>
  </si>
  <si>
    <t>Immediate Post Changes</t>
  </si>
  <si>
    <t>Inactive</t>
  </si>
  <si>
    <t>Link Specification</t>
  </si>
  <si>
    <t>Multivalue Link</t>
  </si>
  <si>
    <t>Multivalued</t>
  </si>
  <si>
    <t>No Copy</t>
  </si>
  <si>
    <t>Post Default Value</t>
  </si>
  <si>
    <t>Predefault Value</t>
  </si>
  <si>
    <t>Precision</t>
  </si>
  <si>
    <t>Text Length</t>
  </si>
  <si>
    <t>Validation</t>
  </si>
  <si>
    <t>Business Component Design</t>
  </si>
  <si>
    <t>Fields</t>
  </si>
  <si>
    <t>Value</t>
  </si>
  <si>
    <t>Bus Comp User Prop</t>
  </si>
  <si>
    <t>Field Pick Map</t>
  </si>
  <si>
    <t>Constrain</t>
  </si>
  <si>
    <t>Picklist Field</t>
  </si>
  <si>
    <t>Table</t>
  </si>
  <si>
    <t>Alias</t>
  </si>
  <si>
    <t>Outer Join Flag</t>
  </si>
  <si>
    <t>Join Spec</t>
  </si>
  <si>
    <t>Destination Column</t>
  </si>
  <si>
    <t>Source Field</t>
  </si>
  <si>
    <t>No Delete</t>
  </si>
  <si>
    <t>No Insert</t>
  </si>
  <si>
    <t>No Update</t>
  </si>
  <si>
    <t>Type Field</t>
  </si>
  <si>
    <t>Type Value</t>
  </si>
  <si>
    <t>TOTAL Estimation</t>
  </si>
  <si>
    <t>Field Name (Name of the field associated to the Pick Map)</t>
  </si>
  <si>
    <t>Join Alias</t>
  </si>
  <si>
    <t>Functional Design of Business Component</t>
  </si>
  <si>
    <t>Functional design and configuration of Business Component</t>
  </si>
  <si>
    <t>View Web Template Item</t>
  </si>
  <si>
    <t>Item Identifier</t>
  </si>
  <si>
    <t>Applet Mode</t>
  </si>
  <si>
    <t>Control</t>
  </si>
  <si>
    <t>Caption - String Reference</t>
  </si>
  <si>
    <t>Detail Applet</t>
  </si>
  <si>
    <t>Display Format</t>
  </si>
  <si>
    <t>HTML Icon Map</t>
  </si>
  <si>
    <t>HTML Row Sensitive</t>
  </si>
  <si>
    <t>Runtime</t>
  </si>
  <si>
    <t>Show Pop-up</t>
  </si>
  <si>
    <t>Visible</t>
  </si>
  <si>
    <t>Visible - Language Override</t>
  </si>
  <si>
    <t>Destination Field</t>
  </si>
  <si>
    <t>List Column</t>
  </si>
  <si>
    <t>Available</t>
  </si>
  <si>
    <t>Available - Language Override</t>
  </si>
  <si>
    <t>Display Name - String Reference</t>
  </si>
  <si>
    <t>HTML List Edit</t>
  </si>
  <si>
    <t>Total Required</t>
  </si>
  <si>
    <t>Show in List</t>
  </si>
  <si>
    <t>Show In List - Language Override</t>
  </si>
  <si>
    <t>Control Locale</t>
  </si>
  <si>
    <t>Language Code</t>
  </si>
  <si>
    <t>Control Name</t>
  </si>
  <si>
    <t>List Column Locale</t>
  </si>
  <si>
    <t>List Column Name</t>
  </si>
  <si>
    <t>ASI UAT</t>
  </si>
  <si>
    <t>CIS UAT</t>
  </si>
  <si>
    <t>RUS UAT</t>
  </si>
  <si>
    <t>LOV TYPE</t>
  </si>
  <si>
    <t>LIC</t>
  </si>
  <si>
    <t>Display Value</t>
  </si>
  <si>
    <t>Order</t>
  </si>
  <si>
    <t>Language</t>
  </si>
  <si>
    <t>Organization</t>
  </si>
  <si>
    <t>LOV</t>
  </si>
  <si>
    <t>&lt;End of File&gt;</t>
  </si>
  <si>
    <t>Active</t>
  </si>
  <si>
    <t>Status</t>
  </si>
  <si>
    <t>Business Service</t>
  </si>
  <si>
    <t>Data Type</t>
  </si>
  <si>
    <t>Integration Object</t>
  </si>
  <si>
    <t>Search Specification</t>
  </si>
  <si>
    <t>Post Release Task</t>
  </si>
  <si>
    <t>No Merge</t>
  </si>
  <si>
    <t>Functional Design of Link</t>
  </si>
  <si>
    <t>Functional design and configuration of Link</t>
  </si>
  <si>
    <t>Functional Design of Pick List</t>
  </si>
  <si>
    <t>Functional design and configuration of Pick List</t>
  </si>
  <si>
    <t>Table Design</t>
  </si>
  <si>
    <t>Nullable</t>
  </si>
  <si>
    <t>Translate</t>
  </si>
  <si>
    <t>Translation Table Name</t>
  </si>
  <si>
    <t>Foreign Key Table</t>
  </si>
  <si>
    <t>Physical Type</t>
  </si>
  <si>
    <t>Length</t>
  </si>
  <si>
    <t>Scale</t>
  </si>
  <si>
    <t>LOV Type</t>
  </si>
  <si>
    <t>LOV Bounded</t>
  </si>
  <si>
    <t>Cascade Clear</t>
  </si>
  <si>
    <t>Transaction Log Code</t>
  </si>
  <si>
    <t>Symbolic String</t>
  </si>
  <si>
    <t>Column Table Creation</t>
  </si>
  <si>
    <t>Message Category</t>
  </si>
  <si>
    <t>Technical Design Screens, Views and Applets</t>
  </si>
  <si>
    <t>SALES</t>
  </si>
  <si>
    <t>Parent Integration Object</t>
  </si>
  <si>
    <t>External Name</t>
  </si>
  <si>
    <t>External Sequence</t>
  </si>
  <si>
    <t>XML Tag</t>
  </si>
  <si>
    <t>Integration Component Field</t>
  </si>
  <si>
    <t>External Data Type</t>
  </si>
  <si>
    <t>External Length</t>
  </si>
  <si>
    <t>XML Sequence</t>
  </si>
  <si>
    <t>XML Style</t>
  </si>
  <si>
    <t>Title:</t>
  </si>
  <si>
    <t>EU2 UAT</t>
  </si>
  <si>
    <t>Business Object Design</t>
  </si>
  <si>
    <t>Business Object Components</t>
  </si>
  <si>
    <t>Bus Comp</t>
  </si>
  <si>
    <t>Link</t>
  </si>
  <si>
    <t>Functional Design of Business Object</t>
  </si>
  <si>
    <t>Functional design and configuration of Business Object</t>
  </si>
  <si>
    <t>Italy</t>
  </si>
  <si>
    <t>Market Affected:</t>
  </si>
  <si>
    <t>CSY</t>
  </si>
  <si>
    <t>ITA</t>
  </si>
  <si>
    <t>Post Release Tasks</t>
  </si>
  <si>
    <t>Test Script</t>
  </si>
  <si>
    <t>Unit Test</t>
  </si>
  <si>
    <t>EU1 UAT</t>
  </si>
  <si>
    <t>EU3 UAT</t>
  </si>
  <si>
    <t>CEU UAT</t>
  </si>
  <si>
    <t>Non Pilot Impact Analysis - Post Tasks</t>
  </si>
  <si>
    <t>New/Existing</t>
  </si>
  <si>
    <t>Impact</t>
  </si>
  <si>
    <t>ASI PROD</t>
  </si>
  <si>
    <t>EU1 PROD</t>
  </si>
  <si>
    <t>EU2 PROD</t>
  </si>
  <si>
    <t>EU3 PROD</t>
  </si>
  <si>
    <t>CEU PROD</t>
  </si>
  <si>
    <t>CIS PROD</t>
  </si>
  <si>
    <t>RUS PROD</t>
  </si>
  <si>
    <t>Multilingual</t>
  </si>
  <si>
    <t>PLIC</t>
  </si>
  <si>
    <t>Low</t>
  </si>
  <si>
    <t>High</t>
  </si>
  <si>
    <t>Target High</t>
  </si>
  <si>
    <t>Comment</t>
  </si>
  <si>
    <t>DTD Review CheckList</t>
  </si>
  <si>
    <t>Checklist</t>
  </si>
  <si>
    <t>Details</t>
  </si>
  <si>
    <t>Table Column Naming Convention</t>
  </si>
  <si>
    <t>New Boolean Column &gt;&gt; X_&lt;COLUMNNAME&gt;_FLG
New Text Column &gt;&gt; X_&lt;COLUMNNAME&gt;_TEXT
New Date Column &gt;&gt; X_&lt;COLUMNNAME&gt;_DT
New Numeric Column &gt;&gt; X_&lt;COLUMNNAME&gt;_NUM
New LOV Column &gt;&gt; X_&lt;COLUMNNAME&gt;_CD
New ID Column &gt;&gt; X_&lt;COLUMNNAME&gt;_ID
New Attribute Column &gt;&gt; X_ATTRIB_&lt;Number&gt;</t>
  </si>
  <si>
    <t>Runtime Check</t>
  </si>
  <si>
    <t>Level</t>
  </si>
  <si>
    <t>Object Naming Convention</t>
  </si>
  <si>
    <t>All</t>
  </si>
  <si>
    <t>All new Object must have JTI prefix. Ex: JTI Account</t>
  </si>
  <si>
    <t>In List Applets all number and currency controls should be aligned to the right, check boxes centered and all other aligned to the left.</t>
  </si>
  <si>
    <t>In Form Applets controls should be aligned to the left, except for check boxes (centered)</t>
  </si>
  <si>
    <t>List Colums Alignment</t>
  </si>
  <si>
    <t>Control Alignment</t>
  </si>
  <si>
    <t>Upgrade Ancestor</t>
  </si>
  <si>
    <t>Visibity Setup</t>
  </si>
  <si>
    <t>Verify Visibility Applet &amp; Visibility Applet Type</t>
  </si>
  <si>
    <t>Impact Analysis on Post Tasks</t>
  </si>
  <si>
    <t>Post Tasks</t>
  </si>
  <si>
    <t>Verify that Impact Analysis was set on each Post Release Tasks</t>
  </si>
  <si>
    <t>Script Check</t>
  </si>
  <si>
    <t>Use of – in Object/Property Name</t>
  </si>
  <si>
    <t>BC</t>
  </si>
  <si>
    <t>For New Field, verify that same column is not already used by another field</t>
  </si>
  <si>
    <t>Field Creation</t>
  </si>
  <si>
    <t>List Columns/Control Update</t>
  </si>
  <si>
    <t>Verify if there are different List Columns/Controls that uses the same field.</t>
  </si>
  <si>
    <t>Translation Update</t>
  </si>
  <si>
    <t>Verify that Symbolic String to be updated is not used by other Object (Symbolic String Finder Tool)</t>
  </si>
  <si>
    <t>DOC: Change Log</t>
  </si>
  <si>
    <t>Impact on Non-Pilot</t>
  </si>
  <si>
    <t>Proposal</t>
  </si>
  <si>
    <t>DTD Format - Grouping</t>
  </si>
  <si>
    <t>Group similar Object Change together (Applets/BC/etc..)</t>
  </si>
  <si>
    <t>Business Object Name (Name of the Business Object)</t>
  </si>
  <si>
    <t>Table (Name of table)</t>
  </si>
  <si>
    <t>Integration Component</t>
  </si>
  <si>
    <t>Applet Name</t>
  </si>
  <si>
    <t>View Name</t>
  </si>
  <si>
    <t>BC Name</t>
  </si>
  <si>
    <t>IO Name</t>
  </si>
  <si>
    <t>New Column in S_EVT_ACT</t>
  </si>
  <si>
    <t>Verify that New Column in S_EVT_ACT needs to be added in Data CAP Process</t>
  </si>
  <si>
    <t>Dock Object Impacted</t>
  </si>
  <si>
    <t>Tech Arch Intervention?</t>
  </si>
  <si>
    <t>Links</t>
  </si>
  <si>
    <t>Link Name</t>
  </si>
  <si>
    <t>Parent Business Component</t>
  </si>
  <si>
    <t>Child Business Component</t>
  </si>
  <si>
    <t>Cascade Delete</t>
  </si>
  <si>
    <t>New Column in S_ORG_EXT</t>
  </si>
  <si>
    <r>
      <t xml:space="preserve">New column should </t>
    </r>
    <r>
      <rPr>
        <b/>
        <sz val="10"/>
        <rFont val="Arial"/>
        <family val="2"/>
      </rPr>
      <t>NOT</t>
    </r>
    <r>
      <rPr>
        <sz val="10"/>
        <rFont val="Arial"/>
        <family val="2"/>
      </rPr>
      <t xml:space="preserve"> be created in S_ORG_EXT
Column should be created in S_ORG_EXT_X instead</t>
    </r>
  </si>
  <si>
    <t>Visibity Applet</t>
  </si>
  <si>
    <t>Verify that Visibility Applet is updated as well when applet in view web template item is updated (for the case where applet in view web template item was the same as the Visibility applet)</t>
  </si>
  <si>
    <t>For fields using new column and having a predefault value, assess impact on existing records.</t>
  </si>
  <si>
    <t>Visibility Check (Bus Comp View Mode)</t>
  </si>
  <si>
    <t>Check if Visibility Applet Type setup v/s Bus Comp View Mode</t>
  </si>
  <si>
    <t>All Date/Numeric/Flag/LOV List Columns/Control should have RUNTIME set to TRUE (at applet level)</t>
  </si>
  <si>
    <t>CR #:</t>
  </si>
  <si>
    <t>Use of comment is properly done on new lines of code</t>
  </si>
  <si>
    <t>Use Switch instead of several nested if/then/else</t>
  </si>
  <si>
    <t>The use of ‘With‘ way to group operations performed within the same business component.</t>
  </si>
  <si>
    <t xml:space="preserve">Only one Return/Exit statement per function </t>
  </si>
  <si>
    <t>All objects set to nothing in finally clause in reverse order of creation</t>
  </si>
  <si>
    <t>ExecuteQuery should be used with ForwardOnly mode</t>
  </si>
  <si>
    <t>When using this.GetFieldValue make sure field is activated (Force Active set to TRUE on BC)</t>
  </si>
  <si>
    <t>Code properly indented to imprve readibility</t>
  </si>
  <si>
    <t>Script Required?</t>
  </si>
  <si>
    <r>
      <t xml:space="preserve">Upgrade Ancestor should be set for each object cloned when future changes to the source object shall be applied to the cloned object. Kindly note that Upgrade Ancestor should be set </t>
    </r>
    <r>
      <rPr>
        <b/>
        <sz val="10"/>
        <rFont val="Arial"/>
        <family val="2"/>
      </rPr>
      <t>ONLY to VANILLA objects</t>
    </r>
  </si>
  <si>
    <t>System Preference</t>
  </si>
  <si>
    <r>
      <t xml:space="preserve">Verify that new System Pref Name is prefix with </t>
    </r>
    <r>
      <rPr>
        <b/>
        <sz val="10"/>
        <rFont val="Arial"/>
        <family val="2"/>
      </rPr>
      <t>Company</t>
    </r>
    <r>
      <rPr>
        <sz val="10"/>
        <rFont val="Arial"/>
        <family val="2"/>
      </rPr>
      <t xml:space="preserve"> (for those that is going to be used by offline user)</t>
    </r>
  </si>
  <si>
    <t>List Colums Creation</t>
  </si>
  <si>
    <t>Verify that List Column Name &amp; Field Name is not the same for currency fields</t>
  </si>
  <si>
    <r>
      <t xml:space="preserve">When using ParentBusComp method, a check should be done first to verify there is a Parent Bus Comp associated. Example Below:-
</t>
    </r>
    <r>
      <rPr>
        <b/>
        <i/>
        <sz val="10"/>
        <rFont val="Arial"/>
        <family val="2"/>
      </rPr>
      <t>if (this.ParentBusComp() != null &amp;&amp; this.ParentBusComp() != "")</t>
    </r>
  </si>
  <si>
    <t>Personalization/Toggle Check</t>
  </si>
  <si>
    <r>
      <t>Verify using</t>
    </r>
    <r>
      <rPr>
        <b/>
        <i/>
        <sz val="10"/>
        <rFont val="Arial"/>
        <family val="2"/>
      </rPr>
      <t xml:space="preserve"> Personalization &amp; Toggle Tool</t>
    </r>
    <r>
      <rPr>
        <sz val="10"/>
        <rFont val="Arial"/>
        <family val="2"/>
      </rPr>
      <t xml:space="preserve"> that applet being modified is in Applet Personalization or Toggle Applet
</t>
    </r>
    <r>
      <rPr>
        <b/>
        <i/>
        <sz val="10"/>
        <rFont val="Arial"/>
        <family val="2"/>
      </rPr>
      <t>This will let us know if our modifications need to be done on any other applets</t>
    </r>
  </si>
  <si>
    <t>Verify that impacted field is correctly mapped and visible for the market requested.</t>
  </si>
  <si>
    <t>Do not use "–" in Object/Property Name</t>
  </si>
  <si>
    <r>
      <t xml:space="preserve">When using </t>
    </r>
    <r>
      <rPr>
        <b/>
        <i/>
        <sz val="10"/>
        <rFont val="Arial"/>
        <family val="2"/>
      </rPr>
      <t>TheApplication().ActiveBusObject()</t>
    </r>
    <r>
      <rPr>
        <sz val="10"/>
        <rFont val="Arial"/>
        <family val="2"/>
      </rPr>
      <t xml:space="preserve"> method, a check should be done first to verify there is an Active Bus Object. Example Below:-
</t>
    </r>
    <r>
      <rPr>
        <b/>
        <i/>
        <sz val="10"/>
        <rFont val="Arial"/>
        <family val="2"/>
      </rPr>
      <t>if (TheApplication().ActiveBusObject()  != null &amp;&amp; TheApplication().ActiveBusObject() != “”)</t>
    </r>
  </si>
  <si>
    <t>When using ToFixed() method make sure that result is converted to number.</t>
  </si>
  <si>
    <t>For fields having Immediate Post Change checked, verify that there is no field validation (message does no appear correctly). 
If any, move Validation to script (PresetFieldValue)</t>
  </si>
  <si>
    <t>When using try and catch, ensure that "RaiseErrorText" is called only once throughout the process when doing any validation</t>
  </si>
  <si>
    <t>Verify that subtype is populated for LOVs with same type, display and language; for example  "JTI_MARKET_SETTINGS" with value "TRUE"</t>
  </si>
  <si>
    <t>Use Event Handler (Try, Catch &amp; Finally). In RaiseErrorText use e.ErrText instead of e.ToString()</t>
  </si>
  <si>
    <t>When including logic in a button, make sure that WriteRecord is present to save the record before executing the logic</t>
  </si>
  <si>
    <t>Predefault/Postdefault Value</t>
  </si>
  <si>
    <t>For fields in activity, make sure that default values are considered as well when a Visit activity is created from an objective activity</t>
  </si>
  <si>
    <t>Change of Method Invoked for Control</t>
  </si>
  <si>
    <t>Changing the Name of Method Invoked in control, crosscheck if Method Name is also used in JS</t>
  </si>
  <si>
    <t>Changes in Schema</t>
  </si>
  <si>
    <t>Inform Data team for any changes in schema during Development</t>
  </si>
  <si>
    <t>Y</t>
  </si>
  <si>
    <t>Varchar</t>
  </si>
  <si>
    <t>S_AGREE_ITEM</t>
  </si>
  <si>
    <t>S_DOC_AGREE_XM</t>
  </si>
  <si>
    <t>Number</t>
  </si>
  <si>
    <t>Extension</t>
  </si>
  <si>
    <t>X_TOTAL_POINTS_LIMIT</t>
  </si>
  <si>
    <t>S_LST_OF_VAL</t>
  </si>
  <si>
    <t>S_DOC_AGREE</t>
  </si>
  <si>
    <t>JTI JTI Service Agreement</t>
  </si>
  <si>
    <t>JTI Contract Agreement Distribution Item</t>
  </si>
  <si>
    <t>JTI Total Amount Limit</t>
  </si>
  <si>
    <t>DTYPE_NUMBER</t>
  </si>
  <si>
    <t>&gt;0</t>
  </si>
  <si>
    <t>JTI Total Points Limit</t>
  </si>
  <si>
    <t>JTI Contract Agreement Item</t>
  </si>
  <si>
    <t>Benefit Type</t>
  </si>
  <si>
    <t>DTYPE_TEXT</t>
  </si>
  <si>
    <t>JTI Template Service Agreement</t>
  </si>
  <si>
    <t>JTI Nb Points</t>
  </si>
  <si>
    <t>JTI JTI Agreement Incentives</t>
  </si>
  <si>
    <t>NAME</t>
  </si>
  <si>
    <t>DTYPE_ID</t>
  </si>
  <si>
    <t>JTI Contract Agreement Item Dist</t>
  </si>
  <si>
    <t>Field Read Only Field:Unit Price</t>
  </si>
  <si>
    <t>Field Read Only Field:JTI Nb Points</t>
  </si>
  <si>
    <t>S_PROD_INT</t>
  </si>
  <si>
    <t>ROW_ID</t>
  </si>
  <si>
    <t>JTI Template Contract Detail Applet-Cloned</t>
  </si>
  <si>
    <t>X_TOTAL_AMT_LIMIT</t>
  </si>
  <si>
    <t>Left</t>
  </si>
  <si>
    <t>Total Points Limit</t>
  </si>
  <si>
    <t>JTI JTI Contract Detail Applet - New</t>
  </si>
  <si>
    <t>Validation for Amounts and Points Limit validation</t>
  </si>
  <si>
    <t>JTI JTI FS Agreement Incentive Applet</t>
  </si>
  <si>
    <t>JTI FS Distribution Item List Applet</t>
  </si>
  <si>
    <t>JTI FS Agreement Item List Applet - New</t>
  </si>
  <si>
    <t>JTI Benefit Type</t>
  </si>
  <si>
    <t>Product</t>
  </si>
  <si>
    <t>JTI FS Contract Item List Applet</t>
  </si>
  <si>
    <t>[JTI Contract Type] IS NULL</t>
  </si>
  <si>
    <t>JTI Distribution Items Contract Pick Applet</t>
  </si>
  <si>
    <t>JTI FS Contract Distribution Item List Applet</t>
  </si>
  <si>
    <t>Payment</t>
  </si>
  <si>
    <t>English-American</t>
  </si>
  <si>
    <t>Points</t>
  </si>
  <si>
    <t>Pago</t>
  </si>
  <si>
    <t>Spanish (Modern)</t>
  </si>
  <si>
    <t>Pagamento</t>
  </si>
  <si>
    <t>Italian</t>
  </si>
  <si>
    <t>Czech</t>
  </si>
  <si>
    <t>Edit List</t>
  </si>
  <si>
    <t>JTI FS Contract Line Items View</t>
  </si>
  <si>
    <t>JTI FS Agreement Line Items View - New</t>
  </si>
  <si>
    <t>Update to inherit newly added Total Amount Limit and Total Points Limit to the contract.</t>
  </si>
  <si>
    <t>JTI Update Contract</t>
  </si>
  <si>
    <t>CreateContract</t>
  </si>
  <si>
    <t>JTI Independent Copy Agreement IO</t>
  </si>
  <si>
    <t>Data</t>
  </si>
  <si>
    <t>Element</t>
  </si>
  <si>
    <t>Administration Integration</t>
  </si>
  <si>
    <t>Integration Object Map</t>
  </si>
  <si>
    <t>Source Object Name</t>
  </si>
  <si>
    <t>Target Object Name</t>
  </si>
  <si>
    <t>Siebel Authored</t>
  </si>
  <si>
    <t>JTI Independent Copy Agreement Map</t>
  </si>
  <si>
    <t>Integration Component Map</t>
  </si>
  <si>
    <t>JTI Contract Agreement Item_to_JTI Contract Agreement Item</t>
  </si>
  <si>
    <t>Source Component Name</t>
  </si>
  <si>
    <t>Target Component Name</t>
  </si>
  <si>
    <t>Source Search Spec</t>
  </si>
  <si>
    <t>Parent Component Map Name</t>
  </si>
  <si>
    <t>JTI JTI Service Agreement_to_JTI JTI Service Agreement</t>
  </si>
  <si>
    <t>Integration Field Map</t>
  </si>
  <si>
    <t>Source Expression</t>
  </si>
  <si>
    <t>Auto-Mapped</t>
  </si>
  <si>
    <t>Target Field Name</t>
  </si>
  <si>
    <t>JTI FS Distribution Item List Applet - New</t>
  </si>
  <si>
    <t>[JTI Contract Type] = 'DISTRIBUTION'</t>
  </si>
  <si>
    <t>JTI Service Agreement - New</t>
  </si>
  <si>
    <t>JTI Contract Agreement Item/JTI Contract Agreement Distribution Item</t>
  </si>
  <si>
    <t>Id</t>
  </si>
  <si>
    <t>None</t>
  </si>
  <si>
    <t>Agreement Id</t>
  </si>
  <si>
    <t>Control User Property</t>
  </si>
  <si>
    <t>Popup</t>
  </si>
  <si>
    <t>Contract Item</t>
  </si>
  <si>
    <t>To include Contract Name from Linked Contract Terms in the Distribution Applet</t>
  </si>
  <si>
    <t>Symbolic Strings Design</t>
  </si>
  <si>
    <t>Symbolic String Locale</t>
  </si>
  <si>
    <t>Current String Value</t>
  </si>
  <si>
    <t>String Value</t>
  </si>
  <si>
    <t>Parent Symbolic String</t>
  </si>
  <si>
    <t>[&lt;Developer's Initial &gt;&lt;Date&gt;] CRXXXXX : New Symbolic String created</t>
  </si>
  <si>
    <t>ENU</t>
  </si>
  <si>
    <t>ESN</t>
  </si>
  <si>
    <t>Total Amount Limit</t>
  </si>
  <si>
    <t>TBD</t>
  </si>
  <si>
    <t>Limite importo</t>
  </si>
  <si>
    <t>[&lt;Developer's Initial &gt;&lt;Date&gt;] CRXXXXX : New Field created</t>
  </si>
  <si>
    <t>[&lt;Developer's Initial &gt;&lt;Date&gt;] CRXXXXX : New join added</t>
  </si>
  <si>
    <t>[&lt;Developer's Initial &gt;&lt;Date&gt;] New Join spec added</t>
  </si>
  <si>
    <t>[&lt;Developer's Initial &gt;&lt;Date&gt;] CRXXXXX : New Control Added</t>
  </si>
  <si>
    <t>[&lt;Developer's Initial &gt;&lt;Date&gt;] CR213427 : New List Column added</t>
  </si>
  <si>
    <t>[&lt;Developer's Initial &gt;&lt;Date&gt;] CR213427 : Added new Link</t>
  </si>
  <si>
    <t>[&lt;Developer's Initial &gt;&lt;Date&gt;] CR213427 : Added new BC</t>
  </si>
  <si>
    <t>[&lt;Developer's Initial &gt;&lt;Date&gt;] CR213427 : Added new field</t>
  </si>
  <si>
    <t>[&lt;Developer's Initial &gt;&lt;Date&gt;] CR213427 : For inheriting benefit type</t>
  </si>
  <si>
    <t>CHG213427</t>
  </si>
  <si>
    <t>TMEC:  RI - Enhancements on Contracts &amp;  Contract Terms</t>
  </si>
  <si>
    <t>PickList Design</t>
  </si>
  <si>
    <t>Pick List Properties</t>
  </si>
  <si>
    <t>Bounded</t>
  </si>
  <si>
    <t>Message Category Design</t>
  </si>
  <si>
    <t>Messages</t>
  </si>
  <si>
    <t>Text</t>
  </si>
  <si>
    <t>Text - String Reference</t>
  </si>
  <si>
    <t>User Defined Errors</t>
  </si>
  <si>
    <t>[&lt;Developer's Initial &gt;&lt;Date&gt;] CRXXXXX : New Message Created</t>
  </si>
  <si>
    <t>PickList Generic</t>
  </si>
  <si>
    <t>Pick Applet Design</t>
  </si>
  <si>
    <t>Validation for Actul Cost Amount and Benefit Type field validation in Child Records.</t>
  </si>
  <si>
    <t>[&lt;Developer's Initial &gt;&lt;Date&gt;] New picklist added</t>
  </si>
  <si>
    <t>Ramakrishnan</t>
  </si>
  <si>
    <t>Nithin</t>
  </si>
  <si>
    <t>CZ;#ES;#IT</t>
  </si>
  <si>
    <t>X_TOTAL_AMT_LIMIT_NUM</t>
  </si>
  <si>
    <t>X_TOTAL_PTS_LIMIT_NUM</t>
  </si>
  <si>
    <t>&lt;Last Sequence + 1&gt;</t>
  </si>
  <si>
    <t>[&lt;Developer's Initial &gt;&lt;Date&gt;] CRXXXXX : New Column Created</t>
  </si>
  <si>
    <t>AUT</t>
  </si>
  <si>
    <t>AZE</t>
  </si>
  <si>
    <t>CHF</t>
  </si>
  <si>
    <t>CHT</t>
  </si>
  <si>
    <t>DEU</t>
  </si>
  <si>
    <t>EIR</t>
  </si>
  <si>
    <t>EKR</t>
  </si>
  <si>
    <t>EMA</t>
  </si>
  <si>
    <t>EMN</t>
  </si>
  <si>
    <t>ENC</t>
  </si>
  <si>
    <t>ENG</t>
  </si>
  <si>
    <t>ETW</t>
  </si>
  <si>
    <t>EUS</t>
  </si>
  <si>
    <t>EWW</t>
  </si>
  <si>
    <t>FLB</t>
  </si>
  <si>
    <t>FRA</t>
  </si>
  <si>
    <t>FRB</t>
  </si>
  <si>
    <t>FRC</t>
  </si>
  <si>
    <t>GER</t>
  </si>
  <si>
    <t>HUN</t>
  </si>
  <si>
    <t>KGZ</t>
  </si>
  <si>
    <t>KOR</t>
  </si>
  <si>
    <t>KZA</t>
  </si>
  <si>
    <t>NLD</t>
  </si>
  <si>
    <t>PLK</t>
  </si>
  <si>
    <t>PTG</t>
  </si>
  <si>
    <t>ROM</t>
  </si>
  <si>
    <t>RUS</t>
  </si>
  <si>
    <t>SCI</t>
  </si>
  <si>
    <t>SER</t>
  </si>
  <si>
    <t>SLK</t>
  </si>
  <si>
    <t>SVE</t>
  </si>
  <si>
    <t>TJK</t>
  </si>
  <si>
    <t>UKR</t>
  </si>
  <si>
    <t>UZB</t>
  </si>
  <si>
    <t>X_TOTAL_AMT_LIMIT_ERR</t>
  </si>
  <si>
    <t>Sum of Contract Total Amount exceeds in %1 the Total Amount Limit</t>
  </si>
  <si>
    <t>N</t>
  </si>
  <si>
    <t>JTI Template Contract Detail Applet-Cloned
JTI JTI Contract Detail Applet - New</t>
  </si>
  <si>
    <t>JTI Total Amount Limit
JTI Total Points Limit</t>
  </si>
  <si>
    <t>All Locales except &lt;ITA, CSY, ENU &amp; ESN&gt;</t>
  </si>
  <si>
    <t>X_TOTAL_PTS_LIMIT_ERR</t>
  </si>
  <si>
    <t>Sum of Contract Total Points exceeds in %1 the Total Points Limit</t>
  </si>
  <si>
    <t>JTI_X_TOTAL_AMT_LIMIT_ERR</t>
  </si>
  <si>
    <t>JTI_X_TOTAL_PTS_LIMIT_ERR</t>
  </si>
  <si>
    <t>JTI Total Amount</t>
  </si>
  <si>
    <t>[JTI Product Total] + [Actual Cost Amount]</t>
  </si>
  <si>
    <t>JTI Product Points</t>
  </si>
  <si>
    <t>FS Agreement Item</t>
  </si>
  <si>
    <t>JTI Total Product Points</t>
  </si>
  <si>
    <t>IfNull (Sum ([JTI Product Points]), 0.0)</t>
  </si>
  <si>
    <t>X_BENEFIT_TYPE_CD</t>
  </si>
  <si>
    <t>JTI_CI_BENEFIT_TYPE</t>
  </si>
  <si>
    <t>JTI Contract Benefit Type Picklist</t>
  </si>
  <si>
    <t>LOV_TYPE</t>
  </si>
  <si>
    <t>Add</t>
  </si>
  <si>
    <t>Existing - New LIC</t>
  </si>
  <si>
    <t>New</t>
  </si>
  <si>
    <t>JTI_MARKET_SETTINGS</t>
  </si>
  <si>
    <t>VALIDATE_AMT_LIMIT</t>
  </si>
  <si>
    <t>Subtype</t>
  </si>
  <si>
    <t>VALIDATE_AMT_LIMIT_IT</t>
  </si>
  <si>
    <t>VALIDATE_PTS_AMT_LIMIT</t>
  </si>
  <si>
    <t>VALIDATE_PTS_AMT_LIMIT_IT</t>
  </si>
  <si>
    <t>Czech Republic</t>
  </si>
  <si>
    <t>VALIDATE_AMT_LIMIT_CZ</t>
  </si>
  <si>
    <t>VALIDATE_PTS_AMT_LIMIT_CZ</t>
  </si>
  <si>
    <t>JTI NB Points RO</t>
  </si>
  <si>
    <t>[&lt;Developer's Initial &gt;&lt;Date&gt;] CRXXXXX : Updated value from "JTI Contract Independent Type Calc"</t>
  </si>
  <si>
    <t>IIf ([JTI Benefit Type] = LookupValue("JTI_CI_BENEFIT_TYPE","Payment"), 'Y', [JTI Contract Independent Type Calc])</t>
  </si>
  <si>
    <t>DTYPE_BOOL</t>
  </si>
  <si>
    <t>[&lt;Developer's Initial &gt;&lt;Date&gt;] CRXXXXX : Updated value from "JTI Contract Point Type Calc"</t>
  </si>
  <si>
    <t>JTI Unit Price RO</t>
  </si>
  <si>
    <t>IIf ([JTI Benefit Type] = LookupValue("JTI_CI_BENEFIT_TYPE","Points"), 'Y', [JTI Contract Point Type Calc])</t>
  </si>
  <si>
    <t>X_CI_BENEFIT_TYPE</t>
  </si>
  <si>
    <t>Tipo Vantaggio</t>
  </si>
  <si>
    <t>Tipo Beneficio</t>
  </si>
  <si>
    <t>X_CI_BENEFIT_TYPE_ERR</t>
  </si>
  <si>
    <t>Benefit Type is a required field, please inform it.</t>
  </si>
  <si>
    <t>Si prega di informare il tipo di vantaggio</t>
  </si>
  <si>
    <t>Por favor informe el campo Tipo Beneficio</t>
  </si>
  <si>
    <t>JTI_X_CI_BENEFIT_TYPE_ERR</t>
  </si>
  <si>
    <t>PreSetFieldValue
CheckLOV
CheckBenefitType</t>
  </si>
  <si>
    <t>PreSetFieldValue
CheckBenefitType</t>
  </si>
  <si>
    <t>JTI FS Contract Item List Applet
JTI FS Agreement Item List Applet - New</t>
  </si>
  <si>
    <t>VALIDATE_CI_BENEFIT</t>
  </si>
  <si>
    <t>VALIDATE_CI_BENEFIT_IT</t>
  </si>
  <si>
    <t>VALIDATE_CI_BENEFIT_CZ</t>
  </si>
  <si>
    <t>[JTI Benefit Type]</t>
  </si>
  <si>
    <t>JTI BenefitType</t>
  </si>
  <si>
    <t>JTI Independent Contract Item Pick Applet</t>
  </si>
  <si>
    <t>X_CONTRACT_ITEM_ID</t>
  </si>
  <si>
    <t>JTI Contract Item</t>
  </si>
  <si>
    <t>JTI Contract Item Id</t>
  </si>
  <si>
    <t>JTI Contract Item Prod Name</t>
  </si>
  <si>
    <t>FS PickList Agreement Item - All</t>
  </si>
  <si>
    <t>JTI Contract Item Prod Id</t>
  </si>
  <si>
    <t>PROD_INT_ID</t>
  </si>
  <si>
    <t>JTI Contract Product Item</t>
  </si>
  <si>
    <t>Product Id</t>
  </si>
  <si>
    <t>X_JTI_CONTRACT_ITEM</t>
  </si>
  <si>
    <t>JTI FS Distribution Item List Applet
JTI FS Distribution Item List Applet - New
JTI JTI FS Agreement Incentive Applet</t>
  </si>
  <si>
    <t>JTI Independent Distribution Item Pick Applet</t>
  </si>
  <si>
    <t>Cloned Applet of "JTI FS Distribution Item List Applet - New" &amp; Update BC. Make applet RO</t>
  </si>
  <si>
    <t>AddItems</t>
  </si>
  <si>
    <t>[&lt;Developer's Initial &gt;&lt;Date&gt;] CR213427 : Update Pick Applet</t>
  </si>
  <si>
    <t>[&lt;Developer's Initial &gt;&lt;Date&gt;] CHG213427 : Added new applet</t>
  </si>
  <si>
    <t>[&lt;Developer's Initial &gt;&lt;Date&gt;] CHG13427 : Added new applet</t>
  </si>
  <si>
    <t>EIM Table Design</t>
  </si>
  <si>
    <t>EIM Interface Table Design</t>
  </si>
  <si>
    <t>Attribute Mapping</t>
  </si>
  <si>
    <t>EIM Interface Table</t>
  </si>
  <si>
    <t>EIM Table Mapping</t>
  </si>
  <si>
    <t>Interface Table Data Column</t>
  </si>
  <si>
    <t>Base Table Attribute Column</t>
  </si>
  <si>
    <t>Export Only</t>
  </si>
  <si>
    <t>For Foreign Key Column Mapping please use the Foreign Key Mapping WIZARD</t>
  </si>
  <si>
    <t>EIM_AGREEMENT</t>
  </si>
  <si>
    <t>New Attribute Mapping</t>
  </si>
  <si>
    <t>EIM_AGREE_ITEM</t>
  </si>
  <si>
    <t>EIM_AGREE_LS</t>
  </si>
  <si>
    <t>Cloned applet "JTI Contract Item Pick Applet" &amp; Upate search spec</t>
  </si>
  <si>
    <t>Cloned applet "JTI Contract Item Pick Applet" &amp; Upate search spec &amp; BC</t>
  </si>
  <si>
    <t>Clone of BC: JTI Contract Agreement Item (to be cloned after all below config has been completed)</t>
  </si>
  <si>
    <t>Remove all Script and add new ones</t>
  </si>
  <si>
    <t>WebApplet_PreCanInvokeMethod
WebApplet_PreInvokeMethod</t>
  </si>
  <si>
    <t xml:space="preserve">WebApplet_PreInvokeMethod </t>
  </si>
  <si>
    <t>PERSONALIZATION RULE</t>
  </si>
  <si>
    <t>Conditional Expression</t>
  </si>
  <si>
    <t>GetProfileAtrr("JTIBackendMode") = "TMEC"</t>
  </si>
  <si>
    <t>OK</t>
  </si>
  <si>
    <t>N/A</t>
  </si>
  <si>
    <t>1. Views</t>
  </si>
  <si>
    <t>2. List Applets</t>
  </si>
  <si>
    <t>3. Form Applets</t>
  </si>
  <si>
    <t>4. Pick Applets</t>
  </si>
  <si>
    <t>5. Business Object</t>
  </si>
  <si>
    <t>6. Business Component</t>
  </si>
  <si>
    <t>7. Link</t>
  </si>
  <si>
    <t>8. Pick List</t>
  </si>
  <si>
    <t>9. Message Category</t>
  </si>
  <si>
    <t>10. Symbolic String</t>
  </si>
  <si>
    <t>11. Column Table Creation</t>
  </si>
  <si>
    <t>12. Script</t>
  </si>
  <si>
    <t>13. Integration Object</t>
  </si>
  <si>
    <t>14. Post Release Task</t>
  </si>
  <si>
    <t>Contract</t>
  </si>
  <si>
    <t>05.11.2021</t>
  </si>
  <si>
    <t>v1</t>
  </si>
  <si>
    <t>Created DTD</t>
  </si>
  <si>
    <t>No Impact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</si>
</sst>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B_F_-;\-* #,##0.00\ _B_F_-;_-* &quot;-&quot;??\ _B_F_-;_-@_-"/>
    <numFmt numFmtId="165" formatCode="mm/dd/yy"/>
  </numFmts>
  <fonts count="62" x14ac:knownFonts="1">
    <font>
      <sz val="10"/>
      <name val="Arial"/>
    </font>
    <font>
      <sz val="11"/>
      <color theme="1"/>
      <name val="Calibri"/>
      <family val="2"/>
      <scheme val="minor"/>
    </font>
    <font>
      <sz val="10"/>
      <name val="Arial"/>
      <family val="2"/>
    </font>
    <font>
      <b/>
      <sz val="14"/>
      <name val="Arial"/>
      <family val="2"/>
    </font>
    <font>
      <b/>
      <sz val="10"/>
      <name val="Arial"/>
      <family val="2"/>
    </font>
    <font>
      <b/>
      <sz val="12"/>
      <name val="Arial"/>
      <family val="2"/>
    </font>
    <font>
      <sz val="10"/>
      <name val="Arial"/>
      <family val="2"/>
    </font>
    <font>
      <sz val="10"/>
      <name val="Book Antiqua"/>
      <family val="1"/>
    </font>
    <font>
      <b/>
      <sz val="10"/>
      <color indexed="9"/>
      <name val="Arial"/>
      <family val="2"/>
    </font>
    <font>
      <sz val="10"/>
      <color indexed="9"/>
      <name val="Arial"/>
      <family val="2"/>
    </font>
    <font>
      <u/>
      <sz val="10"/>
      <name val="Arial"/>
      <family val="2"/>
    </font>
    <font>
      <b/>
      <sz val="10"/>
      <color indexed="9"/>
      <name val="Book Antiqua"/>
      <family val="1"/>
    </font>
    <font>
      <b/>
      <i/>
      <sz val="24"/>
      <color indexed="57"/>
      <name val="Arial"/>
      <family val="2"/>
    </font>
    <font>
      <b/>
      <sz val="24"/>
      <name val="Book Antiqua"/>
      <family val="1"/>
    </font>
    <font>
      <b/>
      <sz val="12"/>
      <name val="Book Antiqua"/>
      <family val="1"/>
    </font>
    <font>
      <sz val="12"/>
      <name val="Book Antiqua"/>
      <family val="1"/>
    </font>
    <font>
      <b/>
      <i/>
      <sz val="10"/>
      <name val="Book Antiqua"/>
      <family val="1"/>
    </font>
    <font>
      <i/>
      <sz val="10"/>
      <color indexed="12"/>
      <name val="Arial"/>
      <family val="2"/>
    </font>
    <font>
      <sz val="11"/>
      <name val="Calibri"/>
      <family val="2"/>
    </font>
    <font>
      <sz val="11"/>
      <color indexed="17"/>
      <name val="Calibri"/>
      <family val="2"/>
    </font>
    <font>
      <sz val="11"/>
      <color indexed="20"/>
      <name val="Calibri"/>
      <family val="2"/>
    </font>
    <font>
      <b/>
      <i/>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sz val="11"/>
      <name val="Arial"/>
      <family val="2"/>
    </font>
    <font>
      <b/>
      <i/>
      <sz val="11"/>
      <name val="Arial"/>
      <family val="2"/>
    </font>
    <font>
      <b/>
      <sz val="10"/>
      <name val="Book Antiqua"/>
      <family val="1"/>
    </font>
    <font>
      <b/>
      <sz val="10"/>
      <name val="Tahoma"/>
      <family val="2"/>
    </font>
    <font>
      <sz val="10"/>
      <color indexed="10"/>
      <name val="Arial"/>
      <family val="2"/>
    </font>
    <font>
      <b/>
      <sz val="14"/>
      <color indexed="9"/>
      <name val="Arial"/>
      <family val="2"/>
    </font>
    <font>
      <sz val="10"/>
      <color indexed="12"/>
      <name val="Arial"/>
      <family val="2"/>
    </font>
    <font>
      <sz val="10"/>
      <color indexed="12"/>
      <name val="Arial"/>
      <family val="2"/>
    </font>
    <font>
      <sz val="22"/>
      <name val="Arial"/>
      <family val="2"/>
    </font>
    <font>
      <b/>
      <sz val="24"/>
      <color indexed="12"/>
      <name val="Book Antiqua"/>
      <family val="1"/>
    </font>
    <font>
      <b/>
      <sz val="20"/>
      <color indexed="12"/>
      <name val="Book Antiqua"/>
      <family val="1"/>
    </font>
    <font>
      <b/>
      <sz val="22"/>
      <color indexed="12"/>
      <name val="Book Antiqua"/>
      <family val="1"/>
    </font>
    <font>
      <b/>
      <sz val="16"/>
      <color indexed="12"/>
      <name val="Book Antiqua"/>
      <family val="1"/>
    </font>
    <font>
      <b/>
      <sz val="12"/>
      <color indexed="12"/>
      <name val="Book Antiqua"/>
      <family val="1"/>
    </font>
    <font>
      <sz val="14"/>
      <color indexed="12"/>
      <name val="Book Antiqua"/>
      <family val="1"/>
    </font>
    <font>
      <b/>
      <sz val="20"/>
      <name val="Book Antiqua"/>
      <family val="1"/>
    </font>
    <font>
      <b/>
      <sz val="16"/>
      <name val="Book Antiqua"/>
      <family val="1"/>
    </font>
    <font>
      <sz val="10"/>
      <color theme="1"/>
      <name val="Arial"/>
      <family val="2"/>
    </font>
    <font>
      <sz val="14"/>
      <color theme="1"/>
      <name val="Arial"/>
      <family val="2"/>
    </font>
    <font>
      <b/>
      <sz val="11"/>
      <color theme="1"/>
      <name val="Calibri"/>
      <family val="2"/>
      <scheme val="minor"/>
    </font>
    <font>
      <b/>
      <sz val="11"/>
      <name val="Calibri"/>
      <family val="2"/>
      <scheme val="minor"/>
    </font>
    <font>
      <sz val="11"/>
      <name val="Calibri"/>
      <family val="2"/>
      <scheme val="minor"/>
    </font>
    <font>
      <sz val="10"/>
      <color rgb="FF0000FF"/>
      <name val="Arial"/>
      <family val="2"/>
    </font>
    <font>
      <sz val="11"/>
      <color rgb="FF0000FF"/>
      <name val="Calibri"/>
      <family val="2"/>
    </font>
    <font>
      <b/>
      <sz val="14"/>
      <color indexed="10"/>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11"/>
        <bgColor indexed="64"/>
      </patternFill>
    </fill>
    <fill>
      <patternFill patternType="solid">
        <fgColor indexed="12"/>
        <bgColor indexed="64"/>
      </patternFill>
    </fill>
    <fill>
      <patternFill patternType="solid">
        <fgColor indexed="43"/>
        <bgColor indexed="64"/>
      </patternFill>
    </fill>
    <fill>
      <patternFill patternType="solid">
        <fgColor indexed="13"/>
        <bgColor indexed="64"/>
      </patternFill>
    </fill>
    <fill>
      <patternFill patternType="solid">
        <fgColor indexed="9"/>
        <bgColor indexed="64"/>
      </patternFill>
    </fill>
    <fill>
      <patternFill patternType="solid">
        <fgColor indexed="23"/>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15"/>
        <bgColor indexed="64"/>
      </patternFill>
    </fill>
    <fill>
      <patternFill patternType="solid">
        <fgColor indexed="40"/>
        <bgColor indexed="64"/>
      </patternFill>
    </fill>
    <fill>
      <patternFill patternType="solid">
        <fgColor theme="0" tint="-0.14999847407452621"/>
        <bgColor indexed="64"/>
      </patternFill>
    </fill>
    <fill>
      <patternFill patternType="solid">
        <fgColor theme="9" tint="0.59999389629810485"/>
        <bgColor indexed="64"/>
      </patternFill>
    </fill>
  </fills>
  <borders count="71">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dashed">
        <color indexed="64"/>
      </left>
      <right style="thin">
        <color indexed="64"/>
      </right>
      <top style="dashed">
        <color indexed="64"/>
      </top>
      <bottom style="medium">
        <color indexed="64"/>
      </bottom>
      <diagonal/>
    </border>
    <border>
      <left style="dashed">
        <color indexed="64"/>
      </left>
      <right style="thin">
        <color indexed="64"/>
      </right>
      <top/>
      <bottom style="dashed">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dashed">
        <color indexed="64"/>
      </left>
      <right style="medium">
        <color indexed="64"/>
      </right>
      <top style="dashed">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bottom style="thick">
        <color indexed="17"/>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dashed">
        <color indexed="64"/>
      </left>
      <right style="thin">
        <color indexed="64"/>
      </right>
      <top/>
      <bottom/>
      <diagonal/>
    </border>
    <border>
      <left style="dashed">
        <color indexed="64"/>
      </left>
      <right style="dashed">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dashed">
        <color indexed="64"/>
      </bottom>
      <diagonal/>
    </border>
    <border>
      <left/>
      <right style="thin">
        <color indexed="64"/>
      </right>
      <top/>
      <bottom style="dashed">
        <color indexed="64"/>
      </bottom>
      <diagonal/>
    </border>
    <border>
      <left/>
      <right style="thin">
        <color indexed="64"/>
      </right>
      <top style="dashed">
        <color indexed="64"/>
      </top>
      <bottom style="medium">
        <color indexed="64"/>
      </bottom>
      <diagonal/>
    </border>
  </borders>
  <cellStyleXfs count="51">
    <xf numFmtId="0" fontId="0" fillId="0" borderId="0" applyAlignment="0"/>
    <xf numFmtId="0" fontId="22" fillId="2"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5" borderId="0" applyNumberFormat="0" applyBorder="0" applyAlignment="0" applyProtection="0"/>
    <xf numFmtId="0" fontId="22" fillId="8" borderId="0" applyNumberFormat="0" applyBorder="0" applyAlignment="0" applyProtection="0"/>
    <xf numFmtId="0" fontId="22" fillId="11" borderId="0" applyNumberFormat="0" applyBorder="0" applyAlignment="0" applyProtection="0"/>
    <xf numFmtId="0" fontId="23" fillId="12"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23" fillId="19" borderId="0" applyNumberFormat="0" applyBorder="0" applyAlignment="0" applyProtection="0"/>
    <xf numFmtId="0" fontId="24" fillId="20" borderId="1" applyNumberFormat="0" applyAlignment="0" applyProtection="0"/>
    <xf numFmtId="0" fontId="25" fillId="20" borderId="2" applyNumberFormat="0" applyAlignment="0" applyProtection="0"/>
    <xf numFmtId="164" fontId="2" fillId="0" borderId="0" applyFont="0" applyFill="0" applyBorder="0" applyAlignment="0" applyProtection="0"/>
    <xf numFmtId="0" fontId="26" fillId="7" borderId="2" applyNumberFormat="0" applyAlignment="0" applyProtection="0"/>
    <xf numFmtId="0" fontId="27" fillId="0" borderId="4" applyNumberFormat="0" applyFill="0" applyAlignment="0" applyProtection="0"/>
    <xf numFmtId="0" fontId="28" fillId="0" borderId="0" applyNumberFormat="0" applyFill="0" applyBorder="0" applyAlignment="0" applyProtection="0"/>
    <xf numFmtId="0" fontId="19" fillId="4" borderId="0" applyNumberFormat="0" applyBorder="0" applyAlignment="0" applyProtection="0"/>
    <xf numFmtId="0" fontId="29" fillId="22" borderId="0" applyNumberFormat="0" applyBorder="0" applyAlignment="0" applyProtection="0"/>
    <xf numFmtId="0" fontId="6" fillId="0" borderId="0" applyAlignment="0"/>
    <xf numFmtId="0" fontId="6" fillId="23" borderId="9" applyNumberFormat="0" applyFont="0" applyAlignment="0" applyProtection="0"/>
    <xf numFmtId="0" fontId="20" fillId="3" borderId="0" applyNumberFormat="0" applyBorder="0" applyAlignment="0" applyProtection="0"/>
    <xf numFmtId="0" fontId="6" fillId="0" borderId="0"/>
    <xf numFmtId="0" fontId="30" fillId="0" borderId="0" applyNumberFormat="0" applyFill="0" applyBorder="0" applyAlignment="0" applyProtection="0"/>
    <xf numFmtId="0" fontId="31" fillId="0" borderId="5" applyNumberFormat="0" applyFill="0" applyAlignment="0" applyProtection="0"/>
    <xf numFmtId="0" fontId="32" fillId="0" borderId="6" applyNumberFormat="0" applyFill="0" applyAlignment="0" applyProtection="0"/>
    <xf numFmtId="0" fontId="33" fillId="0" borderId="7" applyNumberFormat="0" applyFill="0" applyAlignment="0" applyProtection="0"/>
    <xf numFmtId="0" fontId="33" fillId="0" borderId="0" applyNumberFormat="0" applyFill="0" applyBorder="0" applyAlignment="0" applyProtection="0"/>
    <xf numFmtId="0" fontId="34" fillId="0" borderId="8" applyNumberFormat="0" applyFill="0" applyAlignment="0" applyProtection="0"/>
    <xf numFmtId="0" fontId="35" fillId="0" borderId="0" applyNumberFormat="0" applyFill="0" applyBorder="0" applyAlignment="0" applyProtection="0"/>
    <xf numFmtId="0" fontId="36" fillId="21" borderId="3" applyNumberFormat="0" applyAlignment="0" applyProtection="0"/>
    <xf numFmtId="0" fontId="2" fillId="0" borderId="0" applyAlignment="0"/>
    <xf numFmtId="0" fontId="2" fillId="0" borderId="0" applyAlignment="0"/>
    <xf numFmtId="0" fontId="29" fillId="22" borderId="0" applyNumberFormat="0" applyBorder="0" applyAlignment="0" applyProtection="0"/>
    <xf numFmtId="0" fontId="2" fillId="23" borderId="9" applyNumberFormat="0" applyFont="0" applyAlignment="0" applyProtection="0"/>
    <xf numFmtId="0" fontId="2" fillId="0" borderId="0"/>
    <xf numFmtId="0" fontId="2" fillId="0" borderId="0" applyAlignment="0"/>
  </cellStyleXfs>
  <cellXfs count="301">
    <xf numFmtId="0" fontId="0" fillId="0" borderId="0" xfId="0"/>
    <xf numFmtId="0" fontId="2" fillId="0" borderId="0" xfId="0" applyFont="1"/>
    <xf numFmtId="0" fontId="3" fillId="0" borderId="0" xfId="0" applyFont="1"/>
    <xf numFmtId="164" fontId="7" fillId="0" borderId="0" xfId="27" applyFont="1"/>
    <xf numFmtId="164" fontId="2" fillId="0" borderId="0" xfId="27"/>
    <xf numFmtId="164" fontId="15" fillId="0" borderId="0" xfId="27" applyFont="1"/>
    <xf numFmtId="165" fontId="15" fillId="0" borderId="0" xfId="27" applyNumberFormat="1" applyFont="1" applyAlignment="1">
      <alignment horizontal="left"/>
    </xf>
    <xf numFmtId="164" fontId="15" fillId="0" borderId="0" xfId="27" applyFont="1" applyAlignment="1">
      <alignment horizontal="left" vertical="top"/>
    </xf>
    <xf numFmtId="0" fontId="8" fillId="26" borderId="13" xfId="0" applyFont="1" applyFill="1" applyBorder="1" applyAlignment="1">
      <alignment vertical="top" wrapText="1"/>
    </xf>
    <xf numFmtId="0" fontId="8" fillId="26" borderId="14" xfId="0" applyFont="1" applyFill="1" applyBorder="1" applyAlignment="1">
      <alignment vertical="top" wrapText="1"/>
    </xf>
    <xf numFmtId="0" fontId="8" fillId="26" borderId="15" xfId="0" applyFont="1" applyFill="1" applyBorder="1" applyAlignment="1">
      <alignment vertical="top" wrapText="1"/>
    </xf>
    <xf numFmtId="0" fontId="14" fillId="0" borderId="0" xfId="0" applyFont="1" applyFill="1" applyBorder="1" applyAlignment="1">
      <alignment vertical="top"/>
    </xf>
    <xf numFmtId="0" fontId="7" fillId="0" borderId="0" xfId="0" applyFont="1" applyFill="1" applyBorder="1" applyAlignment="1">
      <alignment vertical="top"/>
    </xf>
    <xf numFmtId="0" fontId="7" fillId="0" borderId="0" xfId="0" applyFont="1" applyAlignment="1">
      <alignment vertical="top"/>
    </xf>
    <xf numFmtId="0" fontId="16" fillId="0" borderId="0" xfId="0" applyFont="1" applyFill="1" applyBorder="1" applyAlignment="1">
      <alignment vertical="top"/>
    </xf>
    <xf numFmtId="0" fontId="7" fillId="0" borderId="16" xfId="0" applyFont="1" applyBorder="1" applyAlignment="1">
      <alignment horizontal="left" vertical="top"/>
    </xf>
    <xf numFmtId="0" fontId="11" fillId="24" borderId="16" xfId="0" applyFont="1" applyFill="1" applyBorder="1" applyAlignment="1">
      <alignment horizontal="left" vertical="top"/>
    </xf>
    <xf numFmtId="16" fontId="7" fillId="27" borderId="16" xfId="0" applyNumberFormat="1" applyFont="1" applyFill="1" applyBorder="1" applyAlignment="1">
      <alignment horizontal="left" vertical="top" wrapText="1"/>
    </xf>
    <xf numFmtId="0" fontId="4" fillId="24" borderId="16" xfId="0" applyFont="1" applyFill="1" applyBorder="1"/>
    <xf numFmtId="0" fontId="7" fillId="29" borderId="0" xfId="0" applyFont="1" applyFill="1" applyAlignment="1">
      <alignment vertical="top"/>
    </xf>
    <xf numFmtId="0" fontId="0" fillId="29" borderId="0" xfId="0" applyFill="1"/>
    <xf numFmtId="0" fontId="5" fillId="29" borderId="0" xfId="0" applyFont="1" applyFill="1" applyAlignment="1">
      <alignment vertical="top" wrapText="1"/>
    </xf>
    <xf numFmtId="0" fontId="0" fillId="29" borderId="0" xfId="0" applyFill="1" applyAlignment="1">
      <alignment vertical="top" wrapText="1"/>
    </xf>
    <xf numFmtId="0" fontId="0" fillId="29" borderId="16" xfId="0" applyFill="1" applyBorder="1" applyAlignment="1">
      <alignment vertical="top" wrapText="1"/>
    </xf>
    <xf numFmtId="0" fontId="0" fillId="29" borderId="29" xfId="0" applyFill="1" applyBorder="1" applyAlignment="1">
      <alignment vertical="top" wrapText="1"/>
    </xf>
    <xf numFmtId="0" fontId="0" fillId="29" borderId="31" xfId="0" applyFill="1" applyBorder="1" applyAlignment="1">
      <alignment vertical="top" wrapText="1"/>
    </xf>
    <xf numFmtId="0" fontId="37" fillId="0" borderId="16" xfId="0" applyFont="1" applyBorder="1"/>
    <xf numFmtId="0" fontId="37" fillId="0" borderId="31" xfId="0" applyFont="1" applyBorder="1" applyAlignment="1">
      <alignment horizontal="left"/>
    </xf>
    <xf numFmtId="0" fontId="18" fillId="29" borderId="0" xfId="31" applyFont="1" applyFill="1" applyBorder="1" applyAlignment="1">
      <alignment horizontal="left" wrapText="1"/>
    </xf>
    <xf numFmtId="0" fontId="0" fillId="24" borderId="16" xfId="0" applyFill="1" applyBorder="1"/>
    <xf numFmtId="0" fontId="0" fillId="28" borderId="16" xfId="0" applyFill="1" applyBorder="1"/>
    <xf numFmtId="0" fontId="0" fillId="29" borderId="16" xfId="0" applyFill="1" applyBorder="1"/>
    <xf numFmtId="0" fontId="0" fillId="0" borderId="16" xfId="0" applyBorder="1"/>
    <xf numFmtId="0" fontId="0" fillId="29" borderId="28" xfId="0" applyFill="1" applyBorder="1" applyAlignment="1">
      <alignment vertical="top" wrapText="1"/>
    </xf>
    <xf numFmtId="0" fontId="0" fillId="29" borderId="43" xfId="0" applyFill="1" applyBorder="1" applyAlignment="1">
      <alignment vertical="top" wrapText="1"/>
    </xf>
    <xf numFmtId="0" fontId="42" fillId="30" borderId="0" xfId="0" applyFont="1" applyFill="1"/>
    <xf numFmtId="0" fontId="9" fillId="30" borderId="0" xfId="0" applyFont="1" applyFill="1"/>
    <xf numFmtId="164" fontId="45" fillId="0" borderId="0" xfId="27" applyFont="1"/>
    <xf numFmtId="164" fontId="48" fillId="0" borderId="0" xfId="27" applyFont="1" applyAlignment="1"/>
    <xf numFmtId="164" fontId="44" fillId="0" borderId="0" xfId="27" applyFont="1"/>
    <xf numFmtId="0" fontId="11" fillId="24" borderId="40" xfId="0" applyFont="1" applyFill="1" applyBorder="1" applyAlignment="1">
      <alignment horizontal="left" vertical="top"/>
    </xf>
    <xf numFmtId="0" fontId="11" fillId="24" borderId="16" xfId="0" applyFont="1" applyFill="1" applyBorder="1" applyAlignment="1">
      <alignment horizontal="left" vertical="top"/>
    </xf>
    <xf numFmtId="14" fontId="7" fillId="0" borderId="40" xfId="0" applyNumberFormat="1" applyFont="1" applyBorder="1" applyAlignment="1">
      <alignment horizontal="left" vertical="top"/>
    </xf>
    <xf numFmtId="49" fontId="7" fillId="0" borderId="40" xfId="0" applyNumberFormat="1" applyFont="1" applyBorder="1" applyAlignment="1">
      <alignment horizontal="left" vertical="top"/>
    </xf>
    <xf numFmtId="0" fontId="7" fillId="0" borderId="40" xfId="0" applyNumberFormat="1" applyFont="1" applyBorder="1" applyAlignment="1">
      <alignment horizontal="left" vertical="top"/>
    </xf>
    <xf numFmtId="0" fontId="7" fillId="0" borderId="40" xfId="0" applyFont="1" applyFill="1" applyBorder="1" applyAlignment="1">
      <alignment horizontal="left" vertical="top"/>
    </xf>
    <xf numFmtId="0" fontId="7" fillId="28" borderId="40" xfId="0" applyFont="1" applyFill="1" applyBorder="1" applyAlignment="1">
      <alignment vertical="top"/>
    </xf>
    <xf numFmtId="0" fontId="7" fillId="0" borderId="40" xfId="0" applyFont="1" applyBorder="1" applyAlignment="1">
      <alignment vertical="top"/>
    </xf>
    <xf numFmtId="0" fontId="39" fillId="27" borderId="40" xfId="0" applyFont="1" applyFill="1" applyBorder="1" applyAlignment="1">
      <alignment vertical="top"/>
    </xf>
    <xf numFmtId="0" fontId="7" fillId="28" borderId="16" xfId="0" applyFont="1" applyFill="1" applyBorder="1" applyAlignment="1">
      <alignment vertical="top"/>
    </xf>
    <xf numFmtId="0" fontId="7" fillId="0" borderId="16" xfId="0" applyFont="1" applyBorder="1" applyAlignment="1">
      <alignment vertical="top"/>
    </xf>
    <xf numFmtId="0" fontId="7" fillId="27" borderId="16" xfId="0" applyFont="1" applyFill="1" applyBorder="1" applyAlignment="1">
      <alignment vertical="top"/>
    </xf>
    <xf numFmtId="0" fontId="7" fillId="32" borderId="16" xfId="0" applyFont="1" applyFill="1" applyBorder="1" applyAlignment="1">
      <alignment vertical="top"/>
    </xf>
    <xf numFmtId="0" fontId="0" fillId="0" borderId="16" xfId="0" applyBorder="1" applyAlignment="1">
      <alignment vertical="center"/>
    </xf>
    <xf numFmtId="0" fontId="2" fillId="24" borderId="16" xfId="0" applyFont="1" applyFill="1" applyBorder="1"/>
    <xf numFmtId="0" fontId="2" fillId="25" borderId="12" xfId="0" applyFont="1" applyFill="1" applyBorder="1"/>
    <xf numFmtId="0" fontId="2" fillId="25" borderId="45" xfId="0" applyFont="1" applyFill="1" applyBorder="1"/>
    <xf numFmtId="0" fontId="2" fillId="25" borderId="11" xfId="0" applyFont="1" applyFill="1" applyBorder="1"/>
    <xf numFmtId="0" fontId="0" fillId="0" borderId="0" xfId="0" applyAlignment="1">
      <alignment vertical="center"/>
    </xf>
    <xf numFmtId="0" fontId="0" fillId="0" borderId="0" xfId="0" applyAlignment="1">
      <alignment vertical="center" wrapText="1"/>
    </xf>
    <xf numFmtId="0" fontId="40" fillId="27" borderId="52" xfId="0" applyFont="1" applyFill="1" applyBorder="1" applyAlignment="1">
      <alignment horizontal="center" vertical="center"/>
    </xf>
    <xf numFmtId="0" fontId="40" fillId="0" borderId="0" xfId="0" applyFont="1" applyFill="1" applyAlignment="1">
      <alignment vertical="center" wrapText="1"/>
    </xf>
    <xf numFmtId="0" fontId="40" fillId="35" borderId="16" xfId="0" applyFont="1" applyFill="1" applyBorder="1" applyAlignment="1">
      <alignment vertical="center"/>
    </xf>
    <xf numFmtId="0" fontId="40" fillId="35" borderId="16" xfId="0" applyFont="1" applyFill="1" applyBorder="1" applyAlignment="1">
      <alignment vertical="center" wrapText="1"/>
    </xf>
    <xf numFmtId="0" fontId="2" fillId="0" borderId="16" xfId="0" applyFont="1" applyBorder="1" applyAlignment="1">
      <alignment vertical="center"/>
    </xf>
    <xf numFmtId="0" fontId="2" fillId="0" borderId="16" xfId="0" applyFont="1" applyBorder="1" applyAlignment="1">
      <alignment vertical="center" wrapText="1"/>
    </xf>
    <xf numFmtId="0" fontId="2" fillId="0" borderId="30" xfId="0" applyFont="1" applyFill="1" applyBorder="1" applyAlignment="1">
      <alignment vertical="center"/>
    </xf>
    <xf numFmtId="0" fontId="2" fillId="0" borderId="0" xfId="0" applyFont="1" applyAlignment="1">
      <alignment horizontal="center"/>
    </xf>
    <xf numFmtId="0" fontId="2" fillId="0" borderId="0" xfId="0" applyFont="1" applyAlignment="1">
      <alignment horizontal="left"/>
    </xf>
    <xf numFmtId="0" fontId="2" fillId="29" borderId="0" xfId="0" applyFont="1" applyFill="1"/>
    <xf numFmtId="0" fontId="2" fillId="29" borderId="0" xfId="0" applyFont="1" applyFill="1" applyAlignment="1">
      <alignment horizontal="center"/>
    </xf>
    <xf numFmtId="0" fontId="2" fillId="29" borderId="0" xfId="0" applyFont="1" applyFill="1" applyAlignment="1">
      <alignment horizontal="left"/>
    </xf>
    <xf numFmtId="0" fontId="2" fillId="0" borderId="16" xfId="0" applyFont="1" applyBorder="1" applyAlignment="1">
      <alignment horizontal="left"/>
    </xf>
    <xf numFmtId="0" fontId="59" fillId="0" borderId="16" xfId="0" applyFont="1" applyBorder="1" applyAlignment="1">
      <alignment horizontal="left"/>
    </xf>
    <xf numFmtId="0" fontId="59" fillId="0" borderId="16" xfId="0" applyFont="1" applyBorder="1"/>
    <xf numFmtId="0" fontId="2" fillId="0" borderId="16" xfId="0" applyFont="1" applyBorder="1"/>
    <xf numFmtId="0" fontId="59" fillId="0" borderId="53" xfId="0" applyFont="1" applyBorder="1" applyAlignment="1">
      <alignment horizontal="left"/>
    </xf>
    <xf numFmtId="0" fontId="59" fillId="0" borderId="54" xfId="0" applyFont="1" applyBorder="1" applyAlignment="1">
      <alignment horizontal="left"/>
    </xf>
    <xf numFmtId="0" fontId="59" fillId="0" borderId="54" xfId="0" applyFont="1" applyBorder="1"/>
    <xf numFmtId="0" fontId="0" fillId="0" borderId="29" xfId="0" applyBorder="1"/>
    <xf numFmtId="0" fontId="5" fillId="29" borderId="0" xfId="0" applyFont="1" applyFill="1" applyAlignment="1">
      <alignment horizontal="left"/>
    </xf>
    <xf numFmtId="0" fontId="2" fillId="0" borderId="34" xfId="0" applyFont="1" applyBorder="1" applyAlignment="1">
      <alignment horizontal="left"/>
    </xf>
    <xf numFmtId="0" fontId="2" fillId="0" borderId="19" xfId="0" applyFont="1" applyBorder="1" applyAlignment="1">
      <alignment horizontal="left"/>
    </xf>
    <xf numFmtId="0" fontId="2" fillId="0" borderId="36" xfId="0" applyFont="1" applyBorder="1" applyAlignment="1">
      <alignment horizontal="left"/>
    </xf>
    <xf numFmtId="0" fontId="2" fillId="25" borderId="52" xfId="0" applyFont="1" applyFill="1" applyBorder="1"/>
    <xf numFmtId="0" fontId="0" fillId="24" borderId="29" xfId="0" applyFill="1" applyBorder="1"/>
    <xf numFmtId="0" fontId="2" fillId="0" borderId="16" xfId="0" applyFont="1" applyBorder="1" applyAlignment="1"/>
    <xf numFmtId="0" fontId="43" fillId="0" borderId="16" xfId="0" applyFont="1" applyBorder="1" applyAlignment="1">
      <alignment horizontal="left"/>
    </xf>
    <xf numFmtId="0" fontId="38" fillId="29" borderId="0" xfId="0" applyFont="1" applyFill="1" applyAlignment="1">
      <alignment horizontal="left"/>
    </xf>
    <xf numFmtId="0" fontId="3" fillId="29" borderId="0" xfId="50" applyFont="1" applyFill="1"/>
    <xf numFmtId="0" fontId="2" fillId="29" borderId="0" xfId="50" applyFill="1"/>
    <xf numFmtId="0" fontId="2" fillId="29" borderId="0" xfId="50" applyFill="1" applyAlignment="1">
      <alignment horizontal="center"/>
    </xf>
    <xf numFmtId="0" fontId="2" fillId="0" borderId="0" xfId="50"/>
    <xf numFmtId="0" fontId="2" fillId="29" borderId="0" xfId="50" applyFill="1" applyAlignment="1">
      <alignment horizontal="left"/>
    </xf>
    <xf numFmtId="0" fontId="2" fillId="28" borderId="20" xfId="50" applyFill="1" applyBorder="1"/>
    <xf numFmtId="0" fontId="2" fillId="28" borderId="21" xfId="50" applyFill="1" applyBorder="1"/>
    <xf numFmtId="0" fontId="2" fillId="29" borderId="23" xfId="50" applyFill="1" applyBorder="1"/>
    <xf numFmtId="0" fontId="2" fillId="29" borderId="24" xfId="50" applyFill="1" applyBorder="1"/>
    <xf numFmtId="0" fontId="5" fillId="29" borderId="0" xfId="50" applyFont="1" applyFill="1" applyAlignment="1">
      <alignment horizontal="left"/>
    </xf>
    <xf numFmtId="0" fontId="2" fillId="25" borderId="52" xfId="50" applyFill="1" applyBorder="1"/>
    <xf numFmtId="0" fontId="2" fillId="24" borderId="14" xfId="50" applyFill="1" applyBorder="1"/>
    <xf numFmtId="0" fontId="2" fillId="24" borderId="15" xfId="50" applyFill="1" applyBorder="1"/>
    <xf numFmtId="0" fontId="2" fillId="0" borderId="55" xfId="50" applyBorder="1" applyAlignment="1">
      <alignment horizontal="left"/>
    </xf>
    <xf numFmtId="0" fontId="2" fillId="0" borderId="16" xfId="50" applyBorder="1" applyAlignment="1">
      <alignment horizontal="left"/>
    </xf>
    <xf numFmtId="0" fontId="2" fillId="0" borderId="56" xfId="50" applyBorder="1" applyAlignment="1">
      <alignment horizontal="left"/>
    </xf>
    <xf numFmtId="0" fontId="43" fillId="0" borderId="31" xfId="0" applyFont="1" applyBorder="1" applyAlignment="1">
      <alignment horizontal="left"/>
    </xf>
    <xf numFmtId="0" fontId="38" fillId="29" borderId="0" xfId="50" applyFont="1" applyFill="1" applyAlignment="1">
      <alignment horizontal="left"/>
    </xf>
    <xf numFmtId="0" fontId="2" fillId="0" borderId="48" xfId="50" applyBorder="1" applyAlignment="1">
      <alignment horizontal="left"/>
    </xf>
    <xf numFmtId="0" fontId="2" fillId="0" borderId="16" xfId="50" applyBorder="1"/>
    <xf numFmtId="0" fontId="2" fillId="0" borderId="0" xfId="50" applyAlignment="1">
      <alignment horizontal="center"/>
    </xf>
    <xf numFmtId="0" fontId="43" fillId="0" borderId="57" xfId="0" applyFont="1" applyBorder="1" applyAlignment="1">
      <alignment horizontal="left"/>
    </xf>
    <xf numFmtId="0" fontId="2" fillId="0" borderId="0" xfId="50" applyAlignment="1">
      <alignment horizontal="left"/>
    </xf>
    <xf numFmtId="0" fontId="2" fillId="0" borderId="0" xfId="49"/>
    <xf numFmtId="0" fontId="21" fillId="0" borderId="0" xfId="49" applyFont="1"/>
    <xf numFmtId="0" fontId="54" fillId="31" borderId="0" xfId="49" applyFont="1" applyFill="1"/>
    <xf numFmtId="0" fontId="55" fillId="31" borderId="0" xfId="49" applyFont="1" applyFill="1"/>
    <xf numFmtId="0" fontId="2" fillId="0" borderId="32" xfId="49" applyBorder="1"/>
    <xf numFmtId="0" fontId="2" fillId="0" borderId="51" xfId="49" applyBorder="1"/>
    <xf numFmtId="0" fontId="2" fillId="0" borderId="44" xfId="49" applyBorder="1"/>
    <xf numFmtId="0" fontId="2" fillId="0" borderId="44" xfId="49" applyBorder="1" applyAlignment="1">
      <alignment horizontal="left"/>
    </xf>
    <xf numFmtId="0" fontId="2" fillId="0" borderId="0" xfId="49" applyAlignment="1">
      <alignment horizontal="left"/>
    </xf>
    <xf numFmtId="0" fontId="2" fillId="28" borderId="46" xfId="49" applyFill="1" applyBorder="1"/>
    <xf numFmtId="0" fontId="59" fillId="0" borderId="34" xfId="50" applyFont="1" applyBorder="1" applyAlignment="1">
      <alignment horizontal="left"/>
    </xf>
    <xf numFmtId="0" fontId="2" fillId="24" borderId="22" xfId="50" applyFill="1" applyBorder="1"/>
    <xf numFmtId="0" fontId="2" fillId="24" borderId="16" xfId="50" applyFill="1" applyBorder="1"/>
    <xf numFmtId="0" fontId="2" fillId="24" borderId="16" xfId="50" applyFill="1" applyBorder="1" applyAlignment="1">
      <alignment horizontal="center"/>
    </xf>
    <xf numFmtId="0" fontId="2" fillId="25" borderId="45" xfId="50" applyFill="1" applyBorder="1"/>
    <xf numFmtId="0" fontId="59" fillId="0" borderId="16" xfId="50" applyFont="1" applyBorder="1" applyAlignment="1">
      <alignment horizontal="left"/>
    </xf>
    <xf numFmtId="0" fontId="59" fillId="0" borderId="16" xfId="50" applyFont="1" applyBorder="1" applyAlignment="1"/>
    <xf numFmtId="0" fontId="59" fillId="0" borderId="0" xfId="50" applyFont="1"/>
    <xf numFmtId="0" fontId="2" fillId="25" borderId="16" xfId="50" applyFill="1" applyBorder="1"/>
    <xf numFmtId="0" fontId="2" fillId="0" borderId="41" xfId="50" applyBorder="1" applyAlignment="1">
      <alignment horizontal="left"/>
    </xf>
    <xf numFmtId="0" fontId="2" fillId="0" borderId="19" xfId="50" applyBorder="1" applyAlignment="1">
      <alignment horizontal="left"/>
    </xf>
    <xf numFmtId="0" fontId="2" fillId="0" borderId="18" xfId="50" applyBorder="1" applyAlignment="1">
      <alignment horizontal="left"/>
    </xf>
    <xf numFmtId="0" fontId="58" fillId="0" borderId="16" xfId="50" applyFont="1" applyBorder="1" applyAlignment="1">
      <alignment vertical="center" wrapText="1"/>
    </xf>
    <xf numFmtId="0" fontId="58" fillId="0" borderId="16" xfId="50" applyFont="1" applyBorder="1" applyAlignment="1">
      <alignment vertical="center"/>
    </xf>
    <xf numFmtId="0" fontId="58" fillId="0" borderId="16" xfId="50" applyFont="1" applyBorder="1" applyAlignment="1">
      <alignment horizontal="center" vertical="center"/>
    </xf>
    <xf numFmtId="0" fontId="56" fillId="24" borderId="16" xfId="50" applyFont="1" applyFill="1" applyBorder="1" applyAlignment="1">
      <alignment vertical="center"/>
    </xf>
    <xf numFmtId="0" fontId="56" fillId="24" borderId="16" xfId="50" applyFont="1" applyFill="1" applyBorder="1" applyAlignment="1">
      <alignment horizontal="center" vertical="center"/>
    </xf>
    <xf numFmtId="0" fontId="57" fillId="33" borderId="16" xfId="50" applyFont="1" applyFill="1" applyBorder="1" applyAlignment="1">
      <alignment horizontal="center" vertical="center" wrapText="1"/>
    </xf>
    <xf numFmtId="0" fontId="57" fillId="34" borderId="16" xfId="50" applyFont="1" applyFill="1" applyBorder="1" applyAlignment="1">
      <alignment horizontal="center" vertical="center" wrapText="1"/>
    </xf>
    <xf numFmtId="0" fontId="56" fillId="32" borderId="16" xfId="50" applyFont="1" applyFill="1" applyBorder="1" applyAlignment="1">
      <alignment horizontal="center" vertical="center"/>
    </xf>
    <xf numFmtId="0" fontId="57" fillId="32" borderId="16" xfId="50" applyFont="1" applyFill="1" applyBorder="1" applyAlignment="1">
      <alignment horizontal="center" vertical="center" wrapText="1"/>
    </xf>
    <xf numFmtId="0" fontId="37" fillId="0" borderId="31" xfId="0" applyFont="1" applyBorder="1"/>
    <xf numFmtId="0" fontId="2" fillId="25" borderId="12" xfId="50" applyFill="1" applyBorder="1"/>
    <xf numFmtId="0" fontId="2" fillId="0" borderId="16" xfId="50" applyFont="1" applyBorder="1" applyAlignment="1">
      <alignment horizontal="left"/>
    </xf>
    <xf numFmtId="0" fontId="2" fillId="0" borderId="0" xfId="50" applyBorder="1" applyAlignment="1">
      <alignment horizontal="left"/>
    </xf>
    <xf numFmtId="0" fontId="59" fillId="0" borderId="0" xfId="50" applyFont="1" applyBorder="1" applyAlignment="1">
      <alignment horizontal="left"/>
    </xf>
    <xf numFmtId="0" fontId="59" fillId="0" borderId="16" xfId="50" applyFont="1" applyBorder="1"/>
    <xf numFmtId="0" fontId="59" fillId="0" borderId="19" xfId="0" applyFont="1" applyBorder="1" applyAlignment="1">
      <alignment horizontal="left"/>
    </xf>
    <xf numFmtId="0" fontId="3" fillId="0" borderId="0" xfId="50" applyFont="1"/>
    <xf numFmtId="0" fontId="2" fillId="28" borderId="16" xfId="50" applyFill="1" applyBorder="1"/>
    <xf numFmtId="0" fontId="2" fillId="29" borderId="16" xfId="50" applyFill="1" applyBorder="1"/>
    <xf numFmtId="0" fontId="43" fillId="0" borderId="16" xfId="50" applyFont="1" applyBorder="1" applyAlignment="1">
      <alignment horizontal="left"/>
    </xf>
    <xf numFmtId="0" fontId="3" fillId="29" borderId="0" xfId="50" applyFont="1" applyFill="1" applyAlignment="1">
      <alignment vertical="center"/>
    </xf>
    <xf numFmtId="0" fontId="2" fillId="29" borderId="0" xfId="50" applyFill="1" applyAlignment="1">
      <alignment vertical="center"/>
    </xf>
    <xf numFmtId="0" fontId="2" fillId="0" borderId="0" xfId="50" applyAlignment="1">
      <alignment vertical="center"/>
    </xf>
    <xf numFmtId="0" fontId="2" fillId="29" borderId="0" xfId="50" applyFill="1" applyAlignment="1">
      <alignment horizontal="left" vertical="center"/>
    </xf>
    <xf numFmtId="0" fontId="2" fillId="28" borderId="20" xfId="50" applyFill="1" applyBorder="1" applyAlignment="1">
      <alignment vertical="center"/>
    </xf>
    <xf numFmtId="0" fontId="2" fillId="28" borderId="21" xfId="50" applyFill="1" applyBorder="1" applyAlignment="1">
      <alignment vertical="center"/>
    </xf>
    <xf numFmtId="0" fontId="2" fillId="29" borderId="23" xfId="50" applyFill="1" applyBorder="1" applyAlignment="1">
      <alignment vertical="center"/>
    </xf>
    <xf numFmtId="0" fontId="2" fillId="29" borderId="24" xfId="50" applyFill="1" applyBorder="1" applyAlignment="1">
      <alignment vertical="center"/>
    </xf>
    <xf numFmtId="0" fontId="5" fillId="29" borderId="0" xfId="50" applyFont="1" applyFill="1" applyAlignment="1">
      <alignment horizontal="left" vertical="center"/>
    </xf>
    <xf numFmtId="0" fontId="59" fillId="0" borderId="34" xfId="0" applyFont="1" applyBorder="1" applyAlignment="1">
      <alignment horizontal="left"/>
    </xf>
    <xf numFmtId="0" fontId="59" fillId="29" borderId="0" xfId="0" applyFont="1" applyFill="1"/>
    <xf numFmtId="0" fontId="59" fillId="0" borderId="33" xfId="0" applyFont="1" applyBorder="1" applyAlignment="1">
      <alignment horizontal="left"/>
    </xf>
    <xf numFmtId="0" fontId="59" fillId="0" borderId="18" xfId="0" applyFont="1" applyBorder="1" applyAlignment="1">
      <alignment horizontal="left"/>
    </xf>
    <xf numFmtId="0" fontId="59" fillId="29" borderId="0" xfId="0" applyFont="1" applyFill="1" applyAlignment="1">
      <alignment horizontal="left"/>
    </xf>
    <xf numFmtId="0" fontId="3" fillId="0" borderId="0" xfId="0" applyFont="1" applyAlignment="1">
      <alignment vertical="center"/>
    </xf>
    <xf numFmtId="0" fontId="2" fillId="29" borderId="0" xfId="0" applyFont="1" applyFill="1" applyAlignment="1">
      <alignment vertical="center"/>
    </xf>
    <xf numFmtId="0" fontId="0" fillId="28" borderId="16" xfId="0" applyFill="1" applyBorder="1" applyAlignment="1">
      <alignment vertical="center"/>
    </xf>
    <xf numFmtId="0" fontId="0" fillId="29" borderId="16" xfId="0" applyFill="1" applyBorder="1" applyAlignment="1">
      <alignment vertical="center"/>
    </xf>
    <xf numFmtId="0" fontId="0" fillId="29" borderId="0" xfId="0" applyFill="1" applyAlignment="1">
      <alignment vertical="center"/>
    </xf>
    <xf numFmtId="0" fontId="5" fillId="29" borderId="0" xfId="0" applyFont="1" applyFill="1" applyAlignment="1">
      <alignment horizontal="left" vertical="center"/>
    </xf>
    <xf numFmtId="0" fontId="2" fillId="25" borderId="58" xfId="0" applyFont="1" applyFill="1" applyBorder="1" applyAlignment="1">
      <alignment vertical="center"/>
    </xf>
    <xf numFmtId="0" fontId="2" fillId="25" borderId="59" xfId="0" applyFont="1" applyFill="1" applyBorder="1" applyAlignment="1">
      <alignment vertical="center"/>
    </xf>
    <xf numFmtId="0" fontId="2" fillId="25" borderId="60" xfId="0" applyFont="1" applyFill="1" applyBorder="1" applyAlignment="1">
      <alignment vertical="center"/>
    </xf>
    <xf numFmtId="0" fontId="0" fillId="24" borderId="61" xfId="0" applyFill="1" applyBorder="1" applyAlignment="1">
      <alignment vertical="center"/>
    </xf>
    <xf numFmtId="0" fontId="0" fillId="24" borderId="59" xfId="0" applyFill="1" applyBorder="1" applyAlignment="1">
      <alignment vertical="center"/>
    </xf>
    <xf numFmtId="0" fontId="0" fillId="24" borderId="60" xfId="0" applyFill="1" applyBorder="1" applyAlignment="1">
      <alignment vertical="center"/>
    </xf>
    <xf numFmtId="0" fontId="43" fillId="0" borderId="62" xfId="0" applyFont="1" applyBorder="1" applyAlignment="1">
      <alignment horizontal="left" vertical="center"/>
    </xf>
    <xf numFmtId="0" fontId="43" fillId="0" borderId="25" xfId="0" applyFont="1" applyBorder="1" applyAlignment="1">
      <alignment horizontal="left" vertical="center"/>
    </xf>
    <xf numFmtId="0" fontId="43" fillId="0" borderId="26" xfId="0" applyFont="1" applyBorder="1" applyAlignment="1">
      <alignment horizontal="left" vertical="center"/>
    </xf>
    <xf numFmtId="0" fontId="43" fillId="0" borderId="48" xfId="0" applyFont="1" applyBorder="1" applyAlignment="1">
      <alignment horizontal="left" vertical="center"/>
    </xf>
    <xf numFmtId="0" fontId="43" fillId="0" borderId="16" xfId="0" applyFont="1" applyBorder="1" applyAlignment="1">
      <alignment horizontal="left" vertical="center"/>
    </xf>
    <xf numFmtId="0" fontId="43" fillId="0" borderId="22" xfId="0" applyFont="1" applyBorder="1" applyAlignment="1">
      <alignment horizontal="left" vertical="center"/>
    </xf>
    <xf numFmtId="0" fontId="43" fillId="0" borderId="38" xfId="0" applyFont="1" applyBorder="1" applyAlignment="1">
      <alignment horizontal="left" vertical="center"/>
    </xf>
    <xf numFmtId="0" fontId="43" fillId="0" borderId="23" xfId="0" applyFont="1" applyBorder="1" applyAlignment="1">
      <alignment horizontal="left" vertical="center"/>
    </xf>
    <xf numFmtId="0" fontId="43" fillId="0" borderId="31" xfId="0" applyFont="1" applyBorder="1" applyAlignment="1">
      <alignment horizontal="left" vertical="center"/>
    </xf>
    <xf numFmtId="0" fontId="43" fillId="0" borderId="24" xfId="0" applyFont="1" applyBorder="1" applyAlignment="1">
      <alignment horizontal="left" vertical="center"/>
    </xf>
    <xf numFmtId="0" fontId="43" fillId="0" borderId="63" xfId="0" applyFont="1" applyBorder="1" applyAlignment="1">
      <alignment horizontal="left" vertical="center"/>
    </xf>
    <xf numFmtId="0" fontId="2" fillId="0" borderId="0" xfId="0" applyFont="1" applyAlignment="1">
      <alignment horizontal="left" vertical="center"/>
    </xf>
    <xf numFmtId="0" fontId="2" fillId="0" borderId="0" xfId="0" applyFont="1" applyAlignment="1">
      <alignment vertical="center"/>
    </xf>
    <xf numFmtId="0" fontId="59" fillId="0" borderId="37" xfId="0" applyFont="1" applyBorder="1" applyAlignment="1">
      <alignment horizontal="left"/>
    </xf>
    <xf numFmtId="0" fontId="60" fillId="0" borderId="0" xfId="0" applyFont="1"/>
    <xf numFmtId="0" fontId="59" fillId="0" borderId="17" xfId="50" applyFont="1" applyBorder="1" applyAlignment="1">
      <alignment horizontal="left"/>
    </xf>
    <xf numFmtId="0" fontId="2" fillId="25" borderId="65" xfId="0" applyFont="1" applyFill="1" applyBorder="1"/>
    <xf numFmtId="0" fontId="4" fillId="25" borderId="45" xfId="50" applyFont="1" applyFill="1" applyBorder="1"/>
    <xf numFmtId="0" fontId="2" fillId="24" borderId="40" xfId="50" applyFill="1" applyBorder="1"/>
    <xf numFmtId="0" fontId="2" fillId="24" borderId="38" xfId="50" applyFill="1" applyBorder="1"/>
    <xf numFmtId="0" fontId="2" fillId="0" borderId="68" xfId="50" applyBorder="1" applyAlignment="1">
      <alignment horizontal="left"/>
    </xf>
    <xf numFmtId="0" fontId="2" fillId="0" borderId="63" xfId="50" applyBorder="1" applyAlignment="1">
      <alignment horizontal="left"/>
    </xf>
    <xf numFmtId="0" fontId="59" fillId="0" borderId="68" xfId="50" applyFont="1" applyBorder="1" applyAlignment="1">
      <alignment horizontal="left"/>
    </xf>
    <xf numFmtId="0" fontId="59" fillId="0" borderId="67" xfId="50" applyFont="1" applyBorder="1" applyAlignment="1">
      <alignment horizontal="left"/>
    </xf>
    <xf numFmtId="0" fontId="59" fillId="0" borderId="0" xfId="0" applyFont="1" applyBorder="1"/>
    <xf numFmtId="0" fontId="2" fillId="24" borderId="66" xfId="0" applyFont="1" applyFill="1" applyBorder="1"/>
    <xf numFmtId="0" fontId="2" fillId="24" borderId="67" xfId="0" applyFont="1" applyFill="1" applyBorder="1"/>
    <xf numFmtId="0" fontId="43" fillId="0" borderId="39" xfId="0" applyFont="1" applyBorder="1" applyAlignment="1">
      <alignment horizontal="left" vertical="center"/>
    </xf>
    <xf numFmtId="0" fontId="43" fillId="32" borderId="48" xfId="0" applyFont="1" applyFill="1" applyBorder="1" applyAlignment="1">
      <alignment horizontal="left" vertical="center"/>
    </xf>
    <xf numFmtId="0" fontId="43" fillId="32" borderId="16" xfId="0" applyFont="1" applyFill="1" applyBorder="1" applyAlignment="1">
      <alignment horizontal="left" vertical="center"/>
    </xf>
    <xf numFmtId="0" fontId="43" fillId="32" borderId="22" xfId="0" applyFont="1" applyFill="1" applyBorder="1" applyAlignment="1">
      <alignment horizontal="left" vertical="center"/>
    </xf>
    <xf numFmtId="0" fontId="43" fillId="32" borderId="38" xfId="0" applyFont="1" applyFill="1" applyBorder="1" applyAlignment="1">
      <alignment horizontal="left" vertical="center"/>
    </xf>
    <xf numFmtId="0" fontId="2" fillId="0" borderId="48" xfId="50" applyBorder="1" applyAlignment="1">
      <alignment horizontal="left" wrapText="1"/>
    </xf>
    <xf numFmtId="0" fontId="43" fillId="0" borderId="16" xfId="0" applyFont="1" applyBorder="1" applyAlignment="1">
      <alignment horizontal="left" wrapText="1"/>
    </xf>
    <xf numFmtId="0" fontId="43" fillId="0" borderId="27" xfId="0" applyFont="1" applyBorder="1" applyAlignment="1">
      <alignment horizontal="left" vertical="center"/>
    </xf>
    <xf numFmtId="0" fontId="2" fillId="25" borderId="16" xfId="0" applyFont="1" applyFill="1" applyBorder="1"/>
    <xf numFmtId="0" fontId="4" fillId="24" borderId="16" xfId="0" applyFont="1" applyFill="1" applyBorder="1" applyAlignment="1">
      <alignment wrapText="1" shrinkToFit="1"/>
    </xf>
    <xf numFmtId="0" fontId="43" fillId="32" borderId="62" xfId="0" applyFont="1" applyFill="1" applyBorder="1" applyAlignment="1">
      <alignment horizontal="left" vertical="center"/>
    </xf>
    <xf numFmtId="0" fontId="43" fillId="32" borderId="25" xfId="0" applyFont="1" applyFill="1" applyBorder="1" applyAlignment="1">
      <alignment horizontal="left" vertical="center"/>
    </xf>
    <xf numFmtId="0" fontId="2" fillId="0" borderId="16" xfId="50" applyBorder="1" applyAlignment="1">
      <alignment horizontal="left" wrapText="1"/>
    </xf>
    <xf numFmtId="0" fontId="2" fillId="0" borderId="17" xfId="50" applyFont="1" applyBorder="1" applyAlignment="1">
      <alignment horizontal="left"/>
    </xf>
    <xf numFmtId="0" fontId="59" fillId="0" borderId="33" xfId="50" applyFont="1" applyBorder="1" applyAlignment="1">
      <alignment horizontal="left"/>
    </xf>
    <xf numFmtId="0" fontId="59" fillId="0" borderId="34" xfId="50" applyFont="1" applyBorder="1"/>
    <xf numFmtId="0" fontId="59" fillId="0" borderId="35" xfId="50" applyFont="1" applyBorder="1" applyAlignment="1">
      <alignment horizontal="left"/>
    </xf>
    <xf numFmtId="0" fontId="0" fillId="24" borderId="38" xfId="0" applyFill="1" applyBorder="1"/>
    <xf numFmtId="0" fontId="59" fillId="0" borderId="69" xfId="0" applyFont="1" applyBorder="1" applyAlignment="1">
      <alignment horizontal="left"/>
    </xf>
    <xf numFmtId="0" fontId="2" fillId="0" borderId="70" xfId="0" applyFont="1" applyBorder="1" applyAlignment="1">
      <alignment horizontal="left"/>
    </xf>
    <xf numFmtId="0" fontId="60" fillId="0" borderId="16" xfId="0" applyFont="1" applyBorder="1"/>
    <xf numFmtId="0" fontId="54" fillId="0" borderId="16" xfId="50" applyFont="1" applyBorder="1" applyAlignment="1">
      <alignment horizontal="left"/>
    </xf>
    <xf numFmtId="0" fontId="2" fillId="25" borderId="16" xfId="50" applyFill="1" applyBorder="1" applyAlignment="1">
      <alignment wrapText="1"/>
    </xf>
    <xf numFmtId="0" fontId="4" fillId="25" borderId="16" xfId="50" applyFont="1" applyFill="1" applyBorder="1" applyAlignment="1">
      <alignment vertical="center" wrapText="1"/>
    </xf>
    <xf numFmtId="0" fontId="2" fillId="36" borderId="16" xfId="50" applyFill="1" applyBorder="1" applyAlignment="1">
      <alignment vertical="center"/>
    </xf>
    <xf numFmtId="0" fontId="61" fillId="29" borderId="0" xfId="0" applyFont="1" applyFill="1" applyAlignment="1">
      <alignment horizontal="left"/>
    </xf>
    <xf numFmtId="0" fontId="41" fillId="29" borderId="0" xfId="0" applyFont="1" applyFill="1"/>
    <xf numFmtId="0" fontId="41" fillId="29" borderId="0" xfId="0" applyFont="1" applyFill="1" applyAlignment="1">
      <alignment horizontal="center"/>
    </xf>
    <xf numFmtId="0" fontId="56" fillId="32" borderId="16" xfId="50" applyFont="1" applyFill="1" applyBorder="1" applyAlignment="1">
      <alignment vertical="center"/>
    </xf>
    <xf numFmtId="0" fontId="1" fillId="0" borderId="16" xfId="50" applyFont="1" applyBorder="1" applyAlignment="1">
      <alignment vertical="center"/>
    </xf>
    <xf numFmtId="0" fontId="0" fillId="29" borderId="10" xfId="0" applyFill="1" applyBorder="1" applyAlignment="1">
      <alignment vertical="top" wrapText="1"/>
    </xf>
    <xf numFmtId="0" fontId="0" fillId="29" borderId="56" xfId="0" applyFill="1" applyBorder="1" applyAlignment="1">
      <alignment vertical="top" wrapText="1"/>
    </xf>
    <xf numFmtId="0" fontId="2" fillId="29" borderId="16" xfId="0" applyFont="1" applyFill="1" applyBorder="1" applyAlignment="1">
      <alignment vertical="top" wrapText="1"/>
    </xf>
    <xf numFmtId="0" fontId="2" fillId="29" borderId="29" xfId="0" applyFont="1" applyFill="1" applyBorder="1" applyAlignment="1">
      <alignment vertical="top" wrapText="1"/>
    </xf>
    <xf numFmtId="0" fontId="2" fillId="29" borderId="31" xfId="0" applyFont="1" applyFill="1" applyBorder="1" applyAlignment="1">
      <alignment vertical="top" wrapText="1"/>
    </xf>
    <xf numFmtId="0" fontId="2" fillId="29" borderId="10" xfId="0" applyFont="1" applyFill="1" applyBorder="1" applyAlignment="1">
      <alignment vertical="top" wrapText="1"/>
    </xf>
    <xf numFmtId="0" fontId="2" fillId="29" borderId="28" xfId="0" applyFont="1" applyFill="1" applyBorder="1" applyAlignment="1">
      <alignment vertical="top" wrapText="1"/>
    </xf>
    <xf numFmtId="0" fontId="2" fillId="37" borderId="16" xfId="0" applyFont="1" applyFill="1" applyBorder="1" applyAlignment="1"/>
    <xf numFmtId="0" fontId="43" fillId="37" borderId="16" xfId="0" applyFont="1" applyFill="1" applyBorder="1" applyAlignment="1">
      <alignment horizontal="left"/>
    </xf>
    <xf numFmtId="0" fontId="2" fillId="37" borderId="0" xfId="0" applyFont="1" applyFill="1" applyAlignment="1">
      <alignment horizontal="center"/>
    </xf>
    <xf numFmtId="0" fontId="0" fillId="37" borderId="0" xfId="0" applyFill="1"/>
    <xf numFmtId="0" fontId="2" fillId="37" borderId="0" xfId="0" applyFont="1" applyFill="1"/>
    <xf numFmtId="0" fontId="2" fillId="37" borderId="0" xfId="0" applyFont="1" applyFill="1" applyAlignment="1">
      <alignment horizontal="left"/>
    </xf>
    <xf numFmtId="0" fontId="2" fillId="37" borderId="17" xfId="0" applyFont="1" applyFill="1" applyBorder="1" applyAlignment="1">
      <alignment horizontal="left"/>
    </xf>
    <xf numFmtId="0" fontId="18" fillId="37" borderId="0" xfId="0" applyFont="1" applyFill="1"/>
    <xf numFmtId="0" fontId="2" fillId="37" borderId="64" xfId="0" applyFont="1" applyFill="1" applyBorder="1"/>
    <xf numFmtId="0" fontId="2" fillId="37" borderId="32" xfId="0" applyFont="1" applyFill="1" applyBorder="1"/>
    <xf numFmtId="0" fontId="18" fillId="37" borderId="42" xfId="0" applyFont="1" applyFill="1" applyBorder="1"/>
    <xf numFmtId="164" fontId="49" fillId="0" borderId="0" xfId="27" applyFont="1" applyAlignment="1">
      <alignment horizontal="center" wrapText="1"/>
    </xf>
    <xf numFmtId="164" fontId="12" fillId="0" borderId="47" xfId="27" applyFont="1" applyBorder="1" applyAlignment="1">
      <alignment horizontal="center"/>
    </xf>
    <xf numFmtId="164" fontId="13" fillId="0" borderId="0" xfId="27" applyFont="1" applyAlignment="1">
      <alignment horizontal="center"/>
    </xf>
    <xf numFmtId="164" fontId="51" fillId="0" borderId="0" xfId="27" applyFont="1" applyAlignment="1">
      <alignment horizontal="center"/>
    </xf>
    <xf numFmtId="164" fontId="50" fillId="0" borderId="0" xfId="27" applyFont="1" applyAlignment="1">
      <alignment horizontal="center"/>
    </xf>
    <xf numFmtId="164" fontId="13" fillId="0" borderId="0" xfId="27" applyFont="1" applyAlignment="1">
      <alignment horizontal="right"/>
    </xf>
    <xf numFmtId="0" fontId="46" fillId="0" borderId="0" xfId="27" applyNumberFormat="1" applyFont="1" applyAlignment="1">
      <alignment horizontal="center"/>
    </xf>
    <xf numFmtId="164" fontId="52" fillId="0" borderId="0" xfId="27" applyFont="1" applyAlignment="1">
      <alignment horizontal="right"/>
    </xf>
    <xf numFmtId="164" fontId="47" fillId="0" borderId="0" xfId="27" applyFont="1" applyAlignment="1">
      <alignment horizontal="center"/>
    </xf>
    <xf numFmtId="164" fontId="53" fillId="0" borderId="0" xfId="27" applyFont="1" applyAlignment="1">
      <alignment horizontal="right"/>
    </xf>
    <xf numFmtId="0" fontId="7" fillId="0" borderId="16" xfId="0" applyFont="1" applyFill="1" applyBorder="1" applyAlignment="1">
      <alignment horizontal="left" vertical="top"/>
    </xf>
    <xf numFmtId="0" fontId="11" fillId="24" borderId="16" xfId="0" applyFont="1" applyFill="1" applyBorder="1" applyAlignment="1">
      <alignment horizontal="left" vertical="top"/>
    </xf>
    <xf numFmtId="0" fontId="11" fillId="24" borderId="40" xfId="0" applyFont="1" applyFill="1" applyBorder="1" applyAlignment="1">
      <alignment horizontal="left" vertical="top" wrapText="1"/>
    </xf>
    <xf numFmtId="0" fontId="11" fillId="24" borderId="38" xfId="0" applyFont="1" applyFill="1" applyBorder="1" applyAlignment="1">
      <alignment horizontal="left" vertical="top" wrapText="1"/>
    </xf>
    <xf numFmtId="0" fontId="40" fillId="27" borderId="11" xfId="0" applyFont="1" applyFill="1" applyBorder="1" applyAlignment="1">
      <alignment horizontal="left" vertical="center"/>
    </xf>
    <xf numFmtId="0" fontId="40" fillId="27" borderId="44" xfId="0" applyFont="1" applyFill="1" applyBorder="1" applyAlignment="1">
      <alignment horizontal="left" vertical="center"/>
    </xf>
    <xf numFmtId="0" fontId="40" fillId="27" borderId="12" xfId="0" applyFont="1" applyFill="1" applyBorder="1" applyAlignment="1">
      <alignment horizontal="left" vertical="center"/>
    </xf>
    <xf numFmtId="0" fontId="4" fillId="24" borderId="48" xfId="49" applyFont="1" applyFill="1" applyBorder="1" applyAlignment="1">
      <alignment horizontal="left" vertical="top" wrapText="1"/>
    </xf>
    <xf numFmtId="0" fontId="4" fillId="24" borderId="16" xfId="49" applyFont="1" applyFill="1" applyBorder="1" applyAlignment="1">
      <alignment horizontal="left" vertical="top" wrapText="1"/>
    </xf>
    <xf numFmtId="0" fontId="2" fillId="0" borderId="38" xfId="49" applyFill="1" applyBorder="1" applyAlignment="1">
      <alignment horizontal="left" vertical="top" wrapText="1"/>
    </xf>
    <xf numFmtId="0" fontId="2" fillId="0" borderId="16" xfId="49" applyFill="1" applyBorder="1" applyAlignment="1">
      <alignment horizontal="left" vertical="top" wrapText="1"/>
    </xf>
    <xf numFmtId="0" fontId="2" fillId="0" borderId="22" xfId="49" applyFill="1" applyBorder="1" applyAlignment="1">
      <alignment horizontal="left" vertical="top" wrapText="1"/>
    </xf>
    <xf numFmtId="0" fontId="4" fillId="24" borderId="11" xfId="49" applyFont="1" applyFill="1" applyBorder="1" applyAlignment="1">
      <alignment horizontal="left" vertical="top"/>
    </xf>
    <xf numFmtId="0" fontId="4" fillId="24" borderId="44" xfId="49" applyFont="1" applyFill="1" applyBorder="1" applyAlignment="1">
      <alignment horizontal="left" vertical="top"/>
    </xf>
    <xf numFmtId="0" fontId="2" fillId="0" borderId="44" xfId="49" applyBorder="1" applyAlignment="1">
      <alignment horizontal="left" vertical="top" wrapText="1"/>
    </xf>
    <xf numFmtId="0" fontId="2" fillId="0" borderId="12" xfId="49" applyBorder="1" applyAlignment="1">
      <alignment horizontal="left" vertical="top" wrapText="1"/>
    </xf>
    <xf numFmtId="0" fontId="3" fillId="0" borderId="0" xfId="49" applyFont="1"/>
    <xf numFmtId="0" fontId="4" fillId="25" borderId="11" xfId="49" applyFont="1" applyFill="1" applyBorder="1"/>
    <xf numFmtId="0" fontId="4" fillId="25" borderId="44" xfId="49" applyFont="1" applyFill="1" applyBorder="1"/>
    <xf numFmtId="0" fontId="4" fillId="25" borderId="12" xfId="49" applyFont="1" applyFill="1" applyBorder="1"/>
    <xf numFmtId="0" fontId="2" fillId="28" borderId="20" xfId="49" applyFill="1" applyBorder="1"/>
    <xf numFmtId="0" fontId="2" fillId="28" borderId="27" xfId="49" applyFill="1" applyBorder="1"/>
    <xf numFmtId="0" fontId="2" fillId="28" borderId="50" xfId="49" applyFill="1" applyBorder="1"/>
    <xf numFmtId="0" fontId="2" fillId="0" borderId="23" xfId="49" applyBorder="1"/>
    <xf numFmtId="0" fontId="2" fillId="0" borderId="31" xfId="0" applyFont="1" applyBorder="1" applyAlignment="1"/>
    <xf numFmtId="0" fontId="2" fillId="0" borderId="49" xfId="0" applyFont="1" applyBorder="1" applyAlignment="1"/>
    <xf numFmtId="0" fontId="4" fillId="24" borderId="20" xfId="49" applyFont="1" applyFill="1" applyBorder="1" applyAlignment="1">
      <alignment horizontal="left" vertical="top"/>
    </xf>
    <xf numFmtId="0" fontId="4" fillId="24" borderId="27" xfId="49" applyFont="1" applyFill="1" applyBorder="1" applyAlignment="1">
      <alignment horizontal="left" vertical="top"/>
    </xf>
    <xf numFmtId="0" fontId="2" fillId="0" borderId="39" xfId="49" applyBorder="1" applyAlignment="1">
      <alignment horizontal="left" vertical="top" wrapText="1"/>
    </xf>
    <xf numFmtId="0" fontId="2" fillId="0" borderId="25" xfId="49" applyBorder="1" applyAlignment="1">
      <alignment horizontal="left" vertical="top" wrapText="1"/>
    </xf>
    <xf numFmtId="0" fontId="2" fillId="0" borderId="26" xfId="49" applyBorder="1" applyAlignment="1">
      <alignment horizontal="left" vertical="top" wrapText="1"/>
    </xf>
    <xf numFmtId="0" fontId="2" fillId="0" borderId="38" xfId="49" applyBorder="1" applyAlignment="1">
      <alignment horizontal="left" vertical="top" wrapText="1"/>
    </xf>
    <xf numFmtId="0" fontId="2" fillId="0" borderId="16" xfId="49" applyBorder="1" applyAlignment="1">
      <alignment horizontal="left" vertical="top" wrapText="1"/>
    </xf>
    <xf numFmtId="0" fontId="2" fillId="0" borderId="22" xfId="49" applyBorder="1" applyAlignment="1">
      <alignment horizontal="left" vertical="top" wrapText="1"/>
    </xf>
    <xf numFmtId="0" fontId="2" fillId="0" borderId="31" xfId="50" applyBorder="1" applyAlignment="1"/>
    <xf numFmtId="0" fontId="2" fillId="0" borderId="49" xfId="50" applyBorder="1" applyAlignment="1"/>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Neutral" xfId="32" builtinId="28" customBuiltin="1"/>
    <cellStyle name="Neutral 2" xfId="47" xr:uid="{00000000-0005-0000-0000-000020000000}"/>
    <cellStyle name="Normal" xfId="0" builtinId="0"/>
    <cellStyle name="Normal 2" xfId="33" xr:uid="{00000000-0005-0000-0000-000022000000}"/>
    <cellStyle name="Normal 2 10" xfId="50" xr:uid="{00000000-0005-0000-0000-000023000000}"/>
    <cellStyle name="Normal 2 2" xfId="46" xr:uid="{00000000-0005-0000-0000-000024000000}"/>
    <cellStyle name="Normal 3" xfId="45" xr:uid="{00000000-0005-0000-0000-000025000000}"/>
    <cellStyle name="Notiz" xfId="34" xr:uid="{00000000-0005-0000-0000-000027000000}"/>
    <cellStyle name="Notiz 2" xfId="48" xr:uid="{00000000-0005-0000-0000-000028000000}"/>
    <cellStyle name="Schlecht" xfId="35" xr:uid="{00000000-0005-0000-0000-000029000000}"/>
    <cellStyle name="Standard 2" xfId="36" xr:uid="{00000000-0005-0000-0000-00002A000000}"/>
    <cellStyle name="Standard 2 2" xfId="49" xr:uid="{00000000-0005-0000-0000-00002B000000}"/>
    <cellStyle name="Überschrift" xfId="37" xr:uid="{00000000-0005-0000-0000-00002C000000}"/>
    <cellStyle name="Überschrift 1" xfId="38" xr:uid="{00000000-0005-0000-0000-00002D000000}"/>
    <cellStyle name="Überschrift 2" xfId="39" xr:uid="{00000000-0005-0000-0000-00002E000000}"/>
    <cellStyle name="Überschrift 3" xfId="40" xr:uid="{00000000-0005-0000-0000-00002F000000}"/>
    <cellStyle name="Überschrift 4" xfId="41" xr:uid="{00000000-0005-0000-0000-000030000000}"/>
    <cellStyle name="Verknüpfte Zelle" xfId="42" xr:uid="{00000000-0005-0000-0000-000031000000}"/>
    <cellStyle name="Warnender Text" xfId="43" xr:uid="{00000000-0005-0000-0000-000032000000}"/>
    <cellStyle name="Zelle überprüfen" xfId="44" xr:uid="{00000000-0005-0000-0000-000033000000}"/>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6</xdr:row>
      <xdr:rowOff>104775</xdr:rowOff>
    </xdr:from>
    <xdr:to>
      <xdr:col>6</xdr:col>
      <xdr:colOff>104775</xdr:colOff>
      <xdr:row>11</xdr:row>
      <xdr:rowOff>161925</xdr:rowOff>
    </xdr:to>
    <xdr:sp macro="" textlink="">
      <xdr:nvSpPr>
        <xdr:cNvPr id="12338" name="Rectangle 1">
          <a:extLst>
            <a:ext uri="{FF2B5EF4-FFF2-40B4-BE49-F238E27FC236}">
              <a16:creationId xmlns:a16="http://schemas.microsoft.com/office/drawing/2014/main" id="{00000000-0008-0000-0000-000032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5</xdr:col>
      <xdr:colOff>485775</xdr:colOff>
      <xdr:row>6</xdr:row>
      <xdr:rowOff>104775</xdr:rowOff>
    </xdr:from>
    <xdr:to>
      <xdr:col>6</xdr:col>
      <xdr:colOff>104775</xdr:colOff>
      <xdr:row>11</xdr:row>
      <xdr:rowOff>161925</xdr:rowOff>
    </xdr:to>
    <xdr:sp macro="" textlink="">
      <xdr:nvSpPr>
        <xdr:cNvPr id="12339" name="Rectangle 4">
          <a:extLst>
            <a:ext uri="{FF2B5EF4-FFF2-40B4-BE49-F238E27FC236}">
              <a16:creationId xmlns:a16="http://schemas.microsoft.com/office/drawing/2014/main" id="{00000000-0008-0000-0000-000033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14</xdr:col>
      <xdr:colOff>535781</xdr:colOff>
      <xdr:row>9</xdr:row>
      <xdr:rowOff>9525</xdr:rowOff>
    </xdr:to>
    <xdr:pic>
      <xdr:nvPicPr>
        <xdr:cNvPr id="12340" name="Picture 7">
          <a:extLst>
            <a:ext uri="{FF2B5EF4-FFF2-40B4-BE49-F238E27FC236}">
              <a16:creationId xmlns:a16="http://schemas.microsoft.com/office/drawing/2014/main" id="{00000000-0008-0000-0000-0000343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1134725" cy="1476375"/>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9CDCE703-356F-47A6-8182-5B25D8F8AA5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Level of Detail</a:t>
          </a:r>
        </a:p>
        <a:p>
          <a:pPr algn="l" rtl="0">
            <a:defRPr sz="1000"/>
          </a:pPr>
          <a:endParaRPr lang="en-US" sz="1000" b="1"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2BB0FFFF-0901-4CD5-9E70-1838E04D6E1D}"/>
            </a:ext>
          </a:extLst>
        </xdr:cNvPr>
        <xdr:cNvSpPr>
          <a:spLocks noChangeArrowheads="1"/>
        </xdr:cNvSpPr>
      </xdr:nvSpPr>
      <xdr:spPr bwMode="auto">
        <a:xfrm>
          <a:off x="0" y="0"/>
          <a:ext cx="0" cy="0"/>
        </a:xfrm>
        <a:prstGeom prst="rect">
          <a:avLst/>
        </a:prstGeom>
        <a:solidFill>
          <a:srgbClr val="00800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FFFFFF"/>
              </a:solidFill>
              <a:latin typeface="Arial"/>
              <a:cs typeface="Arial"/>
            </a:rPr>
            <a:t>To be filled out during technical design</a:t>
          </a:r>
        </a:p>
      </xdr:txBody>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1E207F8A-AFC4-4A07-BF51-67D88B3B44E0}"/>
            </a:ext>
          </a:extLst>
        </xdr:cNvPr>
        <xdr:cNvSpPr>
          <a:spLocks noChangeArrowheads="1"/>
        </xdr:cNvSpPr>
      </xdr:nvSpPr>
      <xdr:spPr bwMode="auto">
        <a:xfrm>
          <a:off x="0" y="0"/>
          <a:ext cx="0" cy="0"/>
        </a:xfrm>
        <a:prstGeom prst="rect">
          <a:avLst/>
        </a:prstGeom>
        <a:solidFill>
          <a:srgbClr val="0000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FFFFFF"/>
              </a:solidFill>
              <a:latin typeface="Arial"/>
              <a:cs typeface="Arial"/>
            </a:rPr>
            <a:t>To be filled out during functional design</a:t>
          </a:r>
        </a:p>
      </xdr:txBody>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B6A84123-F058-45B9-812F-20E23C37ED7C}"/>
            </a:ext>
          </a:extLst>
        </xdr:cNvPr>
        <xdr:cNvSpPr>
          <a:spLocks noChangeArrowheads="1"/>
        </xdr:cNvSpPr>
      </xdr:nvSpPr>
      <xdr:spPr bwMode="auto">
        <a:xfrm>
          <a:off x="0" y="0"/>
          <a:ext cx="0" cy="0"/>
        </a:xfrm>
        <a:prstGeom prst="rect">
          <a:avLst/>
        </a:prstGeom>
        <a:solidFill>
          <a:srgbClr val="00808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FFFFFF"/>
              </a:solidFill>
              <a:latin typeface="Arial"/>
              <a:cs typeface="Arial"/>
            </a:rPr>
            <a:t>To be defined centrally, with configuration guidelines</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78104</xdr:colOff>
      <xdr:row>8</xdr:row>
      <xdr:rowOff>91441</xdr:rowOff>
    </xdr:from>
    <xdr:ext cx="12289156" cy="15880079"/>
    <xdr:sp macro="" textlink="">
      <xdr:nvSpPr>
        <xdr:cNvPr id="2" name="TextBox 1">
          <a:extLst>
            <a:ext uri="{FF2B5EF4-FFF2-40B4-BE49-F238E27FC236}">
              <a16:creationId xmlns:a16="http://schemas.microsoft.com/office/drawing/2014/main" id="{166CEB68-329B-4661-A188-96A44752681F}"/>
            </a:ext>
          </a:extLst>
        </xdr:cNvPr>
        <xdr:cNvSpPr txBox="1"/>
      </xdr:nvSpPr>
      <xdr:spPr>
        <a:xfrm>
          <a:off x="78104" y="2118361"/>
          <a:ext cx="12289156" cy="158800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effectLst/>
            </a:rPr>
            <a:t>function BusComp_PreSetFieldValue (FieldName, FieldValue)</a:t>
          </a:r>
        </a:p>
        <a:p>
          <a:r>
            <a:rPr lang="en-GB">
              <a:effectLst/>
            </a:rPr>
            <a:t>{</a:t>
          </a:r>
        </a:p>
        <a:p>
          <a:r>
            <a:rPr lang="en-GB">
              <a:effectLst/>
            </a:rPr>
            <a:t>	</a:t>
          </a:r>
          <a:r>
            <a:rPr lang="en-GB" b="1">
              <a:effectLst/>
            </a:rPr>
            <a:t>.</a:t>
          </a:r>
        </a:p>
        <a:p>
          <a:r>
            <a:rPr lang="en-GB" b="1">
              <a:effectLst/>
            </a:rPr>
            <a:t>	. Existing Script</a:t>
          </a:r>
        </a:p>
        <a:p>
          <a:r>
            <a:rPr lang="en-GB" b="1">
              <a:effectLst/>
            </a:rPr>
            <a:t>	.</a:t>
          </a:r>
        </a:p>
        <a:p>
          <a:endParaRPr lang="en-GB">
            <a:effectLst/>
          </a:endParaRPr>
        </a:p>
        <a:p>
          <a:r>
            <a:rPr lang="en-GB">
              <a:effectLst/>
            </a:rPr>
            <a:t>	var sStatType = TheApplication().InvokeMethod ("LookupValue","SRV_AGREE_STATUS","Active");</a:t>
          </a:r>
        </a:p>
        <a:p>
          <a:r>
            <a:rPr lang="en-GB">
              <a:effectLst/>
            </a:rPr>
            <a:t>	if(FieldName == "Agreement Status" &amp;&amp; FieldValue == sStatType)</a:t>
          </a:r>
        </a:p>
        <a:p>
          <a:r>
            <a:rPr lang="en-GB">
              <a:effectLst/>
            </a:rPr>
            <a:t>	{</a:t>
          </a:r>
        </a:p>
        <a:p>
          <a:r>
            <a:rPr lang="en-GB">
              <a:effectLst/>
            </a:rPr>
            <a:t>		var oBOServAgree = TheApplication().GetBusObject("JTI Template Service Agreement");</a:t>
          </a:r>
        </a:p>
        <a:p>
          <a:r>
            <a:rPr lang="en-GB">
              <a:effectLst/>
            </a:rPr>
            <a:t>		var oBCServAgreeAcc = oBOServAgree.GetBusComp("JTI JTI Service Agreement/Account");</a:t>
          </a:r>
        </a:p>
        <a:p>
          <a:endParaRPr lang="en-GB">
            <a:effectLst/>
          </a:endParaRPr>
        </a:p>
        <a:p>
          <a:r>
            <a:rPr lang="en-GB">
              <a:effectLst/>
            </a:rPr>
            <a:t>		with (oBCServAgreeAcc)</a:t>
          </a:r>
        </a:p>
        <a:p>
          <a:r>
            <a:rPr lang="en-GB">
              <a:effectLst/>
            </a:rPr>
            <a:t>		{</a:t>
          </a:r>
        </a:p>
        <a:p>
          <a:r>
            <a:rPr lang="en-GB">
              <a:effectLst/>
            </a:rPr>
            <a:t>			ClearToQuery();</a:t>
          </a:r>
        </a:p>
        <a:p>
          <a:r>
            <a:rPr lang="en-GB">
              <a:effectLst/>
            </a:rPr>
            <a:t>			SetViewMode(OrganizationView)</a:t>
          </a:r>
        </a:p>
        <a:p>
          <a:r>
            <a:rPr lang="en-GB">
              <a:effectLst/>
            </a:rPr>
            <a:t>			SetSearchSpec("Agreement Id", this.GetFieldValue("Id"));</a:t>
          </a:r>
        </a:p>
        <a:p>
          <a:r>
            <a:rPr lang="en-GB">
              <a:effectLst/>
            </a:rPr>
            <a:t>			ExecuteQuery(ForwardOnly);</a:t>
          </a:r>
        </a:p>
        <a:p>
          <a:r>
            <a:rPr lang="en-GB">
              <a:effectLst/>
            </a:rPr>
            <a:t>		}</a:t>
          </a:r>
        </a:p>
        <a:p>
          <a:endParaRPr lang="en-GB">
            <a:effectLst/>
          </a:endParaRPr>
        </a:p>
        <a:p>
          <a:r>
            <a:rPr lang="en-GB">
              <a:effectLst/>
            </a:rPr>
            <a:t>		if (!oBCServAgreeAcc.FirstRecord())</a:t>
          </a:r>
        </a:p>
        <a:p>
          <a:r>
            <a:rPr lang="en-GB">
              <a:effectLst/>
            </a:rPr>
            <a:t>		{</a:t>
          </a:r>
        </a:p>
        <a:p>
          <a:r>
            <a:rPr lang="en-GB">
              <a:effectLst/>
            </a:rPr>
            <a:t>			var sError = TheApplication().LookupMessage("User Defined Errors", "JTI_X_COMMIT_ACCOUNT");</a:t>
          </a:r>
        </a:p>
        <a:p>
          <a:r>
            <a:rPr lang="en-GB">
              <a:effectLst/>
            </a:rPr>
            <a:t>			TheApplication().RaiseErrorText(sError);</a:t>
          </a:r>
        </a:p>
        <a:p>
          <a:r>
            <a:rPr lang="en-GB">
              <a:effectLst/>
            </a:rPr>
            <a:t>			return (CancelOperation);</a:t>
          </a:r>
        </a:p>
        <a:p>
          <a:r>
            <a:rPr lang="en-GB">
              <a:effectLst/>
            </a:rPr>
            <a:t>		}</a:t>
          </a:r>
        </a:p>
        <a:p>
          <a:r>
            <a:rPr lang="en-GB">
              <a:effectLst/>
            </a:rPr>
            <a:t>		//[SS 05.10.12]Defect#311: Script added to validate if contract terms were added to the agreement</a:t>
          </a:r>
        </a:p>
        <a:p>
          <a:r>
            <a:rPr lang="en-GB">
              <a:effectLst/>
            </a:rPr>
            <a:t>		this.ActivateField("JTI Count Agree Item");</a:t>
          </a:r>
        </a:p>
        <a:p>
          <a:r>
            <a:rPr lang="en-GB">
              <a:effectLst/>
            </a:rPr>
            <a:t>		//if(this.GetFieldValue("JTI Count Agree Item") &lt;= 0)    [DJ 02.06.2016] CHG089506 - Defect 338 : inactivated code to enbale validation "If there is no contract terms nor contract rate current validation message must be displayed"</a:t>
          </a:r>
        </a:p>
        <a:p>
          <a:r>
            <a:rPr lang="en-GB">
              <a:effectLst/>
            </a:rPr>
            <a:t>		this.ActivateField("JTI Count Agree Rate Item");</a:t>
          </a:r>
        </a:p>
        <a:p>
          <a:r>
            <a:rPr lang="en-GB">
              <a:effectLst/>
            </a:rPr>
            <a:t>		if((this.GetFieldValue("JTI Count Agree Item") &lt;= 0) &amp;&amp; (this.GetFieldValue("JTI Count Agree Rate Item") &lt;= 0))</a:t>
          </a:r>
        </a:p>
        <a:p>
          <a:r>
            <a:rPr lang="en-GB">
              <a:effectLst/>
            </a:rPr>
            <a:t>		{</a:t>
          </a:r>
        </a:p>
        <a:p>
          <a:r>
            <a:rPr lang="en-GB">
              <a:effectLst/>
            </a:rPr>
            <a:t>			var sErrormsg = TheApplication().LookupMessage("User Defined Errors","JTI_AGREE_LINE_ITEM");</a:t>
          </a:r>
        </a:p>
        <a:p>
          <a:r>
            <a:rPr lang="en-GB">
              <a:effectLst/>
            </a:rPr>
            <a:t>		   	TheApplication().RaiseErrorText(sErrormsg);</a:t>
          </a:r>
        </a:p>
        <a:p>
          <a:r>
            <a:rPr lang="en-GB">
              <a:effectLst/>
            </a:rPr>
            <a:t>		   	return (CancelOperation);</a:t>
          </a:r>
        </a:p>
        <a:p>
          <a:r>
            <a:rPr lang="en-GB">
              <a:effectLst/>
            </a:rPr>
            <a:t>		}</a:t>
          </a:r>
        </a:p>
        <a:p>
          <a:r>
            <a:rPr lang="en-GB">
              <a:effectLst/>
            </a:rPr>
            <a:t>		</a:t>
          </a:r>
        </a:p>
        <a:p>
          <a:r>
            <a:rPr lang="en-GB">
              <a:effectLst/>
            </a:rPr>
            <a:t>	</a:t>
          </a:r>
          <a:r>
            <a:rPr lang="en-GB">
              <a:solidFill>
                <a:srgbClr val="0000FF"/>
              </a:solidFill>
              <a:effectLst/>
            </a:rPr>
            <a:t>	//Validate if Total Amount &gt; Total Amt Limit</a:t>
          </a:r>
        </a:p>
        <a:p>
          <a:pPr marL="0" marR="0" lvl="0" indent="0" defTabSz="914400" eaLnBrk="1" fontAlgn="auto" latinLnBrk="0" hangingPunct="1">
            <a:lnSpc>
              <a:spcPct val="100000"/>
            </a:lnSpc>
            <a:spcBef>
              <a:spcPts val="0"/>
            </a:spcBef>
            <a:spcAft>
              <a:spcPts val="0"/>
            </a:spcAft>
            <a:buClrTx/>
            <a:buSzTx/>
            <a:buFontTx/>
            <a:buNone/>
            <a:tabLst/>
            <a:defRPr/>
          </a:pPr>
          <a:r>
            <a:rPr lang="en-GB">
              <a:solidFill>
                <a:srgbClr val="0000FF"/>
              </a:solidFill>
              <a:effectLst/>
            </a:rPr>
            <a:t>		</a:t>
          </a:r>
          <a:r>
            <a:rPr lang="en-GB" sz="1100">
              <a:solidFill>
                <a:srgbClr val="0000FF"/>
              </a:solidFill>
              <a:effectLst/>
              <a:latin typeface="+mn-lt"/>
              <a:ea typeface="+mn-ea"/>
              <a:cs typeface="+mn-cs"/>
            </a:rPr>
            <a:t>var sAmtLimit = ToNumber(this.GetFieldValue("JTI Total Amount Limit"));</a:t>
          </a:r>
          <a:endParaRPr lang="en-GB">
            <a:solidFill>
              <a:srgbClr val="0000FF"/>
            </a:solidFill>
            <a:effectLst/>
          </a:endParaRPr>
        </a:p>
        <a:p>
          <a:r>
            <a:rPr lang="en-GB">
              <a:solidFill>
                <a:srgbClr val="0000FF"/>
              </a:solidFill>
              <a:effectLst/>
            </a:rPr>
            <a:t>		if(</a:t>
          </a:r>
          <a:r>
            <a:rPr lang="en-GB" sz="1100">
              <a:solidFill>
                <a:srgbClr val="0000FF"/>
              </a:solidFill>
              <a:effectLst/>
              <a:latin typeface="+mn-lt"/>
              <a:ea typeface="+mn-ea"/>
              <a:cs typeface="+mn-cs"/>
            </a:rPr>
            <a:t>sAmtLimit &gt; 0</a:t>
          </a:r>
          <a:r>
            <a:rPr lang="en-GB">
              <a:solidFill>
                <a:srgbClr val="0000FF"/>
              </a:solidFill>
              <a:effectLst/>
            </a:rPr>
            <a:t>)</a:t>
          </a:r>
        </a:p>
        <a:p>
          <a:r>
            <a:rPr lang="en-GB">
              <a:solidFill>
                <a:srgbClr val="0000FF"/>
              </a:solidFill>
              <a:effectLst/>
            </a:rPr>
            <a:t>		{</a:t>
          </a:r>
        </a:p>
        <a:p>
          <a:pPr marL="0" marR="0" lvl="0" indent="0"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			</a:t>
          </a:r>
          <a:r>
            <a:rPr lang="en-GB" sz="1100">
              <a:solidFill>
                <a:srgbClr val="0000FF"/>
              </a:solidFill>
              <a:effectLst/>
              <a:latin typeface="+mn-lt"/>
              <a:ea typeface="+mn-ea"/>
              <a:cs typeface="+mn-cs"/>
            </a:rPr>
            <a:t>var sValidateTotalAmtLimit = CheckLOV("JTI_MARKET_SETTINGS", "VALIDATE_AMT_LIMIT", "TRUE");</a:t>
          </a:r>
        </a:p>
        <a:p>
          <a:r>
            <a:rPr lang="en-GB">
              <a:solidFill>
                <a:srgbClr val="0000FF"/>
              </a:solidFill>
              <a:effectLst/>
            </a:rPr>
            <a:t>			this.ActivateField("JTI Total Amount");</a:t>
          </a:r>
        </a:p>
        <a:p>
          <a:r>
            <a:rPr lang="en-GB">
              <a:solidFill>
                <a:srgbClr val="0000FF"/>
              </a:solidFill>
              <a:effectLst/>
            </a:rPr>
            <a:t>			var sTotalAmt = ToNumber(this.GetFieldValue("JTI Total Amount"));			</a:t>
          </a:r>
        </a:p>
        <a:p>
          <a:r>
            <a:rPr lang="en-GB">
              <a:solidFill>
                <a:srgbClr val="0000FF"/>
              </a:solidFill>
              <a:effectLst/>
            </a:rPr>
            <a:t>			var sAmtDiff = sTotalAmt-sAmtLimit;</a:t>
          </a:r>
        </a:p>
        <a:p>
          <a:r>
            <a:rPr lang="en-GB">
              <a:solidFill>
                <a:srgbClr val="0000FF"/>
              </a:solidFill>
              <a:effectLst/>
            </a:rPr>
            <a:t>			if (</a:t>
          </a:r>
          <a:r>
            <a:rPr lang="en-GB" sz="1100">
              <a:solidFill>
                <a:srgbClr val="0000FF"/>
              </a:solidFill>
              <a:effectLst/>
              <a:latin typeface="+mn-lt"/>
              <a:ea typeface="+mn-ea"/>
              <a:cs typeface="+mn-cs"/>
            </a:rPr>
            <a:t>sValidateTotalAmtLimit == "true" &amp;&amp; </a:t>
          </a:r>
          <a:r>
            <a:rPr lang="en-GB">
              <a:solidFill>
                <a:srgbClr val="0000FF"/>
              </a:solidFill>
              <a:effectLst/>
            </a:rPr>
            <a:t>sTotalAmt &gt; sAmtLimit)</a:t>
          </a:r>
        </a:p>
        <a:p>
          <a:r>
            <a:rPr lang="en-GB">
              <a:solidFill>
                <a:srgbClr val="0000FF"/>
              </a:solidFill>
              <a:effectLst/>
            </a:rPr>
            <a:t>			{</a:t>
          </a:r>
        </a:p>
        <a:p>
          <a:r>
            <a:rPr lang="en-GB">
              <a:solidFill>
                <a:srgbClr val="0000FF"/>
              </a:solidFill>
              <a:effectLst/>
            </a:rPr>
            <a:t>				var sError = TheApplication().LookupMessage("User Defined Errors","JTI_X_TOTAL_AMT_LIMIT_ERR", sAmtDiff);</a:t>
          </a:r>
        </a:p>
        <a:p>
          <a:r>
            <a:rPr lang="en-GB">
              <a:solidFill>
                <a:srgbClr val="0000FF"/>
              </a:solidFill>
              <a:effectLst/>
            </a:rPr>
            <a:t>				TheApplication().RaiseErrorText(sError);</a:t>
          </a:r>
        </a:p>
        <a:p>
          <a:r>
            <a:rPr lang="en-GB">
              <a:solidFill>
                <a:srgbClr val="0000FF"/>
              </a:solidFill>
              <a:effectLst/>
            </a:rPr>
            <a:t>				return (CancelOperation);</a:t>
          </a:r>
        </a:p>
        <a:p>
          <a:r>
            <a:rPr lang="en-GB">
              <a:solidFill>
                <a:srgbClr val="0000FF"/>
              </a:solidFill>
              <a:effectLst/>
            </a:rPr>
            <a:t>			}</a:t>
          </a:r>
        </a:p>
        <a:p>
          <a:r>
            <a:rPr lang="en-GB">
              <a:solidFill>
                <a:srgbClr val="0000FF"/>
              </a:solidFill>
              <a:effectLst/>
            </a:rPr>
            <a:t>		}</a:t>
          </a:r>
        </a:p>
        <a:p>
          <a:r>
            <a:rPr lang="en-GB">
              <a:solidFill>
                <a:srgbClr val="0000FF"/>
              </a:solidFill>
              <a:effectLst/>
            </a:rPr>
            <a:t>		//Validate if Total Point &gt; Total Pts Limit</a:t>
          </a:r>
        </a:p>
        <a:p>
          <a:pPr marL="0" marR="0" lvl="0" indent="0" defTabSz="914400" eaLnBrk="1" fontAlgn="auto" latinLnBrk="0" hangingPunct="1">
            <a:lnSpc>
              <a:spcPct val="100000"/>
            </a:lnSpc>
            <a:spcBef>
              <a:spcPts val="0"/>
            </a:spcBef>
            <a:spcAft>
              <a:spcPts val="0"/>
            </a:spcAft>
            <a:buClrTx/>
            <a:buSzTx/>
            <a:buFontTx/>
            <a:buNone/>
            <a:tabLst/>
            <a:defRPr/>
          </a:pPr>
          <a:r>
            <a:rPr lang="en-GB" sz="1100">
              <a:solidFill>
                <a:srgbClr val="0000FF"/>
              </a:solidFill>
              <a:effectLst/>
              <a:latin typeface="+mn-lt"/>
              <a:ea typeface="+mn-ea"/>
              <a:cs typeface="+mn-cs"/>
            </a:rPr>
            <a:t>		var sPtsLimit = ToNumber(this.GetFieldValue("JTI Total Points Limit"));</a:t>
          </a:r>
        </a:p>
        <a:p>
          <a:r>
            <a:rPr lang="en-GB" sz="1100">
              <a:solidFill>
                <a:srgbClr val="0000FF"/>
              </a:solidFill>
              <a:effectLst/>
              <a:latin typeface="+mn-lt"/>
              <a:ea typeface="+mn-ea"/>
              <a:cs typeface="+mn-cs"/>
            </a:rPr>
            <a:t>		if(sPtsLimit &gt; 0)</a:t>
          </a:r>
        </a:p>
        <a:p>
          <a:r>
            <a:rPr lang="en-GB">
              <a:solidFill>
                <a:srgbClr val="0000FF"/>
              </a:solidFill>
              <a:effectLst/>
            </a:rPr>
            <a:t>		{</a:t>
          </a:r>
        </a:p>
        <a:p>
          <a:pPr marL="0" marR="0" lvl="0" indent="0"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			</a:t>
          </a:r>
          <a:r>
            <a:rPr lang="en-GB" sz="1100">
              <a:solidFill>
                <a:srgbClr val="0000FF"/>
              </a:solidFill>
              <a:effectLst/>
              <a:latin typeface="+mn-lt"/>
              <a:ea typeface="+mn-ea"/>
              <a:cs typeface="+mn-cs"/>
            </a:rPr>
            <a:t>var sValidateTotalPtsLimit = CheckLOV("JTI_MARKET_SETTINGS", "VALIDATE_PTS_AMT_LIMIT", "TRUE");</a:t>
          </a:r>
          <a:endParaRPr lang="en-GB">
            <a:solidFill>
              <a:srgbClr val="0000FF"/>
            </a:solidFill>
            <a:effectLst/>
          </a:endParaRPr>
        </a:p>
        <a:p>
          <a:r>
            <a:rPr lang="en-GB">
              <a:solidFill>
                <a:srgbClr val="0000FF"/>
              </a:solidFill>
              <a:effectLst/>
            </a:rPr>
            <a:t>			this.ActivateField("JTI Total Product Points");</a:t>
          </a:r>
        </a:p>
        <a:p>
          <a:r>
            <a:rPr lang="en-GB">
              <a:solidFill>
                <a:srgbClr val="0000FF"/>
              </a:solidFill>
              <a:effectLst/>
            </a:rPr>
            <a:t>			var sTotalPts= ToNumber(this.GetFieldValue("JTI Total Product Points"));</a:t>
          </a:r>
        </a:p>
        <a:p>
          <a:r>
            <a:rPr lang="en-GB">
              <a:solidFill>
                <a:srgbClr val="0000FF"/>
              </a:solidFill>
              <a:effectLst/>
            </a:rPr>
            <a:t>			</a:t>
          </a:r>
        </a:p>
        <a:p>
          <a:r>
            <a:rPr lang="en-GB">
              <a:solidFill>
                <a:srgbClr val="0000FF"/>
              </a:solidFill>
              <a:effectLst/>
            </a:rPr>
            <a:t>			var sPtsDiff = sTotalPts-sPtsLimit;</a:t>
          </a:r>
        </a:p>
        <a:p>
          <a:r>
            <a:rPr lang="en-GB">
              <a:solidFill>
                <a:srgbClr val="0000FF"/>
              </a:solidFill>
              <a:effectLst/>
            </a:rPr>
            <a:t>			</a:t>
          </a:r>
          <a:r>
            <a:rPr lang="en-GB" sz="1100">
              <a:solidFill>
                <a:srgbClr val="0000FF"/>
              </a:solidFill>
              <a:effectLst/>
              <a:latin typeface="+mn-lt"/>
              <a:ea typeface="+mn-ea"/>
              <a:cs typeface="+mn-cs"/>
            </a:rPr>
            <a:t>if (sValidateTotalPtsLimit == "true" &amp;&amp; sTotalPts &gt; s</a:t>
          </a:r>
          <a:r>
            <a:rPr lang="en-GB">
              <a:solidFill>
                <a:srgbClr val="0000FF"/>
              </a:solidFill>
              <a:effectLst/>
            </a:rPr>
            <a:t>PtsLimit)</a:t>
          </a:r>
        </a:p>
        <a:p>
          <a:r>
            <a:rPr lang="en-GB">
              <a:solidFill>
                <a:srgbClr val="0000FF"/>
              </a:solidFill>
              <a:effectLst/>
            </a:rPr>
            <a:t>			{</a:t>
          </a:r>
        </a:p>
        <a:p>
          <a:r>
            <a:rPr lang="en-GB">
              <a:solidFill>
                <a:srgbClr val="0000FF"/>
              </a:solidFill>
              <a:effectLst/>
            </a:rPr>
            <a:t>				var sError = TheApplication().LookupMessage("User Defined Errors","JTI_X_TOTAL_AMT_LIMIT_ERR", sPtsDiff);</a:t>
          </a:r>
        </a:p>
        <a:p>
          <a:r>
            <a:rPr lang="en-GB">
              <a:solidFill>
                <a:srgbClr val="0000FF"/>
              </a:solidFill>
              <a:effectLst/>
            </a:rPr>
            <a:t>				TheApplication().RaiseErrorText(sError);</a:t>
          </a:r>
        </a:p>
        <a:p>
          <a:r>
            <a:rPr lang="en-GB">
              <a:solidFill>
                <a:srgbClr val="0000FF"/>
              </a:solidFill>
              <a:effectLst/>
            </a:rPr>
            <a:t>				return (CancelOperation);</a:t>
          </a:r>
        </a:p>
        <a:p>
          <a:r>
            <a:rPr lang="en-GB">
              <a:solidFill>
                <a:srgbClr val="0000FF"/>
              </a:solidFill>
              <a:effectLst/>
            </a:rPr>
            <a:t>			}</a:t>
          </a:r>
        </a:p>
        <a:p>
          <a:r>
            <a:rPr lang="en-GB">
              <a:solidFill>
                <a:srgbClr val="0000FF"/>
              </a:solidFill>
              <a:effectLst/>
            </a:rPr>
            <a:t>		}</a:t>
          </a:r>
        </a:p>
        <a:p>
          <a:r>
            <a:rPr lang="en-GB">
              <a:solidFill>
                <a:srgbClr val="0000FF"/>
              </a:solidFill>
              <a:effectLst/>
            </a:rPr>
            <a:t>		//Validate if Benefit Type at Contract Item level has been populated</a:t>
          </a:r>
        </a:p>
        <a:p>
          <a:r>
            <a:rPr lang="en-GB">
              <a:solidFill>
                <a:srgbClr val="0000FF"/>
              </a:solidFill>
              <a:effectLst/>
            </a:rPr>
            <a:t>		var sValidateBenefitType = CheckLOV("JTI_MARKET_SETTINGS", "VALIDATE_CI_BENEFIT", this.GetFieldValue("JTI Agreement Type LIC"));</a:t>
          </a:r>
        </a:p>
        <a:p>
          <a:r>
            <a:rPr lang="en-GB">
              <a:solidFill>
                <a:srgbClr val="0000FF"/>
              </a:solidFill>
              <a:effectLst/>
            </a:rPr>
            <a:t>		if(sValidateBenefitType == "true")</a:t>
          </a:r>
        </a:p>
        <a:p>
          <a:r>
            <a:rPr lang="en-GB">
              <a:solidFill>
                <a:srgbClr val="0000FF"/>
              </a:solidFill>
              <a:effectLst/>
            </a:rPr>
            <a:t>		{</a:t>
          </a:r>
        </a:p>
        <a:p>
          <a:r>
            <a:rPr lang="en-GB">
              <a:solidFill>
                <a:srgbClr val="0000FF"/>
              </a:solidFill>
              <a:effectLst/>
            </a:rPr>
            <a:t>			var sAgreeId = this.GetFieldValue("Id"));</a:t>
          </a:r>
        </a:p>
        <a:p>
          <a:r>
            <a:rPr lang="en-GB">
              <a:solidFill>
                <a:srgbClr val="0000FF"/>
              </a:solidFill>
              <a:effectLst/>
            </a:rPr>
            <a:t>			var sCheck = CheckBenefitType(sAgreeId)</a:t>
          </a:r>
        </a:p>
        <a:p>
          <a:endParaRPr lang="en-GB">
            <a:solidFill>
              <a:srgbClr val="0000FF"/>
            </a:solidFill>
            <a:effectLst/>
          </a:endParaRPr>
        </a:p>
        <a:p>
          <a:r>
            <a:rPr lang="en-GB">
              <a:solidFill>
                <a:srgbClr val="0000FF"/>
              </a:solidFill>
              <a:effectLst/>
            </a:rPr>
            <a:t>			if (sCheck == "true"))</a:t>
          </a:r>
        </a:p>
        <a:p>
          <a:r>
            <a:rPr lang="en-GB">
              <a:solidFill>
                <a:srgbClr val="0000FF"/>
              </a:solidFill>
              <a:effectLst/>
            </a:rPr>
            <a:t>			{</a:t>
          </a:r>
        </a:p>
        <a:p>
          <a:r>
            <a:rPr lang="en-GB">
              <a:solidFill>
                <a:srgbClr val="0000FF"/>
              </a:solidFill>
              <a:effectLst/>
            </a:rPr>
            <a:t>				var sError = TheApplication().LookupMessage("User Defined Errors","JTI_X_CI_BENEFIT_TYPE_ERR");</a:t>
          </a:r>
        </a:p>
        <a:p>
          <a:r>
            <a:rPr lang="en-GB">
              <a:solidFill>
                <a:srgbClr val="0000FF"/>
              </a:solidFill>
              <a:effectLst/>
            </a:rPr>
            <a:t>				TheApplication().RaiseErrorText(sError);</a:t>
          </a:r>
        </a:p>
        <a:p>
          <a:r>
            <a:rPr lang="en-GB">
              <a:solidFill>
                <a:srgbClr val="0000FF"/>
              </a:solidFill>
              <a:effectLst/>
            </a:rPr>
            <a:t>				return (CancelOperation);</a:t>
          </a:r>
        </a:p>
        <a:p>
          <a:r>
            <a:rPr lang="en-GB">
              <a:solidFill>
                <a:srgbClr val="0000FF"/>
              </a:solidFill>
              <a:effectLst/>
            </a:rPr>
            <a:t>			}</a:t>
          </a:r>
        </a:p>
        <a:p>
          <a:r>
            <a:rPr lang="en-GB">
              <a:solidFill>
                <a:srgbClr val="0000FF"/>
              </a:solidFill>
              <a:effectLst/>
            </a:rPr>
            <a:t>		}</a:t>
          </a:r>
        </a:p>
        <a:p>
          <a:endParaRPr lang="en-GB">
            <a:solidFill>
              <a:srgbClr val="0000FF"/>
            </a:solidFill>
            <a:effectLst/>
          </a:endParaRPr>
        </a:p>
        <a:p>
          <a:endParaRPr lang="en-GB">
            <a:solidFill>
              <a:srgbClr val="0000FF"/>
            </a:solidFill>
            <a:effectLst/>
          </a:endParaRPr>
        </a:p>
        <a:p>
          <a:r>
            <a:rPr lang="en-GB">
              <a:solidFill>
                <a:srgbClr val="0000FF"/>
              </a:solidFill>
              <a:effectLst/>
            </a:rPr>
            <a:t>	</a:t>
          </a:r>
          <a:r>
            <a:rPr lang="en-GB">
              <a:solidFill>
                <a:sysClr val="windowText" lastClr="000000"/>
              </a:solidFill>
              <a:effectLst/>
            </a:rPr>
            <a:t>}</a:t>
          </a:r>
        </a:p>
        <a:p>
          <a:endParaRPr lang="en-GB">
            <a:effectLst/>
          </a:endParaRPr>
        </a:p>
        <a:p>
          <a:r>
            <a:rPr lang="en-GB">
              <a:effectLst/>
            </a:rPr>
            <a:t>	</a:t>
          </a:r>
          <a:r>
            <a:rPr lang="en-GB" b="1">
              <a:effectLst/>
            </a:rPr>
            <a:t>.</a:t>
          </a:r>
        </a:p>
        <a:p>
          <a:r>
            <a:rPr lang="en-GB" b="1">
              <a:effectLst/>
            </a:rPr>
            <a:t>	. Existing Script</a:t>
          </a:r>
        </a:p>
        <a:p>
          <a:r>
            <a:rPr lang="en-GB" b="1">
              <a:effectLst/>
            </a:rPr>
            <a:t>	.</a:t>
          </a:r>
        </a:p>
        <a:p>
          <a:endParaRPr lang="en-GB">
            <a:effectLst/>
          </a:endParaRPr>
        </a:p>
        <a:p>
          <a:r>
            <a:rPr lang="en-GB">
              <a:effectLst/>
            </a:rPr>
            <a:t>}</a:t>
          </a:r>
        </a:p>
      </xdr:txBody>
    </xdr:sp>
    <xdr:clientData/>
  </xdr:oneCellAnchor>
  <xdr:oneCellAnchor>
    <xdr:from>
      <xdr:col>0</xdr:col>
      <xdr:colOff>67235</xdr:colOff>
      <xdr:row>133</xdr:row>
      <xdr:rowOff>28686</xdr:rowOff>
    </xdr:from>
    <xdr:ext cx="12275820" cy="9048118"/>
    <xdr:sp macro="" textlink="">
      <xdr:nvSpPr>
        <xdr:cNvPr id="4" name="TextBox 3">
          <a:extLst>
            <a:ext uri="{FF2B5EF4-FFF2-40B4-BE49-F238E27FC236}">
              <a16:creationId xmlns:a16="http://schemas.microsoft.com/office/drawing/2014/main" id="{31B3CA80-77D9-4E62-97CA-4B7F32A4D94A}"/>
            </a:ext>
          </a:extLst>
        </xdr:cNvPr>
        <xdr:cNvSpPr txBox="1"/>
      </xdr:nvSpPr>
      <xdr:spPr>
        <a:xfrm>
          <a:off x="67235" y="23417604"/>
          <a:ext cx="12275820" cy="9048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GB">
              <a:solidFill>
                <a:srgbClr val="0000FF"/>
              </a:solidFill>
              <a:effectLst/>
            </a:rPr>
            <a:t>function CheckBenefitType(AgreementId)</a:t>
          </a:r>
        </a:p>
        <a:p>
          <a:r>
            <a:rPr lang="en-GB">
              <a:solidFill>
                <a:srgbClr val="0000FF"/>
              </a:solidFill>
              <a:effectLst/>
            </a:rPr>
            <a:t>{</a:t>
          </a:r>
        </a:p>
        <a:p>
          <a:r>
            <a:rPr lang="en-GB">
              <a:solidFill>
                <a:srgbClr val="0000FF"/>
              </a:solidFill>
              <a:effectLst/>
            </a:rPr>
            <a:t>	//New Function to check if any Contract Item product has Benefit type not populated</a:t>
          </a:r>
        </a:p>
        <a:p>
          <a:r>
            <a:rPr lang="en-GB">
              <a:solidFill>
                <a:srgbClr val="0000FF"/>
              </a:solidFill>
              <a:effectLst/>
            </a:rPr>
            <a:t>	var sExists = "false";</a:t>
          </a:r>
        </a:p>
        <a:p>
          <a:r>
            <a:rPr lang="en-GB">
              <a:solidFill>
                <a:srgbClr val="0000FF"/>
              </a:solidFill>
              <a:effectLst/>
            </a:rPr>
            <a:t>	try</a:t>
          </a:r>
        </a:p>
        <a:p>
          <a:r>
            <a:rPr lang="en-GB">
              <a:solidFill>
                <a:srgbClr val="0000FF"/>
              </a:solidFill>
              <a:effectLst/>
            </a:rPr>
            <a:t>	{</a:t>
          </a:r>
        </a:p>
        <a:p>
          <a:r>
            <a:rPr lang="en-GB">
              <a:solidFill>
                <a:srgbClr val="0000FF"/>
              </a:solidFill>
              <a:effectLst/>
            </a:rPr>
            <a:t>		</a:t>
          </a:r>
        </a:p>
        <a:p>
          <a:r>
            <a:rPr lang="en-GB">
              <a:solidFill>
                <a:srgbClr val="0000FF"/>
              </a:solidFill>
              <a:effectLst/>
            </a:rPr>
            <a:t>		var oBOAgreement = TheApplication().GetBusObject("JTI Service Agreement - New");</a:t>
          </a:r>
        </a:p>
        <a:p>
          <a:r>
            <a:rPr lang="en-GB">
              <a:solidFill>
                <a:srgbClr val="0000FF"/>
              </a:solidFill>
              <a:effectLst/>
            </a:rPr>
            <a:t>		var OBCAgree = oBOAgreement.GetBusComp("JTI JTI Service Agreement");</a:t>
          </a:r>
        </a:p>
        <a:p>
          <a:r>
            <a:rPr lang="en-GB">
              <a:solidFill>
                <a:srgbClr val="0000FF"/>
              </a:solidFill>
              <a:effectLst/>
            </a:rPr>
            <a:t>		var oBCContractItem = oBOAgreement.GetBusComp("JTI Contract Agreement Item");</a:t>
          </a:r>
        </a:p>
        <a:p>
          <a:r>
            <a:rPr lang="en-GB">
              <a:solidFill>
                <a:srgbClr val="0000FF"/>
              </a:solidFill>
              <a:effectLst/>
            </a:rPr>
            <a:t>		var errCode;</a:t>
          </a:r>
        </a:p>
        <a:p>
          <a:endParaRPr lang="en-GB">
            <a:solidFill>
              <a:srgbClr val="0000FF"/>
            </a:solidFill>
            <a:effectLst/>
          </a:endParaRPr>
        </a:p>
        <a:p>
          <a:r>
            <a:rPr lang="en-GB">
              <a:solidFill>
                <a:srgbClr val="0000FF"/>
              </a:solidFill>
              <a:effectLst/>
            </a:rPr>
            <a:t>		with (OBCAgree)</a:t>
          </a:r>
        </a:p>
        <a:p>
          <a:r>
            <a:rPr lang="en-GB">
              <a:solidFill>
                <a:srgbClr val="0000FF"/>
              </a:solidFill>
              <a:effectLst/>
            </a:rPr>
            <a:t>		{</a:t>
          </a:r>
        </a:p>
        <a:p>
          <a:r>
            <a:rPr lang="en-GB">
              <a:solidFill>
                <a:srgbClr val="0000FF"/>
              </a:solidFill>
              <a:effectLst/>
            </a:rPr>
            <a:t>			var sSearchString = "[Id] = '" + AgreementId + "'";</a:t>
          </a:r>
        </a:p>
        <a:p>
          <a:r>
            <a:rPr lang="en-GB">
              <a:solidFill>
                <a:srgbClr val="0000FF"/>
              </a:solidFill>
              <a:effectLst/>
            </a:rPr>
            <a:t>			ClearToQuery();</a:t>
          </a:r>
        </a:p>
        <a:p>
          <a:r>
            <a:rPr lang="en-GB">
              <a:solidFill>
                <a:srgbClr val="0000FF"/>
              </a:solidFill>
              <a:effectLst/>
            </a:rPr>
            <a:t>			SetViewMode(AllView);</a:t>
          </a:r>
        </a:p>
        <a:p>
          <a:r>
            <a:rPr lang="en-GB">
              <a:solidFill>
                <a:srgbClr val="0000FF"/>
              </a:solidFill>
              <a:effectLst/>
            </a:rPr>
            <a:t>			SetSearchExpr(sSearchString);</a:t>
          </a:r>
        </a:p>
        <a:p>
          <a:r>
            <a:rPr lang="en-GB">
              <a:solidFill>
                <a:srgbClr val="0000FF"/>
              </a:solidFill>
              <a:effectLst/>
            </a:rPr>
            <a:t>			ExecuteQuery(ForwardOnly);</a:t>
          </a:r>
        </a:p>
        <a:p>
          <a:r>
            <a:rPr lang="en-GB">
              <a:solidFill>
                <a:srgbClr val="0000FF"/>
              </a:solidFill>
              <a:effectLst/>
            </a:rPr>
            <a:t>			</a:t>
          </a:r>
        </a:p>
        <a:p>
          <a:r>
            <a:rPr lang="en-GB">
              <a:solidFill>
                <a:srgbClr val="0000FF"/>
              </a:solidFill>
              <a:effectLst/>
            </a:rPr>
            <a:t>			if (FirstRecord())</a:t>
          </a:r>
        </a:p>
        <a:p>
          <a:r>
            <a:rPr lang="en-GB">
              <a:solidFill>
                <a:srgbClr val="0000FF"/>
              </a:solidFill>
              <a:effectLst/>
            </a:rPr>
            <a:t>			{</a:t>
          </a:r>
        </a:p>
        <a:p>
          <a:r>
            <a:rPr lang="en-GB">
              <a:solidFill>
                <a:srgbClr val="0000FF"/>
              </a:solidFill>
              <a:effectLst/>
            </a:rPr>
            <a:t>			</a:t>
          </a:r>
        </a:p>
        <a:p>
          <a:r>
            <a:rPr lang="en-GB">
              <a:solidFill>
                <a:srgbClr val="0000FF"/>
              </a:solidFill>
              <a:effectLst/>
            </a:rPr>
            <a:t>				with (oBCAgreeAttach)</a:t>
          </a:r>
        </a:p>
        <a:p>
          <a:r>
            <a:rPr lang="en-GB">
              <a:solidFill>
                <a:srgbClr val="0000FF"/>
              </a:solidFill>
              <a:effectLst/>
            </a:rPr>
            <a:t>				{</a:t>
          </a:r>
        </a:p>
        <a:p>
          <a:r>
            <a:rPr lang="en-GB">
              <a:solidFill>
                <a:srgbClr val="0000FF"/>
              </a:solidFill>
              <a:effectLst/>
            </a:rPr>
            <a:t>					var sSearchStr = "([JTI Benefit Type] = '' OR [JTI Benefit Type] IS NULL) AND ([JTI Contract Type] = '' OR [JTI Contract Type] IS NULL)";</a:t>
          </a:r>
        </a:p>
        <a:p>
          <a:r>
            <a:rPr lang="en-GB">
              <a:solidFill>
                <a:srgbClr val="0000FF"/>
              </a:solidFill>
              <a:effectLst/>
            </a:rPr>
            <a:t>						</a:t>
          </a:r>
        </a:p>
        <a:p>
          <a:r>
            <a:rPr lang="en-GB">
              <a:solidFill>
                <a:srgbClr val="0000FF"/>
              </a:solidFill>
              <a:effectLst/>
            </a:rPr>
            <a:t>					ClearToQuery();</a:t>
          </a:r>
        </a:p>
        <a:p>
          <a:r>
            <a:rPr lang="en-GB">
              <a:solidFill>
                <a:srgbClr val="0000FF"/>
              </a:solidFill>
              <a:effectLst/>
            </a:rPr>
            <a:t>					ActivateField("JTI Benefit Type");</a:t>
          </a:r>
        </a:p>
        <a:p>
          <a:r>
            <a:rPr lang="en-GB">
              <a:solidFill>
                <a:srgbClr val="0000FF"/>
              </a:solidFill>
              <a:effectLst/>
            </a:rPr>
            <a:t>					ActivateField("JTI Contract Type");</a:t>
          </a:r>
        </a:p>
        <a:p>
          <a:r>
            <a:rPr lang="en-GB">
              <a:solidFill>
                <a:srgbClr val="0000FF"/>
              </a:solidFill>
              <a:effectLst/>
            </a:rPr>
            <a:t>					SetViewMode(OrganizationView);</a:t>
          </a:r>
        </a:p>
        <a:p>
          <a:r>
            <a:rPr lang="en-GB">
              <a:solidFill>
                <a:srgbClr val="0000FF"/>
              </a:solidFill>
              <a:effectLst/>
            </a:rPr>
            <a:t>					SetSearchExpr(sSearchStr);</a:t>
          </a:r>
        </a:p>
        <a:p>
          <a:r>
            <a:rPr lang="en-GB">
              <a:solidFill>
                <a:srgbClr val="0000FF"/>
              </a:solidFill>
              <a:effectLst/>
            </a:rPr>
            <a:t>					ExecuteQuery(ForwardOnly);</a:t>
          </a:r>
        </a:p>
        <a:p>
          <a:r>
            <a:rPr lang="en-GB">
              <a:solidFill>
                <a:srgbClr val="0000FF"/>
              </a:solidFill>
              <a:effectLst/>
            </a:rPr>
            <a:t>						</a:t>
          </a:r>
        </a:p>
        <a:p>
          <a:r>
            <a:rPr lang="en-GB">
              <a:solidFill>
                <a:srgbClr val="0000FF"/>
              </a:solidFill>
              <a:effectLst/>
            </a:rPr>
            <a:t>					if (FirstRecord())</a:t>
          </a:r>
        </a:p>
        <a:p>
          <a:r>
            <a:rPr lang="en-GB">
              <a:solidFill>
                <a:srgbClr val="0000FF"/>
              </a:solidFill>
              <a:effectLst/>
            </a:rPr>
            <a:t>						sExists = "true";</a:t>
          </a:r>
        </a:p>
        <a:p>
          <a:r>
            <a:rPr lang="en-GB">
              <a:solidFill>
                <a:srgbClr val="0000FF"/>
              </a:solidFill>
              <a:effectLst/>
            </a:rPr>
            <a:t>				}</a:t>
          </a:r>
        </a:p>
        <a:p>
          <a:r>
            <a:rPr lang="en-GB">
              <a:solidFill>
                <a:srgbClr val="0000FF"/>
              </a:solidFill>
              <a:effectLst/>
            </a:rPr>
            <a:t>			}</a:t>
          </a:r>
        </a:p>
        <a:p>
          <a:r>
            <a:rPr lang="en-GB">
              <a:solidFill>
                <a:srgbClr val="0000FF"/>
              </a:solidFill>
              <a:effectLst/>
            </a:rPr>
            <a:t>		}</a:t>
          </a:r>
        </a:p>
        <a:p>
          <a:r>
            <a:rPr lang="en-GB">
              <a:solidFill>
                <a:srgbClr val="0000FF"/>
              </a:solidFill>
              <a:effectLst/>
            </a:rPr>
            <a:t>	} // try</a:t>
          </a:r>
        </a:p>
        <a:p>
          <a:r>
            <a:rPr lang="en-GB">
              <a:solidFill>
                <a:srgbClr val="0000FF"/>
              </a:solidFill>
              <a:effectLst/>
            </a:rPr>
            <a:t>	catch(e)</a:t>
          </a:r>
        </a:p>
        <a:p>
          <a:r>
            <a:rPr lang="en-GB">
              <a:solidFill>
                <a:srgbClr val="0000FF"/>
              </a:solidFill>
              <a:effectLst/>
            </a:rPr>
            <a:t>	{</a:t>
          </a:r>
        </a:p>
        <a:p>
          <a:r>
            <a:rPr lang="en-GB">
              <a:solidFill>
                <a:srgbClr val="0000FF"/>
              </a:solidFill>
              <a:effectLst/>
            </a:rPr>
            <a:t>		TheApplication().RaiseErrorText(e.toString());</a:t>
          </a:r>
        </a:p>
        <a:p>
          <a:r>
            <a:rPr lang="en-GB">
              <a:solidFill>
                <a:srgbClr val="0000FF"/>
              </a:solidFill>
              <a:effectLst/>
            </a:rPr>
            <a:t>	}</a:t>
          </a:r>
        </a:p>
        <a:p>
          <a:r>
            <a:rPr lang="en-GB">
              <a:solidFill>
                <a:srgbClr val="0000FF"/>
              </a:solidFill>
              <a:effectLst/>
            </a:rPr>
            <a:t>	finally</a:t>
          </a:r>
        </a:p>
        <a:p>
          <a:r>
            <a:rPr lang="en-GB">
              <a:solidFill>
                <a:srgbClr val="0000FF"/>
              </a:solidFill>
              <a:effectLst/>
            </a:rPr>
            <a:t>	{</a:t>
          </a:r>
        </a:p>
        <a:p>
          <a:r>
            <a:rPr lang="en-GB">
              <a:solidFill>
                <a:srgbClr val="0000FF"/>
              </a:solidFill>
              <a:effectLst/>
            </a:rPr>
            <a:t>	  oBCContractItem = null;</a:t>
          </a:r>
        </a:p>
        <a:p>
          <a:r>
            <a:rPr lang="en-GB">
              <a:solidFill>
                <a:srgbClr val="0000FF"/>
              </a:solidFill>
              <a:effectLst/>
            </a:rPr>
            <a:t>	  OBCAgree = null;</a:t>
          </a:r>
        </a:p>
        <a:p>
          <a:r>
            <a:rPr lang="en-GB">
              <a:solidFill>
                <a:srgbClr val="0000FF"/>
              </a:solidFill>
              <a:effectLst/>
            </a:rPr>
            <a:t>	  oBOAgreement = null;</a:t>
          </a:r>
        </a:p>
        <a:p>
          <a:r>
            <a:rPr lang="en-GB">
              <a:solidFill>
                <a:srgbClr val="0000FF"/>
              </a:solidFill>
              <a:effectLst/>
            </a:rPr>
            <a:t>	}</a:t>
          </a:r>
        </a:p>
        <a:p>
          <a:r>
            <a:rPr lang="en-GB">
              <a:solidFill>
                <a:srgbClr val="0000FF"/>
              </a:solidFill>
              <a:effectLst/>
            </a:rPr>
            <a:t>	return sExists;</a:t>
          </a:r>
        </a:p>
        <a:p>
          <a:r>
            <a:rPr lang="en-GB">
              <a:solidFill>
                <a:srgbClr val="0000FF"/>
              </a:solidFill>
              <a:effectLst/>
            </a:rPr>
            <a:t>}</a:t>
          </a:r>
        </a:p>
      </xdr:txBody>
    </xdr:sp>
    <xdr:clientData/>
  </xdr:oneCellAnchor>
  <xdr:oneCellAnchor>
    <xdr:from>
      <xdr:col>0</xdr:col>
      <xdr:colOff>59615</xdr:colOff>
      <xdr:row>102</xdr:row>
      <xdr:rowOff>95026</xdr:rowOff>
    </xdr:from>
    <xdr:ext cx="12275820" cy="5068570"/>
    <xdr:sp macro="" textlink="">
      <xdr:nvSpPr>
        <xdr:cNvPr id="5" name="TextBox 4">
          <a:extLst>
            <a:ext uri="{FF2B5EF4-FFF2-40B4-BE49-F238E27FC236}">
              <a16:creationId xmlns:a16="http://schemas.microsoft.com/office/drawing/2014/main" id="{3083C67A-4BA2-4DEF-8778-896DD335AC50}"/>
            </a:ext>
          </a:extLst>
        </xdr:cNvPr>
        <xdr:cNvSpPr txBox="1"/>
      </xdr:nvSpPr>
      <xdr:spPr>
        <a:xfrm>
          <a:off x="59615" y="18203732"/>
          <a:ext cx="12275820" cy="50685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GB">
              <a:solidFill>
                <a:srgbClr val="0000FF"/>
              </a:solidFill>
              <a:effectLst/>
            </a:rPr>
            <a:t>function CheckLOV(sType, sLIC, sVal)</a:t>
          </a:r>
        </a:p>
        <a:p>
          <a:r>
            <a:rPr lang="en-GB">
              <a:solidFill>
                <a:srgbClr val="0000FF"/>
              </a:solidFill>
              <a:effectLst/>
            </a:rPr>
            <a:t>{</a:t>
          </a:r>
        </a:p>
        <a:p>
          <a:r>
            <a:rPr lang="en-GB">
              <a:solidFill>
                <a:srgbClr val="0000FF"/>
              </a:solidFill>
              <a:effectLst/>
            </a:rPr>
            <a:t>	var sReturn = "false";</a:t>
          </a:r>
        </a:p>
        <a:p>
          <a:r>
            <a:rPr lang="en-GB">
              <a:solidFill>
                <a:srgbClr val="0000FF"/>
              </a:solidFill>
              <a:effectLst/>
            </a:rPr>
            <a:t>	try</a:t>
          </a:r>
        </a:p>
        <a:p>
          <a:r>
            <a:rPr lang="en-GB">
              <a:solidFill>
                <a:srgbClr val="0000FF"/>
              </a:solidFill>
              <a:effectLst/>
            </a:rPr>
            <a:t>	{</a:t>
          </a:r>
        </a:p>
        <a:p>
          <a:r>
            <a:rPr lang="en-GB">
              <a:solidFill>
                <a:srgbClr val="0000FF"/>
              </a:solidFill>
              <a:effectLst/>
            </a:rPr>
            <a:t>		//Check LOV</a:t>
          </a:r>
        </a:p>
        <a:p>
          <a:r>
            <a:rPr lang="en-GB">
              <a:solidFill>
                <a:srgbClr val="0000FF"/>
              </a:solidFill>
              <a:effectLst/>
            </a:rPr>
            <a:t>		var oBS = TheApplication().GetService("JTI Check LOV BS");</a:t>
          </a:r>
        </a:p>
        <a:p>
          <a:r>
            <a:rPr lang="en-GB">
              <a:solidFill>
                <a:srgbClr val="0000FF"/>
              </a:solidFill>
              <a:effectLst/>
            </a:rPr>
            <a:t>		var oOutput = TheApplication().NewPropertySet();</a:t>
          </a:r>
        </a:p>
        <a:p>
          <a:r>
            <a:rPr lang="en-GB">
              <a:solidFill>
                <a:srgbClr val="0000FF"/>
              </a:solidFill>
              <a:effectLst/>
            </a:rPr>
            <a:t>		var oInput = TheApplication().NewPropertySet();</a:t>
          </a:r>
        </a:p>
        <a:p>
          <a:r>
            <a:rPr lang="en-GB">
              <a:solidFill>
                <a:srgbClr val="0000FF"/>
              </a:solidFill>
              <a:effectLst/>
            </a:rPr>
            <a:t>	</a:t>
          </a:r>
        </a:p>
        <a:p>
          <a:r>
            <a:rPr lang="en-GB">
              <a:solidFill>
                <a:srgbClr val="0000FF"/>
              </a:solidFill>
              <a:effectLst/>
            </a:rPr>
            <a:t>		oInput.SetProperty("sType", sType);</a:t>
          </a:r>
        </a:p>
        <a:p>
          <a:r>
            <a:rPr lang="en-GB">
              <a:solidFill>
                <a:srgbClr val="0000FF"/>
              </a:solidFill>
              <a:effectLst/>
            </a:rPr>
            <a:t>		oInput.SetProperty("sLIC", sLIC);</a:t>
          </a:r>
        </a:p>
        <a:p>
          <a:r>
            <a:rPr lang="en-GB">
              <a:solidFill>
                <a:srgbClr val="0000FF"/>
              </a:solidFill>
              <a:effectLst/>
            </a:rPr>
            <a:t>		oInput.SetProperty("sVal", sVal);</a:t>
          </a:r>
        </a:p>
        <a:p>
          <a:r>
            <a:rPr lang="en-GB">
              <a:solidFill>
                <a:srgbClr val="0000FF"/>
              </a:solidFill>
              <a:effectLst/>
            </a:rPr>
            <a:t>		oBS.InvokeMethod("JTICheckLOVValue", oInput, oOutput);</a:t>
          </a:r>
        </a:p>
        <a:p>
          <a:r>
            <a:rPr lang="en-GB">
              <a:solidFill>
                <a:srgbClr val="0000FF"/>
              </a:solidFill>
              <a:effectLst/>
            </a:rPr>
            <a:t>		</a:t>
          </a:r>
        </a:p>
        <a:p>
          <a:r>
            <a:rPr lang="en-GB">
              <a:solidFill>
                <a:srgbClr val="0000FF"/>
              </a:solidFill>
              <a:effectLst/>
            </a:rPr>
            <a:t>		sReturn = oOutput.GetProperty('sReturn');</a:t>
          </a:r>
        </a:p>
        <a:p>
          <a:r>
            <a:rPr lang="en-GB">
              <a:solidFill>
                <a:srgbClr val="0000FF"/>
              </a:solidFill>
              <a:effectLst/>
            </a:rPr>
            <a:t>	}</a:t>
          </a:r>
        </a:p>
        <a:p>
          <a:r>
            <a:rPr lang="en-GB">
              <a:solidFill>
                <a:srgbClr val="0000FF"/>
              </a:solidFill>
              <a:effectLst/>
            </a:rPr>
            <a:t>	catch(e)</a:t>
          </a:r>
        </a:p>
        <a:p>
          <a:r>
            <a:rPr lang="en-GB">
              <a:solidFill>
                <a:srgbClr val="0000FF"/>
              </a:solidFill>
              <a:effectLst/>
            </a:rPr>
            <a:t>	{</a:t>
          </a:r>
        </a:p>
        <a:p>
          <a:r>
            <a:rPr lang="en-GB">
              <a:solidFill>
                <a:srgbClr val="0000FF"/>
              </a:solidFill>
              <a:effectLst/>
            </a:rPr>
            <a:t>		TheApplication().RaiseErrorText(e.toString());</a:t>
          </a:r>
        </a:p>
        <a:p>
          <a:r>
            <a:rPr lang="en-GB">
              <a:solidFill>
                <a:srgbClr val="0000FF"/>
              </a:solidFill>
              <a:effectLst/>
            </a:rPr>
            <a:t>	}</a:t>
          </a:r>
        </a:p>
        <a:p>
          <a:r>
            <a:rPr lang="en-GB">
              <a:solidFill>
                <a:srgbClr val="0000FF"/>
              </a:solidFill>
              <a:effectLst/>
            </a:rPr>
            <a:t>	finally</a:t>
          </a:r>
        </a:p>
        <a:p>
          <a:r>
            <a:rPr lang="en-GB">
              <a:solidFill>
                <a:srgbClr val="0000FF"/>
              </a:solidFill>
              <a:effectLst/>
            </a:rPr>
            <a:t>	{</a:t>
          </a:r>
        </a:p>
        <a:p>
          <a:r>
            <a:rPr lang="en-GB">
              <a:solidFill>
                <a:srgbClr val="0000FF"/>
              </a:solidFill>
              <a:effectLst/>
            </a:rPr>
            <a:t>		oInput = null;</a:t>
          </a:r>
        </a:p>
        <a:p>
          <a:r>
            <a:rPr lang="en-GB">
              <a:solidFill>
                <a:srgbClr val="0000FF"/>
              </a:solidFill>
              <a:effectLst/>
            </a:rPr>
            <a:t>		oOutput = null;</a:t>
          </a:r>
        </a:p>
        <a:p>
          <a:r>
            <a:rPr lang="en-GB">
              <a:solidFill>
                <a:srgbClr val="0000FF"/>
              </a:solidFill>
              <a:effectLst/>
            </a:rPr>
            <a:t>		oBS = null;</a:t>
          </a:r>
        </a:p>
        <a:p>
          <a:r>
            <a:rPr lang="en-GB">
              <a:solidFill>
                <a:srgbClr val="0000FF"/>
              </a:solidFill>
              <a:effectLst/>
            </a:rPr>
            <a:t>	}</a:t>
          </a:r>
        </a:p>
        <a:p>
          <a:r>
            <a:rPr lang="en-GB">
              <a:solidFill>
                <a:srgbClr val="0000FF"/>
              </a:solidFill>
              <a:effectLst/>
            </a:rPr>
            <a:t>	return (sReturn);</a:t>
          </a:r>
        </a:p>
        <a:p>
          <a:r>
            <a:rPr lang="en-GB">
              <a:solidFill>
                <a:srgbClr val="0000FF"/>
              </a:solidFill>
              <a:effectLst/>
            </a:rPr>
            <a:t>}</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161924</xdr:colOff>
      <xdr:row>8</xdr:row>
      <xdr:rowOff>60960</xdr:rowOff>
    </xdr:from>
    <xdr:ext cx="12220576" cy="18520583"/>
    <xdr:sp macro="" textlink="">
      <xdr:nvSpPr>
        <xdr:cNvPr id="2" name="TextBox 1">
          <a:extLst>
            <a:ext uri="{FF2B5EF4-FFF2-40B4-BE49-F238E27FC236}">
              <a16:creationId xmlns:a16="http://schemas.microsoft.com/office/drawing/2014/main" id="{6358A1F3-49BD-463C-8A47-3965D562ED35}"/>
            </a:ext>
          </a:extLst>
        </xdr:cNvPr>
        <xdr:cNvSpPr txBox="1"/>
      </xdr:nvSpPr>
      <xdr:spPr>
        <a:xfrm>
          <a:off x="161924" y="1935480"/>
          <a:ext cx="12220576" cy="185205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GB">
              <a:effectLst/>
            </a:rPr>
            <a:t>function BusComp_PreSetFieldValue (FieldName, FieldValue)</a:t>
          </a:r>
        </a:p>
        <a:p>
          <a:r>
            <a:rPr lang="en-GB">
              <a:effectLst/>
            </a:rPr>
            <a:t>{</a:t>
          </a:r>
        </a:p>
        <a:p>
          <a:r>
            <a:rPr lang="en-GB">
              <a:effectLst/>
            </a:rPr>
            <a:t>		</a:t>
          </a:r>
          <a:r>
            <a:rPr lang="en-GB" b="1">
              <a:effectLst/>
            </a:rPr>
            <a:t>.</a:t>
          </a:r>
        </a:p>
        <a:p>
          <a:r>
            <a:rPr lang="en-GB" b="1">
              <a:effectLst/>
            </a:rPr>
            <a:t>		. Existing Script</a:t>
          </a:r>
        </a:p>
        <a:p>
          <a:r>
            <a:rPr lang="en-GB" b="1">
              <a:effectLst/>
            </a:rPr>
            <a:t>		.</a:t>
          </a:r>
        </a:p>
        <a:p>
          <a:endParaRPr lang="en-GB">
            <a:effectLst/>
          </a:endParaRPr>
        </a:p>
        <a:p>
          <a:r>
            <a:rPr lang="en-GB">
              <a:effectLst/>
            </a:rPr>
            <a:t>		//if (FieldValue == sLOVPending)</a:t>
          </a:r>
        </a:p>
        <a:p>
          <a:r>
            <a:rPr lang="en-GB">
              <a:effectLst/>
            </a:rPr>
            <a:t>		if(FieldValue == sLOVPending || FieldValue == sLOVActive || FieldValueLIC.substring(0,8) == "Approved")</a:t>
          </a:r>
        </a:p>
        <a:p>
          <a:r>
            <a:rPr lang="en-GB">
              <a:effectLst/>
            </a:rPr>
            <a:t>		{</a:t>
          </a:r>
        </a:p>
        <a:p>
          <a:r>
            <a:rPr lang="en-GB">
              <a:effectLst/>
            </a:rPr>
            <a:t>			if(this.GetFieldValue("JTI Contract Account Name") == "" || this.GetFieldValue("JTI Contract Account Name") == null)</a:t>
          </a:r>
        </a:p>
        <a:p>
          <a:r>
            <a:rPr lang="en-GB">
              <a:effectLst/>
            </a:rPr>
            <a:t>			{</a:t>
          </a:r>
        </a:p>
        <a:p>
          <a:r>
            <a:rPr lang="en-GB">
              <a:effectLst/>
            </a:rPr>
            <a:t>				var sError = TheApplication().LookupMessage("User Defined Errors","JTI_X_AGREE_ACCT_ERR");</a:t>
          </a:r>
        </a:p>
        <a:p>
          <a:r>
            <a:rPr lang="en-GB">
              <a:effectLst/>
            </a:rPr>
            <a:t>				TheApplication().RaiseErrorText(sError);</a:t>
          </a:r>
        </a:p>
        <a:p>
          <a:r>
            <a:rPr lang="en-GB">
              <a:effectLst/>
            </a:rPr>
            <a:t>				return (CancelOperation);</a:t>
          </a:r>
        </a:p>
        <a:p>
          <a:r>
            <a:rPr lang="en-GB">
              <a:effectLst/>
            </a:rPr>
            <a:t>			}</a:t>
          </a:r>
        </a:p>
        <a:p>
          <a:r>
            <a:rPr lang="en-GB">
              <a:effectLst/>
            </a:rPr>
            <a:t>			</a:t>
          </a:r>
        </a:p>
        <a:p>
          <a:r>
            <a:rPr lang="en-GB">
              <a:effectLst/>
            </a:rPr>
            <a:t>			//[SS 05.10.12]Defect#311: Script added to validate if contract terms were added to the agreement</a:t>
          </a:r>
        </a:p>
        <a:p>
          <a:r>
            <a:rPr lang="en-GB">
              <a:effectLst/>
            </a:rPr>
            <a:t>			this.ActivateField("JTI Count Agree Item");</a:t>
          </a:r>
        </a:p>
        <a:p>
          <a:r>
            <a:rPr lang="en-GB">
              <a:effectLst/>
            </a:rPr>
            <a:t>			//[SS 20.09.2013]CHG045036-Def699: Added script to raise validation based on LOV set up</a:t>
          </a:r>
        </a:p>
        <a:p>
          <a:r>
            <a:rPr lang="en-GB">
              <a:effectLst/>
            </a:rPr>
            <a:t>			var sCheck = CheckLOV("JTI_MARKET_SETTINGS", "BypassValidateContractItem", "TRUE");</a:t>
          </a:r>
        </a:p>
        <a:p>
          <a:r>
            <a:rPr lang="en-GB">
              <a:effectLst/>
            </a:rPr>
            <a:t>			if(sCheck != "true")</a:t>
          </a:r>
        </a:p>
        <a:p>
          <a:r>
            <a:rPr lang="en-GB">
              <a:effectLst/>
            </a:rPr>
            <a:t>			{</a:t>
          </a:r>
        </a:p>
        <a:p>
          <a:r>
            <a:rPr lang="en-GB">
              <a:effectLst/>
            </a:rPr>
            <a:t>				//if(this.GetFieldValue("JTI Count Agree Item") &lt;= 0)    [DJ 02.06.2016] CHG089506 - Defect 338 : inactivated code to enbale validation "If there is no contract terms nor contract rate current validation message must be displayed"</a:t>
          </a:r>
        </a:p>
        <a:p>
          <a:r>
            <a:rPr lang="en-GB">
              <a:effectLst/>
            </a:rPr>
            <a:t>				this.ActivateField("JTI Count Agree Rate Item");</a:t>
          </a:r>
        </a:p>
        <a:p>
          <a:r>
            <a:rPr lang="en-GB">
              <a:effectLst/>
            </a:rPr>
            <a:t>				if((this.GetFieldValue("JTI Count Agree Item") &lt;= 0) &amp;&amp; (this.GetFieldValue("JTI Count Agree Rate Item") &lt;= 0))</a:t>
          </a:r>
        </a:p>
        <a:p>
          <a:r>
            <a:rPr lang="en-GB">
              <a:effectLst/>
            </a:rPr>
            <a:t>				{</a:t>
          </a:r>
        </a:p>
        <a:p>
          <a:r>
            <a:rPr lang="en-GB">
              <a:effectLst/>
            </a:rPr>
            <a:t>					var sErrormsg = TheApplication().LookupMessage("User Defined Errors","JTI_AGREE_LINE_ITEM");</a:t>
          </a:r>
        </a:p>
        <a:p>
          <a:r>
            <a:rPr lang="en-GB">
              <a:effectLst/>
            </a:rPr>
            <a:t>					TheApplication().RaiseErrorText(sErrormsg);</a:t>
          </a:r>
        </a:p>
        <a:p>
          <a:r>
            <a:rPr lang="en-GB">
              <a:effectLst/>
            </a:rPr>
            <a:t>					return (CancelOperation);</a:t>
          </a:r>
        </a:p>
        <a:p>
          <a:r>
            <a:rPr lang="en-GB">
              <a:effectLst/>
            </a:rPr>
            <a:t>				}</a:t>
          </a:r>
        </a:p>
        <a:p>
          <a:r>
            <a:rPr lang="en-GB">
              <a:effectLst/>
            </a:rPr>
            <a:t>			}</a:t>
          </a:r>
        </a:p>
        <a:p>
          <a:endParaRPr lang="en-GB">
            <a:effectLst/>
          </a:endParaRPr>
        </a:p>
        <a:p>
          <a:endParaRPr lang="en-GB">
            <a:effectLst/>
          </a:endParaRPr>
        </a:p>
        <a:p>
          <a:r>
            <a:rPr lang="en-GB">
              <a:effectLst/>
            </a:rPr>
            <a:t>			var sByValidation = CheckLOV("JTI_MARKET_SETTINGS", "BypassValidationAmount", this.GetFieldValue("JTI Agreement Type LIC")); //[ARC 28.08.2016] CHG099053: Check Market setting for validation</a:t>
          </a:r>
        </a:p>
        <a:p>
          <a:r>
            <a:rPr lang="en-GB">
              <a:effectLst/>
            </a:rPr>
            <a:t>			</a:t>
          </a:r>
        </a:p>
        <a:p>
          <a:r>
            <a:rPr lang="en-GB">
              <a:effectLst/>
            </a:rPr>
            <a:t>			//[ARC 28.08.2016] CHG099053: Check for market that will bypass validation</a:t>
          </a:r>
        </a:p>
        <a:p>
          <a:r>
            <a:rPr lang="en-GB">
              <a:effectLst/>
            </a:rPr>
            <a:t>			//[SS 25.09.2013]Oct13-def700:Moved script to here for validation to be raised when Status is changed to Pending, Approved, Active			</a:t>
          </a:r>
        </a:p>
        <a:p>
          <a:r>
            <a:rPr lang="en-GB">
              <a:effectLst/>
            </a:rPr>
            <a:t>			if(sByValidation != "true" &amp;&amp; (this.GetFieldValue("JTI Total Amount") &lt;= 0 &amp;&amp; (this.GetFieldValue("JTI JTI Business Reason") == null || this.GetFieldValue("JTI JTI Business Reason") == "")))</a:t>
          </a:r>
        </a:p>
        <a:p>
          <a:r>
            <a:rPr lang="en-GB">
              <a:effectLst/>
            </a:rPr>
            <a:t>			{</a:t>
          </a:r>
        </a:p>
        <a:p>
          <a:r>
            <a:rPr lang="en-GB">
              <a:effectLst/>
            </a:rPr>
            <a:t>				var sError = TheApplication().LookupMessage("User Defined Errors","JTI_X_BUSINESS_REASON_ERR");</a:t>
          </a:r>
        </a:p>
        <a:p>
          <a:r>
            <a:rPr lang="en-GB">
              <a:effectLst/>
            </a:rPr>
            <a:t>				TheApplication().RaiseErrorText(sError);</a:t>
          </a:r>
        </a:p>
        <a:p>
          <a:r>
            <a:rPr lang="en-GB">
              <a:effectLst/>
            </a:rPr>
            <a:t>				return (CancelOperation);</a:t>
          </a:r>
        </a:p>
        <a:p>
          <a:r>
            <a:rPr lang="en-GB">
              <a:effectLst/>
            </a:rPr>
            <a:t>			}</a:t>
          </a:r>
        </a:p>
        <a:p>
          <a:endParaRPr lang="en-GB">
            <a:effectLst/>
          </a:endParaRPr>
        </a:p>
        <a:p>
          <a:r>
            <a:rPr lang="en-GB">
              <a:effectLst/>
            </a:rPr>
            <a:t>			//[MNK-16.04.2020:CHG176442:Validate if Points Amount &gt; 0</a:t>
          </a:r>
        </a:p>
        <a:p>
          <a:r>
            <a:rPr lang="en-GB">
              <a:effectLst/>
            </a:rPr>
            <a:t>			var sValidatePointAmount = CheckLOV("JTI_MARKET_SETTINGS", "VALIDATE_POINTS_AMT", this.GetFieldValue("JTI Agreement Type LIC"));</a:t>
          </a:r>
        </a:p>
        <a:p>
          <a:r>
            <a:rPr lang="en-GB">
              <a:effectLst/>
            </a:rPr>
            <a:t>			if(sValidatePointAmount == "true" &amp;&amp; (this.GetFieldValue("JTI Point Total") &lt;= 0 &amp;&amp; (this.GetFieldValue("JTI JTI Business Reason") == null || this.GetFieldValue("JTI JTI Business Reason") == "")))</a:t>
          </a:r>
        </a:p>
        <a:p>
          <a:r>
            <a:rPr lang="en-GB">
              <a:effectLst/>
            </a:rPr>
            <a:t>			{</a:t>
          </a:r>
        </a:p>
        <a:p>
          <a:r>
            <a:rPr lang="en-GB">
              <a:effectLst/>
            </a:rPr>
            <a:t>				var sPointError = TheApplication().LookupMessage("User Defined Errors","JTI_X_VALIDATE_POINTS_AMOUNT");</a:t>
          </a:r>
        </a:p>
        <a:p>
          <a:r>
            <a:rPr lang="en-GB">
              <a:effectLst/>
            </a:rPr>
            <a:t>				TheApplication().RaiseErrorText(sPointError);</a:t>
          </a:r>
        </a:p>
        <a:p>
          <a:r>
            <a:rPr lang="en-GB">
              <a:effectLst/>
            </a:rPr>
            <a:t>				return (CancelOperation);</a:t>
          </a:r>
        </a:p>
        <a:p>
          <a:r>
            <a:rPr lang="en-GB">
              <a:effectLst/>
            </a:rPr>
            <a:t>			}</a:t>
          </a:r>
        </a:p>
        <a:p>
          <a:r>
            <a:rPr lang="en-GB">
              <a:effectLst/>
            </a:rPr>
            <a:t>			</a:t>
          </a:r>
        </a:p>
        <a:p>
          <a:r>
            <a:rPr lang="en-GB">
              <a:effectLst/>
            </a:rPr>
            <a:t>		</a:t>
          </a:r>
          <a:r>
            <a:rPr lang="en-GB">
              <a:solidFill>
                <a:srgbClr val="0000FF"/>
              </a:solidFill>
              <a:effectLst/>
            </a:rPr>
            <a:t>	</a:t>
          </a:r>
          <a:r>
            <a:rPr lang="en-GB" sz="1100">
              <a:solidFill>
                <a:srgbClr val="0000FF"/>
              </a:solidFill>
              <a:effectLst/>
              <a:latin typeface="+mn-lt"/>
              <a:ea typeface="+mn-ea"/>
              <a:cs typeface="+mn-cs"/>
            </a:rPr>
            <a:t>//Validate if Total Amount &gt; Total Amt Limit</a:t>
          </a:r>
          <a:endParaRPr lang="en-US">
            <a:solidFill>
              <a:srgbClr val="0000FF"/>
            </a:solidFill>
            <a:effectLst/>
          </a:endParaRPr>
        </a:p>
        <a:p>
          <a:pPr eaLnBrk="1" fontAlgn="auto" latinLnBrk="0" hangingPunct="1"/>
          <a:r>
            <a:rPr lang="en-GB" sz="1100">
              <a:solidFill>
                <a:srgbClr val="0000FF"/>
              </a:solidFill>
              <a:effectLst/>
              <a:latin typeface="+mn-lt"/>
              <a:ea typeface="+mn-ea"/>
              <a:cs typeface="+mn-cs"/>
            </a:rPr>
            <a:t>			var sAmtLimit = ToNumber(this.GetFieldValue("JTI Total Amount Limit"));</a:t>
          </a:r>
          <a:endParaRPr lang="en-US">
            <a:solidFill>
              <a:srgbClr val="0000FF"/>
            </a:solidFill>
            <a:effectLst/>
          </a:endParaRPr>
        </a:p>
        <a:p>
          <a:r>
            <a:rPr lang="en-GB" sz="1100">
              <a:solidFill>
                <a:srgbClr val="0000FF"/>
              </a:solidFill>
              <a:effectLst/>
              <a:latin typeface="+mn-lt"/>
              <a:ea typeface="+mn-ea"/>
              <a:cs typeface="+mn-cs"/>
            </a:rPr>
            <a:t>			if(sAmtLimit &gt; 0)</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pPr eaLnBrk="1" fontAlgn="auto" latinLnBrk="0" hangingPunct="1"/>
          <a:r>
            <a:rPr lang="en-GB" sz="1100">
              <a:solidFill>
                <a:srgbClr val="0000FF"/>
              </a:solidFill>
              <a:effectLst/>
              <a:latin typeface="+mn-lt"/>
              <a:ea typeface="+mn-ea"/>
              <a:cs typeface="+mn-cs"/>
            </a:rPr>
            <a:t>				var sValidateTotalAmtLimit = CheckLOV("JTI_MARKET_SETTINGS", "VALIDATE_AMT_LIMIT", "TRUE");</a:t>
          </a:r>
          <a:endParaRPr lang="en-US">
            <a:solidFill>
              <a:srgbClr val="0000FF"/>
            </a:solidFill>
            <a:effectLst/>
          </a:endParaRPr>
        </a:p>
        <a:p>
          <a:r>
            <a:rPr lang="en-GB" sz="1100">
              <a:solidFill>
                <a:srgbClr val="0000FF"/>
              </a:solidFill>
              <a:effectLst/>
              <a:latin typeface="+mn-lt"/>
              <a:ea typeface="+mn-ea"/>
              <a:cs typeface="+mn-cs"/>
            </a:rPr>
            <a:t>				var sTotalAmt = ToNumber(this.GetFieldValue("JTI Total Amount"));			</a:t>
          </a:r>
          <a:endParaRPr lang="en-US">
            <a:solidFill>
              <a:srgbClr val="0000FF"/>
            </a:solidFill>
            <a:effectLst/>
          </a:endParaRPr>
        </a:p>
        <a:p>
          <a:r>
            <a:rPr lang="en-GB" sz="1100">
              <a:solidFill>
                <a:srgbClr val="0000FF"/>
              </a:solidFill>
              <a:effectLst/>
              <a:latin typeface="+mn-lt"/>
              <a:ea typeface="+mn-ea"/>
              <a:cs typeface="+mn-cs"/>
            </a:rPr>
            <a:t>				var sAmtDiff = sTotalAmt-sAmtLimit;</a:t>
          </a:r>
          <a:endParaRPr lang="en-US">
            <a:solidFill>
              <a:srgbClr val="0000FF"/>
            </a:solidFill>
            <a:effectLst/>
          </a:endParaRPr>
        </a:p>
        <a:p>
          <a:r>
            <a:rPr lang="en-GB" sz="1100">
              <a:solidFill>
                <a:srgbClr val="0000FF"/>
              </a:solidFill>
              <a:effectLst/>
              <a:latin typeface="+mn-lt"/>
              <a:ea typeface="+mn-ea"/>
              <a:cs typeface="+mn-cs"/>
            </a:rPr>
            <a:t>				if (sValidateTotalAmtLimit == "true" &amp;&amp; sTotalAmt &gt; sAmtLimit)</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var sError = TheApplication().LookupMessage("User Defined Errors","JTI_X_TOTAL_AMT_LIMIT_ERR", sAmtDiff);</a:t>
          </a:r>
          <a:endParaRPr lang="en-US">
            <a:solidFill>
              <a:srgbClr val="0000FF"/>
            </a:solidFill>
            <a:effectLst/>
          </a:endParaRPr>
        </a:p>
        <a:p>
          <a:r>
            <a:rPr lang="en-GB" sz="1100">
              <a:solidFill>
                <a:srgbClr val="0000FF"/>
              </a:solidFill>
              <a:effectLst/>
              <a:latin typeface="+mn-lt"/>
              <a:ea typeface="+mn-ea"/>
              <a:cs typeface="+mn-cs"/>
            </a:rPr>
            <a:t>					TheApplication().RaiseErrorText(sError);</a:t>
          </a:r>
          <a:endParaRPr lang="en-US">
            <a:solidFill>
              <a:srgbClr val="0000FF"/>
            </a:solidFill>
            <a:effectLst/>
          </a:endParaRPr>
        </a:p>
        <a:p>
          <a:r>
            <a:rPr lang="en-GB" sz="1100">
              <a:solidFill>
                <a:srgbClr val="0000FF"/>
              </a:solidFill>
              <a:effectLst/>
              <a:latin typeface="+mn-lt"/>
              <a:ea typeface="+mn-ea"/>
              <a:cs typeface="+mn-cs"/>
            </a:rPr>
            <a:t>					return (CancelOperation);</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//Validate if Total Point &gt; Total Pts Limit</a:t>
          </a:r>
          <a:endParaRPr lang="en-US">
            <a:solidFill>
              <a:srgbClr val="0000FF"/>
            </a:solidFill>
            <a:effectLst/>
          </a:endParaRPr>
        </a:p>
        <a:p>
          <a:pPr eaLnBrk="1" fontAlgn="auto" latinLnBrk="0" hangingPunct="1"/>
          <a:r>
            <a:rPr lang="en-GB" sz="1100">
              <a:solidFill>
                <a:srgbClr val="0000FF"/>
              </a:solidFill>
              <a:effectLst/>
              <a:latin typeface="+mn-lt"/>
              <a:ea typeface="+mn-ea"/>
              <a:cs typeface="+mn-cs"/>
            </a:rPr>
            <a:t>			var sPtsLimit = ToNumber(this.GetFieldValue("JTI Total Points Limit"));</a:t>
          </a:r>
          <a:endParaRPr lang="en-US">
            <a:solidFill>
              <a:srgbClr val="0000FF"/>
            </a:solidFill>
            <a:effectLst/>
          </a:endParaRPr>
        </a:p>
        <a:p>
          <a:r>
            <a:rPr lang="en-GB" sz="1100">
              <a:solidFill>
                <a:srgbClr val="0000FF"/>
              </a:solidFill>
              <a:effectLst/>
              <a:latin typeface="+mn-lt"/>
              <a:ea typeface="+mn-ea"/>
              <a:cs typeface="+mn-cs"/>
            </a:rPr>
            <a:t>			if(sPtsLimit &gt; 0)</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pPr eaLnBrk="1" fontAlgn="auto" latinLnBrk="0" hangingPunct="1"/>
          <a:r>
            <a:rPr lang="en-GB" sz="1100">
              <a:solidFill>
                <a:srgbClr val="0000FF"/>
              </a:solidFill>
              <a:effectLst/>
              <a:latin typeface="+mn-lt"/>
              <a:ea typeface="+mn-ea"/>
              <a:cs typeface="+mn-cs"/>
            </a:rPr>
            <a:t>				var sValidateTotalPtsLimit = CheckLOV("JTI_MARKET_SETTINGS", "VALIDATE_PTS_AMT_LIMIT", "TRUE");</a:t>
          </a:r>
          <a:endParaRPr lang="en-US">
            <a:solidFill>
              <a:srgbClr val="0000FF"/>
            </a:solidFill>
            <a:effectLst/>
          </a:endParaRPr>
        </a:p>
        <a:p>
          <a:r>
            <a:rPr lang="en-GB" sz="1100">
              <a:solidFill>
                <a:srgbClr val="0000FF"/>
              </a:solidFill>
              <a:effectLst/>
              <a:latin typeface="+mn-lt"/>
              <a:ea typeface="+mn-ea"/>
              <a:cs typeface="+mn-cs"/>
            </a:rPr>
            <a:t>				var sTotalPts= ToNumber(this.GetFieldValue("JTI Point Total"));</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var sPtsDiff = sTotalPts-sPtsLimit;</a:t>
          </a:r>
          <a:endParaRPr lang="en-US">
            <a:solidFill>
              <a:srgbClr val="0000FF"/>
            </a:solidFill>
            <a:effectLst/>
          </a:endParaRPr>
        </a:p>
        <a:p>
          <a:r>
            <a:rPr lang="en-GB" sz="1100">
              <a:solidFill>
                <a:srgbClr val="0000FF"/>
              </a:solidFill>
              <a:effectLst/>
              <a:latin typeface="+mn-lt"/>
              <a:ea typeface="+mn-ea"/>
              <a:cs typeface="+mn-cs"/>
            </a:rPr>
            <a:t>				if (sValidateTotalPtsLimit == "true" &amp;&amp; sTotalPts &gt; sPtsLimit)</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var sError = TheApplication().LookupMessage("User Defined Errors","JTI_X_TOTAL_AMT_LIMIT_ERR", sPtsDiff);</a:t>
          </a:r>
          <a:endParaRPr lang="en-US">
            <a:solidFill>
              <a:srgbClr val="0000FF"/>
            </a:solidFill>
            <a:effectLst/>
          </a:endParaRPr>
        </a:p>
        <a:p>
          <a:r>
            <a:rPr lang="en-GB" sz="1100">
              <a:solidFill>
                <a:srgbClr val="0000FF"/>
              </a:solidFill>
              <a:effectLst/>
              <a:latin typeface="+mn-lt"/>
              <a:ea typeface="+mn-ea"/>
              <a:cs typeface="+mn-cs"/>
            </a:rPr>
            <a:t>					TheApplication().RaiseErrorText(sError);</a:t>
          </a:r>
          <a:endParaRPr lang="en-US">
            <a:solidFill>
              <a:srgbClr val="0000FF"/>
            </a:solidFill>
            <a:effectLst/>
          </a:endParaRPr>
        </a:p>
        <a:p>
          <a:r>
            <a:rPr lang="en-GB" sz="1100">
              <a:solidFill>
                <a:srgbClr val="0000FF"/>
              </a:solidFill>
              <a:effectLst/>
              <a:latin typeface="+mn-lt"/>
              <a:ea typeface="+mn-ea"/>
              <a:cs typeface="+mn-cs"/>
            </a:rPr>
            <a:t>					return (CancelOperation);</a:t>
          </a:r>
          <a:endParaRPr lang="en-US">
            <a:solidFill>
              <a:srgbClr val="0000FF"/>
            </a:solidFill>
            <a:effectLst/>
          </a:endParaRPr>
        </a:p>
        <a:p>
          <a:r>
            <a:rPr lang="en-GB" sz="1100">
              <a:solidFill>
                <a:srgbClr val="0000FF"/>
              </a:solidFill>
              <a:effectLst/>
              <a:latin typeface="+mn-lt"/>
              <a:ea typeface="+mn-ea"/>
              <a:cs typeface="+mn-cs"/>
            </a:rPr>
            <a:t>				}</a:t>
          </a:r>
          <a:endParaRPr lang="en-US">
            <a:solidFill>
              <a:srgbClr val="0000FF"/>
            </a:solidFill>
            <a:effectLst/>
          </a:endParaRPr>
        </a:p>
        <a:p>
          <a:r>
            <a:rPr lang="en-GB" sz="1100">
              <a:solidFill>
                <a:srgbClr val="0000FF"/>
              </a:solidFill>
              <a:effectLst/>
              <a:latin typeface="+mn-lt"/>
              <a:ea typeface="+mn-ea"/>
              <a:cs typeface="+mn-cs"/>
            </a:rPr>
            <a:t>			}</a:t>
          </a:r>
        </a:p>
        <a:p>
          <a:r>
            <a:rPr lang="en-US">
              <a:solidFill>
                <a:srgbClr val="0000FF"/>
              </a:solidFill>
              <a:effectLst/>
            </a:rPr>
            <a:t>			//Validate if Benefit Type at Contract Item level has been populated</a:t>
          </a:r>
        </a:p>
        <a:p>
          <a:r>
            <a:rPr lang="en-US">
              <a:solidFill>
                <a:srgbClr val="0000FF"/>
              </a:solidFill>
              <a:effectLst/>
            </a:rPr>
            <a:t>			var sValidateBenefitType = CheckLOV("JTI_MARKET_SETTINGS", "VALIDATE_CI_BENEFIT", this.GetFieldValue("JTI Agreement Type LIC"));</a:t>
          </a:r>
        </a:p>
        <a:p>
          <a:r>
            <a:rPr lang="en-US">
              <a:solidFill>
                <a:srgbClr val="0000FF"/>
              </a:solidFill>
              <a:effectLst/>
            </a:rPr>
            <a:t>			if(sValidateBenefitType == "true")</a:t>
          </a:r>
        </a:p>
        <a:p>
          <a:r>
            <a:rPr lang="en-US">
              <a:solidFill>
                <a:srgbClr val="0000FF"/>
              </a:solidFill>
              <a:effectLst/>
            </a:rPr>
            <a:t>			{</a:t>
          </a:r>
        </a:p>
        <a:p>
          <a:r>
            <a:rPr lang="en-US">
              <a:solidFill>
                <a:srgbClr val="0000FF"/>
              </a:solidFill>
              <a:effectLst/>
            </a:rPr>
            <a:t>				var sAgreeId = this.GetFieldValue("Id"));</a:t>
          </a:r>
        </a:p>
        <a:p>
          <a:r>
            <a:rPr lang="en-US">
              <a:solidFill>
                <a:srgbClr val="0000FF"/>
              </a:solidFill>
              <a:effectLst/>
            </a:rPr>
            <a:t>				var sCheck = CheckBenefitType(sAgreeId)</a:t>
          </a:r>
        </a:p>
        <a:p>
          <a:r>
            <a:rPr lang="en-US">
              <a:solidFill>
                <a:srgbClr val="0000FF"/>
              </a:solidFill>
              <a:effectLst/>
            </a:rPr>
            <a:t>				</a:t>
          </a:r>
        </a:p>
        <a:p>
          <a:r>
            <a:rPr lang="en-US">
              <a:solidFill>
                <a:srgbClr val="0000FF"/>
              </a:solidFill>
              <a:effectLst/>
            </a:rPr>
            <a:t>				if (sCheck == "true"))</a:t>
          </a:r>
        </a:p>
        <a:p>
          <a:r>
            <a:rPr lang="en-US">
              <a:solidFill>
                <a:srgbClr val="0000FF"/>
              </a:solidFill>
              <a:effectLst/>
            </a:rPr>
            <a:t>				{</a:t>
          </a:r>
        </a:p>
        <a:p>
          <a:r>
            <a:rPr lang="en-US">
              <a:solidFill>
                <a:srgbClr val="0000FF"/>
              </a:solidFill>
              <a:effectLst/>
            </a:rPr>
            <a:t>					var sError = TheApplication().LookupMessage("User Defined Errors","JTI_X_CI_BENEFIT_TYPE_ERR");</a:t>
          </a:r>
        </a:p>
        <a:p>
          <a:r>
            <a:rPr lang="en-US">
              <a:solidFill>
                <a:srgbClr val="0000FF"/>
              </a:solidFill>
              <a:effectLst/>
            </a:rPr>
            <a:t>					TheApplication().RaiseErrorText(sError);</a:t>
          </a:r>
        </a:p>
        <a:p>
          <a:r>
            <a:rPr lang="en-US">
              <a:solidFill>
                <a:srgbClr val="0000FF"/>
              </a:solidFill>
              <a:effectLst/>
            </a:rPr>
            <a:t>					return (CancelOperation);</a:t>
          </a:r>
        </a:p>
        <a:p>
          <a:r>
            <a:rPr lang="en-US">
              <a:solidFill>
                <a:srgbClr val="0000FF"/>
              </a:solidFill>
              <a:effectLst/>
            </a:rPr>
            <a:t>				}</a:t>
          </a:r>
        </a:p>
        <a:p>
          <a:r>
            <a:rPr lang="en-US">
              <a:solidFill>
                <a:srgbClr val="0000FF"/>
              </a:solidFill>
              <a:effectLst/>
            </a:rPr>
            <a:t>			}</a:t>
          </a:r>
        </a:p>
        <a:p>
          <a:endParaRPr lang="en-GB">
            <a:solidFill>
              <a:srgbClr val="0000FF"/>
            </a:solidFill>
            <a:effectLst/>
          </a:endParaRPr>
        </a:p>
        <a:p>
          <a:r>
            <a:rPr lang="en-GB">
              <a:solidFill>
                <a:srgbClr val="0000FF"/>
              </a:solidFill>
              <a:effectLst/>
            </a:rPr>
            <a:t>		</a:t>
          </a:r>
          <a:r>
            <a:rPr lang="en-GB">
              <a:solidFill>
                <a:sysClr val="windowText" lastClr="000000"/>
              </a:solidFill>
              <a:effectLst/>
            </a:rPr>
            <a:t>}</a:t>
          </a:r>
        </a:p>
        <a:p>
          <a:r>
            <a:rPr lang="en-GB">
              <a:effectLst/>
            </a:rPr>
            <a:t>		</a:t>
          </a:r>
          <a:r>
            <a:rPr lang="en-GB" b="1">
              <a:effectLst/>
            </a:rPr>
            <a:t>.</a:t>
          </a:r>
        </a:p>
        <a:p>
          <a:r>
            <a:rPr lang="en-GB" b="1">
              <a:effectLst/>
            </a:rPr>
            <a:t>		. Existing Script</a:t>
          </a:r>
        </a:p>
        <a:p>
          <a:r>
            <a:rPr lang="en-GB" b="1">
              <a:effectLst/>
            </a:rPr>
            <a:t>		.</a:t>
          </a:r>
        </a:p>
        <a:p>
          <a:r>
            <a:rPr lang="en-GB">
              <a:effectLst/>
            </a:rPr>
            <a:t>}</a:t>
          </a:r>
        </a:p>
      </xdr:txBody>
    </xdr:sp>
    <xdr:clientData/>
  </xdr:oneCellAnchor>
  <xdr:oneCellAnchor>
    <xdr:from>
      <xdr:col>0</xdr:col>
      <xdr:colOff>176530</xdr:colOff>
      <xdr:row>117</xdr:row>
      <xdr:rowOff>119231</xdr:rowOff>
    </xdr:from>
    <xdr:ext cx="12198350" cy="9048118"/>
    <xdr:sp macro="" textlink="">
      <xdr:nvSpPr>
        <xdr:cNvPr id="5" name="TextBox 4">
          <a:extLst>
            <a:ext uri="{FF2B5EF4-FFF2-40B4-BE49-F238E27FC236}">
              <a16:creationId xmlns:a16="http://schemas.microsoft.com/office/drawing/2014/main" id="{ACAAA2E7-1395-4548-8422-130A43821EF5}"/>
            </a:ext>
          </a:extLst>
        </xdr:cNvPr>
        <xdr:cNvSpPr txBox="1"/>
      </xdr:nvSpPr>
      <xdr:spPr>
        <a:xfrm>
          <a:off x="176530" y="20630478"/>
          <a:ext cx="12198350" cy="9048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GB" sz="1100">
              <a:solidFill>
                <a:srgbClr val="0000FF"/>
              </a:solidFill>
              <a:effectLst/>
              <a:latin typeface="+mn-lt"/>
              <a:ea typeface="+mn-ea"/>
              <a:cs typeface="+mn-cs"/>
            </a:rPr>
            <a:t>function CheckBenefitType(AgreementId)</a:t>
          </a:r>
        </a:p>
        <a:p>
          <a:r>
            <a:rPr lang="en-GB" sz="1100">
              <a:solidFill>
                <a:srgbClr val="0000FF"/>
              </a:solidFill>
              <a:effectLst/>
              <a:latin typeface="+mn-lt"/>
              <a:ea typeface="+mn-ea"/>
              <a:cs typeface="+mn-cs"/>
            </a:rPr>
            <a:t>{</a:t>
          </a:r>
        </a:p>
        <a:p>
          <a:r>
            <a:rPr lang="en-GB" sz="1100">
              <a:solidFill>
                <a:srgbClr val="0000FF"/>
              </a:solidFill>
              <a:effectLst/>
              <a:latin typeface="+mn-lt"/>
              <a:ea typeface="+mn-ea"/>
              <a:cs typeface="+mn-cs"/>
            </a:rPr>
            <a:t>	//New Function to check if any Contract Item product has Benefit type not populated</a:t>
          </a:r>
        </a:p>
        <a:p>
          <a:r>
            <a:rPr lang="en-GB" sz="1100">
              <a:solidFill>
                <a:srgbClr val="0000FF"/>
              </a:solidFill>
              <a:effectLst/>
              <a:latin typeface="+mn-lt"/>
              <a:ea typeface="+mn-ea"/>
              <a:cs typeface="+mn-cs"/>
            </a:rPr>
            <a:t>	var sExists = "false";</a:t>
          </a:r>
        </a:p>
        <a:p>
          <a:r>
            <a:rPr lang="en-GB" sz="1100">
              <a:solidFill>
                <a:srgbClr val="0000FF"/>
              </a:solidFill>
              <a:effectLst/>
              <a:latin typeface="+mn-lt"/>
              <a:ea typeface="+mn-ea"/>
              <a:cs typeface="+mn-cs"/>
            </a:rPr>
            <a:t>	try</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var oBOAgreement = TheApplication().GetBusObject("JTI Service Agreement - New");</a:t>
          </a:r>
        </a:p>
        <a:p>
          <a:r>
            <a:rPr lang="en-GB" sz="1100">
              <a:solidFill>
                <a:srgbClr val="0000FF"/>
              </a:solidFill>
              <a:effectLst/>
              <a:latin typeface="+mn-lt"/>
              <a:ea typeface="+mn-ea"/>
              <a:cs typeface="+mn-cs"/>
            </a:rPr>
            <a:t>		var OBCAgree = oBOAgreement.GetBusComp("JTI JTI Service Agreement");</a:t>
          </a:r>
        </a:p>
        <a:p>
          <a:r>
            <a:rPr lang="en-GB" sz="1100">
              <a:solidFill>
                <a:srgbClr val="0000FF"/>
              </a:solidFill>
              <a:effectLst/>
              <a:latin typeface="+mn-lt"/>
              <a:ea typeface="+mn-ea"/>
              <a:cs typeface="+mn-cs"/>
            </a:rPr>
            <a:t>		var oBCContractItem = oBOAgreement.GetBusComp("JTI Contract Agreement Item");</a:t>
          </a:r>
        </a:p>
        <a:p>
          <a:r>
            <a:rPr lang="en-GB" sz="1100">
              <a:solidFill>
                <a:srgbClr val="0000FF"/>
              </a:solidFill>
              <a:effectLst/>
              <a:latin typeface="+mn-lt"/>
              <a:ea typeface="+mn-ea"/>
              <a:cs typeface="+mn-cs"/>
            </a:rPr>
            <a:t>		var errCode;</a:t>
          </a:r>
        </a:p>
        <a:p>
          <a:endParaRPr lang="en-GB" sz="1100">
            <a:solidFill>
              <a:srgbClr val="0000FF"/>
            </a:solidFill>
            <a:effectLst/>
            <a:latin typeface="+mn-lt"/>
            <a:ea typeface="+mn-ea"/>
            <a:cs typeface="+mn-cs"/>
          </a:endParaRPr>
        </a:p>
        <a:p>
          <a:r>
            <a:rPr lang="en-GB" sz="1100">
              <a:solidFill>
                <a:srgbClr val="0000FF"/>
              </a:solidFill>
              <a:effectLst/>
              <a:latin typeface="+mn-lt"/>
              <a:ea typeface="+mn-ea"/>
              <a:cs typeface="+mn-cs"/>
            </a:rPr>
            <a:t>		with (OBCAgree)</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var sSearchString = "[Id] = '" + AgreementId + "'";</a:t>
          </a:r>
        </a:p>
        <a:p>
          <a:r>
            <a:rPr lang="en-GB" sz="1100">
              <a:solidFill>
                <a:srgbClr val="0000FF"/>
              </a:solidFill>
              <a:effectLst/>
              <a:latin typeface="+mn-lt"/>
              <a:ea typeface="+mn-ea"/>
              <a:cs typeface="+mn-cs"/>
            </a:rPr>
            <a:t>			ClearToQuery();</a:t>
          </a:r>
        </a:p>
        <a:p>
          <a:r>
            <a:rPr lang="en-GB" sz="1100">
              <a:solidFill>
                <a:srgbClr val="0000FF"/>
              </a:solidFill>
              <a:effectLst/>
              <a:latin typeface="+mn-lt"/>
              <a:ea typeface="+mn-ea"/>
              <a:cs typeface="+mn-cs"/>
            </a:rPr>
            <a:t>			SetViewMode(AllView);</a:t>
          </a:r>
        </a:p>
        <a:p>
          <a:r>
            <a:rPr lang="en-GB" sz="1100">
              <a:solidFill>
                <a:srgbClr val="0000FF"/>
              </a:solidFill>
              <a:effectLst/>
              <a:latin typeface="+mn-lt"/>
              <a:ea typeface="+mn-ea"/>
              <a:cs typeface="+mn-cs"/>
            </a:rPr>
            <a:t>			SetSearchExpr(sSearchString);</a:t>
          </a:r>
        </a:p>
        <a:p>
          <a:r>
            <a:rPr lang="en-GB" sz="1100">
              <a:solidFill>
                <a:srgbClr val="0000FF"/>
              </a:solidFill>
              <a:effectLst/>
              <a:latin typeface="+mn-lt"/>
              <a:ea typeface="+mn-ea"/>
              <a:cs typeface="+mn-cs"/>
            </a:rPr>
            <a:t>			ExecuteQuery(ForwardOnly);</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if (FirstRecord())</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with (oBCAgreeAttach)</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var sSearchStr = "([JTI Benefit Type] = '' OR [JTI Benefit Type] IS NULL) AND ([JTI Contract Type] = '' OR [JTI Contract Type] IS NULL)";</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ClearToQuery();</a:t>
          </a:r>
        </a:p>
        <a:p>
          <a:r>
            <a:rPr lang="en-GB" sz="1100">
              <a:solidFill>
                <a:srgbClr val="0000FF"/>
              </a:solidFill>
              <a:effectLst/>
              <a:latin typeface="+mn-lt"/>
              <a:ea typeface="+mn-ea"/>
              <a:cs typeface="+mn-cs"/>
            </a:rPr>
            <a:t>					ActivateField("JTI Benefit Type");</a:t>
          </a:r>
        </a:p>
        <a:p>
          <a:r>
            <a:rPr lang="en-GB" sz="1100">
              <a:solidFill>
                <a:srgbClr val="0000FF"/>
              </a:solidFill>
              <a:effectLst/>
              <a:latin typeface="+mn-lt"/>
              <a:ea typeface="+mn-ea"/>
              <a:cs typeface="+mn-cs"/>
            </a:rPr>
            <a:t>					ActivateField("JTI Contract Type");</a:t>
          </a:r>
        </a:p>
        <a:p>
          <a:r>
            <a:rPr lang="en-GB" sz="1100">
              <a:solidFill>
                <a:srgbClr val="0000FF"/>
              </a:solidFill>
              <a:effectLst/>
              <a:latin typeface="+mn-lt"/>
              <a:ea typeface="+mn-ea"/>
              <a:cs typeface="+mn-cs"/>
            </a:rPr>
            <a:t>					SetViewMode(OrganizationView);</a:t>
          </a:r>
        </a:p>
        <a:p>
          <a:r>
            <a:rPr lang="en-GB" sz="1100">
              <a:solidFill>
                <a:srgbClr val="0000FF"/>
              </a:solidFill>
              <a:effectLst/>
              <a:latin typeface="+mn-lt"/>
              <a:ea typeface="+mn-ea"/>
              <a:cs typeface="+mn-cs"/>
            </a:rPr>
            <a:t>					SetSearchExpr(sSearchStr);</a:t>
          </a:r>
        </a:p>
        <a:p>
          <a:r>
            <a:rPr lang="en-GB" sz="1100">
              <a:solidFill>
                <a:srgbClr val="0000FF"/>
              </a:solidFill>
              <a:effectLst/>
              <a:latin typeface="+mn-lt"/>
              <a:ea typeface="+mn-ea"/>
              <a:cs typeface="+mn-cs"/>
            </a:rPr>
            <a:t>					ExecuteQuery(ForwardOnly);</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if (FirstRecord())</a:t>
          </a:r>
        </a:p>
        <a:p>
          <a:r>
            <a:rPr lang="en-GB" sz="1100">
              <a:solidFill>
                <a:srgbClr val="0000FF"/>
              </a:solidFill>
              <a:effectLst/>
              <a:latin typeface="+mn-lt"/>
              <a:ea typeface="+mn-ea"/>
              <a:cs typeface="+mn-cs"/>
            </a:rPr>
            <a:t>						sExists = "true";</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 // try</a:t>
          </a:r>
        </a:p>
        <a:p>
          <a:r>
            <a:rPr lang="en-GB" sz="1100">
              <a:solidFill>
                <a:srgbClr val="0000FF"/>
              </a:solidFill>
              <a:effectLst/>
              <a:latin typeface="+mn-lt"/>
              <a:ea typeface="+mn-ea"/>
              <a:cs typeface="+mn-cs"/>
            </a:rPr>
            <a:t>	catch(e)</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TheApplication().RaiseErrorText(e.toString());</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finally</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oBCContractItem = null;</a:t>
          </a:r>
        </a:p>
        <a:p>
          <a:r>
            <a:rPr lang="en-GB" sz="1100">
              <a:solidFill>
                <a:srgbClr val="0000FF"/>
              </a:solidFill>
              <a:effectLst/>
              <a:latin typeface="+mn-lt"/>
              <a:ea typeface="+mn-ea"/>
              <a:cs typeface="+mn-cs"/>
            </a:rPr>
            <a:t>	  OBCAgree = null;</a:t>
          </a:r>
        </a:p>
        <a:p>
          <a:r>
            <a:rPr lang="en-GB" sz="1100">
              <a:solidFill>
                <a:srgbClr val="0000FF"/>
              </a:solidFill>
              <a:effectLst/>
              <a:latin typeface="+mn-lt"/>
              <a:ea typeface="+mn-ea"/>
              <a:cs typeface="+mn-cs"/>
            </a:rPr>
            <a:t>	  oBOAgreement = null;</a:t>
          </a:r>
        </a:p>
        <a:p>
          <a:r>
            <a:rPr lang="en-GB" sz="1100">
              <a:solidFill>
                <a:srgbClr val="0000FF"/>
              </a:solidFill>
              <a:effectLst/>
              <a:latin typeface="+mn-lt"/>
              <a:ea typeface="+mn-ea"/>
              <a:cs typeface="+mn-cs"/>
            </a:rPr>
            <a:t>	}</a:t>
          </a:r>
        </a:p>
        <a:p>
          <a:r>
            <a:rPr lang="en-GB" sz="1100">
              <a:solidFill>
                <a:srgbClr val="0000FF"/>
              </a:solidFill>
              <a:effectLst/>
              <a:latin typeface="+mn-lt"/>
              <a:ea typeface="+mn-ea"/>
              <a:cs typeface="+mn-cs"/>
            </a:rPr>
            <a:t>	return sExists;</a:t>
          </a:r>
        </a:p>
        <a:p>
          <a:r>
            <a:rPr lang="en-GB" sz="1100">
              <a:solidFill>
                <a:srgbClr val="0000FF"/>
              </a:solidFill>
              <a:effectLst/>
              <a:latin typeface="+mn-lt"/>
              <a:ea typeface="+mn-ea"/>
              <a:cs typeface="+mn-cs"/>
            </a:rPr>
            <a:t>}</a:t>
          </a:r>
          <a:endParaRPr lang="en-GB">
            <a:solidFill>
              <a:srgbClr val="0000FF"/>
            </a:solidFill>
            <a:effectLst/>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98424</xdr:colOff>
      <xdr:row>8</xdr:row>
      <xdr:rowOff>60960</xdr:rowOff>
    </xdr:from>
    <xdr:ext cx="12268835" cy="18003903"/>
    <xdr:sp macro="" textlink="">
      <xdr:nvSpPr>
        <xdr:cNvPr id="2" name="TextBox 1">
          <a:extLst>
            <a:ext uri="{FF2B5EF4-FFF2-40B4-BE49-F238E27FC236}">
              <a16:creationId xmlns:a16="http://schemas.microsoft.com/office/drawing/2014/main" id="{E1D6EBD6-FFFF-48AA-9CEE-7DAB1EBD697A}"/>
            </a:ext>
          </a:extLst>
        </xdr:cNvPr>
        <xdr:cNvSpPr txBox="1"/>
      </xdr:nvSpPr>
      <xdr:spPr>
        <a:xfrm>
          <a:off x="98424" y="1485900"/>
          <a:ext cx="12268835" cy="180039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GB">
              <a:effectLst/>
            </a:rPr>
            <a:t>function CreateContract(sTemplAgreeId, sAccId, sPrAccntPostnId, sActId)</a:t>
          </a:r>
        </a:p>
        <a:p>
          <a:r>
            <a:rPr lang="en-GB">
              <a:effectLst/>
            </a:rPr>
            <a:t>{</a:t>
          </a:r>
        </a:p>
        <a:p>
          <a:r>
            <a:rPr lang="en-GB">
              <a:effectLst/>
            </a:rPr>
            <a:t>.</a:t>
          </a:r>
        </a:p>
        <a:p>
          <a:r>
            <a:rPr lang="en-GB">
              <a:effectLst/>
            </a:rPr>
            <a:t>.</a:t>
          </a:r>
        </a:p>
        <a:p>
          <a:r>
            <a:rPr lang="en-GB" b="1">
              <a:effectLst/>
            </a:rPr>
            <a:t>Existing Script</a:t>
          </a:r>
        </a:p>
        <a:p>
          <a:r>
            <a:rPr lang="en-GB" b="1">
              <a:effectLst/>
            </a:rPr>
            <a:t>.</a:t>
          </a:r>
        </a:p>
        <a:p>
          <a:r>
            <a:rPr lang="en-GB" b="1">
              <a:effectLst/>
            </a:rPr>
            <a:t>.</a:t>
          </a:r>
        </a:p>
        <a:p>
          <a:r>
            <a:rPr lang="en-GB" b="0">
              <a:effectLst/>
            </a:rPr>
            <a:t>var sROPoints = psTemplAgree.GetProperty("JTI Max points by transaction Flag");</a:t>
          </a:r>
        </a:p>
        <a:p>
          <a:r>
            <a:rPr lang="en-GB" b="0">
              <a:effectLst/>
            </a:rPr>
            <a:t>var sROPointsVal = psTemplAgree.GetProperty("JTI Points Value Flag");</a:t>
          </a:r>
        </a:p>
        <a:p>
          <a:r>
            <a:rPr lang="en-GB" b="0">
              <a:effectLst/>
            </a:rPr>
            <a:t>var sROMaxPoints = psTemplAgree.GetProperty("JTI Max Points Flag");</a:t>
          </a:r>
        </a:p>
        <a:p>
          <a:r>
            <a:rPr lang="en-GB" b="0">
              <a:effectLst/>
            </a:rPr>
            <a:t>var sContractPaymentMethod = psTemplAgree.GetProperty("JTI Contract Payment Method"); </a:t>
          </a:r>
          <a:r>
            <a:rPr lang="en-GB" b="0">
              <a:solidFill>
                <a:srgbClr val="00B050"/>
              </a:solidFill>
              <a:effectLst/>
            </a:rPr>
            <a:t>//[MNK-09.09.2016]CHG099099: Get Contract</a:t>
          </a:r>
        </a:p>
        <a:p>
          <a:r>
            <a:rPr lang="en-GB" sz="1100" b="0" baseline="0">
              <a:solidFill>
                <a:srgbClr val="00B050"/>
              </a:solidFill>
              <a:effectLst/>
              <a:latin typeface="+mn-lt"/>
              <a:ea typeface="+mn-ea"/>
              <a:cs typeface="+mn-cs"/>
            </a:rPr>
            <a:t>//[&lt;Developer's Initial &gt;&lt;Date&gt;] CR213427 : Added Script for Inheriting Amount and points limit from Template</a:t>
          </a:r>
          <a:endParaRPr lang="en-GB" b="0">
            <a:solidFill>
              <a:srgbClr val="00B050"/>
            </a:solidFill>
            <a:effectLst/>
          </a:endParaRPr>
        </a:p>
        <a:p>
          <a:r>
            <a:rPr lang="en-GB" b="0">
              <a:solidFill>
                <a:srgbClr val="0000FF"/>
              </a:solidFill>
              <a:effectLst/>
            </a:rPr>
            <a:t>var sAmountLimit = psTemplAgree.GetProperty("JTI Total Amount Limit");</a:t>
          </a:r>
        </a:p>
        <a:p>
          <a:r>
            <a:rPr lang="en-GB" b="0">
              <a:solidFill>
                <a:srgbClr val="0000FF"/>
              </a:solidFill>
              <a:effectLst/>
            </a:rPr>
            <a:t>var sPointsLimit = psTemplAgree.GetProperty("JTI Total Points Limit");</a:t>
          </a:r>
        </a:p>
        <a:p>
          <a:r>
            <a:rPr lang="en-GB" b="0">
              <a:solidFill>
                <a:sysClr val="windowText" lastClr="000000"/>
              </a:solidFill>
              <a:effectLst/>
            </a:rPr>
            <a:t>var sBudgetId = '';</a:t>
          </a:r>
        </a:p>
        <a:p>
          <a:r>
            <a:rPr lang="en-GB" b="0">
              <a:solidFill>
                <a:sysClr val="windowText" lastClr="000000"/>
              </a:solidFill>
              <a:effectLst/>
            </a:rPr>
            <a:t>var sAgreeId = "";</a:t>
          </a:r>
        </a:p>
        <a:p>
          <a:r>
            <a:rPr lang="en-GB" b="0">
              <a:solidFill>
                <a:sysClr val="windowText" lastClr="000000"/>
              </a:solidFill>
              <a:effectLst/>
            </a:rPr>
            <a:t>var sProductId;</a:t>
          </a:r>
        </a:p>
        <a:p>
          <a:r>
            <a:rPr lang="en-GB" b="0">
              <a:solidFill>
                <a:sysClr val="windowText" lastClr="000000"/>
              </a:solidFill>
              <a:effectLst/>
            </a:rPr>
            <a:t>.</a:t>
          </a:r>
        </a:p>
        <a:p>
          <a:r>
            <a:rPr lang="en-GB" b="0">
              <a:solidFill>
                <a:sysClr val="windowText" lastClr="000000"/>
              </a:solidFill>
              <a:effectLst/>
            </a:rPr>
            <a:t>.</a:t>
          </a:r>
        </a:p>
        <a:p>
          <a:r>
            <a:rPr lang="en-GB" b="1">
              <a:solidFill>
                <a:sysClr val="windowText" lastClr="000000"/>
              </a:solidFill>
              <a:effectLst/>
            </a:rPr>
            <a:t>Existing</a:t>
          </a:r>
          <a:r>
            <a:rPr lang="en-GB" b="1" baseline="0">
              <a:solidFill>
                <a:sysClr val="windowText" lastClr="000000"/>
              </a:solidFill>
              <a:effectLst/>
            </a:rPr>
            <a:t> Script</a:t>
          </a:r>
        </a:p>
        <a:p>
          <a:r>
            <a:rPr lang="en-GB" b="1" baseline="0">
              <a:solidFill>
                <a:sysClr val="windowText" lastClr="000000"/>
              </a:solidFill>
              <a:effectLst/>
            </a:rPr>
            <a:t>.</a:t>
          </a:r>
        </a:p>
        <a:p>
          <a:r>
            <a:rPr lang="en-GB" b="1" baseline="0">
              <a:solidFill>
                <a:sysClr val="windowText" lastClr="000000"/>
              </a:solidFill>
              <a:effectLst/>
            </a:rPr>
            <a:t>.</a:t>
          </a:r>
        </a:p>
        <a:p>
          <a:r>
            <a:rPr lang="en-GB" b="0">
              <a:solidFill>
                <a:sysClr val="windowText" lastClr="000000"/>
              </a:solidFill>
              <a:effectLst/>
            </a:rPr>
            <a:t>with(oBCServAgree)</a:t>
          </a:r>
        </a:p>
        <a:p>
          <a:r>
            <a:rPr lang="en-GB" b="0">
              <a:solidFill>
                <a:sysClr val="windowText" lastClr="000000"/>
              </a:solidFill>
              <a:effectLst/>
            </a:rPr>
            <a:t>{</a:t>
          </a:r>
        </a:p>
        <a:p>
          <a:r>
            <a:rPr lang="en-GB" b="0">
              <a:solidFill>
                <a:sysClr val="windowText" lastClr="000000"/>
              </a:solidFill>
              <a:effectLst/>
            </a:rPr>
            <a:t>ClearToQuery();</a:t>
          </a:r>
        </a:p>
        <a:p>
          <a:r>
            <a:rPr lang="en-GB" b="0">
              <a:solidFill>
                <a:sysClr val="windowText" lastClr="000000"/>
              </a:solidFill>
              <a:effectLst/>
            </a:rPr>
            <a:t>SetViewMode(OrganizationView);		</a:t>
          </a:r>
        </a:p>
        <a:p>
          <a:r>
            <a:rPr lang="en-GB" b="0">
              <a:solidFill>
                <a:sysClr val="windowText" lastClr="000000"/>
              </a:solidFill>
              <a:effectLst/>
            </a:rPr>
            <a:t>ActivateField("Agreement Type");</a:t>
          </a:r>
        </a:p>
        <a:p>
          <a:r>
            <a:rPr lang="en-GB" b="0">
              <a:solidFill>
                <a:sysClr val="windowText" lastClr="000000"/>
              </a:solidFill>
              <a:effectLst/>
            </a:rPr>
            <a:t>ActivateField("JTI Payment Plan Template Id");</a:t>
          </a:r>
        </a:p>
        <a:p>
          <a:r>
            <a:rPr lang="en-GB" b="0">
              <a:solidFill>
                <a:sysClr val="windowText" lastClr="000000"/>
              </a:solidFill>
              <a:effectLst/>
            </a:rPr>
            <a:t>ActivateField("JTI Fixed Template Flg");</a:t>
          </a:r>
        </a:p>
        <a:p>
          <a:r>
            <a:rPr lang="en-GB" b="0">
              <a:solidFill>
                <a:sysClr val="windowText" lastClr="000000"/>
              </a:solidFill>
              <a:effectLst/>
            </a:rPr>
            <a:t>ActivateField("JTI Max Txn Pts Num");</a:t>
          </a:r>
        </a:p>
        <a:p>
          <a:r>
            <a:rPr lang="en-GB" sz="1100" b="0">
              <a:solidFill>
                <a:schemeClr val="dk1"/>
              </a:solidFill>
              <a:effectLst/>
              <a:latin typeface="+mn-lt"/>
              <a:ea typeface="+mn-ea"/>
              <a:cs typeface="+mn-cs"/>
            </a:rPr>
            <a:t>.</a:t>
          </a:r>
          <a:endParaRPr lang="en-US">
            <a:effectLst/>
          </a:endParaRPr>
        </a:p>
        <a:p>
          <a:r>
            <a:rPr lang="en-GB" sz="1100" b="0">
              <a:solidFill>
                <a:schemeClr val="dk1"/>
              </a:solidFill>
              <a:effectLst/>
              <a:latin typeface="+mn-lt"/>
              <a:ea typeface="+mn-ea"/>
              <a:cs typeface="+mn-cs"/>
            </a:rPr>
            <a:t>.</a:t>
          </a:r>
          <a:endParaRPr lang="en-US">
            <a:effectLst/>
          </a:endParaRPr>
        </a:p>
        <a:p>
          <a:r>
            <a:rPr lang="en-GB" sz="1100" b="1">
              <a:solidFill>
                <a:schemeClr val="dk1"/>
              </a:solidFill>
              <a:effectLst/>
              <a:latin typeface="+mn-lt"/>
              <a:ea typeface="+mn-ea"/>
              <a:cs typeface="+mn-cs"/>
            </a:rPr>
            <a:t>Existing</a:t>
          </a:r>
          <a:r>
            <a:rPr lang="en-GB" sz="1100" b="1" baseline="0">
              <a:solidFill>
                <a:schemeClr val="dk1"/>
              </a:solidFill>
              <a:effectLst/>
              <a:latin typeface="+mn-lt"/>
              <a:ea typeface="+mn-ea"/>
              <a:cs typeface="+mn-cs"/>
            </a:rPr>
            <a:t> Script</a:t>
          </a:r>
          <a:endParaRPr lang="en-US">
            <a:effectLst/>
          </a:endParaRPr>
        </a:p>
        <a:p>
          <a:r>
            <a:rPr lang="en-GB" sz="1100" b="1" baseline="0">
              <a:solidFill>
                <a:schemeClr val="dk1"/>
              </a:solidFill>
              <a:effectLst/>
              <a:latin typeface="+mn-lt"/>
              <a:ea typeface="+mn-ea"/>
              <a:cs typeface="+mn-cs"/>
            </a:rPr>
            <a:t>.</a:t>
          </a:r>
          <a:endParaRPr lang="en-US">
            <a:effectLst/>
          </a:endParaRPr>
        </a:p>
        <a:p>
          <a:r>
            <a:rPr lang="en-GB" sz="1100" b="1" baseline="0">
              <a:solidFill>
                <a:schemeClr val="dk1"/>
              </a:solidFill>
              <a:effectLst/>
              <a:latin typeface="+mn-lt"/>
              <a:ea typeface="+mn-ea"/>
              <a:cs typeface="+mn-cs"/>
            </a:rPr>
            <a:t>.</a:t>
          </a:r>
          <a:endParaRPr lang="en-US">
            <a:effectLst/>
          </a:endParaRPr>
        </a:p>
        <a:p>
          <a:r>
            <a:rPr lang="en-GB" b="0">
              <a:solidFill>
                <a:sysClr val="windowText" lastClr="000000"/>
              </a:solidFill>
              <a:effectLst/>
            </a:rPr>
            <a:t>if (!oBCServAgree.FirstRecord())</a:t>
          </a:r>
        </a:p>
        <a:p>
          <a:r>
            <a:rPr lang="en-GB" b="0">
              <a:solidFill>
                <a:sysClr val="windowText" lastClr="000000"/>
              </a:solidFill>
              <a:effectLst/>
            </a:rPr>
            <a:t>{</a:t>
          </a:r>
        </a:p>
        <a:p>
          <a:r>
            <a:rPr lang="en-GB" b="0">
              <a:solidFill>
                <a:sysClr val="windowText" lastClr="000000"/>
              </a:solidFill>
              <a:effectLst/>
            </a:rPr>
            <a:t>NewRecord(0);</a:t>
          </a:r>
        </a:p>
        <a:p>
          <a:r>
            <a:rPr lang="en-GB" b="0">
              <a:solidFill>
                <a:sysClr val="windowText" lastClr="000000"/>
              </a:solidFill>
              <a:effectLst/>
            </a:rPr>
            <a:t>SetFieldValue("JTI Budget Id", sBudgetId);</a:t>
          </a:r>
        </a:p>
        <a:p>
          <a:r>
            <a:rPr lang="en-GB" b="0">
              <a:solidFill>
                <a:sysClr val="windowText" lastClr="000000"/>
              </a:solidFill>
              <a:effectLst/>
            </a:rPr>
            <a:t>SetFieldValue("Agreement Type", sAgreeType);</a:t>
          </a:r>
        </a:p>
        <a:p>
          <a:r>
            <a:rPr lang="en-GB" b="0">
              <a:solidFill>
                <a:sysClr val="windowText" lastClr="000000"/>
              </a:solidFill>
              <a:effectLst/>
            </a:rPr>
            <a:t>SetFieldValue("JTI RLP", sAgreeRLP);</a:t>
          </a:r>
        </a:p>
        <a:p>
          <a:r>
            <a:rPr lang="en-GB" b="0">
              <a:solidFill>
                <a:sysClr val="windowText" lastClr="000000"/>
              </a:solidFill>
              <a:effectLst/>
            </a:rPr>
            <a:t>SetFieldValue("JTI Max Txn Pts Num", sAgreeMaxPtsTxn);</a:t>
          </a:r>
        </a:p>
        <a:p>
          <a:r>
            <a:rPr lang="en-GB" b="0">
              <a:solidFill>
                <a:sysClr val="windowText" lastClr="000000"/>
              </a:solidFill>
              <a:effectLst/>
            </a:rPr>
            <a:t>SetFieldValue("JTI Max Pts Num", sAgreeMaxPts);</a:t>
          </a:r>
        </a:p>
        <a:p>
          <a:r>
            <a:rPr lang="en-GB" b="0">
              <a:solidFill>
                <a:sysClr val="windowText" lastClr="000000"/>
              </a:solidFill>
              <a:effectLst/>
            </a:rPr>
            <a:t>SetFieldValue("JTI Pts Value", sAgreePtsVal);</a:t>
          </a:r>
        </a:p>
        <a:p>
          <a:r>
            <a:rPr lang="en-GB" b="0">
              <a:solidFill>
                <a:sysClr val="windowText" lastClr="000000"/>
              </a:solidFill>
              <a:effectLst/>
            </a:rPr>
            <a:t>SetFieldValue("JTI Name", sAgreeName);</a:t>
          </a:r>
        </a:p>
        <a:p>
          <a:r>
            <a:rPr lang="en-GB" b="0">
              <a:solidFill>
                <a:sysClr val="windowText" lastClr="000000"/>
              </a:solidFill>
              <a:effectLst/>
            </a:rPr>
            <a:t>SetFieldValue("JTI Payment Plan Template Id", sPayTempPlanId);</a:t>
          </a:r>
        </a:p>
        <a:p>
          <a:r>
            <a:rPr lang="en-GB" b="0">
              <a:solidFill>
                <a:sysClr val="windowText" lastClr="000000"/>
              </a:solidFill>
              <a:effectLst/>
            </a:rPr>
            <a:t>SetFieldValue("Agreement End Date", sEndDate);</a:t>
          </a:r>
        </a:p>
        <a:p>
          <a:r>
            <a:rPr lang="en-GB" b="0">
              <a:solidFill>
                <a:sysClr val="windowText" lastClr="000000"/>
              </a:solidFill>
              <a:effectLst/>
            </a:rPr>
            <a:t>SetFieldValue("JTI Fixed Template Flg", sFixedTemplFlg);</a:t>
          </a:r>
        </a:p>
        <a:p>
          <a:r>
            <a:rPr lang="en-GB" b="0">
              <a:solidFill>
                <a:sysClr val="windowText" lastClr="000000"/>
              </a:solidFill>
              <a:effectLst/>
            </a:rPr>
            <a:t>SetFieldValue("JTI Agree Template Id", sTemplAgreeId);</a:t>
          </a:r>
        </a:p>
        <a:p>
          <a:r>
            <a:rPr lang="en-GB" b="0">
              <a:solidFill>
                <a:sysClr val="windowText" lastClr="000000"/>
              </a:solidFill>
              <a:effectLst/>
            </a:rPr>
            <a:t>SetFieldValue("Agreement Status", sLOVDraft);</a:t>
          </a:r>
        </a:p>
        <a:p>
          <a:r>
            <a:rPr lang="en-GB" b="0">
              <a:solidFill>
                <a:sysClr val="windowText" lastClr="000000"/>
              </a:solidFill>
              <a:effectLst/>
            </a:rPr>
            <a:t>SetFieldValue("Actual Cost Amount", sActCostAmt);</a:t>
          </a:r>
        </a:p>
        <a:p>
          <a:r>
            <a:rPr lang="en-GB" b="0">
              <a:solidFill>
                <a:sysClr val="windowText" lastClr="000000"/>
              </a:solidFill>
              <a:effectLst/>
            </a:rPr>
            <a:t>SetFieldValue("Currency Code", sCurr);</a:t>
          </a:r>
        </a:p>
        <a:p>
          <a:r>
            <a:rPr lang="en-GB" b="0">
              <a:solidFill>
                <a:sysClr val="windowText" lastClr="000000"/>
              </a:solidFill>
              <a:effectLst/>
            </a:rPr>
            <a:t>	if (sActId != "No Id")</a:t>
          </a:r>
        </a:p>
        <a:p>
          <a:r>
            <a:rPr lang="en-GB" b="0">
              <a:solidFill>
                <a:sysClr val="windowText" lastClr="000000"/>
              </a:solidFill>
              <a:effectLst/>
            </a:rPr>
            <a:t>		SetFieldValue("JTI Activity Id", sActId);</a:t>
          </a:r>
        </a:p>
        <a:p>
          <a:r>
            <a:rPr lang="en-GB" b="0">
              <a:solidFill>
                <a:sysClr val="windowText" lastClr="000000"/>
              </a:solidFill>
              <a:effectLst/>
            </a:rPr>
            <a:t>	var oAssocBC = GetMVGBusComp("Account").GetAssocBusComp();</a:t>
          </a:r>
        </a:p>
        <a:p>
          <a:r>
            <a:rPr lang="en-GB" b="0">
              <a:solidFill>
                <a:sysClr val="windowText" lastClr="000000"/>
              </a:solidFill>
              <a:effectLst/>
            </a:rPr>
            <a:t>	with (oAssocBC)</a:t>
          </a:r>
        </a:p>
        <a:p>
          <a:r>
            <a:rPr lang="en-GB" b="0">
              <a:solidFill>
                <a:sysClr val="windowText" lastClr="000000"/>
              </a:solidFill>
              <a:effectLst/>
            </a:rPr>
            <a:t>	{</a:t>
          </a:r>
        </a:p>
        <a:p>
          <a:r>
            <a:rPr lang="en-GB" b="0">
              <a:solidFill>
                <a:sysClr val="windowText" lastClr="000000"/>
              </a:solidFill>
              <a:effectLst/>
            </a:rPr>
            <a:t>		ActivateField("Id");</a:t>
          </a:r>
        </a:p>
        <a:p>
          <a:r>
            <a:rPr lang="en-GB" b="0">
              <a:solidFill>
                <a:sysClr val="windowText" lastClr="000000"/>
              </a:solidFill>
              <a:effectLst/>
            </a:rPr>
            <a:t>		SetSearchSpec("Id", sAccId);</a:t>
          </a:r>
        </a:p>
        <a:p>
          <a:r>
            <a:rPr lang="en-GB" b="0">
              <a:solidFill>
                <a:sysClr val="windowText" lastClr="000000"/>
              </a:solidFill>
              <a:effectLst/>
            </a:rPr>
            <a:t>		ExecuteQuery(ForwardOnly)</a:t>
          </a:r>
        </a:p>
        <a:p>
          <a:r>
            <a:rPr lang="en-GB" b="0">
              <a:solidFill>
                <a:sysClr val="windowText" lastClr="000000"/>
              </a:solidFill>
              <a:effectLst/>
            </a:rPr>
            <a:t>		if (FirstRecord())</a:t>
          </a:r>
        </a:p>
        <a:p>
          <a:r>
            <a:rPr lang="en-GB" b="0">
              <a:solidFill>
                <a:sysClr val="windowText" lastClr="000000"/>
              </a:solidFill>
              <a:effectLst/>
            </a:rPr>
            <a:t>			Associate(NewBefore);</a:t>
          </a:r>
        </a:p>
        <a:p>
          <a:r>
            <a:rPr lang="en-GB" b="0">
              <a:solidFill>
                <a:sysClr val="windowText" lastClr="000000"/>
              </a:solidFill>
              <a:effectLst/>
            </a:rPr>
            <a:t>	}</a:t>
          </a:r>
        </a:p>
        <a:p>
          <a:r>
            <a:rPr lang="en-GB" b="0">
              <a:solidFill>
                <a:sysClr val="windowText" lastClr="000000"/>
              </a:solidFill>
              <a:effectLst/>
            </a:rPr>
            <a:t>	SetFieldValue("Account Id", sAccId);</a:t>
          </a:r>
        </a:p>
        <a:p>
          <a:r>
            <a:rPr lang="en-GB" b="0">
              <a:solidFill>
                <a:sysClr val="windowText" lastClr="000000"/>
              </a:solidFill>
              <a:effectLst/>
            </a:rPr>
            <a:t>	if (sAgreeBrandId != null &amp;&amp; sAgreeBrandId != "")</a:t>
          </a:r>
        </a:p>
        <a:p>
          <a:r>
            <a:rPr lang="en-GB" b="0">
              <a:solidFill>
                <a:sysClr val="windowText" lastClr="000000"/>
              </a:solidFill>
              <a:effectLst/>
            </a:rPr>
            <a:t>	{</a:t>
          </a:r>
        </a:p>
        <a:p>
          <a:r>
            <a:rPr lang="en-GB" b="0">
              <a:solidFill>
                <a:sysClr val="windowText" lastClr="000000"/>
              </a:solidFill>
              <a:effectLst/>
            </a:rPr>
            <a:t>		var oBCPick = GetPicklistBusComp("JTI Brand Name");</a:t>
          </a:r>
        </a:p>
        <a:p>
          <a:r>
            <a:rPr lang="en-GB" b="0">
              <a:solidFill>
                <a:sysClr val="windowText" lastClr="000000"/>
              </a:solidFill>
              <a:effectLst/>
            </a:rPr>
            <a:t>		with (oBCPick)</a:t>
          </a:r>
        </a:p>
        <a:p>
          <a:r>
            <a:rPr lang="en-GB" b="0">
              <a:solidFill>
                <a:sysClr val="windowText" lastClr="000000"/>
              </a:solidFill>
              <a:effectLst/>
            </a:rPr>
            <a:t>		{</a:t>
          </a:r>
        </a:p>
        <a:p>
          <a:r>
            <a:rPr lang="en-GB" b="0">
              <a:solidFill>
                <a:sysClr val="windowText" lastClr="000000"/>
              </a:solidFill>
              <a:effectLst/>
            </a:rPr>
            <a:t>			var sSearchExpr = "[Id] = '" + sAgreeBrandId + "'";</a:t>
          </a:r>
        </a:p>
        <a:p>
          <a:r>
            <a:rPr lang="en-GB" b="0">
              <a:solidFill>
                <a:sysClr val="windowText" lastClr="000000"/>
              </a:solidFill>
              <a:effectLst/>
            </a:rPr>
            <a:t>			ClearToQuery();</a:t>
          </a:r>
        </a:p>
        <a:p>
          <a:r>
            <a:rPr lang="en-GB" b="0">
              <a:solidFill>
                <a:sysClr val="windowText" lastClr="000000"/>
              </a:solidFill>
              <a:effectLst/>
            </a:rPr>
            <a:t>			SetSearchExpr(sSearchExpr);</a:t>
          </a:r>
        </a:p>
        <a:p>
          <a:r>
            <a:rPr lang="en-GB" b="0">
              <a:solidFill>
                <a:sysClr val="windowText" lastClr="000000"/>
              </a:solidFill>
              <a:effectLst/>
            </a:rPr>
            <a:t>			ExecuteQuery(ForwardOnly);</a:t>
          </a:r>
        </a:p>
        <a:p>
          <a:endParaRPr lang="en-GB" b="0">
            <a:solidFill>
              <a:sysClr val="windowText" lastClr="000000"/>
            </a:solidFill>
            <a:effectLst/>
          </a:endParaRPr>
        </a:p>
        <a:p>
          <a:r>
            <a:rPr lang="en-GB" b="0">
              <a:solidFill>
                <a:sysClr val="windowText" lastClr="000000"/>
              </a:solidFill>
              <a:effectLst/>
            </a:rPr>
            <a:t>			if(FirstRecord())</a:t>
          </a:r>
        </a:p>
        <a:p>
          <a:r>
            <a:rPr lang="en-GB" b="0">
              <a:solidFill>
                <a:sysClr val="windowText" lastClr="000000"/>
              </a:solidFill>
              <a:effectLst/>
            </a:rPr>
            <a:t>			Pick();</a:t>
          </a:r>
        </a:p>
        <a:p>
          <a:r>
            <a:rPr lang="en-GB" b="0">
              <a:solidFill>
                <a:sysClr val="windowText" lastClr="000000"/>
              </a:solidFill>
              <a:effectLst/>
            </a:rPr>
            <a:t>		}</a:t>
          </a:r>
        </a:p>
        <a:p>
          <a:r>
            <a:rPr lang="en-GB" b="0">
              <a:solidFill>
                <a:sysClr val="windowText" lastClr="000000"/>
              </a:solidFill>
              <a:effectLst/>
            </a:rPr>
            <a:t>		oBCPick = null;</a:t>
          </a:r>
        </a:p>
        <a:p>
          <a:r>
            <a:rPr lang="en-GB" b="0">
              <a:solidFill>
                <a:sysClr val="windowText" lastClr="000000"/>
              </a:solidFill>
              <a:effectLst/>
            </a:rPr>
            <a:t>	}</a:t>
          </a:r>
        </a:p>
        <a:p>
          <a:r>
            <a:rPr lang="en-GB" b="0">
              <a:solidFill>
                <a:sysClr val="windowText" lastClr="000000"/>
              </a:solidFill>
              <a:effectLst/>
            </a:rPr>
            <a:t>	SetFieldValue("JTI Account Name Flag",sROAccount);</a:t>
          </a:r>
        </a:p>
        <a:p>
          <a:r>
            <a:rPr lang="en-GB" b="0">
              <a:solidFill>
                <a:sysClr val="windowText" lastClr="000000"/>
              </a:solidFill>
              <a:effectLst/>
            </a:rPr>
            <a:t>	SetFieldValue("JTI Amount Flag", sROAmount);</a:t>
          </a:r>
        </a:p>
        <a:p>
          <a:r>
            <a:rPr lang="en-GB" b="0">
              <a:solidFill>
                <a:sysClr val="windowText" lastClr="000000"/>
              </a:solidFill>
              <a:effectLst/>
            </a:rPr>
            <a:t>	SetFieldValue("JTI Type Flag", sROType);</a:t>
          </a:r>
        </a:p>
        <a:p>
          <a:r>
            <a:rPr lang="en-GB" b="0">
              <a:solidFill>
                <a:sysClr val="windowText" lastClr="000000"/>
              </a:solidFill>
              <a:effectLst/>
            </a:rPr>
            <a:t>	SetFieldValue("JTI Budget Flag", sROBudget);</a:t>
          </a:r>
        </a:p>
        <a:p>
          <a:r>
            <a:rPr lang="en-GB" b="0">
              <a:solidFill>
                <a:sysClr val="windowText" lastClr="000000"/>
              </a:solidFill>
              <a:effectLst/>
            </a:rPr>
            <a:t>	SetFieldValue("JTI Pay Plan Template Flag", sROPayment);</a:t>
          </a:r>
        </a:p>
        <a:p>
          <a:r>
            <a:rPr lang="en-GB" b="0">
              <a:solidFill>
                <a:sysClr val="windowText" lastClr="000000"/>
              </a:solidFill>
              <a:effectLst/>
            </a:rPr>
            <a:t>	SetFieldValue("JTI Loyalty Program Flag", sROLoyalty);</a:t>
          </a:r>
        </a:p>
        <a:p>
          <a:r>
            <a:rPr lang="en-GB" b="0">
              <a:solidFill>
                <a:sysClr val="windowText" lastClr="000000"/>
              </a:solidFill>
              <a:effectLst/>
            </a:rPr>
            <a:t>	SetFieldValue("JTI Max points by transaction Flag", sROPoints);</a:t>
          </a:r>
        </a:p>
        <a:p>
          <a:r>
            <a:rPr lang="en-GB" b="0">
              <a:solidFill>
                <a:sysClr val="windowText" lastClr="000000"/>
              </a:solidFill>
              <a:effectLst/>
            </a:rPr>
            <a:t>	SetFieldValue("JTI Points Value Flag", sROPointsVal);</a:t>
          </a:r>
        </a:p>
        <a:p>
          <a:r>
            <a:rPr lang="en-GB" b="0">
              <a:solidFill>
                <a:sysClr val="windowText" lastClr="000000"/>
              </a:solidFill>
              <a:effectLst/>
            </a:rPr>
            <a:t>	SetFieldValue("JTI Max Points Flag", sROMaxPoints);</a:t>
          </a:r>
        </a:p>
        <a:p>
          <a:r>
            <a:rPr lang="en-GB" b="0">
              <a:solidFill>
                <a:sysClr val="windowText" lastClr="000000"/>
              </a:solidFill>
              <a:effectLst/>
            </a:rPr>
            <a:t>	SetFieldValue("JTI Contract Payment Method", sContractPaymentMethod);</a:t>
          </a:r>
        </a:p>
        <a:p>
          <a:r>
            <a:rPr lang="en-GB" b="0">
              <a:solidFill>
                <a:sysClr val="windowText" lastClr="000000"/>
              </a:solidFill>
              <a:effectLst/>
            </a:rPr>
            <a:t>	</a:t>
          </a:r>
          <a:r>
            <a:rPr lang="en-GB" b="0">
              <a:solidFill>
                <a:srgbClr val="0000FF"/>
              </a:solidFill>
              <a:effectLst/>
            </a:rPr>
            <a:t>//Inherit</a:t>
          </a:r>
          <a:r>
            <a:rPr lang="en-GB" b="0" baseline="0">
              <a:solidFill>
                <a:srgbClr val="0000FF"/>
              </a:solidFill>
              <a:effectLst/>
            </a:rPr>
            <a:t> Amount &amp; Points Limit Field</a:t>
          </a:r>
          <a:endParaRPr lang="en-GB" b="0">
            <a:solidFill>
              <a:srgbClr val="0000FF"/>
            </a:solidFill>
            <a:effectLst/>
          </a:endParaRPr>
        </a:p>
        <a:p>
          <a:r>
            <a:rPr lang="en-GB" b="0">
              <a:solidFill>
                <a:sysClr val="windowText" lastClr="000000"/>
              </a:solidFill>
              <a:effectLst/>
            </a:rPr>
            <a:t>	</a:t>
          </a:r>
          <a:r>
            <a:rPr lang="en-GB" b="0">
              <a:solidFill>
                <a:srgbClr val="0000FF"/>
              </a:solidFill>
              <a:effectLst/>
            </a:rPr>
            <a:t>SetFieldValue("JTI Total Amount Limit", sAmountLimit);</a:t>
          </a:r>
        </a:p>
        <a:p>
          <a:r>
            <a:rPr lang="en-GB" b="0">
              <a:solidFill>
                <a:srgbClr val="0000FF"/>
              </a:solidFill>
              <a:effectLst/>
            </a:rPr>
            <a:t>	SetFieldValue("JTI Total Points Limit", sPointsLimit);</a:t>
          </a:r>
        </a:p>
        <a:p>
          <a:r>
            <a:rPr lang="en-GB" b="0">
              <a:solidFill>
                <a:sysClr val="windowText" lastClr="000000"/>
              </a:solidFill>
              <a:effectLst/>
            </a:rPr>
            <a:t>	WriteRecord();</a:t>
          </a:r>
        </a:p>
        <a:p>
          <a:r>
            <a:rPr lang="en-GB" b="0">
              <a:solidFill>
                <a:sysClr val="windowText" lastClr="000000"/>
              </a:solidFill>
              <a:effectLst/>
            </a:rPr>
            <a:t>	sAgreeId = GetFieldValue("Id");</a:t>
          </a:r>
        </a:p>
        <a:p>
          <a:r>
            <a:rPr lang="en-GB" b="0">
              <a:solidFill>
                <a:sysClr val="windowText" lastClr="000000"/>
              </a:solidFill>
              <a:effectLst/>
            </a:rPr>
            <a:t>	sCheck = true;</a:t>
          </a:r>
        </a:p>
        <a:p>
          <a:r>
            <a:rPr lang="en-GB" b="0">
              <a:solidFill>
                <a:sysClr val="windowText" lastClr="000000"/>
              </a:solidFill>
              <a:effectLst/>
            </a:rPr>
            <a:t>	}</a:t>
          </a:r>
        </a:p>
        <a:p>
          <a:r>
            <a:rPr lang="en-GB" b="0">
              <a:solidFill>
                <a:sysClr val="windowText" lastClr="000000"/>
              </a:solidFill>
              <a:effectLst/>
            </a:rPr>
            <a:t>}</a:t>
          </a:r>
        </a:p>
        <a:p>
          <a:endParaRPr lang="en-GB" b="0">
            <a:solidFill>
              <a:sysClr val="windowText" lastClr="000000"/>
            </a:solidFill>
            <a:effectLst/>
          </a:endParaRPr>
        </a:p>
        <a:p>
          <a:endParaRPr lang="en-GB" b="0">
            <a:solidFill>
              <a:sysClr val="windowText" lastClr="000000"/>
            </a:solidFill>
            <a:effectLst/>
          </a:endParaRPr>
        </a:p>
        <a:p>
          <a:r>
            <a:rPr lang="en-GB" b="1">
              <a:solidFill>
                <a:sysClr val="windowText" lastClr="000000"/>
              </a:solidFill>
              <a:effectLst/>
            </a:rPr>
            <a:t>.</a:t>
          </a:r>
        </a:p>
        <a:p>
          <a:r>
            <a:rPr lang="en-GB" b="1">
              <a:solidFill>
                <a:sysClr val="windowText" lastClr="000000"/>
              </a:solidFill>
              <a:effectLst/>
            </a:rPr>
            <a:t>.</a:t>
          </a:r>
        </a:p>
        <a:p>
          <a:r>
            <a:rPr lang="en-GB" b="1">
              <a:solidFill>
                <a:sysClr val="windowText" lastClr="000000"/>
              </a:solidFill>
              <a:effectLst/>
            </a:rPr>
            <a:t>Existing</a:t>
          </a:r>
          <a:r>
            <a:rPr lang="en-GB" b="1" baseline="0">
              <a:solidFill>
                <a:sysClr val="windowText" lastClr="000000"/>
              </a:solidFill>
              <a:effectLst/>
            </a:rPr>
            <a:t> Script</a:t>
          </a:r>
        </a:p>
        <a:p>
          <a:r>
            <a:rPr lang="en-GB" b="1" baseline="0">
              <a:solidFill>
                <a:sysClr val="windowText" lastClr="000000"/>
              </a:solidFill>
              <a:effectLst/>
            </a:rPr>
            <a:t>.</a:t>
          </a:r>
        </a:p>
        <a:p>
          <a:r>
            <a:rPr lang="en-GB" b="1" baseline="0">
              <a:solidFill>
                <a:sysClr val="windowText" lastClr="000000"/>
              </a:solidFill>
              <a:effectLst/>
            </a:rPr>
            <a:t>.</a:t>
          </a:r>
          <a:endParaRPr lang="en-GB" b="1">
            <a:solidFill>
              <a:sysClr val="windowText" lastClr="000000"/>
            </a:solidFill>
            <a:effectLst/>
          </a:endParaRP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85724</xdr:colOff>
      <xdr:row>8</xdr:row>
      <xdr:rowOff>106681</xdr:rowOff>
    </xdr:from>
    <xdr:ext cx="12289155" cy="4397999"/>
    <xdr:sp macro="" textlink="">
      <xdr:nvSpPr>
        <xdr:cNvPr id="2" name="TextBox 1">
          <a:extLst>
            <a:ext uri="{FF2B5EF4-FFF2-40B4-BE49-F238E27FC236}">
              <a16:creationId xmlns:a16="http://schemas.microsoft.com/office/drawing/2014/main" id="{E6C5A4D7-3BDE-4071-95A3-448E2B51D039}"/>
            </a:ext>
          </a:extLst>
        </xdr:cNvPr>
        <xdr:cNvSpPr txBox="1"/>
      </xdr:nvSpPr>
      <xdr:spPr>
        <a:xfrm>
          <a:off x="85724" y="1783081"/>
          <a:ext cx="12289155" cy="43979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GB">
              <a:solidFill>
                <a:srgbClr val="0000FF"/>
              </a:solidFill>
              <a:effectLst/>
            </a:rPr>
            <a:t>function WebApplet_PreInvokeMethod (MethodName)</a:t>
          </a:r>
        </a:p>
        <a:p>
          <a:r>
            <a:rPr lang="en-GB">
              <a:solidFill>
                <a:srgbClr val="0000FF"/>
              </a:solidFill>
              <a:effectLst/>
            </a:rPr>
            <a:t>{</a:t>
          </a:r>
        </a:p>
        <a:p>
          <a:r>
            <a:rPr lang="en-GB">
              <a:solidFill>
                <a:srgbClr val="0000FF"/>
              </a:solidFill>
              <a:effectLst/>
            </a:rPr>
            <a:t>	// Add link between contract Item &amp; Distribution</a:t>
          </a:r>
        </a:p>
        <a:p>
          <a:r>
            <a:rPr lang="en-GB">
              <a:solidFill>
                <a:srgbClr val="0000FF"/>
              </a:solidFill>
              <a:effectLst/>
            </a:rPr>
            <a:t>	if (MethodName == "PickRecord")</a:t>
          </a:r>
        </a:p>
        <a:p>
          <a:r>
            <a:rPr lang="en-GB">
              <a:solidFill>
                <a:srgbClr val="0000FF"/>
              </a:solidFill>
              <a:effectLst/>
            </a:rPr>
            <a:t>	{	</a:t>
          </a:r>
        </a:p>
        <a:p>
          <a:r>
            <a:rPr lang="en-GB">
              <a:solidFill>
                <a:srgbClr val="0000FF"/>
              </a:solidFill>
              <a:effectLst/>
            </a:rPr>
            <a:t>		var oBCAgree = this.BusComp();</a:t>
          </a:r>
        </a:p>
        <a:p>
          <a:r>
            <a:rPr lang="en-GB">
              <a:solidFill>
                <a:srgbClr val="0000FF"/>
              </a:solidFill>
              <a:effectLst/>
            </a:rPr>
            <a:t>		with(oBCAgree)</a:t>
          </a:r>
        </a:p>
        <a:p>
          <a:r>
            <a:rPr lang="en-GB">
              <a:solidFill>
                <a:srgbClr val="0000FF"/>
              </a:solidFill>
              <a:effectLst/>
            </a:rPr>
            <a:t>		{		</a:t>
          </a:r>
        </a:p>
        <a:p>
          <a:r>
            <a:rPr lang="en-GB">
              <a:solidFill>
                <a:srgbClr val="0000FF"/>
              </a:solidFill>
              <a:effectLst/>
            </a:rPr>
            <a:t>			if (FirstSelected())</a:t>
          </a:r>
        </a:p>
        <a:p>
          <a:r>
            <a:rPr lang="en-GB">
              <a:solidFill>
                <a:srgbClr val="0000FF"/>
              </a:solidFill>
              <a:effectLst/>
            </a:rPr>
            <a:t>			{</a:t>
          </a:r>
        </a:p>
        <a:p>
          <a:r>
            <a:rPr lang="en-GB">
              <a:solidFill>
                <a:srgbClr val="0000FF"/>
              </a:solidFill>
              <a:effectLst/>
            </a:rPr>
            <a:t>				do</a:t>
          </a:r>
        </a:p>
        <a:p>
          <a:r>
            <a:rPr lang="en-GB">
              <a:solidFill>
                <a:srgbClr val="0000FF"/>
              </a:solidFill>
              <a:effectLst/>
            </a:rPr>
            <a:t>				{</a:t>
          </a:r>
        </a:p>
        <a:p>
          <a:r>
            <a:rPr lang="en-GB">
              <a:solidFill>
                <a:srgbClr val="0000FF"/>
              </a:solidFill>
              <a:effectLst/>
            </a:rPr>
            <a:t>					SetFieldValue("JTI Contract Item Id", this.BusObject().GetBusComp("JTI Contract Agreement Item").GetFieldValue("Id"));</a:t>
          </a:r>
        </a:p>
        <a:p>
          <a:r>
            <a:rPr lang="en-GB">
              <a:solidFill>
                <a:srgbClr val="0000FF"/>
              </a:solidFill>
              <a:effectLst/>
            </a:rPr>
            <a:t>					WriteRecord();</a:t>
          </a:r>
        </a:p>
        <a:p>
          <a:r>
            <a:rPr lang="en-GB">
              <a:solidFill>
                <a:srgbClr val="0000FF"/>
              </a:solidFill>
              <a:effectLst/>
            </a:rPr>
            <a:t>				}</a:t>
          </a:r>
        </a:p>
        <a:p>
          <a:r>
            <a:rPr lang="en-GB">
              <a:solidFill>
                <a:srgbClr val="0000FF"/>
              </a:solidFill>
              <a:effectLst/>
            </a:rPr>
            <a:t>			}while (oBC.NextSelected())</a:t>
          </a:r>
        </a:p>
        <a:p>
          <a:r>
            <a:rPr lang="en-GB">
              <a:solidFill>
                <a:srgbClr val="0000FF"/>
              </a:solidFill>
              <a:effectLst/>
            </a:rPr>
            <a:t>		}</a:t>
          </a:r>
        </a:p>
        <a:p>
          <a:r>
            <a:rPr lang="en-GB">
              <a:solidFill>
                <a:srgbClr val="0000FF"/>
              </a:solidFill>
              <a:effectLst/>
            </a:rPr>
            <a:t>		oBCAgree.InvokeMethod("RefreshBusComp");</a:t>
          </a:r>
        </a:p>
        <a:p>
          <a:r>
            <a:rPr lang="en-GB">
              <a:solidFill>
                <a:srgbClr val="0000FF"/>
              </a:solidFill>
              <a:effectLst/>
            </a:rPr>
            <a:t>		this.InvokeMethod("CloseApplet");</a:t>
          </a:r>
        </a:p>
        <a:p>
          <a:r>
            <a:rPr lang="en-GB">
              <a:solidFill>
                <a:srgbClr val="0000FF"/>
              </a:solidFill>
              <a:effectLst/>
            </a:rPr>
            <a:t>	</a:t>
          </a:r>
        </a:p>
        <a:p>
          <a:r>
            <a:rPr lang="en-GB">
              <a:solidFill>
                <a:srgbClr val="0000FF"/>
              </a:solidFill>
              <a:effectLst/>
            </a:rPr>
            <a:t>		return (CancelOperation);	</a:t>
          </a:r>
        </a:p>
        <a:p>
          <a:r>
            <a:rPr lang="en-GB">
              <a:solidFill>
                <a:srgbClr val="0000FF"/>
              </a:solidFill>
              <a:effectLst/>
            </a:rPr>
            <a:t>	}</a:t>
          </a:r>
        </a:p>
        <a:p>
          <a:endParaRPr lang="en-GB">
            <a:solidFill>
              <a:srgbClr val="0000FF"/>
            </a:solidFill>
            <a:effectLst/>
          </a:endParaRPr>
        </a:p>
        <a:p>
          <a:r>
            <a:rPr lang="en-GB">
              <a:solidFill>
                <a:srgbClr val="0000FF"/>
              </a:solidFill>
              <a:effectLst/>
            </a:rPr>
            <a:t>	return (ContinueOperation);</a:t>
          </a:r>
        </a:p>
        <a:p>
          <a:r>
            <a:rPr lang="en-GB">
              <a:solidFill>
                <a:srgbClr val="0000FF"/>
              </a:solidFill>
              <a:effectLst/>
            </a:rPr>
            <a:t>}</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32384</xdr:colOff>
      <xdr:row>8</xdr:row>
      <xdr:rowOff>137161</xdr:rowOff>
    </xdr:from>
    <xdr:ext cx="12616815" cy="4053546"/>
    <xdr:sp macro="" textlink="">
      <xdr:nvSpPr>
        <xdr:cNvPr id="2" name="TextBox 1">
          <a:extLst>
            <a:ext uri="{FF2B5EF4-FFF2-40B4-BE49-F238E27FC236}">
              <a16:creationId xmlns:a16="http://schemas.microsoft.com/office/drawing/2014/main" id="{D8CC0693-24C3-474C-8C40-05F6CDC89FC8}"/>
            </a:ext>
          </a:extLst>
        </xdr:cNvPr>
        <xdr:cNvSpPr txBox="1"/>
      </xdr:nvSpPr>
      <xdr:spPr>
        <a:xfrm>
          <a:off x="32384" y="1927861"/>
          <a:ext cx="12616815" cy="40535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GB">
              <a:solidFill>
                <a:srgbClr val="0000FF"/>
              </a:solidFill>
              <a:effectLst/>
            </a:rPr>
            <a:t>function WebApplet_PreCanInvokeMethod (MethodName, &amp;CanInvoke)</a:t>
          </a:r>
        </a:p>
        <a:p>
          <a:r>
            <a:rPr lang="en-GB">
              <a:solidFill>
                <a:srgbClr val="0000FF"/>
              </a:solidFill>
              <a:effectLst/>
            </a:rPr>
            <a:t>{</a:t>
          </a:r>
        </a:p>
        <a:p>
          <a:r>
            <a:rPr lang="en-GB">
              <a:solidFill>
                <a:srgbClr val="0000FF"/>
              </a:solidFill>
              <a:effectLst/>
            </a:rPr>
            <a:t>	// Enable button when Agreement is not RO</a:t>
          </a:r>
        </a:p>
        <a:p>
          <a:r>
            <a:rPr lang="en-GB">
              <a:solidFill>
                <a:srgbClr val="0000FF"/>
              </a:solidFill>
              <a:effectLst/>
            </a:rPr>
            <a:t>	var oBCServAgree;</a:t>
          </a:r>
        </a:p>
        <a:p>
          <a:r>
            <a:rPr lang="en-GB">
              <a:solidFill>
                <a:srgbClr val="0000FF"/>
              </a:solidFill>
              <a:effectLst/>
            </a:rPr>
            <a:t>	if (this.BusObject().Name() == "JTI Service Agreement - New")</a:t>
          </a:r>
        </a:p>
        <a:p>
          <a:r>
            <a:rPr lang="en-GB">
              <a:solidFill>
                <a:srgbClr val="0000FF"/>
              </a:solidFill>
              <a:effectLst/>
            </a:rPr>
            <a:t>		oBCServAgree = TheApplication().ActiveBusObject().GetBusComp("JTI JTI Service Agreement");</a:t>
          </a:r>
        </a:p>
        <a:p>
          <a:r>
            <a:rPr lang="en-GB">
              <a:solidFill>
                <a:srgbClr val="0000FF"/>
              </a:solidFill>
              <a:effectLst/>
            </a:rPr>
            <a:t>	else</a:t>
          </a:r>
        </a:p>
        <a:p>
          <a:r>
            <a:rPr lang="en-GB">
              <a:solidFill>
                <a:srgbClr val="0000FF"/>
              </a:solidFill>
              <a:effectLst/>
            </a:rPr>
            <a:t>		oBCServAgree = TheApplication().ActiveBusObject().GetBusComp("JTI Template Service Agreement");</a:t>
          </a:r>
        </a:p>
        <a:p>
          <a:r>
            <a:rPr lang="en-GB">
              <a:solidFill>
                <a:srgbClr val="0000FF"/>
              </a:solidFill>
              <a:effectLst/>
            </a:rPr>
            <a:t>		</a:t>
          </a:r>
        </a:p>
        <a:p>
          <a:r>
            <a:rPr lang="en-GB">
              <a:solidFill>
                <a:srgbClr val="0000FF"/>
              </a:solidFill>
              <a:effectLst/>
            </a:rPr>
            <a:t>	oBCServAgree.ActivateField("JTI Parent RO");</a:t>
          </a:r>
        </a:p>
        <a:p>
          <a:endParaRPr lang="en-GB">
            <a:solidFill>
              <a:srgbClr val="0000FF"/>
            </a:solidFill>
            <a:effectLst/>
          </a:endParaRPr>
        </a:p>
        <a:p>
          <a:r>
            <a:rPr lang="en-GB">
              <a:solidFill>
                <a:srgbClr val="0000FF"/>
              </a:solidFill>
              <a:effectLst/>
            </a:rPr>
            <a:t>	var sReadOnlyFlg = oBCServAgree.GetFieldValue("JTI Parent RO");</a:t>
          </a:r>
        </a:p>
        <a:p>
          <a:r>
            <a:rPr lang="en-GB">
              <a:solidFill>
                <a:srgbClr val="0000FF"/>
              </a:solidFill>
              <a:effectLst/>
            </a:rPr>
            <a:t>	</a:t>
          </a:r>
        </a:p>
        <a:p>
          <a:r>
            <a:rPr lang="en-GB">
              <a:solidFill>
                <a:srgbClr val="0000FF"/>
              </a:solidFill>
              <a:effectLst/>
            </a:rPr>
            <a:t>	if(MethodName == "ShowPopup" || MethodName == "JTIDeleteSelected")</a:t>
          </a:r>
        </a:p>
        <a:p>
          <a:r>
            <a:rPr lang="en-GB">
              <a:solidFill>
                <a:srgbClr val="0000FF"/>
              </a:solidFill>
              <a:effectLst/>
            </a:rPr>
            <a:t>	{</a:t>
          </a:r>
        </a:p>
        <a:p>
          <a:r>
            <a:rPr lang="en-GB">
              <a:solidFill>
                <a:srgbClr val="0000FF"/>
              </a:solidFill>
              <a:effectLst/>
            </a:rPr>
            <a:t>		if(sReadOnlyFlg != "Y")</a:t>
          </a:r>
        </a:p>
        <a:p>
          <a:r>
            <a:rPr lang="en-GB">
              <a:solidFill>
                <a:srgbClr val="0000FF"/>
              </a:solidFill>
              <a:effectLst/>
            </a:rPr>
            <a:t>			CanInvoke = "TRUE";</a:t>
          </a:r>
        </a:p>
        <a:p>
          <a:r>
            <a:rPr lang="en-GB">
              <a:solidFill>
                <a:srgbClr val="0000FF"/>
              </a:solidFill>
              <a:effectLst/>
            </a:rPr>
            <a:t>		else</a:t>
          </a:r>
        </a:p>
        <a:p>
          <a:r>
            <a:rPr lang="en-GB">
              <a:solidFill>
                <a:srgbClr val="0000FF"/>
              </a:solidFill>
              <a:effectLst/>
            </a:rPr>
            <a:t>			CanInvoke = "FALSE";</a:t>
          </a:r>
        </a:p>
        <a:p>
          <a:r>
            <a:rPr lang="en-GB">
              <a:solidFill>
                <a:srgbClr val="0000FF"/>
              </a:solidFill>
              <a:effectLst/>
            </a:rPr>
            <a:t>		return (CancelOperation);</a:t>
          </a:r>
        </a:p>
        <a:p>
          <a:r>
            <a:rPr lang="en-GB">
              <a:solidFill>
                <a:srgbClr val="0000FF"/>
              </a:solidFill>
              <a:effectLst/>
            </a:rPr>
            <a:t>	}		</a:t>
          </a:r>
        </a:p>
        <a:p>
          <a:r>
            <a:rPr lang="en-GB">
              <a:solidFill>
                <a:srgbClr val="0000FF"/>
              </a:solidFill>
              <a:effectLst/>
            </a:rPr>
            <a:t>	return (ContinueOperation);</a:t>
          </a:r>
        </a:p>
        <a:p>
          <a:r>
            <a:rPr lang="en-GB">
              <a:solidFill>
                <a:srgbClr val="0000FF"/>
              </a:solidFill>
              <a:effectLst/>
            </a:rPr>
            <a:t>}</a:t>
          </a:r>
        </a:p>
      </xdr:txBody>
    </xdr:sp>
    <xdr:clientData/>
  </xdr:oneCellAnchor>
  <xdr:oneCellAnchor>
    <xdr:from>
      <xdr:col>0</xdr:col>
      <xdr:colOff>45720</xdr:colOff>
      <xdr:row>33</xdr:row>
      <xdr:rowOff>22860</xdr:rowOff>
    </xdr:from>
    <xdr:ext cx="12616815" cy="4225772"/>
    <xdr:sp macro="" textlink="">
      <xdr:nvSpPr>
        <xdr:cNvPr id="5" name="TextBox 4">
          <a:extLst>
            <a:ext uri="{FF2B5EF4-FFF2-40B4-BE49-F238E27FC236}">
              <a16:creationId xmlns:a16="http://schemas.microsoft.com/office/drawing/2014/main" id="{290DFF79-632E-4AD1-A8C9-AE39FA96B9D7}"/>
            </a:ext>
          </a:extLst>
        </xdr:cNvPr>
        <xdr:cNvSpPr txBox="1"/>
      </xdr:nvSpPr>
      <xdr:spPr>
        <a:xfrm>
          <a:off x="45720" y="6057900"/>
          <a:ext cx="12616815" cy="42257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GB">
              <a:solidFill>
                <a:srgbClr val="0000FF"/>
              </a:solidFill>
              <a:effectLst/>
            </a:rPr>
            <a:t>function WebApplet_PreInvokeMethod (MethodName)</a:t>
          </a:r>
        </a:p>
        <a:p>
          <a:r>
            <a:rPr lang="en-GB">
              <a:solidFill>
                <a:srgbClr val="0000FF"/>
              </a:solidFill>
              <a:effectLst/>
            </a:rPr>
            <a:t>{</a:t>
          </a:r>
        </a:p>
        <a:p>
          <a:r>
            <a:rPr lang="en-GB">
              <a:solidFill>
                <a:srgbClr val="0000FF"/>
              </a:solidFill>
              <a:effectLst/>
            </a:rPr>
            <a:t>	// Removed linked between contract Item &amp; Distribution</a:t>
          </a:r>
        </a:p>
        <a:p>
          <a:r>
            <a:rPr lang="en-GB">
              <a:solidFill>
                <a:srgbClr val="0000FF"/>
              </a:solidFill>
              <a:effectLst/>
            </a:rPr>
            <a:t>	if (MethodName == "AddMultipleRecords")</a:t>
          </a:r>
        </a:p>
        <a:p>
          <a:r>
            <a:rPr lang="en-GB">
              <a:solidFill>
                <a:srgbClr val="0000FF"/>
              </a:solidFill>
              <a:effectLst/>
            </a:rPr>
            <a:t>	{	</a:t>
          </a:r>
        </a:p>
        <a:p>
          <a:r>
            <a:rPr lang="en-GB">
              <a:solidFill>
                <a:srgbClr val="0000FF"/>
              </a:solidFill>
              <a:effectLst/>
            </a:rPr>
            <a:t>		var oBCAgree = this.BusComp();</a:t>
          </a:r>
        </a:p>
        <a:p>
          <a:r>
            <a:rPr lang="en-GB">
              <a:solidFill>
                <a:srgbClr val="0000FF"/>
              </a:solidFill>
              <a:effectLst/>
            </a:rPr>
            <a:t>		with(oBCAgree)</a:t>
          </a:r>
        </a:p>
        <a:p>
          <a:r>
            <a:rPr lang="en-GB">
              <a:solidFill>
                <a:srgbClr val="0000FF"/>
              </a:solidFill>
              <a:effectLst/>
            </a:rPr>
            <a:t>		{		</a:t>
          </a:r>
        </a:p>
        <a:p>
          <a:r>
            <a:rPr lang="en-GB">
              <a:solidFill>
                <a:srgbClr val="0000FF"/>
              </a:solidFill>
              <a:effectLst/>
            </a:rPr>
            <a:t>			if (FirstSelected())</a:t>
          </a:r>
        </a:p>
        <a:p>
          <a:r>
            <a:rPr lang="en-GB">
              <a:solidFill>
                <a:srgbClr val="0000FF"/>
              </a:solidFill>
              <a:effectLst/>
            </a:rPr>
            <a:t>			{</a:t>
          </a:r>
        </a:p>
        <a:p>
          <a:r>
            <a:rPr lang="en-GB">
              <a:solidFill>
                <a:srgbClr val="0000FF"/>
              </a:solidFill>
              <a:effectLst/>
            </a:rPr>
            <a:t>				do</a:t>
          </a:r>
        </a:p>
        <a:p>
          <a:r>
            <a:rPr lang="en-GB">
              <a:solidFill>
                <a:srgbClr val="0000FF"/>
              </a:solidFill>
              <a:effectLst/>
            </a:rPr>
            <a:t>				{</a:t>
          </a:r>
        </a:p>
        <a:p>
          <a:r>
            <a:rPr lang="en-GB">
              <a:solidFill>
                <a:srgbClr val="0000FF"/>
              </a:solidFill>
              <a:effectLst/>
            </a:rPr>
            <a:t>					SetFieldValue("JTI Contract Item Id", "");</a:t>
          </a:r>
        </a:p>
        <a:p>
          <a:r>
            <a:rPr lang="en-GB">
              <a:solidFill>
                <a:srgbClr val="0000FF"/>
              </a:solidFill>
              <a:effectLst/>
            </a:rPr>
            <a:t>					WriteRecord();</a:t>
          </a:r>
        </a:p>
        <a:p>
          <a:r>
            <a:rPr lang="en-GB">
              <a:solidFill>
                <a:srgbClr val="0000FF"/>
              </a:solidFill>
              <a:effectLst/>
            </a:rPr>
            <a:t>				}</a:t>
          </a:r>
        </a:p>
        <a:p>
          <a:r>
            <a:rPr lang="en-GB">
              <a:solidFill>
                <a:srgbClr val="0000FF"/>
              </a:solidFill>
              <a:effectLst/>
            </a:rPr>
            <a:t>			}while (oBC.NextSelected())</a:t>
          </a:r>
        </a:p>
        <a:p>
          <a:r>
            <a:rPr lang="en-GB">
              <a:solidFill>
                <a:srgbClr val="0000FF"/>
              </a:solidFill>
              <a:effectLst/>
            </a:rPr>
            <a:t>		}</a:t>
          </a:r>
        </a:p>
        <a:p>
          <a:r>
            <a:rPr lang="en-GB">
              <a:solidFill>
                <a:srgbClr val="0000FF"/>
              </a:solidFill>
              <a:effectLst/>
            </a:rPr>
            <a:t>		oBCAgree.InvokeMethod("RefreshBusComp");</a:t>
          </a:r>
        </a:p>
        <a:p>
          <a:r>
            <a:rPr lang="en-GB">
              <a:solidFill>
                <a:srgbClr val="0000FF"/>
              </a:solidFill>
              <a:effectLst/>
            </a:rPr>
            <a:t>	</a:t>
          </a:r>
        </a:p>
        <a:p>
          <a:r>
            <a:rPr lang="en-GB">
              <a:solidFill>
                <a:srgbClr val="0000FF"/>
              </a:solidFill>
              <a:effectLst/>
            </a:rPr>
            <a:t>		return (CancelOperation);	</a:t>
          </a:r>
        </a:p>
        <a:p>
          <a:r>
            <a:rPr lang="en-GB">
              <a:solidFill>
                <a:srgbClr val="0000FF"/>
              </a:solidFill>
              <a:effectLst/>
            </a:rPr>
            <a:t>	}</a:t>
          </a:r>
        </a:p>
        <a:p>
          <a:endParaRPr lang="en-GB">
            <a:solidFill>
              <a:srgbClr val="0000FF"/>
            </a:solidFill>
            <a:effectLst/>
          </a:endParaRPr>
        </a:p>
        <a:p>
          <a:r>
            <a:rPr lang="en-GB">
              <a:solidFill>
                <a:srgbClr val="0000FF"/>
              </a:solidFill>
              <a:effectLst/>
            </a:rPr>
            <a:t>	return (ContinueOperation);</a:t>
          </a:r>
        </a:p>
        <a:p>
          <a:r>
            <a:rPr lang="en-GB">
              <a:solidFill>
                <a:srgbClr val="0000FF"/>
              </a:solidFill>
              <a:effectLst/>
            </a:rPr>
            <a:t>}</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13</xdr:col>
      <xdr:colOff>0</xdr:colOff>
      <xdr:row>8</xdr:row>
      <xdr:rowOff>0</xdr:rowOff>
    </xdr:from>
    <xdr:to>
      <xdr:col>13</xdr:col>
      <xdr:colOff>0</xdr:colOff>
      <xdr:row>8</xdr:row>
      <xdr:rowOff>0</xdr:rowOff>
    </xdr:to>
    <xdr:sp macro="" textlink="">
      <xdr:nvSpPr>
        <xdr:cNvPr id="2" name="Rectangle 9">
          <a:extLst>
            <a:ext uri="{FF2B5EF4-FFF2-40B4-BE49-F238E27FC236}">
              <a16:creationId xmlns:a16="http://schemas.microsoft.com/office/drawing/2014/main" id="{5D97F0D4-AA38-4E52-B9EA-51EBA01B62FE}"/>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3" name="Rectangle 10">
          <a:extLst>
            <a:ext uri="{FF2B5EF4-FFF2-40B4-BE49-F238E27FC236}">
              <a16:creationId xmlns:a16="http://schemas.microsoft.com/office/drawing/2014/main" id="{11825F89-3A53-4792-993D-A015A77B1C33}"/>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4" name="Rectangle 11">
          <a:extLst>
            <a:ext uri="{FF2B5EF4-FFF2-40B4-BE49-F238E27FC236}">
              <a16:creationId xmlns:a16="http://schemas.microsoft.com/office/drawing/2014/main" id="{D6109BB5-FF3C-4472-80AA-1A4777AF0171}"/>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5" name="Rectangle 12">
          <a:extLst>
            <a:ext uri="{FF2B5EF4-FFF2-40B4-BE49-F238E27FC236}">
              <a16:creationId xmlns:a16="http://schemas.microsoft.com/office/drawing/2014/main" id="{28FFC3A1-ABF1-4E10-B208-07A375DBD135}"/>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6" name="Rectangle 13">
          <a:extLst>
            <a:ext uri="{FF2B5EF4-FFF2-40B4-BE49-F238E27FC236}">
              <a16:creationId xmlns:a16="http://schemas.microsoft.com/office/drawing/2014/main" id="{0D38FD9A-E0AF-4FC2-8C92-A24B68E5C747}"/>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7" name="Rectangle 22">
          <a:extLst>
            <a:ext uri="{FF2B5EF4-FFF2-40B4-BE49-F238E27FC236}">
              <a16:creationId xmlns:a16="http://schemas.microsoft.com/office/drawing/2014/main" id="{89791123-3B1F-4C0E-A063-EC5590FF94ED}"/>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8" name="Rectangle 23">
          <a:extLst>
            <a:ext uri="{FF2B5EF4-FFF2-40B4-BE49-F238E27FC236}">
              <a16:creationId xmlns:a16="http://schemas.microsoft.com/office/drawing/2014/main" id="{734B6240-79C7-4793-81FA-110AC6E1A4AE}"/>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9" name="Rectangle 24">
          <a:extLst>
            <a:ext uri="{FF2B5EF4-FFF2-40B4-BE49-F238E27FC236}">
              <a16:creationId xmlns:a16="http://schemas.microsoft.com/office/drawing/2014/main" id="{777099E1-0D9B-4982-9FDE-09C9185E0432}"/>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10" name="Rectangle 25">
          <a:extLst>
            <a:ext uri="{FF2B5EF4-FFF2-40B4-BE49-F238E27FC236}">
              <a16:creationId xmlns:a16="http://schemas.microsoft.com/office/drawing/2014/main" id="{7F024E53-375D-4905-BEA4-486C16BCA25E}"/>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11" name="Rectangle 26">
          <a:extLst>
            <a:ext uri="{FF2B5EF4-FFF2-40B4-BE49-F238E27FC236}">
              <a16:creationId xmlns:a16="http://schemas.microsoft.com/office/drawing/2014/main" id="{68F81A3C-6525-48D5-93EC-68FD0C5EE705}"/>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12" name="Rectangle 37">
          <a:extLst>
            <a:ext uri="{FF2B5EF4-FFF2-40B4-BE49-F238E27FC236}">
              <a16:creationId xmlns:a16="http://schemas.microsoft.com/office/drawing/2014/main" id="{C420D1D3-218E-4AF0-BDCD-E7D9548790E8}"/>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13" name="Rectangle 38">
          <a:extLst>
            <a:ext uri="{FF2B5EF4-FFF2-40B4-BE49-F238E27FC236}">
              <a16:creationId xmlns:a16="http://schemas.microsoft.com/office/drawing/2014/main" id="{5ACC6CEA-A502-4A1F-A22C-00F3F5155DC8}"/>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14" name="Rectangle 39">
          <a:extLst>
            <a:ext uri="{FF2B5EF4-FFF2-40B4-BE49-F238E27FC236}">
              <a16:creationId xmlns:a16="http://schemas.microsoft.com/office/drawing/2014/main" id="{E8BF2800-9A87-4169-B195-07F2128E4D9B}"/>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15" name="Rectangle 40">
          <a:extLst>
            <a:ext uri="{FF2B5EF4-FFF2-40B4-BE49-F238E27FC236}">
              <a16:creationId xmlns:a16="http://schemas.microsoft.com/office/drawing/2014/main" id="{FB36D61D-C95F-48D2-B125-0F0540294689}"/>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16" name="Rectangle 41">
          <a:extLst>
            <a:ext uri="{FF2B5EF4-FFF2-40B4-BE49-F238E27FC236}">
              <a16:creationId xmlns:a16="http://schemas.microsoft.com/office/drawing/2014/main" id="{B07637E3-0C55-4B37-B952-A64984747F20}"/>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17" name="Rectangle 50">
          <a:extLst>
            <a:ext uri="{FF2B5EF4-FFF2-40B4-BE49-F238E27FC236}">
              <a16:creationId xmlns:a16="http://schemas.microsoft.com/office/drawing/2014/main" id="{5FAF4CAB-3523-4E96-ACB2-435866CDE594}"/>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18" name="Rectangle 51">
          <a:extLst>
            <a:ext uri="{FF2B5EF4-FFF2-40B4-BE49-F238E27FC236}">
              <a16:creationId xmlns:a16="http://schemas.microsoft.com/office/drawing/2014/main" id="{A213255C-037B-445C-AB2D-A2C437371699}"/>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19" name="Rectangle 52">
          <a:extLst>
            <a:ext uri="{FF2B5EF4-FFF2-40B4-BE49-F238E27FC236}">
              <a16:creationId xmlns:a16="http://schemas.microsoft.com/office/drawing/2014/main" id="{75BC87CC-4F0F-49E6-94B5-D205CBBCA3B6}"/>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20" name="Rectangle 53">
          <a:extLst>
            <a:ext uri="{FF2B5EF4-FFF2-40B4-BE49-F238E27FC236}">
              <a16:creationId xmlns:a16="http://schemas.microsoft.com/office/drawing/2014/main" id="{303EDE6C-E300-4297-BF00-674C46FB69C4}"/>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twoCellAnchor>
    <xdr:from>
      <xdr:col>13</xdr:col>
      <xdr:colOff>0</xdr:colOff>
      <xdr:row>8</xdr:row>
      <xdr:rowOff>0</xdr:rowOff>
    </xdr:from>
    <xdr:to>
      <xdr:col>13</xdr:col>
      <xdr:colOff>0</xdr:colOff>
      <xdr:row>8</xdr:row>
      <xdr:rowOff>0</xdr:rowOff>
    </xdr:to>
    <xdr:sp macro="" textlink="">
      <xdr:nvSpPr>
        <xdr:cNvPr id="21" name="Rectangle 54">
          <a:extLst>
            <a:ext uri="{FF2B5EF4-FFF2-40B4-BE49-F238E27FC236}">
              <a16:creationId xmlns:a16="http://schemas.microsoft.com/office/drawing/2014/main" id="{3370BDD4-2B2A-454C-B217-2658FF8742E2}"/>
            </a:ext>
          </a:extLst>
        </xdr:cNvPr>
        <xdr:cNvSpPr>
          <a:spLocks noChangeArrowheads="1"/>
        </xdr:cNvSpPr>
      </xdr:nvSpPr>
      <xdr:spPr bwMode="auto">
        <a:xfrm>
          <a:off x="28803600" y="31623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election activeCell="Q23" sqref="Q23"/>
    </sheetView>
  </sheetViews>
  <sheetFormatPr defaultColWidth="9.08984375" defaultRowHeight="12.5" x14ac:dyDescent="0.25"/>
  <cols>
    <col min="1" max="1" width="11.54296875" style="4" customWidth="1"/>
    <col min="2" max="2" width="12.90625" style="4" bestFit="1" customWidth="1"/>
    <col min="3" max="5" width="9.08984375" style="4"/>
    <col min="6" max="6" width="8.54296875" style="4" customWidth="1"/>
    <col min="7" max="7" width="29.08984375" style="4" bestFit="1" customWidth="1"/>
    <col min="8" max="9" width="9.08984375" style="4"/>
    <col min="10" max="10" width="10.36328125" style="4" bestFit="1" customWidth="1"/>
    <col min="11" max="12" width="9.08984375" style="4"/>
    <col min="13" max="13" width="9.08984375" style="4" customWidth="1"/>
    <col min="14" max="14" width="13.08984375" style="4" customWidth="1"/>
    <col min="15" max="16384" width="9.08984375" style="4"/>
  </cols>
  <sheetData>
    <row r="1" spans="1:15" ht="13" x14ac:dyDescent="0.3">
      <c r="A1" s="3"/>
    </row>
    <row r="10" spans="1:15" ht="13" x14ac:dyDescent="0.3">
      <c r="A10" s="3"/>
      <c r="B10" s="3"/>
      <c r="C10" s="3"/>
      <c r="D10" s="3"/>
      <c r="E10" s="3"/>
      <c r="F10" s="3"/>
      <c r="G10" s="3"/>
      <c r="H10" s="3"/>
      <c r="I10" s="3"/>
    </row>
    <row r="11" spans="1:15" ht="13" x14ac:dyDescent="0.3">
      <c r="A11" s="3"/>
      <c r="B11" s="3"/>
      <c r="C11" s="3"/>
      <c r="D11" s="3"/>
      <c r="E11" s="3"/>
      <c r="F11" s="3"/>
      <c r="G11" s="3"/>
      <c r="H11" s="3"/>
      <c r="I11" s="3"/>
    </row>
    <row r="12" spans="1:15" ht="13" x14ac:dyDescent="0.3">
      <c r="A12" s="3"/>
      <c r="B12" s="3"/>
      <c r="C12" s="3"/>
      <c r="D12" s="3"/>
      <c r="E12" s="3"/>
      <c r="F12" s="3"/>
      <c r="G12" s="3"/>
      <c r="H12" s="3"/>
      <c r="I12" s="3"/>
    </row>
    <row r="13" spans="1:15" ht="32.25" customHeight="1" thickBot="1" x14ac:dyDescent="0.6">
      <c r="A13" s="256" t="s">
        <v>6</v>
      </c>
      <c r="B13" s="256"/>
      <c r="C13" s="256"/>
      <c r="D13" s="256"/>
      <c r="E13" s="256"/>
      <c r="F13" s="256"/>
      <c r="G13" s="256"/>
      <c r="H13" s="256"/>
      <c r="I13" s="256"/>
      <c r="J13" s="256"/>
      <c r="K13" s="256"/>
      <c r="L13" s="256"/>
      <c r="M13" s="256"/>
      <c r="N13" s="256"/>
      <c r="O13" s="256"/>
    </row>
    <row r="14" spans="1:15" ht="13.5" thickTop="1" x14ac:dyDescent="0.3">
      <c r="A14" s="3"/>
      <c r="B14" s="3"/>
      <c r="C14" s="3"/>
      <c r="D14" s="3"/>
      <c r="E14" s="3"/>
      <c r="F14" s="3"/>
      <c r="G14" s="3"/>
      <c r="H14" s="3"/>
      <c r="I14" s="3"/>
    </row>
    <row r="15" spans="1:15" ht="13" x14ac:dyDescent="0.3">
      <c r="A15" s="3"/>
      <c r="B15" s="3"/>
      <c r="C15" s="3"/>
      <c r="D15" s="3"/>
      <c r="E15" s="3"/>
      <c r="F15" s="3"/>
      <c r="G15" s="3"/>
      <c r="H15" s="3"/>
      <c r="I15" s="3"/>
    </row>
    <row r="16" spans="1:15" ht="13.5" customHeight="1" x14ac:dyDescent="0.3">
      <c r="A16" s="3"/>
      <c r="B16" s="3"/>
      <c r="C16" s="3"/>
      <c r="D16" s="3"/>
      <c r="E16" s="3"/>
      <c r="F16" s="3"/>
      <c r="G16" s="3"/>
      <c r="H16" s="3"/>
      <c r="I16" s="3"/>
    </row>
    <row r="17" spans="1:15" ht="14.25" customHeight="1" x14ac:dyDescent="0.3">
      <c r="A17" s="3"/>
      <c r="B17" s="3"/>
      <c r="C17" s="3"/>
      <c r="D17" s="3"/>
      <c r="E17" s="3"/>
      <c r="F17" s="3"/>
      <c r="G17" s="3"/>
      <c r="H17" s="3"/>
      <c r="I17" s="3"/>
    </row>
    <row r="18" spans="1:15" ht="13" x14ac:dyDescent="0.3">
      <c r="A18" s="3"/>
      <c r="B18" s="3"/>
      <c r="C18" s="3"/>
      <c r="D18" s="3"/>
      <c r="E18" s="3"/>
      <c r="F18" s="3"/>
      <c r="G18" s="3"/>
      <c r="H18" s="3"/>
      <c r="I18" s="3"/>
    </row>
    <row r="19" spans="1:15" ht="13" x14ac:dyDescent="0.3">
      <c r="A19" s="3"/>
      <c r="B19" s="3"/>
      <c r="C19" s="3"/>
      <c r="D19" s="3"/>
      <c r="E19" s="3"/>
      <c r="F19" s="3"/>
      <c r="G19" s="3"/>
      <c r="H19" s="3"/>
      <c r="I19" s="3"/>
    </row>
    <row r="20" spans="1:15" ht="30.5" x14ac:dyDescent="0.65">
      <c r="A20" s="257" t="s">
        <v>162</v>
      </c>
      <c r="B20" s="257"/>
      <c r="C20" s="257"/>
      <c r="D20" s="257"/>
      <c r="E20" s="257"/>
      <c r="F20" s="257"/>
      <c r="G20" s="257"/>
      <c r="H20" s="257"/>
      <c r="I20" s="257"/>
      <c r="J20" s="257"/>
      <c r="K20" s="257"/>
      <c r="L20" s="257"/>
      <c r="M20" s="257"/>
      <c r="N20" s="257"/>
      <c r="O20" s="257"/>
    </row>
    <row r="21" spans="1:15" ht="30.5" x14ac:dyDescent="0.65">
      <c r="A21" s="257" t="s">
        <v>161</v>
      </c>
      <c r="B21" s="257"/>
      <c r="C21" s="257"/>
      <c r="D21" s="257"/>
      <c r="E21" s="257"/>
      <c r="F21" s="257"/>
      <c r="G21" s="257"/>
      <c r="H21" s="257"/>
      <c r="I21" s="257"/>
      <c r="J21" s="257"/>
      <c r="K21" s="257"/>
      <c r="L21" s="257"/>
      <c r="M21" s="257"/>
      <c r="N21" s="257"/>
      <c r="O21" s="257"/>
    </row>
    <row r="22" spans="1:15" ht="13" x14ac:dyDescent="0.3">
      <c r="A22" s="3"/>
      <c r="B22" s="3"/>
      <c r="C22" s="3"/>
      <c r="D22" s="3"/>
      <c r="E22" s="3"/>
      <c r="F22" s="3"/>
      <c r="G22" s="3"/>
      <c r="H22" s="3"/>
      <c r="I22" s="3"/>
    </row>
    <row r="23" spans="1:15" ht="30.5" x14ac:dyDescent="0.65">
      <c r="A23" s="260" t="s">
        <v>264</v>
      </c>
      <c r="B23" s="260"/>
      <c r="C23" s="260"/>
      <c r="D23" s="260"/>
      <c r="E23" s="260"/>
      <c r="F23" s="261" t="s">
        <v>405</v>
      </c>
      <c r="G23" s="261"/>
      <c r="H23" s="261"/>
      <c r="I23" s="261"/>
      <c r="J23" s="261"/>
      <c r="K23" s="261"/>
      <c r="L23" s="261"/>
      <c r="M23" s="261"/>
      <c r="N23" s="261"/>
      <c r="O23" s="261"/>
    </row>
    <row r="24" spans="1:15" s="37" customFormat="1" ht="28" x14ac:dyDescent="0.6">
      <c r="A24" s="262" t="s">
        <v>172</v>
      </c>
      <c r="B24" s="262"/>
      <c r="C24" s="262"/>
      <c r="D24" s="262"/>
      <c r="E24" s="262"/>
      <c r="F24" s="263" t="s">
        <v>406</v>
      </c>
      <c r="G24" s="263"/>
      <c r="H24" s="263"/>
      <c r="I24" s="263"/>
      <c r="J24" s="263"/>
      <c r="K24" s="263"/>
      <c r="L24" s="263"/>
      <c r="M24" s="263"/>
      <c r="N24" s="263"/>
      <c r="O24" s="38"/>
    </row>
    <row r="25" spans="1:15" s="37" customFormat="1" ht="28" x14ac:dyDescent="0.6">
      <c r="A25" s="264" t="s">
        <v>181</v>
      </c>
      <c r="B25" s="264"/>
      <c r="C25" s="264"/>
      <c r="D25" s="264"/>
      <c r="E25" s="264"/>
      <c r="F25" s="255" t="s">
        <v>422</v>
      </c>
      <c r="G25" s="255"/>
      <c r="H25" s="255"/>
      <c r="I25" s="255"/>
      <c r="J25" s="255"/>
      <c r="K25" s="255"/>
      <c r="L25" s="255"/>
      <c r="M25" s="255"/>
      <c r="N25" s="255"/>
      <c r="O25" s="38"/>
    </row>
    <row r="26" spans="1:15" x14ac:dyDescent="0.25">
      <c r="A26" s="39"/>
      <c r="B26" s="39"/>
      <c r="C26" s="39"/>
      <c r="D26" s="39"/>
      <c r="E26" s="39"/>
      <c r="F26" s="39"/>
      <c r="G26" s="39"/>
      <c r="H26" s="39"/>
      <c r="I26" s="39"/>
      <c r="J26" s="39"/>
      <c r="K26" s="39"/>
      <c r="L26" s="39"/>
      <c r="M26" s="39"/>
      <c r="N26" s="39"/>
      <c r="O26" s="39"/>
    </row>
    <row r="27" spans="1:15" ht="15.5" x14ac:dyDescent="0.35">
      <c r="A27" s="259"/>
      <c r="B27" s="259"/>
      <c r="C27" s="259"/>
      <c r="D27" s="259"/>
      <c r="E27" s="259"/>
      <c r="F27" s="259"/>
      <c r="G27" s="259"/>
      <c r="H27" s="259"/>
      <c r="I27" s="259"/>
      <c r="J27" s="39"/>
      <c r="K27" s="39"/>
      <c r="L27" s="39"/>
      <c r="M27" s="39"/>
      <c r="N27" s="39"/>
      <c r="O27" s="39"/>
    </row>
    <row r="28" spans="1:15" ht="18" customHeight="1" x14ac:dyDescent="0.45">
      <c r="A28" s="258"/>
      <c r="B28" s="258"/>
      <c r="C28" s="258"/>
      <c r="D28" s="258"/>
      <c r="E28" s="258"/>
      <c r="F28" s="258"/>
      <c r="G28" s="258"/>
      <c r="H28" s="258"/>
      <c r="I28" s="258"/>
      <c r="J28" s="39"/>
      <c r="K28" s="39"/>
      <c r="L28" s="39"/>
      <c r="M28" s="39"/>
      <c r="N28" s="39"/>
      <c r="O28" s="39"/>
    </row>
    <row r="37" spans="1:9" ht="18" customHeight="1" x14ac:dyDescent="0.25"/>
    <row r="38" spans="1:9" ht="15.5" x14ac:dyDescent="0.35">
      <c r="A38" s="5" t="s">
        <v>7</v>
      </c>
      <c r="B38" s="6">
        <f ca="1">TODAY()</f>
        <v>44508</v>
      </c>
      <c r="C38" s="3"/>
      <c r="D38" s="3"/>
      <c r="E38" s="3"/>
      <c r="F38" s="3"/>
      <c r="G38" s="3"/>
      <c r="H38" s="3"/>
      <c r="I38" s="3"/>
    </row>
    <row r="39" spans="1:9" ht="15.5" x14ac:dyDescent="0.35">
      <c r="A39" s="5" t="s">
        <v>8</v>
      </c>
      <c r="B39" s="7" t="s">
        <v>15</v>
      </c>
      <c r="C39" s="3"/>
      <c r="D39" s="3"/>
      <c r="E39" s="3"/>
      <c r="F39" s="3"/>
      <c r="G39" s="3"/>
      <c r="H39" s="3"/>
      <c r="I39" s="3"/>
    </row>
    <row r="40" spans="1:9" ht="15.5" x14ac:dyDescent="0.35">
      <c r="A40" s="5"/>
      <c r="B40" s="7"/>
      <c r="C40" s="3"/>
      <c r="D40" s="3"/>
      <c r="E40" s="3"/>
      <c r="F40" s="3"/>
      <c r="G40" s="3"/>
      <c r="H40" s="3"/>
      <c r="I40" s="3"/>
    </row>
  </sheetData>
  <mergeCells count="11">
    <mergeCell ref="F25:N25"/>
    <mergeCell ref="A13:O13"/>
    <mergeCell ref="A20:O20"/>
    <mergeCell ref="A21:O21"/>
    <mergeCell ref="A28:I28"/>
    <mergeCell ref="A27:I27"/>
    <mergeCell ref="A23:E23"/>
    <mergeCell ref="F23:O23"/>
    <mergeCell ref="A24:E24"/>
    <mergeCell ref="F24:N24"/>
    <mergeCell ref="A25:E25"/>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6"/>
  <sheetViews>
    <sheetView showGridLines="0" zoomScale="85" zoomScaleNormal="85" workbookViewId="0"/>
  </sheetViews>
  <sheetFormatPr defaultColWidth="9.08984375" defaultRowHeight="13" x14ac:dyDescent="0.25"/>
  <cols>
    <col min="1" max="1" width="34.08984375" style="13" bestFit="1" customWidth="1"/>
    <col min="2" max="2" width="29" style="13" customWidth="1"/>
    <col min="3" max="3" width="35.36328125" style="13" customWidth="1"/>
    <col min="4" max="4" width="9.08984375" style="13" hidden="1" customWidth="1"/>
    <col min="5" max="5" width="9.36328125" style="13" hidden="1" customWidth="1"/>
    <col min="6" max="6" width="11.08984375" style="13" customWidth="1"/>
    <col min="7" max="7" width="9.08984375" style="13" hidden="1" customWidth="1"/>
    <col min="8" max="8" width="21.54296875" style="13" customWidth="1"/>
    <col min="9" max="9" width="37.08984375" style="13" customWidth="1"/>
    <col min="10" max="10" width="21.453125" style="13" bestFit="1" customWidth="1"/>
    <col min="11" max="11" width="17.54296875" style="13" bestFit="1" customWidth="1"/>
    <col min="12" max="12" width="8" style="13" bestFit="1" customWidth="1"/>
    <col min="13" max="16384" width="9.08984375" style="13"/>
  </cols>
  <sheetData>
    <row r="1" spans="1:9" ht="15.5" x14ac:dyDescent="0.25">
      <c r="A1" s="11" t="s">
        <v>9</v>
      </c>
      <c r="B1" s="12"/>
      <c r="C1" s="12"/>
      <c r="D1" s="12"/>
      <c r="E1" s="12"/>
    </row>
    <row r="2" spans="1:9" x14ac:dyDescent="0.25">
      <c r="A2" s="14"/>
      <c r="B2" s="12"/>
      <c r="C2" s="12"/>
      <c r="D2" s="12"/>
      <c r="E2" s="12"/>
    </row>
    <row r="3" spans="1:9" x14ac:dyDescent="0.25">
      <c r="A3" s="40" t="s">
        <v>10</v>
      </c>
      <c r="B3" s="41" t="s">
        <v>11</v>
      </c>
      <c r="C3" s="266" t="s">
        <v>12</v>
      </c>
      <c r="D3" s="266"/>
      <c r="E3" s="266"/>
      <c r="F3" s="267" t="s">
        <v>13</v>
      </c>
      <c r="G3" s="268"/>
      <c r="H3" s="41" t="s">
        <v>14</v>
      </c>
      <c r="I3" s="16" t="s">
        <v>28</v>
      </c>
    </row>
    <row r="4" spans="1:9" x14ac:dyDescent="0.25">
      <c r="A4" s="45" t="s">
        <v>420</v>
      </c>
      <c r="B4" s="45" t="s">
        <v>421</v>
      </c>
      <c r="C4" s="265" t="s">
        <v>573</v>
      </c>
      <c r="D4" s="265"/>
      <c r="E4" s="265"/>
      <c r="F4" s="44" t="s">
        <v>575</v>
      </c>
      <c r="G4" s="15"/>
      <c r="H4" s="44" t="s">
        <v>574</v>
      </c>
      <c r="I4" s="17" t="s">
        <v>576</v>
      </c>
    </row>
    <row r="5" spans="1:9" x14ac:dyDescent="0.25">
      <c r="A5" s="45"/>
      <c r="B5" s="45"/>
      <c r="C5" s="265"/>
      <c r="D5" s="265"/>
      <c r="E5" s="265"/>
      <c r="F5" s="43"/>
      <c r="G5" s="15"/>
      <c r="H5" s="42"/>
      <c r="I5" s="17"/>
    </row>
    <row r="6" spans="1:9" x14ac:dyDescent="0.25">
      <c r="A6" s="12"/>
      <c r="B6" s="12"/>
      <c r="C6" s="12"/>
      <c r="D6" s="12"/>
      <c r="E6" s="12"/>
    </row>
    <row r="8" spans="1:9" x14ac:dyDescent="0.25">
      <c r="A8" s="46" t="s">
        <v>51</v>
      </c>
      <c r="B8" s="49" t="s">
        <v>55</v>
      </c>
    </row>
    <row r="9" spans="1:9" x14ac:dyDescent="0.25">
      <c r="A9" s="47" t="s">
        <v>235</v>
      </c>
      <c r="B9" s="50">
        <v>0.12</v>
      </c>
    </row>
    <row r="10" spans="1:9" x14ac:dyDescent="0.25">
      <c r="A10" s="47" t="s">
        <v>53</v>
      </c>
      <c r="B10" s="50">
        <f>'1. View'!B4+'2. LA'!B4+'3. FA'!B4+'4. PA'!B4+'5. BO'!B4+'6. BC'!B4+'7. Link'!B4+'8. PickList'!B4+'9. Message Category'!B4+'10. Symbolic String'!B4+'11. Table Column Creation'!B4+'13. Integration Object'!B4</f>
        <v>0.84000000000000019</v>
      </c>
    </row>
    <row r="11" spans="1:9" x14ac:dyDescent="0.25">
      <c r="A11" s="47" t="s">
        <v>50</v>
      </c>
      <c r="B11" s="50">
        <f>'12.0 Script&lt;BC&gt;'!V4+'12.1 Script&lt;BC&gt;'!V4+'12.2 Script&lt;BS&gt;'!V4+'12.3 Script&lt;Applet&gt;'!V4+'12.4 Script&lt;Applet&gt;'!V4</f>
        <v>0.5</v>
      </c>
    </row>
    <row r="12" spans="1:9" x14ac:dyDescent="0.25">
      <c r="A12" s="47" t="s">
        <v>186</v>
      </c>
      <c r="B12" s="50">
        <v>0.3</v>
      </c>
    </row>
    <row r="13" spans="1:9" x14ac:dyDescent="0.25">
      <c r="A13" s="47" t="s">
        <v>185</v>
      </c>
      <c r="B13" s="50">
        <v>0.18</v>
      </c>
    </row>
    <row r="14" spans="1:9" x14ac:dyDescent="0.25">
      <c r="A14" s="47" t="s">
        <v>54</v>
      </c>
      <c r="B14" s="50">
        <v>0.18</v>
      </c>
    </row>
    <row r="15" spans="1:9" x14ac:dyDescent="0.25">
      <c r="A15" s="47" t="s">
        <v>184</v>
      </c>
      <c r="B15" s="50">
        <v>0.04</v>
      </c>
    </row>
    <row r="16" spans="1:9" x14ac:dyDescent="0.25">
      <c r="A16" s="48" t="s">
        <v>91</v>
      </c>
      <c r="B16" s="51">
        <f>ROUNDUP(SUM(B9:B15), 2)</f>
        <v>2.16</v>
      </c>
    </row>
    <row r="18" spans="1:10" x14ac:dyDescent="0.25">
      <c r="A18" s="52" t="s">
        <v>190</v>
      </c>
      <c r="B18" s="52" t="s">
        <v>236</v>
      </c>
      <c r="C18" s="52" t="s">
        <v>237</v>
      </c>
      <c r="I18" s="52" t="s">
        <v>249</v>
      </c>
      <c r="J18" s="52" t="s">
        <v>250</v>
      </c>
    </row>
    <row r="19" spans="1:10" x14ac:dyDescent="0.25">
      <c r="A19" s="50" t="s">
        <v>577</v>
      </c>
      <c r="B19" s="50" t="s">
        <v>558</v>
      </c>
      <c r="C19" s="50" t="s">
        <v>558</v>
      </c>
      <c r="I19" s="50" t="s">
        <v>464</v>
      </c>
      <c r="J19" s="50" t="s">
        <v>464</v>
      </c>
    </row>
    <row r="20" spans="1:10" x14ac:dyDescent="0.25">
      <c r="A20" s="50"/>
      <c r="B20" s="50"/>
      <c r="C20" s="50"/>
    </row>
    <row r="21" spans="1:10" x14ac:dyDescent="0.25">
      <c r="A21" s="50"/>
      <c r="B21" s="50"/>
      <c r="C21" s="50"/>
    </row>
    <row r="22" spans="1:10" x14ac:dyDescent="0.25">
      <c r="A22" s="50"/>
      <c r="B22" s="50"/>
      <c r="C22" s="50"/>
    </row>
    <row r="23" spans="1:10" x14ac:dyDescent="0.25">
      <c r="A23" s="50"/>
      <c r="B23" s="50"/>
      <c r="C23" s="50"/>
    </row>
    <row r="24" spans="1:10" x14ac:dyDescent="0.25">
      <c r="A24" s="50"/>
      <c r="B24" s="50"/>
      <c r="C24" s="50"/>
    </row>
    <row r="25" spans="1:10" x14ac:dyDescent="0.25">
      <c r="A25" s="50"/>
      <c r="B25" s="50"/>
      <c r="C25" s="50"/>
    </row>
    <row r="26" spans="1:10" x14ac:dyDescent="0.25">
      <c r="A26" s="50"/>
      <c r="B26" s="50"/>
      <c r="C26" s="50"/>
    </row>
  </sheetData>
  <mergeCells count="4">
    <mergeCell ref="C5:E5"/>
    <mergeCell ref="C3:E3"/>
    <mergeCell ref="F3:G3"/>
    <mergeCell ref="C4:E4"/>
  </mergeCells>
  <phoneticPr fontId="0" type="noConversion"/>
  <pageMargins left="0.75" right="0.75" top="1" bottom="1" header="0.5" footer="0.5"/>
  <pageSetup paperSize="9" orientation="landscape" r:id="rId1"/>
  <headerFooter alignWithMargins="0">
    <oddFooter>&amp;L&amp;"Book Antiqua,Regular"&amp;8Document: &amp;F&amp;R&amp;"Book Antiqua,Regular"&amp;8Page &amp;P /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24"/>
  <sheetViews>
    <sheetView zoomScale="85" workbookViewId="0"/>
  </sheetViews>
  <sheetFormatPr defaultColWidth="9.08984375" defaultRowHeight="12.5" x14ac:dyDescent="0.25"/>
  <cols>
    <col min="1" max="1" width="25.453125" style="22" customWidth="1"/>
    <col min="2" max="2" width="27.453125" style="22" customWidth="1"/>
    <col min="3" max="3" width="48.36328125" style="22" customWidth="1"/>
    <col min="4" max="4" width="35.90625" style="22" customWidth="1"/>
    <col min="5" max="5" width="27.453125" style="22" customWidth="1"/>
    <col min="6" max="16384" width="9.08984375" style="22"/>
  </cols>
  <sheetData>
    <row r="1" spans="1:5" ht="15.5" x14ac:dyDescent="0.25">
      <c r="A1" s="21" t="s">
        <v>17</v>
      </c>
    </row>
    <row r="2" spans="1:5" ht="13" thickBot="1" x14ac:dyDescent="0.3"/>
    <row r="3" spans="1:5" ht="13" x14ac:dyDescent="0.25">
      <c r="A3" s="8" t="s">
        <v>20</v>
      </c>
      <c r="B3" s="9" t="s">
        <v>18</v>
      </c>
      <c r="C3" s="9" t="s">
        <v>1</v>
      </c>
      <c r="D3" s="9" t="s">
        <v>21</v>
      </c>
      <c r="E3" s="10" t="s">
        <v>19</v>
      </c>
    </row>
    <row r="4" spans="1:5" ht="25" x14ac:dyDescent="0.25">
      <c r="A4" s="242" t="s">
        <v>573</v>
      </c>
      <c r="B4" s="239" t="s">
        <v>559</v>
      </c>
      <c r="C4" s="23" t="s">
        <v>22</v>
      </c>
      <c r="D4" s="23" t="s">
        <v>23</v>
      </c>
      <c r="E4" s="243" t="s">
        <v>16</v>
      </c>
    </row>
    <row r="5" spans="1:5" ht="38" x14ac:dyDescent="0.25">
      <c r="A5" s="237"/>
      <c r="B5" s="239" t="s">
        <v>560</v>
      </c>
      <c r="C5" s="23" t="s">
        <v>34</v>
      </c>
      <c r="D5" s="23" t="s">
        <v>35</v>
      </c>
      <c r="E5" s="33"/>
    </row>
    <row r="6" spans="1:5" ht="38" x14ac:dyDescent="0.25">
      <c r="A6" s="237"/>
      <c r="B6" s="239" t="s">
        <v>561</v>
      </c>
      <c r="C6" s="23" t="s">
        <v>37</v>
      </c>
      <c r="D6" s="23" t="s">
        <v>36</v>
      </c>
      <c r="E6" s="33"/>
    </row>
    <row r="7" spans="1:5" ht="25" x14ac:dyDescent="0.25">
      <c r="A7" s="237"/>
      <c r="B7" s="239" t="s">
        <v>562</v>
      </c>
      <c r="C7" s="23" t="s">
        <v>40</v>
      </c>
      <c r="D7" s="23" t="s">
        <v>41</v>
      </c>
      <c r="E7" s="33"/>
    </row>
    <row r="8" spans="1:5" ht="29.25" customHeight="1" x14ac:dyDescent="0.25">
      <c r="A8" s="237"/>
      <c r="B8" s="239" t="s">
        <v>563</v>
      </c>
      <c r="C8" s="23" t="s">
        <v>178</v>
      </c>
      <c r="D8" s="24" t="s">
        <v>179</v>
      </c>
      <c r="E8" s="33"/>
    </row>
    <row r="9" spans="1:5" ht="25" x14ac:dyDescent="0.25">
      <c r="A9" s="237"/>
      <c r="B9" s="239" t="s">
        <v>564</v>
      </c>
      <c r="C9" s="23" t="s">
        <v>94</v>
      </c>
      <c r="D9" s="24" t="s">
        <v>95</v>
      </c>
      <c r="E9" s="33"/>
    </row>
    <row r="10" spans="1:5" x14ac:dyDescent="0.25">
      <c r="A10" s="237"/>
      <c r="B10" s="239" t="s">
        <v>565</v>
      </c>
      <c r="C10" s="23" t="s">
        <v>142</v>
      </c>
      <c r="D10" s="24" t="s">
        <v>143</v>
      </c>
      <c r="E10" s="33"/>
    </row>
    <row r="11" spans="1:5" ht="25" x14ac:dyDescent="0.25">
      <c r="A11" s="237"/>
      <c r="B11" s="239" t="s">
        <v>566</v>
      </c>
      <c r="C11" s="23" t="s">
        <v>144</v>
      </c>
      <c r="D11" s="24" t="s">
        <v>145</v>
      </c>
      <c r="E11" s="33"/>
    </row>
    <row r="12" spans="1:5" x14ac:dyDescent="0.25">
      <c r="A12" s="237"/>
      <c r="B12" s="239" t="s">
        <v>567</v>
      </c>
      <c r="C12" s="23" t="s">
        <v>160</v>
      </c>
      <c r="D12" s="24"/>
      <c r="E12" s="33"/>
    </row>
    <row r="13" spans="1:5" x14ac:dyDescent="0.25">
      <c r="A13" s="237"/>
      <c r="B13" s="239" t="s">
        <v>568</v>
      </c>
      <c r="C13" s="23" t="s">
        <v>158</v>
      </c>
      <c r="D13" s="24"/>
      <c r="E13" s="33"/>
    </row>
    <row r="14" spans="1:5" x14ac:dyDescent="0.25">
      <c r="A14" s="237"/>
      <c r="B14" s="239" t="s">
        <v>569</v>
      </c>
      <c r="C14" s="23" t="s">
        <v>159</v>
      </c>
      <c r="D14" s="23"/>
      <c r="E14" s="33"/>
    </row>
    <row r="15" spans="1:5" x14ac:dyDescent="0.25">
      <c r="A15" s="237"/>
      <c r="B15" s="239" t="s">
        <v>570</v>
      </c>
      <c r="C15" s="23" t="s">
        <v>50</v>
      </c>
      <c r="D15" s="23"/>
      <c r="E15" s="33"/>
    </row>
    <row r="16" spans="1:5" x14ac:dyDescent="0.25">
      <c r="A16" s="237"/>
      <c r="B16" s="240" t="s">
        <v>571</v>
      </c>
      <c r="C16" s="24" t="s">
        <v>138</v>
      </c>
      <c r="D16" s="24"/>
      <c r="E16" s="33"/>
    </row>
    <row r="17" spans="1:5" ht="13" thickBot="1" x14ac:dyDescent="0.3">
      <c r="A17" s="238"/>
      <c r="B17" s="241" t="s">
        <v>572</v>
      </c>
      <c r="C17" s="25" t="s">
        <v>140</v>
      </c>
      <c r="D17" s="25"/>
      <c r="E17" s="34"/>
    </row>
    <row r="24" spans="1:5" s="19" customFormat="1" ht="13" x14ac:dyDescent="0.25"/>
  </sheetData>
  <phoneticPr fontId="0" type="noConversion"/>
  <pageMargins left="0.75" right="0.75" top="1" bottom="1" header="0.5" footer="0.5"/>
  <pageSetup paperSize="9" scale="80" fitToHeight="0" orientation="landscape" r:id="rId1"/>
  <headerFooter alignWithMargins="0">
    <oddHeader>&amp;C&amp;A</oddHeader>
    <oddFooter>&amp;L&amp;F&amp;C&amp;D&amp;R&amp;P /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46"/>
  <sheetViews>
    <sheetView zoomScale="85" zoomScaleNormal="85" workbookViewId="0">
      <selection sqref="A1:E1"/>
    </sheetView>
  </sheetViews>
  <sheetFormatPr defaultColWidth="9.08984375" defaultRowHeight="12.5" x14ac:dyDescent="0.25"/>
  <cols>
    <col min="1" max="1" width="32.453125" style="58" bestFit="1" customWidth="1"/>
    <col min="2" max="2" width="27.453125" style="58" bestFit="1" customWidth="1"/>
    <col min="3" max="3" width="120.08984375" style="58" bestFit="1" customWidth="1"/>
    <col min="4" max="4" width="7.08984375" style="58" bestFit="1" customWidth="1"/>
    <col min="5" max="5" width="11.54296875" style="58" bestFit="1" customWidth="1"/>
    <col min="6" max="16384" width="9.08984375" style="58"/>
  </cols>
  <sheetData>
    <row r="1" spans="1:5" ht="13" thickBot="1" x14ac:dyDescent="0.3">
      <c r="A1" s="269" t="s">
        <v>206</v>
      </c>
      <c r="B1" s="270"/>
      <c r="C1" s="270"/>
      <c r="D1" s="270"/>
      <c r="E1" s="271"/>
    </row>
    <row r="2" spans="1:5" ht="13" thickBot="1" x14ac:dyDescent="0.3">
      <c r="D2" s="59"/>
    </row>
    <row r="3" spans="1:5" x14ac:dyDescent="0.25">
      <c r="A3" s="60" t="s">
        <v>207</v>
      </c>
      <c r="B3" s="61"/>
      <c r="C3" s="61"/>
      <c r="D3" s="61"/>
    </row>
    <row r="4" spans="1:5" x14ac:dyDescent="0.25">
      <c r="A4" s="62" t="s">
        <v>72</v>
      </c>
      <c r="B4" s="62" t="s">
        <v>212</v>
      </c>
      <c r="C4" s="62" t="s">
        <v>208</v>
      </c>
      <c r="D4" s="63" t="s">
        <v>135</v>
      </c>
      <c r="E4" s="63" t="s">
        <v>205</v>
      </c>
    </row>
    <row r="5" spans="1:5" x14ac:dyDescent="0.25">
      <c r="A5" s="64" t="s">
        <v>213</v>
      </c>
      <c r="B5" s="64" t="s">
        <v>214</v>
      </c>
      <c r="C5" s="64" t="s">
        <v>215</v>
      </c>
      <c r="D5" s="53" t="s">
        <v>557</v>
      </c>
      <c r="E5" s="53"/>
    </row>
    <row r="6" spans="1:5" ht="25.5" x14ac:dyDescent="0.25">
      <c r="A6" s="64" t="s">
        <v>220</v>
      </c>
      <c r="B6" s="64" t="s">
        <v>214</v>
      </c>
      <c r="C6" s="65" t="s">
        <v>274</v>
      </c>
      <c r="D6" s="53" t="s">
        <v>558</v>
      </c>
      <c r="E6" s="53"/>
    </row>
    <row r="7" spans="1:5" x14ac:dyDescent="0.25">
      <c r="A7" s="64" t="s">
        <v>227</v>
      </c>
      <c r="B7" s="64" t="s">
        <v>214</v>
      </c>
      <c r="C7" s="64" t="s">
        <v>283</v>
      </c>
      <c r="D7" s="53" t="s">
        <v>557</v>
      </c>
      <c r="E7" s="53"/>
    </row>
    <row r="8" spans="1:5" ht="87.5" x14ac:dyDescent="0.25">
      <c r="A8" s="64" t="s">
        <v>209</v>
      </c>
      <c r="B8" s="64" t="s">
        <v>80</v>
      </c>
      <c r="C8" s="65" t="s">
        <v>210</v>
      </c>
      <c r="D8" s="53" t="s">
        <v>557</v>
      </c>
      <c r="E8" s="53"/>
    </row>
    <row r="9" spans="1:5" x14ac:dyDescent="0.25">
      <c r="A9" s="64" t="s">
        <v>211</v>
      </c>
      <c r="B9" s="64" t="s">
        <v>29</v>
      </c>
      <c r="C9" s="64" t="s">
        <v>263</v>
      </c>
      <c r="D9" s="53" t="s">
        <v>557</v>
      </c>
      <c r="E9" s="53"/>
    </row>
    <row r="10" spans="1:5" x14ac:dyDescent="0.25">
      <c r="A10" s="64" t="s">
        <v>218</v>
      </c>
      <c r="B10" s="64" t="s">
        <v>29</v>
      </c>
      <c r="C10" s="65" t="s">
        <v>216</v>
      </c>
      <c r="D10" s="53" t="s">
        <v>557</v>
      </c>
      <c r="E10" s="53"/>
    </row>
    <row r="11" spans="1:5" x14ac:dyDescent="0.25">
      <c r="A11" s="64" t="s">
        <v>277</v>
      </c>
      <c r="B11" s="64" t="s">
        <v>29</v>
      </c>
      <c r="C11" s="65" t="s">
        <v>278</v>
      </c>
      <c r="D11" s="53" t="s">
        <v>558</v>
      </c>
      <c r="E11" s="53"/>
    </row>
    <row r="12" spans="1:5" x14ac:dyDescent="0.25">
      <c r="A12" s="64" t="s">
        <v>219</v>
      </c>
      <c r="B12" s="64" t="s">
        <v>29</v>
      </c>
      <c r="C12" s="64" t="s">
        <v>217</v>
      </c>
      <c r="D12" s="53" t="s">
        <v>557</v>
      </c>
      <c r="E12" s="53"/>
    </row>
    <row r="13" spans="1:5" x14ac:dyDescent="0.25">
      <c r="A13" s="64" t="s">
        <v>231</v>
      </c>
      <c r="B13" s="64" t="s">
        <v>29</v>
      </c>
      <c r="C13" s="64" t="s">
        <v>232</v>
      </c>
      <c r="D13" s="53" t="s">
        <v>558</v>
      </c>
      <c r="E13" s="53"/>
    </row>
    <row r="14" spans="1:5" ht="26" x14ac:dyDescent="0.25">
      <c r="A14" s="64" t="s">
        <v>280</v>
      </c>
      <c r="B14" s="64" t="s">
        <v>29</v>
      </c>
      <c r="C14" s="65" t="s">
        <v>281</v>
      </c>
      <c r="D14" s="53" t="s">
        <v>558</v>
      </c>
      <c r="E14" s="53"/>
    </row>
    <row r="15" spans="1:5" x14ac:dyDescent="0.25">
      <c r="A15" s="64" t="s">
        <v>293</v>
      </c>
      <c r="B15" s="64" t="s">
        <v>29</v>
      </c>
      <c r="C15" s="65" t="s">
        <v>294</v>
      </c>
      <c r="D15" s="53" t="s">
        <v>558</v>
      </c>
      <c r="E15" s="53"/>
    </row>
    <row r="16" spans="1:5" x14ac:dyDescent="0.25">
      <c r="A16" s="64" t="s">
        <v>230</v>
      </c>
      <c r="B16" s="64" t="s">
        <v>228</v>
      </c>
      <c r="C16" s="64" t="s">
        <v>229</v>
      </c>
      <c r="D16" s="53" t="s">
        <v>558</v>
      </c>
      <c r="E16" s="53"/>
    </row>
    <row r="17" spans="1:5" x14ac:dyDescent="0.25">
      <c r="A17" s="64" t="s">
        <v>69</v>
      </c>
      <c r="B17" s="64" t="s">
        <v>228</v>
      </c>
      <c r="C17" s="64" t="s">
        <v>260</v>
      </c>
      <c r="D17" s="53" t="s">
        <v>558</v>
      </c>
      <c r="E17" s="53"/>
    </row>
    <row r="18" spans="1:5" x14ac:dyDescent="0.25">
      <c r="A18" s="64" t="s">
        <v>291</v>
      </c>
      <c r="B18" s="64" t="s">
        <v>228</v>
      </c>
      <c r="C18" s="64" t="s">
        <v>292</v>
      </c>
      <c r="D18" s="53" t="s">
        <v>558</v>
      </c>
      <c r="E18" s="53"/>
    </row>
    <row r="19" spans="1:5" ht="25" x14ac:dyDescent="0.25">
      <c r="A19" s="64" t="s">
        <v>72</v>
      </c>
      <c r="B19" s="64" t="s">
        <v>228</v>
      </c>
      <c r="C19" s="65" t="s">
        <v>286</v>
      </c>
      <c r="D19" s="53" t="s">
        <v>557</v>
      </c>
      <c r="E19" s="53"/>
    </row>
    <row r="20" spans="1:5" x14ac:dyDescent="0.25">
      <c r="A20" s="64" t="s">
        <v>221</v>
      </c>
      <c r="B20" s="64" t="s">
        <v>25</v>
      </c>
      <c r="C20" s="65" t="s">
        <v>222</v>
      </c>
      <c r="D20" s="53" t="s">
        <v>558</v>
      </c>
      <c r="E20" s="53"/>
    </row>
    <row r="21" spans="1:5" ht="25" x14ac:dyDescent="0.25">
      <c r="A21" s="64" t="s">
        <v>258</v>
      </c>
      <c r="B21" s="64" t="s">
        <v>25</v>
      </c>
      <c r="C21" s="65" t="s">
        <v>259</v>
      </c>
      <c r="D21" s="53" t="s">
        <v>558</v>
      </c>
      <c r="E21" s="53"/>
    </row>
    <row r="22" spans="1:5" ht="25" x14ac:dyDescent="0.25">
      <c r="A22" s="65" t="s">
        <v>261</v>
      </c>
      <c r="B22" s="64" t="s">
        <v>25</v>
      </c>
      <c r="C22" s="65" t="s">
        <v>262</v>
      </c>
      <c r="D22" s="53" t="s">
        <v>558</v>
      </c>
      <c r="E22" s="53"/>
    </row>
    <row r="23" spans="1:5" x14ac:dyDescent="0.25">
      <c r="A23" s="64" t="s">
        <v>224</v>
      </c>
      <c r="B23" s="64" t="s">
        <v>223</v>
      </c>
      <c r="C23" s="64" t="s">
        <v>225</v>
      </c>
      <c r="D23" s="53" t="s">
        <v>557</v>
      </c>
      <c r="E23" s="53"/>
    </row>
    <row r="24" spans="1:5" ht="13" x14ac:dyDescent="0.25">
      <c r="A24" s="64"/>
      <c r="B24" s="64" t="s">
        <v>275</v>
      </c>
      <c r="C24" s="64" t="s">
        <v>276</v>
      </c>
      <c r="D24" s="53" t="s">
        <v>558</v>
      </c>
      <c r="E24" s="53"/>
    </row>
    <row r="25" spans="1:5" x14ac:dyDescent="0.25">
      <c r="A25" s="64"/>
      <c r="B25" s="64" t="s">
        <v>132</v>
      </c>
      <c r="C25" s="64" t="s">
        <v>288</v>
      </c>
      <c r="D25" s="53" t="s">
        <v>557</v>
      </c>
      <c r="E25" s="53"/>
    </row>
    <row r="26" spans="1:5" x14ac:dyDescent="0.25">
      <c r="A26" s="64" t="s">
        <v>233</v>
      </c>
      <c r="B26" s="64" t="s">
        <v>158</v>
      </c>
      <c r="C26" s="64" t="s">
        <v>234</v>
      </c>
      <c r="D26" s="53" t="s">
        <v>558</v>
      </c>
      <c r="E26" s="53"/>
    </row>
    <row r="27" spans="1:5" x14ac:dyDescent="0.25">
      <c r="A27" s="64"/>
      <c r="B27" s="64" t="s">
        <v>158</v>
      </c>
      <c r="C27" s="64" t="s">
        <v>282</v>
      </c>
      <c r="D27" s="53" t="s">
        <v>558</v>
      </c>
      <c r="E27" s="53"/>
    </row>
    <row r="28" spans="1:5" x14ac:dyDescent="0.25">
      <c r="A28" s="64" t="s">
        <v>247</v>
      </c>
      <c r="B28" s="64" t="s">
        <v>80</v>
      </c>
      <c r="C28" s="64" t="s">
        <v>248</v>
      </c>
      <c r="D28" s="53" t="s">
        <v>558</v>
      </c>
      <c r="E28" s="53"/>
    </row>
    <row r="29" spans="1:5" ht="25.5" x14ac:dyDescent="0.25">
      <c r="A29" s="64" t="s">
        <v>256</v>
      </c>
      <c r="B29" s="64" t="s">
        <v>80</v>
      </c>
      <c r="C29" s="65" t="s">
        <v>257</v>
      </c>
      <c r="D29" s="53" t="s">
        <v>558</v>
      </c>
      <c r="E29" s="53"/>
    </row>
    <row r="30" spans="1:5" x14ac:dyDescent="0.25">
      <c r="A30" s="64" t="s">
        <v>295</v>
      </c>
      <c r="B30" s="64" t="s">
        <v>80</v>
      </c>
      <c r="C30" s="65" t="s">
        <v>296</v>
      </c>
      <c r="D30" s="53" t="s">
        <v>558</v>
      </c>
      <c r="E30" s="53"/>
    </row>
    <row r="31" spans="1:5" x14ac:dyDescent="0.25">
      <c r="A31" s="64" t="s">
        <v>238</v>
      </c>
      <c r="B31" s="64" t="s">
        <v>214</v>
      </c>
      <c r="C31" s="64" t="s">
        <v>239</v>
      </c>
      <c r="D31" s="53" t="s">
        <v>557</v>
      </c>
      <c r="E31" s="53"/>
    </row>
    <row r="32" spans="1:5" x14ac:dyDescent="0.25">
      <c r="A32" s="64" t="s">
        <v>226</v>
      </c>
      <c r="B32" s="64" t="s">
        <v>46</v>
      </c>
      <c r="C32" s="65" t="s">
        <v>273</v>
      </c>
      <c r="D32" s="53" t="s">
        <v>557</v>
      </c>
      <c r="E32" s="53"/>
    </row>
    <row r="33" spans="1:5" x14ac:dyDescent="0.25">
      <c r="A33" s="64"/>
      <c r="B33" s="64" t="s">
        <v>46</v>
      </c>
      <c r="C33" s="65" t="s">
        <v>265</v>
      </c>
      <c r="D33" s="53" t="s">
        <v>557</v>
      </c>
      <c r="E33" s="53"/>
    </row>
    <row r="34" spans="1:5" x14ac:dyDescent="0.25">
      <c r="A34" s="64"/>
      <c r="B34" s="64" t="s">
        <v>46</v>
      </c>
      <c r="C34" s="66" t="s">
        <v>272</v>
      </c>
      <c r="D34" s="53" t="s">
        <v>557</v>
      </c>
      <c r="E34" s="53"/>
    </row>
    <row r="35" spans="1:5" x14ac:dyDescent="0.25">
      <c r="A35" s="64"/>
      <c r="B35" s="64" t="s">
        <v>46</v>
      </c>
      <c r="C35" s="65" t="s">
        <v>266</v>
      </c>
      <c r="D35" s="53" t="s">
        <v>557</v>
      </c>
      <c r="E35" s="53"/>
    </row>
    <row r="36" spans="1:5" x14ac:dyDescent="0.25">
      <c r="A36" s="64"/>
      <c r="B36" s="64" t="s">
        <v>46</v>
      </c>
      <c r="C36" s="65" t="s">
        <v>267</v>
      </c>
      <c r="D36" s="53" t="s">
        <v>557</v>
      </c>
      <c r="E36" s="53"/>
    </row>
    <row r="37" spans="1:5" x14ac:dyDescent="0.25">
      <c r="A37" s="64"/>
      <c r="B37" s="64" t="s">
        <v>46</v>
      </c>
      <c r="C37" s="65" t="s">
        <v>289</v>
      </c>
      <c r="D37" s="53" t="s">
        <v>557</v>
      </c>
      <c r="E37" s="53"/>
    </row>
    <row r="38" spans="1:5" x14ac:dyDescent="0.25">
      <c r="A38" s="64"/>
      <c r="B38" s="64" t="s">
        <v>46</v>
      </c>
      <c r="C38" s="65" t="s">
        <v>268</v>
      </c>
      <c r="D38" s="53" t="s">
        <v>557</v>
      </c>
      <c r="E38" s="53"/>
    </row>
    <row r="39" spans="1:5" x14ac:dyDescent="0.25">
      <c r="A39" s="64"/>
      <c r="B39" s="64" t="s">
        <v>46</v>
      </c>
      <c r="C39" s="65" t="s">
        <v>269</v>
      </c>
      <c r="D39" s="53" t="s">
        <v>557</v>
      </c>
      <c r="E39" s="53"/>
    </row>
    <row r="40" spans="1:5" x14ac:dyDescent="0.25">
      <c r="A40" s="64"/>
      <c r="B40" s="64" t="s">
        <v>46</v>
      </c>
      <c r="C40" s="65" t="s">
        <v>270</v>
      </c>
      <c r="D40" s="53" t="s">
        <v>557</v>
      </c>
      <c r="E40" s="53"/>
    </row>
    <row r="41" spans="1:5" x14ac:dyDescent="0.25">
      <c r="A41" s="64"/>
      <c r="B41" s="64" t="s">
        <v>46</v>
      </c>
      <c r="C41" s="65" t="s">
        <v>271</v>
      </c>
      <c r="D41" s="53" t="s">
        <v>557</v>
      </c>
      <c r="E41" s="53"/>
    </row>
    <row r="42" spans="1:5" ht="25.5" x14ac:dyDescent="0.25">
      <c r="A42" s="64"/>
      <c r="B42" s="64" t="s">
        <v>46</v>
      </c>
      <c r="C42" s="65" t="s">
        <v>279</v>
      </c>
      <c r="D42" s="53" t="s">
        <v>557</v>
      </c>
      <c r="E42" s="53"/>
    </row>
    <row r="43" spans="1:5" ht="38.5" x14ac:dyDescent="0.25">
      <c r="A43" s="64"/>
      <c r="B43" s="64" t="s">
        <v>46</v>
      </c>
      <c r="C43" s="65" t="s">
        <v>284</v>
      </c>
      <c r="D43" s="53" t="s">
        <v>557</v>
      </c>
      <c r="E43" s="53"/>
    </row>
    <row r="44" spans="1:5" x14ac:dyDescent="0.25">
      <c r="A44" s="64"/>
      <c r="B44" s="64" t="s">
        <v>46</v>
      </c>
      <c r="C44" s="65" t="s">
        <v>285</v>
      </c>
      <c r="D44" s="53" t="s">
        <v>557</v>
      </c>
      <c r="E44" s="53"/>
    </row>
    <row r="45" spans="1:5" x14ac:dyDescent="0.25">
      <c r="A45" s="64"/>
      <c r="B45" s="64" t="s">
        <v>46</v>
      </c>
      <c r="C45" s="65" t="s">
        <v>287</v>
      </c>
      <c r="D45" s="53" t="s">
        <v>557</v>
      </c>
      <c r="E45" s="53"/>
    </row>
    <row r="46" spans="1:5" x14ac:dyDescent="0.25">
      <c r="A46" s="64"/>
      <c r="B46" s="64" t="s">
        <v>46</v>
      </c>
      <c r="C46" s="65" t="s">
        <v>290</v>
      </c>
      <c r="D46" s="53" t="s">
        <v>557</v>
      </c>
      <c r="E46" s="53"/>
    </row>
  </sheetData>
  <mergeCells count="1">
    <mergeCell ref="A1:E1"/>
  </mergeCells>
  <dataValidations count="1">
    <dataValidation type="list" allowBlank="1" showInputMessage="1" showErrorMessage="1" sqref="D5:D46" xr:uid="{00000000-0002-0000-0300-000000000000}">
      <formula1>"OK, KO, N/A"</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B5B59-269F-4DAB-8570-EC2A9F6D6E06}">
  <sheetPr codeName="Sheet15">
    <pageSetUpPr fitToPage="1"/>
  </sheetPr>
  <dimension ref="A1:L9"/>
  <sheetViews>
    <sheetView zoomScale="85" zoomScaleNormal="85" workbookViewId="0"/>
  </sheetViews>
  <sheetFormatPr defaultColWidth="8.81640625" defaultRowHeight="12.5" x14ac:dyDescent="0.25"/>
  <cols>
    <col min="1" max="1" width="37.453125" style="92" customWidth="1"/>
    <col min="2" max="2" width="36.90625" style="92" bestFit="1" customWidth="1"/>
    <col min="3" max="3" width="47.81640625" style="92" customWidth="1"/>
    <col min="4" max="4" width="19.6328125" style="92" bestFit="1" customWidth="1"/>
    <col min="5" max="5" width="13.08984375" style="92" bestFit="1" customWidth="1"/>
    <col min="6" max="6" width="11.6328125" style="92" bestFit="1" customWidth="1"/>
    <col min="7" max="7" width="51.54296875" style="92" bestFit="1" customWidth="1"/>
    <col min="8" max="8" width="28" style="92" bestFit="1" customWidth="1"/>
    <col min="9" max="9" width="8.81640625" style="92"/>
    <col min="10" max="10" width="10.54296875" style="92" bestFit="1" customWidth="1"/>
    <col min="11" max="12" width="8.81640625" style="92"/>
    <col min="13" max="13" width="7.54296875" style="92" bestFit="1" customWidth="1"/>
    <col min="14" max="15" width="10.54296875" style="92" bestFit="1" customWidth="1"/>
    <col min="16" max="16384" width="8.81640625" style="92"/>
  </cols>
  <sheetData>
    <row r="1" spans="1:12" ht="18" x14ac:dyDescent="0.4">
      <c r="A1" s="89" t="s">
        <v>27</v>
      </c>
      <c r="B1" s="90"/>
      <c r="C1" s="90"/>
      <c r="D1" s="90"/>
      <c r="E1" s="90"/>
      <c r="F1" s="90"/>
      <c r="G1" s="90"/>
      <c r="H1" s="90"/>
      <c r="I1" s="90"/>
      <c r="J1" s="90"/>
      <c r="K1" s="90"/>
      <c r="L1" s="90"/>
    </row>
    <row r="2" spans="1:12" ht="18.5" thickBot="1" x14ac:dyDescent="0.45">
      <c r="A2" s="89"/>
      <c r="B2" s="90"/>
      <c r="C2" s="90"/>
      <c r="D2" s="90"/>
      <c r="E2" s="90"/>
      <c r="F2" s="90"/>
      <c r="G2" s="90"/>
      <c r="H2" s="90"/>
      <c r="I2" s="90"/>
      <c r="J2" s="90"/>
      <c r="K2" s="90"/>
      <c r="L2" s="90"/>
    </row>
    <row r="3" spans="1:12" x14ac:dyDescent="0.25">
      <c r="A3" s="94" t="s">
        <v>51</v>
      </c>
      <c r="B3" s="95" t="s">
        <v>52</v>
      </c>
      <c r="C3" s="90"/>
      <c r="D3" s="90"/>
      <c r="E3" s="90"/>
      <c r="F3" s="90"/>
      <c r="G3" s="90"/>
      <c r="H3" s="90"/>
      <c r="I3" s="90"/>
      <c r="J3" s="90"/>
      <c r="K3" s="90"/>
      <c r="L3" s="90"/>
    </row>
    <row r="4" spans="1:12" ht="13" thickBot="1" x14ac:dyDescent="0.3">
      <c r="A4" s="96"/>
      <c r="B4" s="97">
        <v>0.04</v>
      </c>
      <c r="C4" s="90"/>
      <c r="D4" s="90"/>
      <c r="E4" s="90"/>
      <c r="F4" s="90"/>
      <c r="G4" s="90"/>
      <c r="H4" s="90"/>
      <c r="I4" s="90"/>
      <c r="J4" s="90"/>
      <c r="K4" s="90"/>
      <c r="L4" s="91"/>
    </row>
    <row r="5" spans="1:12" x14ac:dyDescent="0.25">
      <c r="A5" s="90"/>
      <c r="B5" s="90"/>
      <c r="C5" s="90"/>
      <c r="D5" s="90"/>
      <c r="E5" s="90"/>
      <c r="F5" s="90"/>
      <c r="G5" s="90"/>
      <c r="H5" s="90"/>
      <c r="I5" s="90"/>
      <c r="J5" s="90"/>
      <c r="K5" s="90"/>
      <c r="L5" s="90"/>
    </row>
    <row r="6" spans="1:12" ht="15" customHeight="1" x14ac:dyDescent="0.35">
      <c r="A6" s="98" t="s">
        <v>96</v>
      </c>
      <c r="B6" s="90"/>
      <c r="C6" s="90"/>
      <c r="D6" s="90"/>
      <c r="E6" s="90"/>
      <c r="F6" s="90"/>
    </row>
    <row r="7" spans="1:12" x14ac:dyDescent="0.25">
      <c r="A7" s="130" t="s">
        <v>244</v>
      </c>
      <c r="B7" s="124" t="s">
        <v>10</v>
      </c>
      <c r="C7" s="124" t="s">
        <v>29</v>
      </c>
      <c r="D7" s="124" t="s">
        <v>97</v>
      </c>
      <c r="E7" s="124" t="s">
        <v>98</v>
      </c>
      <c r="F7" s="124" t="s">
        <v>63</v>
      </c>
      <c r="G7" s="124" t="s">
        <v>28</v>
      </c>
    </row>
    <row r="8" spans="1:12" ht="14.5" x14ac:dyDescent="0.35">
      <c r="A8" s="145" t="s">
        <v>350</v>
      </c>
      <c r="B8" s="127" t="s">
        <v>339</v>
      </c>
      <c r="C8" s="127" t="s">
        <v>339</v>
      </c>
      <c r="D8" s="127">
        <v>3</v>
      </c>
      <c r="E8" s="127" t="s">
        <v>348</v>
      </c>
      <c r="F8" s="127"/>
      <c r="G8" s="227" t="s">
        <v>533</v>
      </c>
    </row>
    <row r="9" spans="1:12" ht="14.5" x14ac:dyDescent="0.35">
      <c r="A9" s="145" t="s">
        <v>349</v>
      </c>
      <c r="B9" s="127" t="s">
        <v>339</v>
      </c>
      <c r="C9" s="127" t="s">
        <v>339</v>
      </c>
      <c r="D9" s="127">
        <v>3</v>
      </c>
      <c r="E9" s="127" t="s">
        <v>348</v>
      </c>
      <c r="F9" s="127"/>
      <c r="G9" s="227" t="s">
        <v>534</v>
      </c>
    </row>
  </sheetData>
  <pageMargins left="0.75" right="0.75" top="1" bottom="1" header="0.5" footer="0.5"/>
  <pageSetup paperSize="9" orientation="landscape" horizontalDpi="4294967294"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3103A-8E9B-4AB7-9D02-258DE9679779}">
  <sheetPr codeName="Sheet23">
    <pageSetUpPr fitToPage="1"/>
  </sheetPr>
  <dimension ref="A1:AA32"/>
  <sheetViews>
    <sheetView zoomScale="85" workbookViewId="0"/>
  </sheetViews>
  <sheetFormatPr defaultColWidth="7.90625" defaultRowHeight="12.5" x14ac:dyDescent="0.25"/>
  <cols>
    <col min="1" max="1" width="38.453125" style="111" customWidth="1"/>
    <col min="2" max="2" width="38" style="92" bestFit="1" customWidth="1"/>
    <col min="3" max="3" width="36.90625" style="92" bestFit="1" customWidth="1"/>
    <col min="4" max="4" width="35.1796875" style="92" bestFit="1" customWidth="1"/>
    <col min="5" max="5" width="26.54296875" style="92" bestFit="1" customWidth="1"/>
    <col min="6" max="6" width="34.453125" style="92" bestFit="1" customWidth="1"/>
    <col min="7" max="7" width="60.54296875" style="92" bestFit="1" customWidth="1"/>
    <col min="8" max="8" width="33.81640625" style="92" bestFit="1" customWidth="1"/>
    <col min="9" max="9" width="60.81640625" style="92" bestFit="1" customWidth="1"/>
    <col min="10" max="10" width="13.453125" style="92" bestFit="1" customWidth="1"/>
    <col min="11" max="11" width="18.36328125" style="92" bestFit="1" customWidth="1"/>
    <col min="12" max="12" width="19.36328125" style="109" bestFit="1" customWidth="1"/>
    <col min="13" max="13" width="32.1796875" style="109" bestFit="1" customWidth="1"/>
    <col min="14" max="14" width="34.90625" style="109" bestFit="1" customWidth="1"/>
    <col min="15" max="15" width="126.08984375" style="109" bestFit="1" customWidth="1"/>
    <col min="16" max="16" width="12.36328125" style="92" bestFit="1" customWidth="1"/>
    <col min="17" max="17" width="14.08984375" style="109" customWidth="1"/>
    <col min="18" max="18" width="12.90625" style="109" customWidth="1"/>
    <col min="19" max="19" width="13.54296875" style="109" customWidth="1"/>
    <col min="20" max="20" width="31.36328125" style="92" customWidth="1"/>
    <col min="21" max="21" width="30" style="92" bestFit="1" customWidth="1"/>
    <col min="22" max="22" width="24.36328125" style="92" customWidth="1"/>
    <col min="23" max="23" width="55.1796875" style="92" bestFit="1" customWidth="1"/>
    <col min="24" max="24" width="10" style="92" bestFit="1" customWidth="1"/>
    <col min="25" max="25" width="13.54296875" style="92" bestFit="1" customWidth="1"/>
    <col min="26" max="26" width="5.36328125" style="92" bestFit="1" customWidth="1"/>
    <col min="27" max="27" width="11.36328125" style="92" bestFit="1" customWidth="1"/>
    <col min="28" max="28" width="8.6328125" style="92" bestFit="1" customWidth="1"/>
    <col min="29" max="29" width="11.08984375" style="92" bestFit="1" customWidth="1"/>
    <col min="30" max="30" width="9.6328125" style="92" bestFit="1" customWidth="1"/>
    <col min="31" max="31" width="27.08984375" style="92" bestFit="1" customWidth="1"/>
    <col min="32" max="32" width="7.90625" style="92" bestFit="1" customWidth="1"/>
    <col min="33" max="33" width="25.54296875" style="92" bestFit="1" customWidth="1"/>
    <col min="34" max="34" width="12.36328125" style="92" bestFit="1" customWidth="1"/>
    <col min="35" max="35" width="13.54296875" style="92" bestFit="1" customWidth="1"/>
    <col min="36" max="36" width="31.36328125" style="92" bestFit="1" customWidth="1"/>
    <col min="37" max="37" width="28.36328125" style="92" bestFit="1" customWidth="1"/>
    <col min="38" max="38" width="12.90625" style="92" bestFit="1" customWidth="1"/>
    <col min="39" max="39" width="11.36328125" style="92" bestFit="1" customWidth="1"/>
    <col min="40" max="40" width="29.36328125" style="92" bestFit="1" customWidth="1"/>
    <col min="41" max="41" width="7.453125" style="92" bestFit="1" customWidth="1"/>
    <col min="42" max="42" width="10" style="92" bestFit="1" customWidth="1"/>
    <col min="43" max="43" width="18.6328125" style="92" bestFit="1" customWidth="1"/>
    <col min="44" max="44" width="36.453125" style="92" bestFit="1" customWidth="1"/>
    <col min="45" max="46" width="8.54296875" style="92" customWidth="1"/>
    <col min="47" max="16384" width="7.90625" style="92"/>
  </cols>
  <sheetData>
    <row r="1" spans="1:27" ht="18" x14ac:dyDescent="0.4">
      <c r="A1" s="89" t="s">
        <v>32</v>
      </c>
      <c r="B1" s="90"/>
      <c r="C1" s="90"/>
      <c r="D1" s="90"/>
      <c r="E1" s="90"/>
      <c r="F1" s="90"/>
      <c r="G1" s="90"/>
      <c r="H1" s="90"/>
      <c r="I1" s="90"/>
      <c r="J1" s="90"/>
      <c r="K1" s="90"/>
      <c r="L1" s="91"/>
      <c r="M1" s="91"/>
      <c r="N1" s="91"/>
      <c r="O1" s="91"/>
      <c r="P1" s="90"/>
      <c r="Q1" s="91"/>
      <c r="R1" s="91"/>
      <c r="S1" s="91"/>
      <c r="T1" s="90"/>
      <c r="U1" s="90"/>
      <c r="V1" s="90"/>
      <c r="W1" s="90"/>
      <c r="X1" s="90"/>
      <c r="Y1" s="90"/>
      <c r="Z1" s="90"/>
      <c r="AA1" s="90"/>
    </row>
    <row r="2" spans="1:27" ht="13" thickBot="1" x14ac:dyDescent="0.3">
      <c r="A2" s="90"/>
      <c r="B2" s="90"/>
      <c r="C2" s="90"/>
      <c r="D2" s="90"/>
      <c r="E2" s="90"/>
      <c r="F2" s="90"/>
      <c r="G2" s="90"/>
      <c r="H2" s="90"/>
      <c r="I2" s="90"/>
      <c r="J2" s="90"/>
      <c r="K2" s="90"/>
      <c r="L2" s="90"/>
      <c r="M2" s="90"/>
      <c r="N2" s="90"/>
      <c r="O2" s="90"/>
      <c r="P2" s="90"/>
      <c r="Q2" s="90"/>
      <c r="R2" s="90"/>
      <c r="S2" s="90"/>
      <c r="T2" s="90"/>
      <c r="U2" s="90"/>
      <c r="V2" s="90"/>
      <c r="W2" s="90"/>
      <c r="X2" s="90"/>
      <c r="Y2" s="90"/>
      <c r="Z2" s="90"/>
      <c r="AA2" s="90"/>
    </row>
    <row r="3" spans="1:27" x14ac:dyDescent="0.25">
      <c r="A3" s="94" t="s">
        <v>51</v>
      </c>
      <c r="B3" s="95" t="s">
        <v>52</v>
      </c>
      <c r="C3" s="90"/>
      <c r="D3" s="90"/>
      <c r="E3" s="90"/>
      <c r="F3" s="90"/>
      <c r="G3" s="90"/>
      <c r="H3" s="90"/>
      <c r="I3" s="90"/>
      <c r="J3" s="90"/>
      <c r="K3" s="90"/>
      <c r="L3" s="90"/>
      <c r="M3" s="90"/>
      <c r="N3" s="90"/>
      <c r="O3" s="90"/>
      <c r="P3" s="90"/>
      <c r="Q3" s="90"/>
      <c r="R3" s="90"/>
      <c r="S3" s="90"/>
      <c r="T3" s="90"/>
      <c r="U3" s="90"/>
      <c r="V3" s="90"/>
      <c r="W3" s="90"/>
      <c r="X3" s="90"/>
    </row>
    <row r="4" spans="1:27" ht="13" thickBot="1" x14ac:dyDescent="0.3">
      <c r="A4" s="96"/>
      <c r="B4" s="97">
        <v>0.18</v>
      </c>
      <c r="C4" s="90"/>
      <c r="D4" s="90"/>
      <c r="E4" s="90"/>
      <c r="F4" s="90"/>
      <c r="G4" s="90"/>
      <c r="H4" s="90"/>
      <c r="I4" s="90"/>
      <c r="J4" s="90"/>
      <c r="K4" s="90"/>
      <c r="L4" s="91"/>
      <c r="M4" s="91"/>
      <c r="N4" s="91"/>
      <c r="O4" s="91"/>
      <c r="P4" s="90"/>
      <c r="Q4" s="91"/>
      <c r="R4" s="91"/>
      <c r="S4" s="91"/>
      <c r="T4" s="90"/>
      <c r="U4" s="90"/>
      <c r="V4" s="90"/>
      <c r="W4" s="90"/>
      <c r="X4" s="90"/>
    </row>
    <row r="5" spans="1:27" ht="15.5" x14ac:dyDescent="0.35">
      <c r="A5" s="98" t="s">
        <v>29</v>
      </c>
      <c r="B5" s="90"/>
      <c r="C5" s="90"/>
      <c r="D5" s="90"/>
      <c r="E5" s="90"/>
      <c r="F5" s="90"/>
      <c r="G5" s="90"/>
      <c r="H5" s="90"/>
      <c r="I5" s="90"/>
      <c r="J5" s="91"/>
      <c r="K5" s="91"/>
      <c r="L5" s="91"/>
      <c r="M5" s="91"/>
      <c r="N5" s="90"/>
      <c r="O5" s="91"/>
      <c r="P5" s="91"/>
      <c r="Q5" s="91"/>
      <c r="R5" s="90"/>
      <c r="S5" s="90"/>
      <c r="T5" s="90"/>
      <c r="U5" s="90"/>
      <c r="V5" s="90"/>
      <c r="W5" s="90"/>
      <c r="X5" s="90"/>
    </row>
    <row r="6" spans="1:27" x14ac:dyDescent="0.25">
      <c r="A6" s="130" t="s">
        <v>10</v>
      </c>
      <c r="B6" s="130" t="s">
        <v>48</v>
      </c>
      <c r="C6" s="130" t="s">
        <v>87</v>
      </c>
      <c r="D6" s="130" t="s">
        <v>86</v>
      </c>
      <c r="E6" s="130" t="s">
        <v>88</v>
      </c>
      <c r="F6" s="130" t="s">
        <v>86</v>
      </c>
      <c r="G6" s="130" t="s">
        <v>28</v>
      </c>
      <c r="L6" s="92"/>
      <c r="M6" s="92"/>
      <c r="N6" s="92"/>
      <c r="O6" s="92"/>
      <c r="Q6" s="92"/>
      <c r="R6" s="92"/>
      <c r="S6" s="92"/>
    </row>
    <row r="7" spans="1:27" x14ac:dyDescent="0.25">
      <c r="A7" s="127" t="s">
        <v>339</v>
      </c>
      <c r="B7" s="148" t="s">
        <v>307</v>
      </c>
      <c r="C7" s="127" t="s">
        <v>464</v>
      </c>
      <c r="D7" s="127" t="s">
        <v>464</v>
      </c>
      <c r="E7" s="127" t="s">
        <v>464</v>
      </c>
      <c r="F7" s="127" t="s">
        <v>464</v>
      </c>
      <c r="G7" s="127" t="s">
        <v>530</v>
      </c>
      <c r="L7" s="92"/>
      <c r="M7" s="92"/>
      <c r="N7" s="92"/>
      <c r="O7" s="92"/>
      <c r="Q7" s="92"/>
      <c r="R7" s="92"/>
      <c r="S7" s="92"/>
    </row>
    <row r="8" spans="1:27" x14ac:dyDescent="0.25">
      <c r="A8" s="93"/>
      <c r="B8" s="90"/>
      <c r="C8" s="90"/>
      <c r="D8" s="90"/>
      <c r="E8" s="90"/>
      <c r="F8" s="90"/>
      <c r="G8" s="90"/>
      <c r="H8" s="90"/>
      <c r="I8" s="90"/>
      <c r="J8" s="90"/>
      <c r="K8" s="90"/>
      <c r="L8" s="91"/>
      <c r="M8" s="91"/>
      <c r="N8" s="91"/>
      <c r="O8" s="91"/>
      <c r="Q8" s="92"/>
      <c r="R8" s="92"/>
      <c r="S8" s="92"/>
    </row>
    <row r="9" spans="1:27" ht="15.75" customHeight="1" x14ac:dyDescent="0.3">
      <c r="A9" s="106" t="s">
        <v>381</v>
      </c>
      <c r="B9" s="90"/>
      <c r="C9" s="90"/>
      <c r="D9" s="90"/>
      <c r="E9" s="90"/>
      <c r="G9" s="146"/>
      <c r="H9" s="146"/>
      <c r="I9" s="146"/>
      <c r="J9" s="146"/>
      <c r="K9" s="146"/>
      <c r="L9" s="146"/>
      <c r="M9" s="146"/>
      <c r="N9" s="146"/>
      <c r="O9" s="146"/>
      <c r="P9" s="146"/>
      <c r="Q9" s="146"/>
      <c r="R9" s="146"/>
      <c r="S9" s="146"/>
      <c r="T9" s="146"/>
      <c r="U9" s="146"/>
      <c r="V9" s="146"/>
      <c r="W9" s="146"/>
      <c r="X9" s="146"/>
      <c r="Y9" s="146"/>
    </row>
    <row r="10" spans="1:27" ht="15.75" customHeight="1" x14ac:dyDescent="0.25">
      <c r="A10" s="130" t="s">
        <v>243</v>
      </c>
      <c r="B10" s="124" t="s">
        <v>120</v>
      </c>
      <c r="C10" s="124" t="s">
        <v>10</v>
      </c>
      <c r="D10" s="124" t="s">
        <v>75</v>
      </c>
      <c r="E10" s="124" t="s">
        <v>63</v>
      </c>
      <c r="F10" s="124" t="s">
        <v>28</v>
      </c>
      <c r="G10" s="146"/>
      <c r="H10" s="146"/>
      <c r="I10" s="146"/>
      <c r="J10" s="146"/>
      <c r="K10" s="146"/>
      <c r="L10" s="146"/>
      <c r="M10" s="146"/>
      <c r="N10" s="146"/>
      <c r="O10" s="146"/>
      <c r="P10" s="146"/>
      <c r="Q10" s="146"/>
      <c r="R10" s="146"/>
      <c r="S10" s="146"/>
      <c r="T10" s="146"/>
      <c r="U10" s="146"/>
      <c r="V10" s="146"/>
      <c r="W10" s="146"/>
      <c r="X10" s="146"/>
      <c r="Y10" s="146"/>
    </row>
    <row r="11" spans="1:27" ht="15.75" customHeight="1" x14ac:dyDescent="0.35">
      <c r="A11" s="127" t="s">
        <v>339</v>
      </c>
      <c r="B11" s="228" t="s">
        <v>531</v>
      </c>
      <c r="C11" s="228" t="s">
        <v>382</v>
      </c>
      <c r="D11" s="127" t="s">
        <v>338</v>
      </c>
      <c r="E11" s="127"/>
      <c r="F11" s="227" t="s">
        <v>532</v>
      </c>
      <c r="G11" s="146"/>
      <c r="H11" s="146"/>
      <c r="I11" s="146"/>
      <c r="J11" s="146"/>
      <c r="K11" s="146"/>
      <c r="L11" s="146"/>
      <c r="M11" s="146"/>
      <c r="N11" s="146"/>
      <c r="O11" s="146"/>
      <c r="P11" s="146"/>
      <c r="Q11" s="146"/>
      <c r="R11" s="146"/>
      <c r="S11" s="146"/>
      <c r="T11" s="146"/>
      <c r="U11" s="146"/>
      <c r="V11" s="146"/>
      <c r="W11" s="146"/>
      <c r="X11" s="146"/>
      <c r="Y11" s="146"/>
    </row>
    <row r="12" spans="1:27" ht="15.75" customHeight="1" x14ac:dyDescent="0.35">
      <c r="A12" s="93"/>
      <c r="B12" s="93"/>
      <c r="C12" s="93"/>
      <c r="D12" s="93"/>
      <c r="E12" s="93"/>
      <c r="F12" s="93"/>
      <c r="G12" s="93"/>
      <c r="H12" s="93"/>
      <c r="I12" s="93"/>
      <c r="J12" s="93"/>
      <c r="K12" s="93"/>
      <c r="L12" s="93"/>
      <c r="M12" s="93"/>
      <c r="N12" s="93"/>
      <c r="O12" s="93"/>
      <c r="P12" s="93"/>
      <c r="Q12" s="93"/>
      <c r="R12" s="93"/>
      <c r="S12" s="93"/>
      <c r="T12" s="93"/>
      <c r="U12" s="28"/>
      <c r="V12" s="90"/>
      <c r="W12" s="90"/>
      <c r="X12" s="90"/>
    </row>
    <row r="13" spans="1:27" ht="15.5" x14ac:dyDescent="0.35">
      <c r="A13" s="98" t="s">
        <v>110</v>
      </c>
      <c r="B13" s="90"/>
      <c r="C13" s="90"/>
      <c r="D13" s="90"/>
      <c r="E13" s="90"/>
      <c r="F13" s="90"/>
      <c r="G13" s="90"/>
      <c r="H13" s="90"/>
      <c r="I13" s="90"/>
      <c r="J13" s="91"/>
      <c r="K13" s="91"/>
      <c r="L13" s="91"/>
      <c r="M13" s="91"/>
      <c r="N13" s="90"/>
      <c r="O13" s="91"/>
      <c r="P13" s="91"/>
      <c r="Q13" s="91"/>
      <c r="R13" s="90"/>
      <c r="S13" s="90"/>
      <c r="T13" s="90"/>
      <c r="U13" s="90"/>
      <c r="V13" s="90"/>
    </row>
    <row r="14" spans="1:27" x14ac:dyDescent="0.25">
      <c r="A14" s="130" t="s">
        <v>243</v>
      </c>
      <c r="B14" s="124" t="s">
        <v>10</v>
      </c>
      <c r="C14" s="124" t="s">
        <v>5</v>
      </c>
      <c r="D14" s="124" t="s">
        <v>111</v>
      </c>
      <c r="E14" s="124" t="s">
        <v>112</v>
      </c>
      <c r="F14" s="124" t="s">
        <v>101</v>
      </c>
      <c r="G14" s="124" t="s">
        <v>102</v>
      </c>
      <c r="H14" s="124" t="s">
        <v>0</v>
      </c>
      <c r="I14" s="124" t="s">
        <v>113</v>
      </c>
      <c r="J14" s="124" t="s">
        <v>103</v>
      </c>
      <c r="K14" s="124" t="s">
        <v>114</v>
      </c>
      <c r="L14" s="124" t="s">
        <v>2</v>
      </c>
      <c r="M14" s="124" t="s">
        <v>4</v>
      </c>
      <c r="N14" s="124" t="s">
        <v>3</v>
      </c>
      <c r="O14" s="124" t="s">
        <v>24</v>
      </c>
      <c r="P14" s="124" t="s">
        <v>105</v>
      </c>
      <c r="Q14" s="124" t="s">
        <v>106</v>
      </c>
      <c r="R14" s="124" t="s">
        <v>31</v>
      </c>
      <c r="S14" s="124" t="s">
        <v>115</v>
      </c>
      <c r="T14" s="124" t="s">
        <v>116</v>
      </c>
      <c r="U14" s="124" t="s">
        <v>117</v>
      </c>
      <c r="V14" s="124" t="s">
        <v>63</v>
      </c>
      <c r="W14" s="124" t="s">
        <v>28</v>
      </c>
    </row>
    <row r="15" spans="1:27" ht="15.75" customHeight="1" x14ac:dyDescent="0.25">
      <c r="A15" s="103" t="s">
        <v>336</v>
      </c>
      <c r="B15" s="127" t="s">
        <v>334</v>
      </c>
      <c r="C15" s="127" t="s">
        <v>334</v>
      </c>
      <c r="D15" s="148" t="s">
        <v>464</v>
      </c>
      <c r="E15" s="128" t="s">
        <v>297</v>
      </c>
      <c r="F15" s="127"/>
      <c r="G15" s="127"/>
      <c r="H15" s="184" t="s">
        <v>313</v>
      </c>
      <c r="I15" s="184" t="s">
        <v>501</v>
      </c>
      <c r="J15" s="127"/>
      <c r="K15" s="127"/>
      <c r="L15" s="127" t="s">
        <v>5</v>
      </c>
      <c r="M15" s="127"/>
      <c r="N15" s="127"/>
      <c r="O15" s="127"/>
      <c r="P15" s="127" t="s">
        <v>297</v>
      </c>
      <c r="Q15" s="127"/>
      <c r="R15" s="127" t="s">
        <v>327</v>
      </c>
      <c r="S15" s="127"/>
      <c r="T15" s="127" t="s">
        <v>464</v>
      </c>
      <c r="U15" s="127"/>
      <c r="V15" s="127"/>
      <c r="W15" s="127" t="s">
        <v>400</v>
      </c>
      <c r="X15" s="129"/>
      <c r="Y15" s="129"/>
      <c r="Z15" s="129"/>
      <c r="AA15" s="129"/>
    </row>
    <row r="16" spans="1:27" ht="15.75" customHeight="1" x14ac:dyDescent="0.25">
      <c r="A16" s="103" t="s">
        <v>333</v>
      </c>
      <c r="B16" s="127" t="s">
        <v>334</v>
      </c>
      <c r="C16" s="127" t="s">
        <v>334</v>
      </c>
      <c r="D16" s="148" t="s">
        <v>464</v>
      </c>
      <c r="E16" s="128" t="s">
        <v>297</v>
      </c>
      <c r="F16" s="127"/>
      <c r="G16" s="127"/>
      <c r="H16" s="184" t="s">
        <v>313</v>
      </c>
      <c r="I16" s="184" t="s">
        <v>501</v>
      </c>
      <c r="J16" s="127"/>
      <c r="K16" s="127"/>
      <c r="L16" s="127" t="s">
        <v>5</v>
      </c>
      <c r="M16" s="127"/>
      <c r="N16" s="127"/>
      <c r="O16" s="127"/>
      <c r="P16" s="127" t="s">
        <v>297</v>
      </c>
      <c r="Q16" s="127"/>
      <c r="R16" s="127" t="s">
        <v>327</v>
      </c>
      <c r="S16" s="127"/>
      <c r="T16" s="127" t="s">
        <v>464</v>
      </c>
      <c r="U16" s="127"/>
      <c r="V16" s="127"/>
      <c r="W16" s="127" t="s">
        <v>400</v>
      </c>
    </row>
    <row r="17" spans="1:23" ht="15.75" customHeight="1" x14ac:dyDescent="0.25">
      <c r="A17" s="103" t="s">
        <v>332</v>
      </c>
      <c r="B17" s="87" t="s">
        <v>521</v>
      </c>
      <c r="C17" s="87" t="s">
        <v>521</v>
      </c>
      <c r="D17" s="148" t="s">
        <v>464</v>
      </c>
      <c r="E17" s="128" t="s">
        <v>297</v>
      </c>
      <c r="F17" s="127"/>
      <c r="G17" s="127"/>
      <c r="H17" s="127" t="s">
        <v>383</v>
      </c>
      <c r="I17" s="127" t="s">
        <v>527</v>
      </c>
      <c r="J17" s="127"/>
      <c r="K17" s="127"/>
      <c r="L17" s="127" t="s">
        <v>5</v>
      </c>
      <c r="M17" s="127"/>
      <c r="N17" s="221" t="s">
        <v>517</v>
      </c>
      <c r="O17" s="127"/>
      <c r="P17" s="127" t="s">
        <v>297</v>
      </c>
      <c r="Q17" s="127"/>
      <c r="R17" s="127" t="s">
        <v>327</v>
      </c>
      <c r="S17" s="127"/>
      <c r="T17" s="127" t="s">
        <v>464</v>
      </c>
      <c r="U17" s="127"/>
      <c r="V17" s="127"/>
      <c r="W17" s="127" t="s">
        <v>400</v>
      </c>
    </row>
    <row r="18" spans="1:23" ht="15.75" customHeight="1" x14ac:dyDescent="0.25">
      <c r="A18" s="103" t="s">
        <v>374</v>
      </c>
      <c r="B18" s="87" t="s">
        <v>521</v>
      </c>
      <c r="C18" s="87" t="s">
        <v>521</v>
      </c>
      <c r="D18" s="148" t="s">
        <v>464</v>
      </c>
      <c r="E18" s="128" t="s">
        <v>297</v>
      </c>
      <c r="F18" s="127"/>
      <c r="G18" s="127"/>
      <c r="H18" s="127" t="s">
        <v>383</v>
      </c>
      <c r="I18" s="127" t="s">
        <v>527</v>
      </c>
      <c r="J18" s="127"/>
      <c r="K18" s="127"/>
      <c r="L18" s="127" t="s">
        <v>5</v>
      </c>
      <c r="M18" s="127"/>
      <c r="N18" s="221" t="s">
        <v>517</v>
      </c>
      <c r="O18" s="127"/>
      <c r="P18" s="127" t="s">
        <v>297</v>
      </c>
      <c r="Q18" s="127"/>
      <c r="R18" s="127" t="s">
        <v>327</v>
      </c>
      <c r="S18" s="127"/>
      <c r="T18" s="127" t="s">
        <v>464</v>
      </c>
      <c r="U18" s="127"/>
      <c r="V18" s="127"/>
      <c r="W18" s="127" t="s">
        <v>400</v>
      </c>
    </row>
    <row r="19" spans="1:23" ht="15.75" customHeight="1" x14ac:dyDescent="0.25">
      <c r="A19" s="103" t="s">
        <v>331</v>
      </c>
      <c r="B19" s="87" t="s">
        <v>521</v>
      </c>
      <c r="C19" s="87" t="s">
        <v>521</v>
      </c>
      <c r="D19" s="148" t="s">
        <v>464</v>
      </c>
      <c r="E19" s="128" t="s">
        <v>297</v>
      </c>
      <c r="F19" s="127"/>
      <c r="G19" s="127"/>
      <c r="H19" s="127" t="s">
        <v>383</v>
      </c>
      <c r="I19" s="127" t="s">
        <v>527</v>
      </c>
      <c r="J19" s="127"/>
      <c r="K19" s="127"/>
      <c r="L19" s="127" t="s">
        <v>5</v>
      </c>
      <c r="M19" s="127"/>
      <c r="N19" s="221" t="s">
        <v>517</v>
      </c>
      <c r="O19" s="127"/>
      <c r="P19" s="127" t="s">
        <v>297</v>
      </c>
      <c r="Q19" s="127"/>
      <c r="R19" s="127" t="s">
        <v>327</v>
      </c>
      <c r="S19" s="127"/>
      <c r="T19" s="127" t="s">
        <v>464</v>
      </c>
      <c r="U19" s="127"/>
      <c r="V19" s="127"/>
      <c r="W19" s="127" t="s">
        <v>400</v>
      </c>
    </row>
    <row r="20" spans="1:23" ht="15.75" customHeight="1" x14ac:dyDescent="0.25">
      <c r="A20" s="93"/>
      <c r="B20" s="93"/>
      <c r="C20" s="93"/>
      <c r="D20" s="93"/>
      <c r="E20" s="93"/>
      <c r="F20" s="93"/>
      <c r="G20" s="93"/>
      <c r="H20" s="93"/>
      <c r="I20" s="93"/>
      <c r="L20" s="92"/>
      <c r="M20" s="92"/>
      <c r="N20" s="92"/>
      <c r="O20" s="92"/>
      <c r="Q20" s="92"/>
      <c r="R20" s="92"/>
      <c r="S20" s="92"/>
      <c r="T20" s="147"/>
    </row>
    <row r="21" spans="1:23" ht="15.75" customHeight="1" x14ac:dyDescent="0.3">
      <c r="A21" s="106" t="s">
        <v>121</v>
      </c>
      <c r="B21" s="90"/>
      <c r="C21" s="90"/>
      <c r="D21" s="90"/>
      <c r="E21" s="90"/>
      <c r="F21" s="90"/>
      <c r="L21" s="92"/>
      <c r="M21" s="92"/>
      <c r="N21" s="92"/>
      <c r="O21" s="92"/>
      <c r="Q21" s="92"/>
      <c r="R21" s="92"/>
      <c r="S21" s="92"/>
    </row>
    <row r="22" spans="1:23" ht="15.75" customHeight="1" x14ac:dyDescent="0.25">
      <c r="A22" s="130" t="s">
        <v>243</v>
      </c>
      <c r="B22" s="124" t="s">
        <v>122</v>
      </c>
      <c r="C22" s="125" t="s">
        <v>119</v>
      </c>
      <c r="D22" s="125" t="s">
        <v>111</v>
      </c>
      <c r="L22" s="92"/>
      <c r="M22" s="92"/>
      <c r="N22" s="92"/>
      <c r="O22" s="92"/>
      <c r="Q22" s="92"/>
      <c r="R22" s="92"/>
      <c r="S22" s="92"/>
    </row>
    <row r="23" spans="1:23" ht="25" x14ac:dyDescent="0.25">
      <c r="A23" s="219" t="s">
        <v>511</v>
      </c>
      <c r="B23" s="127" t="s">
        <v>334</v>
      </c>
      <c r="C23" s="87" t="s">
        <v>183</v>
      </c>
      <c r="D23" s="87" t="s">
        <v>297</v>
      </c>
      <c r="L23" s="92"/>
      <c r="M23" s="92"/>
      <c r="N23" s="92"/>
      <c r="O23" s="92"/>
      <c r="Q23" s="92"/>
      <c r="R23" s="92"/>
      <c r="S23" s="92"/>
    </row>
    <row r="24" spans="1:23" ht="25" x14ac:dyDescent="0.25">
      <c r="A24" s="219" t="s">
        <v>511</v>
      </c>
      <c r="B24" s="127" t="s">
        <v>334</v>
      </c>
      <c r="C24" s="87" t="s">
        <v>182</v>
      </c>
      <c r="D24" s="87" t="s">
        <v>297</v>
      </c>
      <c r="L24" s="92"/>
      <c r="M24" s="92"/>
      <c r="N24" s="92"/>
      <c r="O24" s="92"/>
      <c r="Q24" s="92"/>
      <c r="R24" s="92"/>
      <c r="S24" s="92"/>
    </row>
    <row r="25" spans="1:23" ht="25" x14ac:dyDescent="0.25">
      <c r="A25" s="219" t="s">
        <v>511</v>
      </c>
      <c r="B25" s="127" t="s">
        <v>334</v>
      </c>
      <c r="C25" s="87" t="s">
        <v>391</v>
      </c>
      <c r="D25" s="87" t="s">
        <v>297</v>
      </c>
      <c r="L25" s="92"/>
      <c r="M25" s="92"/>
      <c r="N25" s="92"/>
      <c r="O25" s="92"/>
      <c r="Q25" s="92"/>
      <c r="R25" s="92"/>
      <c r="S25" s="92"/>
    </row>
    <row r="26" spans="1:23" x14ac:dyDescent="0.25">
      <c r="A26" s="103" t="s">
        <v>333</v>
      </c>
      <c r="B26" s="127" t="s">
        <v>334</v>
      </c>
      <c r="C26" s="87" t="s">
        <v>392</v>
      </c>
      <c r="D26" s="87" t="s">
        <v>297</v>
      </c>
      <c r="L26" s="92"/>
      <c r="M26" s="92"/>
      <c r="N26" s="92"/>
      <c r="O26" s="92"/>
      <c r="Q26" s="92"/>
      <c r="R26" s="92"/>
      <c r="S26" s="92"/>
    </row>
    <row r="27" spans="1:23" ht="25" x14ac:dyDescent="0.25">
      <c r="A27" s="219" t="s">
        <v>511</v>
      </c>
      <c r="B27" s="127" t="s">
        <v>334</v>
      </c>
      <c r="C27" s="213" t="s">
        <v>467</v>
      </c>
      <c r="D27" s="87" t="s">
        <v>464</v>
      </c>
      <c r="L27" s="92"/>
      <c r="M27" s="92"/>
      <c r="N27" s="92"/>
      <c r="O27" s="92"/>
      <c r="Q27" s="92"/>
      <c r="R27" s="92"/>
      <c r="S27" s="92"/>
    </row>
    <row r="28" spans="1:23" ht="37.5" x14ac:dyDescent="0.25">
      <c r="A28" s="219" t="s">
        <v>528</v>
      </c>
      <c r="B28" s="127" t="s">
        <v>521</v>
      </c>
      <c r="C28" s="87" t="s">
        <v>183</v>
      </c>
      <c r="D28" s="87" t="s">
        <v>297</v>
      </c>
      <c r="L28" s="92"/>
      <c r="M28" s="92"/>
      <c r="N28" s="92"/>
      <c r="O28" s="92"/>
      <c r="Q28" s="92"/>
      <c r="R28" s="92"/>
      <c r="S28" s="92"/>
    </row>
    <row r="29" spans="1:23" ht="37.5" x14ac:dyDescent="0.25">
      <c r="A29" s="219" t="s">
        <v>528</v>
      </c>
      <c r="B29" s="127" t="s">
        <v>521</v>
      </c>
      <c r="C29" s="87" t="s">
        <v>182</v>
      </c>
      <c r="D29" s="87" t="s">
        <v>297</v>
      </c>
      <c r="L29" s="92"/>
      <c r="M29" s="92"/>
      <c r="N29" s="92"/>
      <c r="O29" s="92"/>
      <c r="Q29" s="92"/>
      <c r="R29" s="92"/>
      <c r="S29" s="92"/>
    </row>
    <row r="30" spans="1:23" ht="37.5" x14ac:dyDescent="0.25">
      <c r="A30" s="219" t="s">
        <v>528</v>
      </c>
      <c r="B30" s="127" t="s">
        <v>521</v>
      </c>
      <c r="C30" s="87" t="s">
        <v>391</v>
      </c>
      <c r="D30" s="87" t="s">
        <v>297</v>
      </c>
      <c r="L30" s="92"/>
      <c r="M30" s="92"/>
      <c r="N30" s="92"/>
      <c r="O30" s="92"/>
      <c r="Q30" s="92"/>
      <c r="R30" s="92"/>
      <c r="S30" s="92"/>
    </row>
    <row r="31" spans="1:23" ht="37.5" x14ac:dyDescent="0.25">
      <c r="A31" s="219" t="s">
        <v>528</v>
      </c>
      <c r="B31" s="127" t="s">
        <v>521</v>
      </c>
      <c r="C31" s="87" t="s">
        <v>392</v>
      </c>
      <c r="D31" s="87" t="s">
        <v>297</v>
      </c>
      <c r="L31" s="92"/>
      <c r="M31" s="92"/>
      <c r="N31" s="92"/>
      <c r="O31" s="92"/>
      <c r="Q31" s="92"/>
      <c r="R31" s="92"/>
      <c r="S31" s="92"/>
    </row>
    <row r="32" spans="1:23" ht="37.5" x14ac:dyDescent="0.25">
      <c r="A32" s="219" t="s">
        <v>528</v>
      </c>
      <c r="B32" s="127" t="s">
        <v>521</v>
      </c>
      <c r="C32" s="213" t="s">
        <v>467</v>
      </c>
      <c r="D32" s="87" t="s">
        <v>464</v>
      </c>
      <c r="L32" s="92"/>
      <c r="M32" s="92"/>
      <c r="N32" s="92"/>
      <c r="O32" s="92"/>
      <c r="Q32" s="92"/>
      <c r="R32" s="92"/>
      <c r="S32" s="92"/>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D85E0-C90E-4099-B7C0-B560F83AADAD}">
  <sheetPr codeName="Sheet24">
    <tabColor rgb="FFFFC000"/>
    <pageSetUpPr fitToPage="1"/>
  </sheetPr>
  <dimension ref="A1:Z25"/>
  <sheetViews>
    <sheetView zoomScale="85" workbookViewId="0"/>
  </sheetViews>
  <sheetFormatPr defaultColWidth="8.81640625" defaultRowHeight="12.5" x14ac:dyDescent="0.25"/>
  <cols>
    <col min="1" max="1" width="37.36328125" style="111" bestFit="1" customWidth="1"/>
    <col min="2" max="2" width="19.36328125" style="92" bestFit="1" customWidth="1"/>
    <col min="3" max="3" width="36.90625" style="92" bestFit="1" customWidth="1"/>
    <col min="4" max="4" width="23.36328125" style="92" bestFit="1" customWidth="1"/>
    <col min="5" max="5" width="19.36328125" style="92" bestFit="1" customWidth="1"/>
    <col min="6" max="6" width="18" style="92" bestFit="1" customWidth="1"/>
    <col min="7" max="7" width="10.453125" style="92" bestFit="1" customWidth="1"/>
    <col min="8" max="8" width="7.6328125" style="92" bestFit="1" customWidth="1"/>
    <col min="9" max="9" width="13" style="92" bestFit="1" customWidth="1"/>
    <col min="10" max="10" width="6.36328125" style="92" bestFit="1" customWidth="1"/>
    <col min="11" max="11" width="24.453125" style="92" bestFit="1" customWidth="1"/>
    <col min="12" max="12" width="52.54296875" style="109" bestFit="1" customWidth="1"/>
    <col min="13" max="13" width="18.36328125" style="109" bestFit="1" customWidth="1"/>
    <col min="14" max="14" width="14" style="109" bestFit="1" customWidth="1"/>
    <col min="15" max="15" width="10.54296875" style="109" bestFit="1" customWidth="1"/>
    <col min="16" max="16" width="9.6328125" style="92" bestFit="1" customWidth="1"/>
    <col min="17" max="17" width="7.90625" style="109" bestFit="1" customWidth="1"/>
    <col min="18" max="18" width="12.90625" style="109" bestFit="1" customWidth="1"/>
    <col min="19" max="19" width="13.54296875" style="109" bestFit="1" customWidth="1"/>
    <col min="20" max="20" width="31.36328125" style="92" bestFit="1" customWidth="1"/>
    <col min="21" max="21" width="30" style="92" bestFit="1" customWidth="1"/>
    <col min="22" max="22" width="24.36328125" style="92" customWidth="1"/>
    <col min="23" max="23" width="23.1796875" style="92" bestFit="1" customWidth="1"/>
    <col min="24" max="24" width="10" style="92" bestFit="1" customWidth="1"/>
    <col min="25" max="25" width="50.81640625" style="92" bestFit="1" customWidth="1"/>
    <col min="26" max="26" width="5.36328125" style="92" bestFit="1" customWidth="1"/>
    <col min="27" max="27" width="11.36328125" style="92" bestFit="1" customWidth="1"/>
    <col min="28" max="28" width="8.6328125" style="92" bestFit="1" customWidth="1"/>
    <col min="29" max="29" width="11.08984375" style="92" bestFit="1" customWidth="1"/>
    <col min="30" max="30" width="9.6328125" style="92" bestFit="1" customWidth="1"/>
    <col min="31" max="31" width="27.08984375" style="92" bestFit="1" customWidth="1"/>
    <col min="32" max="32" width="7.90625" style="92" bestFit="1" customWidth="1"/>
    <col min="33" max="33" width="25.54296875" style="92" bestFit="1" customWidth="1"/>
    <col min="34" max="34" width="12.36328125" style="92" bestFit="1" customWidth="1"/>
    <col min="35" max="35" width="13.54296875" style="92" bestFit="1" customWidth="1"/>
    <col min="36" max="36" width="31.36328125" style="92" bestFit="1" customWidth="1"/>
    <col min="37" max="37" width="28.36328125" style="92" bestFit="1" customWidth="1"/>
    <col min="38" max="38" width="12.90625" style="92" bestFit="1" customWidth="1"/>
    <col min="39" max="39" width="11.36328125" style="92" bestFit="1" customWidth="1"/>
    <col min="40" max="40" width="29.36328125" style="92" bestFit="1" customWidth="1"/>
    <col min="41" max="41" width="7.453125" style="92" bestFit="1" customWidth="1"/>
    <col min="42" max="42" width="10" style="92" bestFit="1" customWidth="1"/>
    <col min="43" max="43" width="18.6328125" style="92" bestFit="1" customWidth="1"/>
    <col min="44" max="44" width="36.453125" style="92" bestFit="1" customWidth="1"/>
    <col min="45" max="46" width="8.54296875" style="92" customWidth="1"/>
    <col min="47" max="16384" width="8.81640625" style="92"/>
  </cols>
  <sheetData>
    <row r="1" spans="1:26" ht="18" x14ac:dyDescent="0.4">
      <c r="A1" s="89" t="s">
        <v>33</v>
      </c>
      <c r="B1" s="90"/>
      <c r="C1" s="90"/>
      <c r="D1" s="90"/>
      <c r="E1" s="90"/>
      <c r="F1" s="90"/>
      <c r="G1" s="90"/>
      <c r="H1" s="90"/>
      <c r="I1" s="90"/>
      <c r="J1" s="90"/>
      <c r="K1" s="90"/>
      <c r="L1" s="91"/>
      <c r="M1" s="91"/>
      <c r="N1" s="91"/>
      <c r="O1" s="91"/>
      <c r="P1" s="90"/>
      <c r="Q1" s="91"/>
      <c r="R1" s="91"/>
      <c r="S1" s="91"/>
      <c r="T1" s="90"/>
      <c r="U1" s="90"/>
      <c r="V1" s="90"/>
      <c r="W1" s="90"/>
      <c r="X1" s="90"/>
      <c r="Y1" s="90"/>
      <c r="Z1" s="90"/>
    </row>
    <row r="2" spans="1:26" ht="13" thickBot="1" x14ac:dyDescent="0.3">
      <c r="A2" s="93"/>
      <c r="B2" s="90"/>
      <c r="C2" s="90"/>
      <c r="D2" s="90"/>
      <c r="E2" s="90"/>
      <c r="F2" s="90"/>
      <c r="G2" s="90"/>
      <c r="H2" s="90"/>
      <c r="I2" s="90"/>
      <c r="J2" s="90"/>
      <c r="K2" s="90"/>
      <c r="L2" s="91"/>
      <c r="M2" s="91"/>
      <c r="N2" s="91"/>
      <c r="O2" s="91"/>
      <c r="P2" s="90"/>
      <c r="Q2" s="91"/>
      <c r="R2" s="91"/>
      <c r="S2" s="91"/>
      <c r="T2" s="90"/>
      <c r="U2" s="90"/>
      <c r="V2" s="90"/>
      <c r="W2" s="90"/>
      <c r="X2" s="90"/>
      <c r="Y2" s="90"/>
      <c r="Z2" s="90"/>
    </row>
    <row r="3" spans="1:26" x14ac:dyDescent="0.25">
      <c r="A3" s="94" t="s">
        <v>51</v>
      </c>
      <c r="B3" s="95" t="s">
        <v>52</v>
      </c>
      <c r="C3" s="90"/>
      <c r="D3" s="90"/>
      <c r="E3" s="90"/>
      <c r="F3" s="90"/>
      <c r="G3" s="90"/>
      <c r="H3" s="90"/>
      <c r="I3" s="90"/>
      <c r="J3" s="90"/>
      <c r="K3" s="90"/>
      <c r="L3" s="90"/>
      <c r="M3" s="90"/>
      <c r="N3" s="90"/>
      <c r="O3" s="90"/>
      <c r="P3" s="90"/>
      <c r="Q3" s="90"/>
      <c r="R3" s="90"/>
      <c r="S3" s="90"/>
      <c r="T3" s="90"/>
      <c r="U3" s="90"/>
      <c r="V3" s="90"/>
      <c r="W3" s="90"/>
      <c r="X3" s="90"/>
      <c r="Y3" s="90"/>
      <c r="Z3" s="90"/>
    </row>
    <row r="4" spans="1:26" ht="13" thickBot="1" x14ac:dyDescent="0.3">
      <c r="A4" s="96"/>
      <c r="B4" s="97">
        <v>0.12</v>
      </c>
      <c r="C4" s="90"/>
      <c r="D4" s="90"/>
      <c r="E4" s="90"/>
      <c r="F4" s="90"/>
      <c r="G4" s="90"/>
      <c r="H4" s="90"/>
      <c r="I4" s="90"/>
      <c r="J4" s="90"/>
      <c r="K4" s="90"/>
      <c r="L4" s="91"/>
      <c r="M4" s="91"/>
      <c r="N4" s="91"/>
      <c r="O4" s="91"/>
      <c r="P4" s="90"/>
      <c r="Q4" s="91"/>
      <c r="R4" s="91"/>
      <c r="S4" s="91"/>
      <c r="T4" s="90"/>
      <c r="U4" s="90"/>
      <c r="V4" s="90"/>
      <c r="W4" s="90"/>
      <c r="X4" s="90"/>
      <c r="Y4" s="90"/>
      <c r="Z4" s="90"/>
    </row>
    <row r="5" spans="1:26" ht="16" thickBot="1" x14ac:dyDescent="0.4">
      <c r="A5" s="98" t="s">
        <v>99</v>
      </c>
      <c r="B5" s="90"/>
      <c r="C5" s="90"/>
      <c r="D5" s="90"/>
      <c r="E5" s="90"/>
      <c r="F5" s="90"/>
      <c r="G5" s="90"/>
      <c r="H5" s="90"/>
      <c r="I5" s="90"/>
      <c r="J5" s="91"/>
      <c r="K5" s="91"/>
      <c r="L5" s="91"/>
      <c r="M5" s="91"/>
      <c r="N5" s="90"/>
      <c r="O5" s="91"/>
      <c r="P5" s="91"/>
      <c r="Q5" s="91"/>
      <c r="R5" s="90"/>
      <c r="S5" s="90"/>
      <c r="T5" s="90"/>
      <c r="U5" s="90"/>
      <c r="V5" s="90"/>
      <c r="W5" s="90"/>
      <c r="X5" s="90"/>
      <c r="Y5" s="90"/>
      <c r="Z5" s="90"/>
    </row>
    <row r="6" spans="1:26" ht="13" thickBot="1" x14ac:dyDescent="0.3">
      <c r="A6" s="99" t="s">
        <v>243</v>
      </c>
      <c r="B6" s="100" t="s">
        <v>10</v>
      </c>
      <c r="C6" s="100" t="s">
        <v>30</v>
      </c>
      <c r="D6" s="100" t="s">
        <v>100</v>
      </c>
      <c r="E6" s="100" t="s">
        <v>5</v>
      </c>
      <c r="F6" s="100" t="s">
        <v>104</v>
      </c>
      <c r="G6" s="100" t="s">
        <v>2</v>
      </c>
      <c r="H6" s="100" t="s">
        <v>105</v>
      </c>
      <c r="I6" s="100" t="s">
        <v>31</v>
      </c>
      <c r="J6" s="100" t="s">
        <v>107</v>
      </c>
      <c r="K6" s="100" t="s">
        <v>108</v>
      </c>
      <c r="L6" s="101" t="s">
        <v>28</v>
      </c>
      <c r="M6" s="90"/>
      <c r="N6" s="92"/>
      <c r="O6" s="92"/>
      <c r="Q6" s="92"/>
      <c r="R6" s="92"/>
      <c r="S6" s="92"/>
    </row>
    <row r="7" spans="1:26" ht="15.75" customHeight="1" x14ac:dyDescent="0.25">
      <c r="A7" s="102" t="s">
        <v>325</v>
      </c>
      <c r="B7" s="87" t="s">
        <v>308</v>
      </c>
      <c r="C7" s="87" t="s">
        <v>393</v>
      </c>
      <c r="D7" s="87" t="s">
        <v>326</v>
      </c>
      <c r="E7" s="87" t="s">
        <v>308</v>
      </c>
      <c r="F7" s="87" t="s">
        <v>297</v>
      </c>
      <c r="G7" s="87" t="s">
        <v>5</v>
      </c>
      <c r="H7" s="87" t="s">
        <v>297</v>
      </c>
      <c r="I7" s="87" t="s">
        <v>327</v>
      </c>
      <c r="J7" s="87" t="s">
        <v>464</v>
      </c>
      <c r="K7" s="87" t="s">
        <v>297</v>
      </c>
      <c r="L7" s="87" t="s">
        <v>399</v>
      </c>
      <c r="M7" s="90"/>
      <c r="N7" s="92"/>
      <c r="O7" s="92"/>
      <c r="Q7" s="92"/>
      <c r="R7" s="92"/>
      <c r="S7" s="92"/>
    </row>
    <row r="8" spans="1:26" ht="15.75" customHeight="1" x14ac:dyDescent="0.25">
      <c r="A8" s="103" t="s">
        <v>325</v>
      </c>
      <c r="B8" s="87" t="s">
        <v>311</v>
      </c>
      <c r="C8" s="87" t="s">
        <v>328</v>
      </c>
      <c r="D8" s="87" t="s">
        <v>303</v>
      </c>
      <c r="E8" s="87" t="s">
        <v>311</v>
      </c>
      <c r="F8" s="87" t="s">
        <v>297</v>
      </c>
      <c r="G8" s="87" t="s">
        <v>5</v>
      </c>
      <c r="H8" s="87" t="s">
        <v>297</v>
      </c>
      <c r="I8" s="87" t="s">
        <v>327</v>
      </c>
      <c r="J8" s="87" t="s">
        <v>464</v>
      </c>
      <c r="K8" s="87" t="s">
        <v>297</v>
      </c>
      <c r="L8" s="87" t="s">
        <v>399</v>
      </c>
      <c r="M8" s="90"/>
      <c r="N8" s="92"/>
      <c r="O8" s="92"/>
      <c r="Q8" s="92"/>
      <c r="R8" s="92"/>
      <c r="S8" s="92"/>
    </row>
    <row r="9" spans="1:26" ht="15.75" customHeight="1" x14ac:dyDescent="0.25">
      <c r="A9" s="103" t="s">
        <v>329</v>
      </c>
      <c r="B9" s="87" t="s">
        <v>308</v>
      </c>
      <c r="C9" s="87" t="s">
        <v>393</v>
      </c>
      <c r="D9" s="87" t="s">
        <v>326</v>
      </c>
      <c r="E9" s="87" t="s">
        <v>308</v>
      </c>
      <c r="F9" s="87" t="s">
        <v>297</v>
      </c>
      <c r="G9" s="87" t="s">
        <v>5</v>
      </c>
      <c r="H9" s="87" t="s">
        <v>297</v>
      </c>
      <c r="I9" s="87" t="s">
        <v>327</v>
      </c>
      <c r="J9" s="87" t="s">
        <v>464</v>
      </c>
      <c r="K9" s="87" t="s">
        <v>297</v>
      </c>
      <c r="L9" s="87" t="s">
        <v>399</v>
      </c>
      <c r="M9" s="90"/>
      <c r="N9" s="92"/>
      <c r="O9" s="92"/>
      <c r="Q9" s="92"/>
      <c r="R9" s="92"/>
      <c r="S9" s="92"/>
    </row>
    <row r="10" spans="1:26" ht="15.75" customHeight="1" thickBot="1" x14ac:dyDescent="0.3">
      <c r="A10" s="104" t="s">
        <v>329</v>
      </c>
      <c r="B10" s="105" t="s">
        <v>311</v>
      </c>
      <c r="C10" s="105" t="s">
        <v>328</v>
      </c>
      <c r="D10" s="105" t="s">
        <v>303</v>
      </c>
      <c r="E10" s="105" t="s">
        <v>311</v>
      </c>
      <c r="F10" s="105" t="s">
        <v>297</v>
      </c>
      <c r="G10" s="105" t="s">
        <v>5</v>
      </c>
      <c r="H10" s="105" t="s">
        <v>297</v>
      </c>
      <c r="I10" s="105" t="s">
        <v>327</v>
      </c>
      <c r="J10" s="105" t="s">
        <v>464</v>
      </c>
      <c r="K10" s="105" t="s">
        <v>297</v>
      </c>
      <c r="L10" s="87" t="s">
        <v>399</v>
      </c>
      <c r="M10" s="90"/>
      <c r="N10" s="92"/>
      <c r="O10" s="92"/>
      <c r="Q10" s="92"/>
      <c r="R10" s="92"/>
      <c r="S10" s="92"/>
    </row>
    <row r="11" spans="1:26" ht="15.75" customHeight="1" x14ac:dyDescent="0.35">
      <c r="A11" s="93"/>
      <c r="B11" s="93"/>
      <c r="C11" s="93"/>
      <c r="D11" s="93"/>
      <c r="E11" s="93"/>
      <c r="F11" s="93"/>
      <c r="G11" s="93"/>
      <c r="H11" s="93"/>
      <c r="I11" s="93"/>
      <c r="J11" s="93"/>
      <c r="K11" s="93"/>
      <c r="L11" s="93"/>
      <c r="M11" s="93"/>
      <c r="N11" s="93"/>
      <c r="O11" s="93"/>
      <c r="P11" s="93"/>
      <c r="Q11" s="93"/>
      <c r="R11" s="93"/>
      <c r="S11" s="93"/>
      <c r="T11" s="93"/>
      <c r="U11" s="28"/>
      <c r="V11" s="90"/>
      <c r="W11" s="90"/>
      <c r="X11" s="90"/>
      <c r="Y11" s="90"/>
      <c r="Z11" s="90"/>
    </row>
    <row r="12" spans="1:26" ht="14.5" thickBot="1" x14ac:dyDescent="0.35">
      <c r="A12" s="106" t="s">
        <v>118</v>
      </c>
      <c r="B12" s="90"/>
      <c r="C12" s="90"/>
      <c r="D12" s="90"/>
      <c r="E12" s="90"/>
      <c r="F12" s="90"/>
      <c r="G12" s="90"/>
      <c r="H12" s="90"/>
      <c r="I12" s="90"/>
      <c r="J12" s="90"/>
      <c r="K12" s="90"/>
      <c r="L12" s="90"/>
      <c r="M12" s="90"/>
      <c r="N12" s="90"/>
      <c r="O12" s="90"/>
      <c r="P12" s="90"/>
      <c r="Q12" s="90"/>
      <c r="R12" s="90"/>
      <c r="S12" s="90"/>
      <c r="T12" s="90"/>
      <c r="U12" s="90"/>
      <c r="V12" s="90"/>
      <c r="W12" s="90"/>
      <c r="X12" s="90"/>
      <c r="Y12" s="90"/>
      <c r="Z12" s="90"/>
    </row>
    <row r="13" spans="1:26" x14ac:dyDescent="0.25">
      <c r="A13" s="99" t="s">
        <v>243</v>
      </c>
      <c r="B13" s="100" t="s">
        <v>120</v>
      </c>
      <c r="C13" s="100" t="s">
        <v>119</v>
      </c>
      <c r="D13" s="100" t="s">
        <v>107</v>
      </c>
      <c r="E13" s="90"/>
      <c r="F13" s="90"/>
      <c r="G13" s="90"/>
      <c r="H13" s="90"/>
      <c r="I13" s="90"/>
      <c r="J13" s="90"/>
      <c r="K13" s="90"/>
      <c r="L13" s="90"/>
      <c r="M13" s="90"/>
      <c r="N13" s="90"/>
      <c r="O13" s="90"/>
      <c r="P13" s="90"/>
      <c r="Q13" s="90"/>
      <c r="R13" s="90"/>
      <c r="S13" s="90"/>
      <c r="T13" s="90"/>
      <c r="U13" s="90"/>
      <c r="V13" s="90"/>
      <c r="W13" s="90"/>
      <c r="X13" s="90"/>
    </row>
    <row r="14" spans="1:26" ht="25" x14ac:dyDescent="0.25">
      <c r="A14" s="212" t="s">
        <v>465</v>
      </c>
      <c r="B14" s="213" t="s">
        <v>466</v>
      </c>
      <c r="C14" s="87" t="s">
        <v>183</v>
      </c>
      <c r="D14" s="87" t="s">
        <v>297</v>
      </c>
      <c r="E14" s="90"/>
      <c r="F14" s="90"/>
      <c r="G14" s="90"/>
      <c r="H14" s="90"/>
      <c r="I14" s="90"/>
      <c r="J14" s="90"/>
      <c r="K14" s="90"/>
      <c r="L14" s="90"/>
      <c r="M14" s="90"/>
      <c r="N14" s="90"/>
      <c r="O14" s="90"/>
      <c r="P14" s="90"/>
      <c r="Q14" s="90"/>
      <c r="R14" s="90"/>
      <c r="S14" s="90"/>
      <c r="T14" s="90"/>
      <c r="U14" s="90"/>
      <c r="V14" s="90"/>
      <c r="W14" s="90"/>
      <c r="X14" s="90"/>
    </row>
    <row r="15" spans="1:26" ht="25" x14ac:dyDescent="0.25">
      <c r="A15" s="212" t="s">
        <v>465</v>
      </c>
      <c r="B15" s="213" t="s">
        <v>466</v>
      </c>
      <c r="C15" s="87" t="s">
        <v>182</v>
      </c>
      <c r="D15" s="87" t="s">
        <v>297</v>
      </c>
      <c r="E15" s="90"/>
      <c r="F15" s="90"/>
      <c r="G15" s="90"/>
      <c r="H15" s="90"/>
      <c r="I15" s="90"/>
      <c r="J15" s="90"/>
      <c r="K15" s="90"/>
      <c r="L15" s="90"/>
      <c r="M15" s="90"/>
      <c r="N15" s="90"/>
      <c r="O15" s="90"/>
      <c r="P15" s="90"/>
      <c r="Q15" s="90"/>
      <c r="R15" s="90"/>
      <c r="S15" s="90"/>
      <c r="T15" s="90"/>
      <c r="U15" s="90"/>
      <c r="V15" s="90"/>
      <c r="W15" s="90"/>
      <c r="X15" s="90"/>
    </row>
    <row r="16" spans="1:26" ht="25" x14ac:dyDescent="0.25">
      <c r="A16" s="212" t="s">
        <v>465</v>
      </c>
      <c r="B16" s="213" t="s">
        <v>466</v>
      </c>
      <c r="C16" s="87" t="s">
        <v>391</v>
      </c>
      <c r="D16" s="87" t="s">
        <v>297</v>
      </c>
      <c r="E16" s="90"/>
      <c r="F16" s="90"/>
      <c r="G16" s="90"/>
      <c r="H16" s="90"/>
      <c r="I16" s="90"/>
      <c r="J16" s="90"/>
      <c r="K16" s="90"/>
      <c r="L16" s="90"/>
      <c r="M16" s="90"/>
      <c r="N16" s="90"/>
      <c r="O16" s="90"/>
      <c r="P16" s="90"/>
      <c r="Q16" s="90"/>
      <c r="R16" s="90"/>
      <c r="S16" s="90"/>
      <c r="T16" s="90"/>
      <c r="U16" s="90"/>
      <c r="V16" s="90"/>
      <c r="W16" s="90"/>
      <c r="X16" s="90"/>
    </row>
    <row r="17" spans="1:24" ht="25" x14ac:dyDescent="0.25">
      <c r="A17" s="212" t="s">
        <v>465</v>
      </c>
      <c r="B17" s="213" t="s">
        <v>466</v>
      </c>
      <c r="C17" s="87" t="s">
        <v>392</v>
      </c>
      <c r="D17" s="87" t="s">
        <v>297</v>
      </c>
      <c r="E17" s="90"/>
      <c r="F17" s="90"/>
      <c r="G17" s="90"/>
      <c r="H17" s="90"/>
      <c r="I17" s="90"/>
      <c r="J17" s="90"/>
      <c r="K17" s="90"/>
      <c r="L17" s="90"/>
      <c r="M17" s="90"/>
      <c r="N17" s="90"/>
      <c r="O17" s="90"/>
      <c r="P17" s="90"/>
      <c r="Q17" s="90"/>
      <c r="R17" s="90"/>
      <c r="S17" s="90"/>
      <c r="T17" s="90"/>
      <c r="U17" s="90"/>
      <c r="V17" s="90"/>
      <c r="W17" s="90"/>
      <c r="X17" s="90"/>
    </row>
    <row r="18" spans="1:24" ht="25" x14ac:dyDescent="0.25">
      <c r="A18" s="212" t="s">
        <v>465</v>
      </c>
      <c r="B18" s="213" t="s">
        <v>466</v>
      </c>
      <c r="C18" s="213" t="s">
        <v>467</v>
      </c>
      <c r="D18" s="87" t="s">
        <v>464</v>
      </c>
      <c r="J18" s="109"/>
      <c r="K18" s="109"/>
      <c r="N18" s="92"/>
      <c r="P18" s="109"/>
      <c r="R18" s="92"/>
      <c r="S18" s="92"/>
    </row>
    <row r="19" spans="1:24" x14ac:dyDescent="0.25">
      <c r="A19" s="107" t="s">
        <v>325</v>
      </c>
      <c r="B19" s="87" t="s">
        <v>311</v>
      </c>
      <c r="C19" s="87" t="s">
        <v>392</v>
      </c>
      <c r="D19" s="87" t="s">
        <v>297</v>
      </c>
      <c r="J19" s="109"/>
      <c r="K19" s="109"/>
      <c r="N19" s="92"/>
      <c r="P19" s="109"/>
      <c r="R19" s="92"/>
      <c r="S19" s="92"/>
    </row>
    <row r="20" spans="1:24" x14ac:dyDescent="0.25">
      <c r="A20" s="107" t="s">
        <v>329</v>
      </c>
      <c r="B20" s="87" t="s">
        <v>308</v>
      </c>
      <c r="C20" s="87" t="s">
        <v>183</v>
      </c>
      <c r="D20" s="87" t="s">
        <v>297</v>
      </c>
      <c r="E20" s="90"/>
      <c r="F20" s="90"/>
      <c r="G20" s="90"/>
      <c r="H20" s="90"/>
      <c r="I20" s="90"/>
      <c r="J20" s="90"/>
      <c r="K20" s="90"/>
      <c r="L20" s="90"/>
      <c r="M20" s="90"/>
      <c r="N20" s="90"/>
      <c r="O20" s="90"/>
      <c r="P20" s="90"/>
      <c r="Q20" s="90"/>
      <c r="R20" s="90"/>
      <c r="S20" s="90"/>
      <c r="T20" s="90"/>
      <c r="U20" s="90"/>
      <c r="V20" s="90"/>
      <c r="W20" s="90"/>
      <c r="X20" s="90"/>
    </row>
    <row r="21" spans="1:24" x14ac:dyDescent="0.25">
      <c r="A21" s="107" t="s">
        <v>329</v>
      </c>
      <c r="B21" s="87" t="s">
        <v>308</v>
      </c>
      <c r="C21" s="87" t="s">
        <v>182</v>
      </c>
      <c r="D21" s="87" t="s">
        <v>297</v>
      </c>
      <c r="E21" s="90"/>
      <c r="F21" s="90"/>
      <c r="G21" s="90"/>
      <c r="H21" s="90"/>
      <c r="I21" s="90"/>
      <c r="J21" s="90"/>
      <c r="K21" s="90"/>
      <c r="L21" s="90"/>
      <c r="M21" s="90"/>
      <c r="N21" s="90"/>
      <c r="O21" s="90"/>
      <c r="P21" s="90"/>
      <c r="Q21" s="90"/>
      <c r="R21" s="90"/>
      <c r="S21" s="90"/>
      <c r="T21" s="90"/>
      <c r="U21" s="90"/>
      <c r="V21" s="90"/>
      <c r="W21" s="90"/>
      <c r="X21" s="90"/>
    </row>
    <row r="22" spans="1:24" x14ac:dyDescent="0.25">
      <c r="A22" s="107" t="s">
        <v>329</v>
      </c>
      <c r="B22" s="87" t="s">
        <v>308</v>
      </c>
      <c r="C22" s="87" t="s">
        <v>392</v>
      </c>
      <c r="D22" s="87" t="s">
        <v>297</v>
      </c>
      <c r="E22" s="90"/>
      <c r="F22" s="90"/>
      <c r="G22" s="90"/>
      <c r="H22" s="90"/>
      <c r="I22" s="90"/>
      <c r="J22" s="90"/>
      <c r="K22" s="90"/>
      <c r="L22" s="90"/>
      <c r="M22" s="90"/>
      <c r="N22" s="90"/>
      <c r="O22" s="90"/>
      <c r="P22" s="90"/>
      <c r="Q22" s="90"/>
      <c r="R22" s="90"/>
      <c r="S22" s="90"/>
      <c r="T22" s="90"/>
      <c r="U22" s="90"/>
      <c r="V22" s="90"/>
      <c r="W22" s="90"/>
      <c r="X22" s="90"/>
    </row>
    <row r="23" spans="1:24" x14ac:dyDescent="0.25">
      <c r="A23" s="107" t="s">
        <v>329</v>
      </c>
      <c r="B23" s="87" t="s">
        <v>311</v>
      </c>
      <c r="C23" s="87" t="s">
        <v>183</v>
      </c>
      <c r="D23" s="87" t="s">
        <v>297</v>
      </c>
      <c r="E23" s="90"/>
      <c r="F23" s="90"/>
      <c r="G23" s="90"/>
      <c r="H23" s="90"/>
      <c r="I23" s="90"/>
      <c r="J23" s="90"/>
      <c r="K23" s="90"/>
      <c r="L23" s="90"/>
      <c r="M23" s="90"/>
      <c r="N23" s="90"/>
      <c r="O23" s="90"/>
      <c r="P23" s="90"/>
      <c r="Q23" s="90"/>
      <c r="R23" s="90"/>
      <c r="S23" s="90"/>
      <c r="T23" s="90"/>
      <c r="U23" s="90"/>
      <c r="V23" s="90"/>
      <c r="W23" s="90"/>
      <c r="X23" s="90"/>
    </row>
    <row r="24" spans="1:24" x14ac:dyDescent="0.25">
      <c r="A24" s="107" t="s">
        <v>329</v>
      </c>
      <c r="B24" s="87" t="s">
        <v>311</v>
      </c>
      <c r="C24" s="87" t="s">
        <v>182</v>
      </c>
      <c r="D24" s="87" t="s">
        <v>297</v>
      </c>
      <c r="J24" s="109"/>
      <c r="K24" s="109"/>
      <c r="N24" s="92"/>
      <c r="P24" s="109"/>
      <c r="R24" s="92"/>
      <c r="S24" s="92"/>
    </row>
    <row r="25" spans="1:24" ht="13" thickBot="1" x14ac:dyDescent="0.3">
      <c r="A25" s="104" t="s">
        <v>329</v>
      </c>
      <c r="B25" s="110" t="s">
        <v>311</v>
      </c>
      <c r="C25" s="105" t="s">
        <v>392</v>
      </c>
      <c r="D25" s="110" t="s">
        <v>297</v>
      </c>
      <c r="J25" s="109"/>
      <c r="K25" s="109"/>
      <c r="N25" s="92"/>
      <c r="P25" s="109"/>
      <c r="R25" s="92"/>
      <c r="S25" s="92"/>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3421D-098E-4891-9217-F831887CAE32}">
  <sheetPr codeName="Sheet33">
    <pageSetUpPr fitToPage="1"/>
  </sheetPr>
  <dimension ref="A1:P11"/>
  <sheetViews>
    <sheetView zoomScale="85" workbookViewId="0"/>
  </sheetViews>
  <sheetFormatPr defaultColWidth="8.90625" defaultRowHeight="12.5" x14ac:dyDescent="0.25"/>
  <cols>
    <col min="1" max="1" width="38.36328125" style="111" bestFit="1" customWidth="1"/>
    <col min="2" max="2" width="24.6328125" style="92" bestFit="1" customWidth="1"/>
    <col min="3" max="3" width="32.54296875" style="109" bestFit="1" customWidth="1"/>
    <col min="4" max="4" width="7.1796875" style="109" bestFit="1" customWidth="1"/>
    <col min="5" max="5" width="61.6328125" style="109" bestFit="1" customWidth="1"/>
    <col min="6" max="6" width="12.36328125" style="92" bestFit="1" customWidth="1"/>
    <col min="7" max="7" width="14.08984375" style="109" bestFit="1" customWidth="1"/>
    <col min="8" max="8" width="12.90625" style="109" customWidth="1"/>
    <col min="9" max="9" width="13.54296875" style="109" bestFit="1" customWidth="1"/>
    <col min="10" max="10" width="31.36328125" style="92" bestFit="1" customWidth="1"/>
    <col min="11" max="11" width="7.453125" style="92" bestFit="1" customWidth="1"/>
    <col min="12" max="12" width="24.36328125" style="92" customWidth="1"/>
    <col min="13" max="13" width="11.36328125" style="92" bestFit="1" customWidth="1"/>
    <col min="14" max="14" width="10" style="92" bestFit="1" customWidth="1"/>
    <col min="15" max="15" width="13.54296875" style="92" bestFit="1" customWidth="1"/>
    <col min="16" max="16" width="5.36328125" style="92" bestFit="1" customWidth="1"/>
    <col min="17" max="17" width="11.36328125" style="92" bestFit="1" customWidth="1"/>
    <col min="18" max="18" width="8.6328125" style="92" bestFit="1" customWidth="1"/>
    <col min="19" max="19" width="11.08984375" style="92" bestFit="1" customWidth="1"/>
    <col min="20" max="20" width="9.6328125" style="92" bestFit="1" customWidth="1"/>
    <col min="21" max="21" width="27.08984375" style="92" bestFit="1" customWidth="1"/>
    <col min="22" max="22" width="7.90625" style="92" bestFit="1" customWidth="1"/>
    <col min="23" max="23" width="25.54296875" style="92" bestFit="1" customWidth="1"/>
    <col min="24" max="24" width="12.36328125" style="92" bestFit="1" customWidth="1"/>
    <col min="25" max="25" width="13.54296875" style="92" bestFit="1" customWidth="1"/>
    <col min="26" max="26" width="31.36328125" style="92" bestFit="1" customWidth="1"/>
    <col min="27" max="27" width="28.36328125" style="92" bestFit="1" customWidth="1"/>
    <col min="28" max="28" width="12.90625" style="92" bestFit="1" customWidth="1"/>
    <col min="29" max="29" width="11.36328125" style="92" bestFit="1" customWidth="1"/>
    <col min="30" max="30" width="29.36328125" style="92" bestFit="1" customWidth="1"/>
    <col min="31" max="31" width="7.453125" style="92" bestFit="1" customWidth="1"/>
    <col min="32" max="32" width="10" style="92" bestFit="1" customWidth="1"/>
    <col min="33" max="33" width="18.6328125" style="92" bestFit="1" customWidth="1"/>
    <col min="34" max="34" width="36.453125" style="92" bestFit="1" customWidth="1"/>
    <col min="35" max="36" width="8.54296875" style="92" customWidth="1"/>
    <col min="37" max="16384" width="8.90625" style="92"/>
  </cols>
  <sheetData>
    <row r="1" spans="1:16" ht="18" x14ac:dyDescent="0.4">
      <c r="A1" s="89" t="s">
        <v>417</v>
      </c>
      <c r="B1" s="90"/>
      <c r="C1" s="91"/>
      <c r="D1" s="91"/>
      <c r="E1" s="91"/>
      <c r="F1" s="90"/>
      <c r="G1" s="91"/>
      <c r="H1" s="91"/>
      <c r="I1" s="91"/>
      <c r="J1" s="90"/>
      <c r="K1" s="90"/>
      <c r="L1" s="90"/>
      <c r="M1" s="90"/>
      <c r="N1" s="90"/>
      <c r="O1" s="90"/>
      <c r="P1" s="90"/>
    </row>
    <row r="2" spans="1:16" ht="13" thickBot="1" x14ac:dyDescent="0.3">
      <c r="A2" s="93"/>
      <c r="B2" s="90"/>
      <c r="C2" s="91"/>
      <c r="D2" s="91"/>
      <c r="E2" s="91"/>
      <c r="F2" s="90"/>
      <c r="G2" s="91"/>
      <c r="H2" s="91"/>
      <c r="I2" s="91"/>
      <c r="J2" s="90"/>
      <c r="K2" s="90"/>
      <c r="L2" s="90"/>
      <c r="M2" s="90"/>
      <c r="N2" s="90"/>
      <c r="O2" s="90"/>
      <c r="P2" s="90"/>
    </row>
    <row r="3" spans="1:16" x14ac:dyDescent="0.25">
      <c r="A3" s="94" t="s">
        <v>51</v>
      </c>
      <c r="B3" s="95" t="s">
        <v>52</v>
      </c>
      <c r="C3" s="90"/>
      <c r="D3" s="90"/>
      <c r="E3" s="90"/>
      <c r="F3" s="90"/>
      <c r="G3" s="90"/>
      <c r="H3" s="90"/>
      <c r="I3" s="90"/>
      <c r="J3" s="90"/>
      <c r="K3" s="90"/>
      <c r="L3" s="90"/>
      <c r="M3" s="90"/>
      <c r="N3" s="90"/>
      <c r="O3" s="90"/>
      <c r="P3" s="90"/>
    </row>
    <row r="4" spans="1:16" ht="13" thickBot="1" x14ac:dyDescent="0.3">
      <c r="A4" s="96"/>
      <c r="B4" s="97">
        <v>0.03</v>
      </c>
      <c r="C4" s="91"/>
      <c r="D4" s="91"/>
      <c r="E4" s="91"/>
      <c r="F4" s="90"/>
      <c r="G4" s="91"/>
      <c r="H4" s="91"/>
      <c r="I4" s="91"/>
      <c r="J4" s="90"/>
      <c r="K4" s="90"/>
      <c r="L4" s="90"/>
      <c r="M4" s="90"/>
      <c r="N4" s="90"/>
      <c r="O4" s="90"/>
      <c r="P4" s="90"/>
    </row>
    <row r="5" spans="1:16" x14ac:dyDescent="0.25">
      <c r="A5" s="93"/>
      <c r="B5" s="90"/>
      <c r="C5" s="91"/>
      <c r="D5" s="91"/>
      <c r="E5" s="91"/>
      <c r="F5" s="90"/>
      <c r="G5" s="91"/>
      <c r="H5" s="91"/>
      <c r="I5" s="91"/>
      <c r="J5" s="90"/>
      <c r="K5" s="90"/>
      <c r="L5" s="90"/>
      <c r="M5" s="90"/>
      <c r="N5" s="90"/>
      <c r="O5" s="90"/>
      <c r="P5" s="90"/>
    </row>
    <row r="6" spans="1:16" ht="16" thickBot="1" x14ac:dyDescent="0.4">
      <c r="A6" s="98" t="s">
        <v>29</v>
      </c>
      <c r="B6" s="90"/>
      <c r="C6" s="91"/>
      <c r="D6" s="90"/>
      <c r="E6" s="91"/>
      <c r="F6" s="90"/>
      <c r="G6" s="90"/>
      <c r="H6" s="90"/>
      <c r="I6" s="90"/>
      <c r="J6" s="90"/>
      <c r="K6" s="90"/>
      <c r="L6" s="90"/>
      <c r="M6" s="90"/>
      <c r="N6" s="90"/>
      <c r="O6" s="90"/>
      <c r="P6" s="90"/>
    </row>
    <row r="7" spans="1:16" ht="13" thickBot="1" x14ac:dyDescent="0.3">
      <c r="A7" s="126" t="s">
        <v>10</v>
      </c>
      <c r="B7" s="126" t="s">
        <v>48</v>
      </c>
      <c r="C7" s="126" t="s">
        <v>139</v>
      </c>
      <c r="D7" s="126" t="s">
        <v>63</v>
      </c>
      <c r="E7" s="126" t="s">
        <v>28</v>
      </c>
      <c r="F7" s="90"/>
      <c r="G7" s="90"/>
      <c r="H7" s="90"/>
      <c r="I7" s="90"/>
      <c r="J7" s="90"/>
      <c r="K7" s="90"/>
      <c r="L7" s="90"/>
      <c r="M7" s="90"/>
      <c r="N7" s="90"/>
      <c r="O7" s="90"/>
      <c r="P7" s="90"/>
    </row>
    <row r="8" spans="1:16" x14ac:dyDescent="0.25">
      <c r="A8" s="221" t="s">
        <v>517</v>
      </c>
      <c r="B8" s="222" t="s">
        <v>312</v>
      </c>
      <c r="C8" s="122" t="s">
        <v>337</v>
      </c>
      <c r="D8" s="122"/>
      <c r="E8" s="223" t="s">
        <v>549</v>
      </c>
      <c r="F8" s="90"/>
      <c r="G8" s="90"/>
      <c r="H8" s="90"/>
      <c r="I8" s="90"/>
      <c r="J8" s="90"/>
      <c r="K8" s="90"/>
      <c r="L8" s="90"/>
      <c r="M8" s="90"/>
      <c r="N8" s="90"/>
      <c r="O8" s="90"/>
      <c r="P8" s="90"/>
    </row>
    <row r="9" spans="1:16" x14ac:dyDescent="0.25">
      <c r="A9" s="221" t="s">
        <v>529</v>
      </c>
      <c r="B9" s="222"/>
      <c r="C9" s="122" t="s">
        <v>375</v>
      </c>
      <c r="D9" s="122"/>
      <c r="E9" s="223" t="s">
        <v>548</v>
      </c>
      <c r="F9" s="90"/>
      <c r="G9" s="90"/>
      <c r="H9" s="90"/>
      <c r="I9" s="90"/>
      <c r="J9" s="90"/>
      <c r="K9" s="90"/>
      <c r="L9" s="90"/>
      <c r="M9" s="90"/>
      <c r="N9" s="90"/>
      <c r="O9" s="90"/>
      <c r="P9" s="90"/>
    </row>
    <row r="10" spans="1:16" ht="13" thickBot="1" x14ac:dyDescent="0.3">
      <c r="A10" s="133"/>
      <c r="B10" s="132"/>
      <c r="C10" s="132"/>
      <c r="D10" s="132"/>
      <c r="E10" s="131"/>
      <c r="F10" s="90"/>
      <c r="G10" s="90"/>
      <c r="H10" s="90"/>
      <c r="I10" s="90"/>
      <c r="J10" s="90"/>
      <c r="K10" s="90"/>
      <c r="L10" s="90"/>
      <c r="M10" s="90"/>
      <c r="N10" s="90"/>
      <c r="O10" s="90"/>
      <c r="P10" s="90"/>
    </row>
    <row r="11" spans="1:16" x14ac:dyDescent="0.25">
      <c r="A11" s="93"/>
      <c r="B11" s="90"/>
      <c r="C11" s="91"/>
      <c r="D11" s="91"/>
      <c r="E11" s="91"/>
      <c r="F11" s="90"/>
      <c r="G11" s="91"/>
      <c r="H11" s="91"/>
      <c r="I11" s="91"/>
      <c r="J11" s="90"/>
      <c r="K11" s="90"/>
      <c r="L11" s="90"/>
      <c r="M11" s="90"/>
      <c r="N11" s="90"/>
      <c r="O11" s="90"/>
      <c r="P11" s="90"/>
    </row>
  </sheetData>
  <pageMargins left="0.75" right="0.75" top="1" bottom="1" header="0.5" footer="0.5"/>
  <pageSetup paperSize="9" scale="20" fitToHeight="0" orientation="landscape" horizontalDpi="4294967294"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5C82C-8AA6-46B7-9BE8-E137CAA31D3D}">
  <sheetPr codeName="Sheet41">
    <pageSetUpPr fitToPage="1"/>
  </sheetPr>
  <dimension ref="A1:F9"/>
  <sheetViews>
    <sheetView zoomScale="85" workbookViewId="0"/>
  </sheetViews>
  <sheetFormatPr defaultColWidth="8.81640625" defaultRowHeight="12.5" x14ac:dyDescent="0.25"/>
  <cols>
    <col min="1" max="1" width="46.08984375" style="111" bestFit="1" customWidth="1"/>
    <col min="2" max="2" width="34.81640625" style="92" bestFit="1" customWidth="1"/>
    <col min="3" max="3" width="59.453125" style="92" bestFit="1" customWidth="1"/>
    <col min="4" max="4" width="7.1796875" style="92" bestFit="1" customWidth="1"/>
    <col min="5" max="5" width="50.54296875" style="92" bestFit="1" customWidth="1"/>
    <col min="6" max="6" width="18.08984375" style="92" bestFit="1" customWidth="1"/>
    <col min="7" max="7" width="48.453125" style="92" bestFit="1" customWidth="1"/>
    <col min="8" max="8" width="18.54296875" style="92" bestFit="1" customWidth="1"/>
    <col min="9" max="9" width="11.54296875" style="92" bestFit="1" customWidth="1"/>
    <col min="10" max="10" width="22.36328125" style="92" bestFit="1" customWidth="1"/>
    <col min="11" max="11" width="7.453125" style="92" bestFit="1" customWidth="1"/>
    <col min="12" max="12" width="15.6328125" style="92" bestFit="1" customWidth="1"/>
    <col min="13" max="13" width="11" style="92" bestFit="1" customWidth="1"/>
    <col min="14" max="14" width="14.453125" style="92" bestFit="1" customWidth="1"/>
    <col min="15" max="15" width="11.453125" style="92" bestFit="1" customWidth="1"/>
    <col min="16" max="16" width="9.54296875" style="92" bestFit="1" customWidth="1"/>
    <col min="17" max="17" width="16.54296875" style="92" bestFit="1" customWidth="1"/>
    <col min="18" max="18" width="14.6328125" style="92" bestFit="1" customWidth="1"/>
    <col min="19" max="19" width="10" style="92" bestFit="1" customWidth="1"/>
    <col min="20" max="20" width="9.6328125" style="92" bestFit="1" customWidth="1"/>
    <col min="21" max="21" width="8.453125" style="92" bestFit="1" customWidth="1"/>
    <col min="22" max="22" width="10.6328125" style="92" bestFit="1" customWidth="1"/>
    <col min="23" max="23" width="5.08984375" style="92" bestFit="1" customWidth="1"/>
    <col min="24" max="16384" width="8.81640625" style="92"/>
  </cols>
  <sheetData>
    <row r="1" spans="1:6" ht="18" x14ac:dyDescent="0.4">
      <c r="A1" s="150" t="s">
        <v>174</v>
      </c>
    </row>
    <row r="3" spans="1:6" x14ac:dyDescent="0.25">
      <c r="A3" s="151" t="s">
        <v>51</v>
      </c>
      <c r="B3" s="151" t="s">
        <v>52</v>
      </c>
    </row>
    <row r="4" spans="1:6" x14ac:dyDescent="0.25">
      <c r="A4" s="152"/>
      <c r="B4" s="152">
        <v>0.03</v>
      </c>
    </row>
    <row r="5" spans="1:6" x14ac:dyDescent="0.25">
      <c r="A5" s="90"/>
      <c r="B5" s="90"/>
    </row>
    <row r="6" spans="1:6" ht="15.5" x14ac:dyDescent="0.35">
      <c r="A6" s="98" t="s">
        <v>175</v>
      </c>
      <c r="B6" s="90"/>
      <c r="C6" s="90"/>
      <c r="D6" s="90"/>
      <c r="E6" s="90"/>
      <c r="F6" s="90"/>
    </row>
    <row r="7" spans="1:6" x14ac:dyDescent="0.25">
      <c r="A7" s="229" t="s">
        <v>240</v>
      </c>
      <c r="B7" s="124" t="s">
        <v>176</v>
      </c>
      <c r="C7" s="124" t="s">
        <v>177</v>
      </c>
      <c r="D7" s="124" t="s">
        <v>63</v>
      </c>
      <c r="E7" s="124" t="s">
        <v>28</v>
      </c>
    </row>
    <row r="8" spans="1:6" ht="14.5" x14ac:dyDescent="0.35">
      <c r="A8" s="108" t="s">
        <v>376</v>
      </c>
      <c r="B8" s="148" t="s">
        <v>307</v>
      </c>
      <c r="C8" s="148" t="s">
        <v>377</v>
      </c>
      <c r="D8" s="153"/>
      <c r="E8" s="227" t="s">
        <v>402</v>
      </c>
    </row>
    <row r="9" spans="1:6" ht="14.5" x14ac:dyDescent="0.35">
      <c r="A9" s="103" t="s">
        <v>315</v>
      </c>
      <c r="B9" s="127" t="s">
        <v>307</v>
      </c>
      <c r="C9" s="127" t="s">
        <v>377</v>
      </c>
      <c r="D9" s="103"/>
      <c r="E9" s="227" t="s">
        <v>402</v>
      </c>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DE0BB-BE03-487E-880A-8403414DC18C}">
  <sheetPr codeName="Sheet25">
    <pageSetUpPr fitToPage="1"/>
  </sheetPr>
  <dimension ref="A1:AB63"/>
  <sheetViews>
    <sheetView topLeftCell="D1" zoomScale="85" workbookViewId="0">
      <selection activeCell="A14" sqref="A14:XFD20"/>
    </sheetView>
  </sheetViews>
  <sheetFormatPr defaultRowHeight="12.5" x14ac:dyDescent="0.25"/>
  <cols>
    <col min="1" max="1" width="45.90625" style="68" bestFit="1" customWidth="1"/>
    <col min="2" max="2" width="84.08984375" style="1" bestFit="1" customWidth="1"/>
    <col min="3" max="3" width="25" style="1" bestFit="1" customWidth="1"/>
    <col min="4" max="4" width="63.81640625" style="1" customWidth="1"/>
    <col min="5" max="5" width="59.453125" style="1" bestFit="1" customWidth="1"/>
    <col min="6" max="6" width="50" style="1" customWidth="1"/>
    <col min="7" max="7" width="23" style="1" customWidth="1"/>
    <col min="8" max="8" width="45.36328125" style="1" bestFit="1" customWidth="1"/>
    <col min="9" max="9" width="32.90625" style="1" customWidth="1"/>
    <col min="10" max="10" width="22.36328125" style="67" bestFit="1" customWidth="1"/>
    <col min="11" max="11" width="9.6328125" style="67" bestFit="1" customWidth="1"/>
    <col min="12" max="12" width="17.453125" style="67" bestFit="1" customWidth="1"/>
    <col min="13" max="13" width="14.453125" style="67" bestFit="1" customWidth="1"/>
    <col min="14" max="14" width="11.453125" style="1" bestFit="1" customWidth="1"/>
    <col min="15" max="15" width="9.54296875" style="67" bestFit="1" customWidth="1"/>
    <col min="16" max="16" width="10.453125" style="67" bestFit="1" customWidth="1"/>
    <col min="17" max="17" width="20.1796875" style="67" bestFit="1" customWidth="1"/>
    <col min="18" max="18" width="14.6328125" style="1" customWidth="1"/>
    <col min="19" max="19" width="39.1796875" style="1" bestFit="1" customWidth="1"/>
    <col min="20" max="20" width="9.6328125" style="1" bestFit="1" customWidth="1"/>
    <col min="21" max="21" width="8.453125" style="1" bestFit="1" customWidth="1"/>
    <col min="22" max="22" width="10.6328125" style="1" bestFit="1" customWidth="1"/>
    <col min="23" max="23" width="5.08984375" style="1" bestFit="1" customWidth="1"/>
    <col min="24" max="24" width="15.453125" style="1" bestFit="1" customWidth="1"/>
    <col min="25" max="25" width="10" style="1" bestFit="1" customWidth="1"/>
    <col min="26" max="26" width="59.453125" style="1" bestFit="1" customWidth="1"/>
    <col min="27" max="28" width="8.81640625" style="1"/>
  </cols>
  <sheetData>
    <row r="1" spans="1:28" ht="18" x14ac:dyDescent="0.4">
      <c r="A1" s="2" t="s">
        <v>73</v>
      </c>
      <c r="B1" s="70"/>
      <c r="C1" s="70"/>
      <c r="D1" s="70"/>
      <c r="E1" s="70"/>
      <c r="F1" s="70"/>
      <c r="G1" s="70"/>
      <c r="H1" s="70"/>
      <c r="I1" s="70"/>
      <c r="J1" s="70"/>
      <c r="K1" s="70"/>
      <c r="L1" s="70"/>
      <c r="M1" s="70"/>
      <c r="N1" s="70"/>
      <c r="O1" s="70"/>
      <c r="P1" s="70"/>
      <c r="Q1" s="70"/>
      <c r="R1" s="70"/>
      <c r="S1" s="70"/>
      <c r="T1" s="70"/>
      <c r="U1" s="70"/>
      <c r="V1" s="70"/>
      <c r="W1" s="70"/>
      <c r="X1" s="70"/>
      <c r="Y1" s="70"/>
      <c r="Z1" s="70"/>
      <c r="AA1" s="70"/>
      <c r="AB1" s="70"/>
    </row>
    <row r="2" spans="1:28" x14ac:dyDescent="0.25">
      <c r="A2" s="70"/>
      <c r="B2" s="70"/>
      <c r="C2" s="70"/>
      <c r="D2" s="70"/>
      <c r="E2" s="70"/>
      <c r="F2" s="70"/>
      <c r="G2" s="70"/>
      <c r="H2" s="70"/>
      <c r="I2" s="70"/>
      <c r="J2" s="70"/>
      <c r="K2" s="70"/>
      <c r="L2" s="70"/>
      <c r="M2" s="70"/>
      <c r="N2" s="70"/>
      <c r="O2" s="70"/>
      <c r="P2" s="70"/>
      <c r="Q2" s="70"/>
      <c r="R2" s="70"/>
      <c r="S2" s="70"/>
      <c r="T2" s="70"/>
      <c r="U2" s="70"/>
      <c r="V2" s="70"/>
      <c r="W2" s="70"/>
      <c r="X2" s="70"/>
      <c r="Y2" s="70"/>
      <c r="Z2" s="70"/>
      <c r="AA2" s="70"/>
      <c r="AB2" s="70"/>
    </row>
    <row r="3" spans="1:28" x14ac:dyDescent="0.25">
      <c r="A3" s="30" t="s">
        <v>51</v>
      </c>
      <c r="B3" s="30" t="s">
        <v>52</v>
      </c>
      <c r="C3" s="70"/>
      <c r="D3" s="70"/>
      <c r="E3" s="70"/>
      <c r="F3" s="70"/>
      <c r="G3" s="70"/>
      <c r="H3" s="70"/>
      <c r="I3" s="70"/>
      <c r="J3" s="70"/>
      <c r="K3" s="70"/>
      <c r="L3" s="70"/>
      <c r="M3" s="70"/>
      <c r="N3" s="70"/>
      <c r="O3" s="70"/>
      <c r="P3" s="70"/>
      <c r="Q3" s="70"/>
      <c r="R3" s="70"/>
      <c r="S3" s="70"/>
      <c r="T3" s="70"/>
      <c r="U3" s="70"/>
      <c r="V3" s="70"/>
      <c r="W3" s="70"/>
      <c r="X3" s="70"/>
      <c r="Y3" s="70"/>
      <c r="Z3" s="70"/>
      <c r="AA3" s="70"/>
      <c r="AB3" s="70"/>
    </row>
    <row r="4" spans="1:28" x14ac:dyDescent="0.25">
      <c r="A4" s="31"/>
      <c r="B4" s="31">
        <v>0.2</v>
      </c>
      <c r="C4" s="70"/>
      <c r="D4" s="70"/>
      <c r="E4" s="70"/>
      <c r="F4" s="70"/>
      <c r="G4" s="70"/>
      <c r="H4" s="70"/>
      <c r="I4" s="70"/>
      <c r="J4" s="70"/>
      <c r="K4" s="70"/>
      <c r="L4" s="70"/>
      <c r="M4" s="70"/>
      <c r="N4" s="70"/>
      <c r="O4" s="70"/>
      <c r="P4" s="70"/>
      <c r="Q4" s="70"/>
      <c r="R4" s="70"/>
      <c r="S4" s="70"/>
      <c r="T4" s="70"/>
      <c r="U4" s="70"/>
      <c r="V4" s="70"/>
      <c r="W4" s="70"/>
      <c r="X4" s="70"/>
      <c r="Y4" s="70"/>
      <c r="Z4" s="70"/>
      <c r="AA4" s="70"/>
      <c r="AB4" s="70"/>
    </row>
    <row r="5" spans="1:28" x14ac:dyDescent="0.25">
      <c r="A5" s="1"/>
      <c r="C5" s="70"/>
      <c r="D5" s="70"/>
      <c r="E5" s="70"/>
      <c r="F5" s="70"/>
      <c r="G5" s="70"/>
      <c r="H5" s="70"/>
      <c r="I5" s="70"/>
      <c r="J5" s="70"/>
      <c r="K5" s="70"/>
      <c r="L5" s="70"/>
      <c r="M5" s="70"/>
      <c r="N5" s="70"/>
      <c r="O5" s="70"/>
      <c r="P5" s="70"/>
      <c r="Q5" s="70"/>
      <c r="R5" s="70"/>
      <c r="S5" s="70"/>
      <c r="T5" s="70"/>
      <c r="U5" s="70"/>
      <c r="V5" s="70"/>
      <c r="W5" s="70"/>
      <c r="X5" s="70"/>
      <c r="Y5" s="70"/>
      <c r="Z5" s="70"/>
      <c r="AA5" s="70"/>
      <c r="AB5" s="70"/>
    </row>
    <row r="6" spans="1:28" ht="15.5" x14ac:dyDescent="0.35">
      <c r="A6" s="80" t="s">
        <v>48</v>
      </c>
      <c r="B6" s="69"/>
      <c r="C6" s="70"/>
      <c r="D6" s="70"/>
      <c r="E6" s="70"/>
      <c r="F6" s="70"/>
      <c r="G6" s="70"/>
      <c r="H6" s="70"/>
      <c r="I6" s="70"/>
      <c r="J6" s="70"/>
      <c r="K6" s="70"/>
      <c r="L6" s="70"/>
      <c r="M6" s="70"/>
      <c r="N6" s="70"/>
      <c r="O6" s="70"/>
      <c r="P6" s="70"/>
      <c r="Q6" s="70"/>
      <c r="R6" s="70"/>
      <c r="S6" s="70"/>
      <c r="T6" s="70"/>
      <c r="U6" s="70"/>
      <c r="V6" s="70"/>
      <c r="W6" s="70"/>
      <c r="X6" s="70"/>
      <c r="Y6" s="70"/>
      <c r="Z6" s="70"/>
      <c r="AA6" s="70"/>
      <c r="AB6" s="70"/>
    </row>
    <row r="7" spans="1:28" x14ac:dyDescent="0.25">
      <c r="A7" s="215" t="s">
        <v>10</v>
      </c>
      <c r="B7" s="215" t="s">
        <v>28</v>
      </c>
      <c r="C7" s="70"/>
      <c r="D7" s="70"/>
      <c r="E7" s="70"/>
      <c r="F7" s="70"/>
      <c r="G7" s="70"/>
      <c r="H7" s="70"/>
      <c r="I7" s="70"/>
      <c r="J7" s="70"/>
      <c r="K7" s="70"/>
      <c r="L7" s="70"/>
      <c r="M7" s="70"/>
      <c r="N7" s="70"/>
      <c r="O7" s="70"/>
      <c r="P7" s="70"/>
      <c r="Q7" s="70"/>
      <c r="R7" s="70"/>
      <c r="S7" s="70"/>
      <c r="T7" s="70"/>
      <c r="U7" s="70"/>
      <c r="V7"/>
      <c r="W7"/>
      <c r="X7"/>
      <c r="Y7"/>
      <c r="Z7"/>
      <c r="AA7"/>
      <c r="AB7"/>
    </row>
    <row r="8" spans="1:28" ht="13" customHeight="1" x14ac:dyDescent="0.25">
      <c r="A8" s="73" t="s">
        <v>307</v>
      </c>
      <c r="B8" s="73" t="s">
        <v>550</v>
      </c>
      <c r="C8" s="70"/>
      <c r="D8" s="70"/>
      <c r="E8" s="70"/>
      <c r="F8" s="70"/>
      <c r="G8" s="70"/>
      <c r="H8" s="70"/>
      <c r="I8" s="70"/>
      <c r="J8" s="70"/>
      <c r="K8" s="70"/>
      <c r="L8" s="70"/>
      <c r="M8" s="70"/>
      <c r="N8" s="70"/>
      <c r="O8" s="70"/>
      <c r="P8" s="70"/>
      <c r="Q8" s="70"/>
      <c r="R8" s="70"/>
      <c r="S8" s="70"/>
      <c r="T8" s="70"/>
      <c r="U8" s="70"/>
      <c r="V8"/>
      <c r="W8"/>
      <c r="X8"/>
      <c r="Y8"/>
      <c r="Z8"/>
      <c r="AA8"/>
      <c r="AB8"/>
    </row>
    <row r="9" spans="1:28" x14ac:dyDescent="0.25">
      <c r="B9" s="68"/>
      <c r="C9" s="68"/>
      <c r="D9" s="68"/>
      <c r="E9" s="68"/>
      <c r="F9" s="68"/>
      <c r="G9" s="68"/>
      <c r="H9" s="68"/>
      <c r="I9" s="68"/>
      <c r="J9" s="70"/>
      <c r="K9" s="70"/>
      <c r="L9" s="70"/>
      <c r="M9" s="70"/>
      <c r="N9" s="70"/>
      <c r="O9" s="70"/>
      <c r="P9" s="70"/>
      <c r="Q9" s="70"/>
      <c r="R9" s="70"/>
      <c r="S9" s="70"/>
      <c r="T9" s="70"/>
      <c r="U9" s="70"/>
      <c r="V9" s="70"/>
      <c r="W9" s="70"/>
      <c r="X9" s="70"/>
      <c r="Y9" s="70"/>
      <c r="Z9" s="70"/>
      <c r="AA9" s="70"/>
      <c r="AB9" s="70"/>
    </row>
    <row r="10" spans="1:28" x14ac:dyDescent="0.25">
      <c r="B10" s="68"/>
      <c r="C10" s="68"/>
      <c r="D10" s="68"/>
      <c r="E10" s="68"/>
      <c r="F10" s="68"/>
      <c r="G10" s="68"/>
      <c r="H10" s="68"/>
      <c r="I10" s="68"/>
      <c r="J10" s="70"/>
      <c r="K10" s="70"/>
      <c r="L10" s="70"/>
      <c r="M10" s="70"/>
      <c r="N10" s="70"/>
      <c r="O10" s="70"/>
      <c r="P10" s="70"/>
      <c r="Q10" s="70"/>
      <c r="R10" s="70"/>
      <c r="S10" s="70"/>
      <c r="T10" s="70"/>
      <c r="U10" s="70"/>
      <c r="V10" s="70"/>
      <c r="W10" s="70"/>
      <c r="X10" s="70"/>
      <c r="Y10" s="70"/>
      <c r="Z10" s="70"/>
      <c r="AA10" s="70"/>
      <c r="AB10" s="70"/>
    </row>
    <row r="11" spans="1:28" x14ac:dyDescent="0.25">
      <c r="A11" s="20"/>
      <c r="B11" s="20"/>
      <c r="C11" s="69"/>
      <c r="D11" s="69"/>
      <c r="E11" s="69"/>
      <c r="F11" s="69"/>
      <c r="G11" s="69"/>
      <c r="H11" s="69"/>
      <c r="I11" s="69"/>
      <c r="J11" s="70"/>
      <c r="K11" s="70"/>
      <c r="L11" s="70"/>
      <c r="M11" s="70"/>
      <c r="N11" s="70"/>
      <c r="O11" s="70"/>
      <c r="P11" s="70"/>
      <c r="Q11" s="70"/>
      <c r="R11" s="70"/>
      <c r="S11" s="70"/>
      <c r="T11" s="70"/>
      <c r="U11" s="70"/>
      <c r="V11" s="70"/>
      <c r="W11" s="70"/>
      <c r="X11" s="70"/>
      <c r="Y11" s="70"/>
      <c r="Z11" s="70"/>
      <c r="AA11" s="70"/>
      <c r="AB11" s="70"/>
    </row>
    <row r="12" spans="1:28" ht="16" thickBot="1" x14ac:dyDescent="0.4">
      <c r="A12" s="80" t="s">
        <v>74</v>
      </c>
      <c r="B12" s="69"/>
      <c r="C12" s="69"/>
      <c r="D12" s="69"/>
      <c r="E12" s="69"/>
      <c r="F12" s="69"/>
      <c r="G12" s="69"/>
      <c r="H12" s="69"/>
      <c r="I12" s="69"/>
      <c r="J12" s="70"/>
      <c r="K12" s="70"/>
      <c r="L12" s="70"/>
      <c r="M12" s="70"/>
      <c r="N12" s="70"/>
      <c r="O12" s="70"/>
      <c r="P12" s="70"/>
      <c r="Q12" s="70"/>
      <c r="R12" s="70"/>
      <c r="S12" s="70"/>
      <c r="T12" s="70"/>
      <c r="U12" s="70"/>
      <c r="V12" s="70"/>
      <c r="W12" s="70"/>
      <c r="X12" s="70"/>
      <c r="Y12" s="70"/>
      <c r="Z12" s="70"/>
      <c r="AA12" s="70"/>
      <c r="AB12" s="70"/>
    </row>
    <row r="13" spans="1:28" x14ac:dyDescent="0.25">
      <c r="A13" s="84" t="s">
        <v>245</v>
      </c>
      <c r="B13" s="85" t="s">
        <v>10</v>
      </c>
      <c r="C13" s="85" t="s">
        <v>57</v>
      </c>
      <c r="D13" s="85" t="s">
        <v>56</v>
      </c>
      <c r="E13" s="85" t="s">
        <v>42</v>
      </c>
      <c r="F13" s="85" t="s">
        <v>43</v>
      </c>
      <c r="G13" s="85" t="s">
        <v>58</v>
      </c>
      <c r="H13" s="85" t="s">
        <v>59</v>
      </c>
      <c r="I13" s="85" t="s">
        <v>60</v>
      </c>
      <c r="J13" s="85" t="s">
        <v>61</v>
      </c>
      <c r="K13" s="85" t="s">
        <v>62</v>
      </c>
      <c r="L13" s="85" t="s">
        <v>63</v>
      </c>
      <c r="M13" s="85" t="s">
        <v>64</v>
      </c>
      <c r="N13" s="85" t="s">
        <v>65</v>
      </c>
      <c r="O13" s="85" t="s">
        <v>66</v>
      </c>
      <c r="P13" s="85" t="s">
        <v>67</v>
      </c>
      <c r="Q13" s="85" t="s">
        <v>38</v>
      </c>
      <c r="R13" s="85" t="s">
        <v>68</v>
      </c>
      <c r="S13" s="85" t="s">
        <v>69</v>
      </c>
      <c r="T13" s="85" t="s">
        <v>70</v>
      </c>
      <c r="U13" s="85" t="s">
        <v>24</v>
      </c>
      <c r="V13" s="85" t="s">
        <v>39</v>
      </c>
      <c r="W13" s="85" t="s">
        <v>71</v>
      </c>
      <c r="X13" s="85" t="s">
        <v>44</v>
      </c>
      <c r="Y13" s="85" t="s">
        <v>72</v>
      </c>
      <c r="Z13" s="85" t="s">
        <v>28</v>
      </c>
      <c r="AA13" s="70"/>
      <c r="AB13" s="70"/>
    </row>
    <row r="14" spans="1:28" s="247" customFormat="1" ht="15.75" customHeight="1" x14ac:dyDescent="0.25">
      <c r="A14" s="244" t="s">
        <v>315</v>
      </c>
      <c r="B14" s="245" t="s">
        <v>308</v>
      </c>
      <c r="C14" s="245"/>
      <c r="D14" s="245"/>
      <c r="E14" s="245"/>
      <c r="F14" s="245" t="s">
        <v>423</v>
      </c>
      <c r="G14" s="245"/>
      <c r="H14" s="245"/>
      <c r="I14" s="245"/>
      <c r="J14" s="245" t="s">
        <v>297</v>
      </c>
      <c r="K14" s="245"/>
      <c r="L14" s="245"/>
      <c r="M14" s="245"/>
      <c r="N14" s="245"/>
      <c r="O14" s="245"/>
      <c r="P14" s="245"/>
      <c r="Q14" s="245"/>
      <c r="R14" s="245"/>
      <c r="S14" s="245"/>
      <c r="T14" s="245"/>
      <c r="U14" s="245"/>
      <c r="V14" s="245"/>
      <c r="W14" s="245"/>
      <c r="X14" s="245" t="s">
        <v>309</v>
      </c>
      <c r="Y14" s="245" t="s">
        <v>310</v>
      </c>
      <c r="Z14" s="245" t="s">
        <v>396</v>
      </c>
      <c r="AA14" s="246"/>
      <c r="AB14" s="246"/>
    </row>
    <row r="15" spans="1:28" s="247" customFormat="1" ht="15.75" customHeight="1" x14ac:dyDescent="0.25">
      <c r="A15" s="244" t="s">
        <v>315</v>
      </c>
      <c r="B15" s="245" t="s">
        <v>311</v>
      </c>
      <c r="C15" s="245"/>
      <c r="D15" s="245"/>
      <c r="E15" s="245"/>
      <c r="F15" s="245" t="s">
        <v>424</v>
      </c>
      <c r="G15" s="245"/>
      <c r="H15" s="245"/>
      <c r="I15" s="245"/>
      <c r="J15" s="245" t="s">
        <v>297</v>
      </c>
      <c r="K15" s="245"/>
      <c r="L15" s="245"/>
      <c r="M15" s="245"/>
      <c r="N15" s="245"/>
      <c r="O15" s="245"/>
      <c r="P15" s="245"/>
      <c r="Q15" s="245"/>
      <c r="R15" s="245"/>
      <c r="S15" s="245"/>
      <c r="T15" s="245"/>
      <c r="U15" s="245"/>
      <c r="V15" s="245"/>
      <c r="W15" s="245"/>
      <c r="X15" s="245" t="s">
        <v>309</v>
      </c>
      <c r="Y15" s="245" t="s">
        <v>310</v>
      </c>
      <c r="Z15" s="245" t="s">
        <v>396</v>
      </c>
      <c r="AA15" s="246"/>
      <c r="AB15" s="246"/>
    </row>
    <row r="16" spans="1:28" s="247" customFormat="1" ht="15.75" customHeight="1" x14ac:dyDescent="0.25">
      <c r="A16" s="244" t="s">
        <v>315</v>
      </c>
      <c r="B16" s="245" t="s">
        <v>472</v>
      </c>
      <c r="C16" s="245" t="s">
        <v>297</v>
      </c>
      <c r="D16" s="245" t="s">
        <v>473</v>
      </c>
      <c r="E16" s="245"/>
      <c r="F16" s="245"/>
      <c r="G16" s="245"/>
      <c r="H16" s="245"/>
      <c r="I16" s="245"/>
      <c r="J16" s="245"/>
      <c r="K16" s="245"/>
      <c r="L16" s="245"/>
      <c r="M16" s="245"/>
      <c r="N16" s="245"/>
      <c r="O16" s="245"/>
      <c r="P16" s="245"/>
      <c r="Q16" s="245"/>
      <c r="R16" s="245"/>
      <c r="S16" s="245"/>
      <c r="T16" s="245"/>
      <c r="U16" s="245"/>
      <c r="V16" s="245"/>
      <c r="W16" s="245"/>
      <c r="X16" s="245" t="s">
        <v>309</v>
      </c>
      <c r="Y16" s="245"/>
      <c r="Z16" s="245" t="s">
        <v>396</v>
      </c>
      <c r="AA16" s="246"/>
      <c r="AB16" s="246"/>
    </row>
    <row r="17" spans="1:28" s="247" customFormat="1" ht="15.75" customHeight="1" x14ac:dyDescent="0.25">
      <c r="A17" s="244" t="s">
        <v>315</v>
      </c>
      <c r="B17" s="245" t="s">
        <v>474</v>
      </c>
      <c r="C17" s="245"/>
      <c r="D17" s="245"/>
      <c r="E17" s="245"/>
      <c r="F17" s="245"/>
      <c r="G17" s="245"/>
      <c r="H17" s="245" t="s">
        <v>316</v>
      </c>
      <c r="I17" s="245"/>
      <c r="J17" s="245"/>
      <c r="K17" s="245"/>
      <c r="L17" s="245"/>
      <c r="M17" s="245"/>
      <c r="N17" s="245" t="s">
        <v>475</v>
      </c>
      <c r="O17" s="245" t="s">
        <v>297</v>
      </c>
      <c r="P17" s="245"/>
      <c r="Q17" s="245"/>
      <c r="R17" s="245"/>
      <c r="S17" s="245"/>
      <c r="T17" s="245"/>
      <c r="U17" s="245"/>
      <c r="V17" s="245"/>
      <c r="W17" s="245"/>
      <c r="X17" s="245"/>
      <c r="Y17" s="245"/>
      <c r="Z17" s="245" t="s">
        <v>396</v>
      </c>
      <c r="AA17" s="246"/>
      <c r="AB17" s="246"/>
    </row>
    <row r="18" spans="1:28" s="247" customFormat="1" ht="15.75" customHeight="1" x14ac:dyDescent="0.25">
      <c r="A18" s="244" t="s">
        <v>315</v>
      </c>
      <c r="B18" s="245" t="s">
        <v>476</v>
      </c>
      <c r="C18" s="245" t="s">
        <v>297</v>
      </c>
      <c r="D18" s="245" t="s">
        <v>477</v>
      </c>
      <c r="E18" s="245"/>
      <c r="F18" s="245"/>
      <c r="G18" s="245"/>
      <c r="H18" s="245"/>
      <c r="I18" s="245"/>
      <c r="J18" s="245"/>
      <c r="K18" s="245"/>
      <c r="L18" s="245"/>
      <c r="M18" s="245"/>
      <c r="N18" s="245"/>
      <c r="O18" s="245"/>
      <c r="P18" s="245"/>
      <c r="Q18" s="245"/>
      <c r="R18" s="245"/>
      <c r="S18" s="245"/>
      <c r="T18" s="245"/>
      <c r="U18" s="245"/>
      <c r="V18" s="245"/>
      <c r="W18" s="245"/>
      <c r="X18" s="245" t="s">
        <v>309</v>
      </c>
      <c r="Y18" s="245"/>
      <c r="Z18" s="245" t="s">
        <v>396</v>
      </c>
      <c r="AA18" s="246"/>
      <c r="AB18" s="246"/>
    </row>
    <row r="19" spans="1:28" s="247" customFormat="1" ht="15.75" customHeight="1" x14ac:dyDescent="0.25">
      <c r="A19" s="244" t="s">
        <v>306</v>
      </c>
      <c r="B19" s="245" t="s">
        <v>308</v>
      </c>
      <c r="C19" s="245"/>
      <c r="D19" s="245"/>
      <c r="E19" s="245"/>
      <c r="F19" s="245" t="s">
        <v>423</v>
      </c>
      <c r="G19" s="245"/>
      <c r="H19" s="245"/>
      <c r="I19" s="245"/>
      <c r="J19" s="245" t="s">
        <v>297</v>
      </c>
      <c r="K19" s="245"/>
      <c r="L19" s="245"/>
      <c r="M19" s="245"/>
      <c r="N19" s="245"/>
      <c r="O19" s="245"/>
      <c r="P19" s="245"/>
      <c r="Q19" s="245"/>
      <c r="R19" s="245"/>
      <c r="S19" s="245"/>
      <c r="T19" s="245"/>
      <c r="U19" s="245"/>
      <c r="V19" s="245"/>
      <c r="W19" s="245"/>
      <c r="X19" s="245" t="s">
        <v>309</v>
      </c>
      <c r="Y19" s="245"/>
      <c r="Z19" s="245" t="s">
        <v>396</v>
      </c>
      <c r="AA19" s="246"/>
      <c r="AB19" s="246"/>
    </row>
    <row r="20" spans="1:28" s="247" customFormat="1" ht="15.75" customHeight="1" x14ac:dyDescent="0.25">
      <c r="A20" s="244" t="s">
        <v>306</v>
      </c>
      <c r="B20" s="245" t="s">
        <v>311</v>
      </c>
      <c r="C20" s="245"/>
      <c r="D20" s="245"/>
      <c r="E20" s="245"/>
      <c r="F20" s="245" t="s">
        <v>424</v>
      </c>
      <c r="G20" s="245"/>
      <c r="H20" s="245"/>
      <c r="I20" s="245"/>
      <c r="J20" s="245" t="s">
        <v>297</v>
      </c>
      <c r="K20" s="245"/>
      <c r="L20" s="245"/>
      <c r="M20" s="245"/>
      <c r="N20" s="245"/>
      <c r="O20" s="245"/>
      <c r="P20" s="245"/>
      <c r="Q20" s="245"/>
      <c r="R20" s="245"/>
      <c r="S20" s="245"/>
      <c r="T20" s="245"/>
      <c r="U20" s="245"/>
      <c r="V20" s="245"/>
      <c r="W20" s="245"/>
      <c r="X20" s="245" t="s">
        <v>309</v>
      </c>
      <c r="Y20" s="245"/>
      <c r="Z20" s="245" t="s">
        <v>396</v>
      </c>
      <c r="AA20" s="246"/>
      <c r="AB20" s="246"/>
    </row>
    <row r="21" spans="1:28" ht="15.75" customHeight="1" x14ac:dyDescent="0.25">
      <c r="A21" s="86" t="s">
        <v>312</v>
      </c>
      <c r="B21" s="87" t="s">
        <v>334</v>
      </c>
      <c r="C21" s="87"/>
      <c r="D21" s="87"/>
      <c r="E21" s="87"/>
      <c r="F21" s="87" t="s">
        <v>478</v>
      </c>
      <c r="G21" s="87"/>
      <c r="H21" s="87"/>
      <c r="I21" s="87"/>
      <c r="J21" s="87"/>
      <c r="K21" s="87"/>
      <c r="L21" s="87"/>
      <c r="M21" s="87"/>
      <c r="N21" s="87"/>
      <c r="O21" s="87"/>
      <c r="P21" s="87"/>
      <c r="Q21" s="87" t="s">
        <v>480</v>
      </c>
      <c r="R21" s="87"/>
      <c r="S21" s="87"/>
      <c r="T21" s="87"/>
      <c r="U21" s="87"/>
      <c r="V21" s="87"/>
      <c r="W21" s="87">
        <v>30</v>
      </c>
      <c r="X21" s="87" t="s">
        <v>314</v>
      </c>
      <c r="Y21" s="87"/>
      <c r="Z21" s="87" t="s">
        <v>396</v>
      </c>
      <c r="AA21" s="70"/>
      <c r="AB21" s="70"/>
    </row>
    <row r="22" spans="1:28" ht="34.25" customHeight="1" x14ac:dyDescent="0.25">
      <c r="A22" s="86" t="s">
        <v>312</v>
      </c>
      <c r="B22" s="87" t="s">
        <v>494</v>
      </c>
      <c r="C22" s="87" t="s">
        <v>297</v>
      </c>
      <c r="D22" s="213" t="s">
        <v>496</v>
      </c>
      <c r="E22" s="87"/>
      <c r="F22" s="87"/>
      <c r="G22" s="87"/>
      <c r="H22" s="87"/>
      <c r="I22" s="87"/>
      <c r="J22" s="87"/>
      <c r="K22" s="87"/>
      <c r="L22" s="87"/>
      <c r="M22" s="87"/>
      <c r="N22" s="87"/>
      <c r="O22" s="87"/>
      <c r="P22" s="87"/>
      <c r="Q22" s="87"/>
      <c r="R22" s="87"/>
      <c r="S22" s="87"/>
      <c r="T22" s="87"/>
      <c r="U22" s="87"/>
      <c r="V22" s="87"/>
      <c r="W22" s="87"/>
      <c r="X22" s="87" t="s">
        <v>497</v>
      </c>
      <c r="Y22" s="87"/>
      <c r="Z22" s="87" t="s">
        <v>396</v>
      </c>
      <c r="AA22" s="70"/>
      <c r="AB22" s="70"/>
    </row>
    <row r="23" spans="1:28" ht="25" x14ac:dyDescent="0.25">
      <c r="A23" s="86" t="s">
        <v>312</v>
      </c>
      <c r="B23" s="87" t="s">
        <v>499</v>
      </c>
      <c r="C23" s="87" t="s">
        <v>297</v>
      </c>
      <c r="D23" s="213" t="s">
        <v>500</v>
      </c>
      <c r="E23" s="87"/>
      <c r="F23" s="87"/>
      <c r="G23" s="87"/>
      <c r="H23" s="87"/>
      <c r="I23" s="87"/>
      <c r="J23" s="87"/>
      <c r="K23" s="87"/>
      <c r="L23" s="87"/>
      <c r="M23" s="87"/>
      <c r="N23" s="87"/>
      <c r="O23" s="87"/>
      <c r="P23" s="87"/>
      <c r="Q23" s="87"/>
      <c r="R23" s="87"/>
      <c r="S23" s="87"/>
      <c r="T23" s="87"/>
      <c r="U23" s="87"/>
      <c r="V23" s="87"/>
      <c r="W23" s="87"/>
      <c r="X23" s="87" t="s">
        <v>497</v>
      </c>
      <c r="Y23" s="87"/>
      <c r="Z23" s="87" t="s">
        <v>396</v>
      </c>
      <c r="AA23" s="70"/>
      <c r="AB23" s="70"/>
    </row>
    <row r="24" spans="1:28" ht="15.75" customHeight="1" x14ac:dyDescent="0.25">
      <c r="A24" s="86" t="s">
        <v>312</v>
      </c>
      <c r="B24" s="87" t="s">
        <v>520</v>
      </c>
      <c r="C24" s="87"/>
      <c r="D24" s="87"/>
      <c r="E24" s="87"/>
      <c r="F24" s="87" t="s">
        <v>518</v>
      </c>
      <c r="G24" s="87"/>
      <c r="H24" s="87"/>
      <c r="I24" s="87"/>
      <c r="J24" s="87"/>
      <c r="K24" s="87"/>
      <c r="L24" s="87"/>
      <c r="M24" s="87"/>
      <c r="N24" s="87"/>
      <c r="O24" s="87"/>
      <c r="P24" s="87"/>
      <c r="Q24" s="87"/>
      <c r="R24" s="87"/>
      <c r="S24" s="87"/>
      <c r="T24" s="87"/>
      <c r="U24" s="87"/>
      <c r="V24" s="87"/>
      <c r="W24" s="87">
        <v>15</v>
      </c>
      <c r="X24" s="87" t="s">
        <v>319</v>
      </c>
      <c r="Y24" s="87"/>
      <c r="Z24" s="87" t="s">
        <v>396</v>
      </c>
      <c r="AA24" s="70"/>
      <c r="AB24" s="70"/>
    </row>
    <row r="25" spans="1:28" ht="15.75" customHeight="1" x14ac:dyDescent="0.25">
      <c r="A25" s="86" t="s">
        <v>312</v>
      </c>
      <c r="B25" s="87" t="s">
        <v>523</v>
      </c>
      <c r="C25" s="87"/>
      <c r="D25" s="87"/>
      <c r="E25" s="87" t="s">
        <v>519</v>
      </c>
      <c r="F25" s="87" t="s">
        <v>524</v>
      </c>
      <c r="G25" s="87"/>
      <c r="H25" s="87"/>
      <c r="I25" s="87"/>
      <c r="J25" s="87"/>
      <c r="K25" s="87"/>
      <c r="L25" s="87"/>
      <c r="M25" s="87"/>
      <c r="N25" s="87"/>
      <c r="O25" s="87"/>
      <c r="P25" s="87"/>
      <c r="Q25" s="87"/>
      <c r="R25" s="87"/>
      <c r="S25" s="87"/>
      <c r="T25" s="87"/>
      <c r="U25" s="87"/>
      <c r="V25" s="87"/>
      <c r="W25" s="87"/>
      <c r="X25" s="87" t="s">
        <v>319</v>
      </c>
      <c r="Y25" s="87"/>
      <c r="Z25" s="87" t="s">
        <v>396</v>
      </c>
      <c r="AA25" s="70"/>
      <c r="AB25" s="70"/>
    </row>
    <row r="26" spans="1:28" ht="15.75" customHeight="1" x14ac:dyDescent="0.25">
      <c r="A26" s="86" t="s">
        <v>312</v>
      </c>
      <c r="B26" s="87" t="s">
        <v>521</v>
      </c>
      <c r="C26" s="87"/>
      <c r="D26" s="87"/>
      <c r="E26" s="163" t="s">
        <v>525</v>
      </c>
      <c r="F26" s="87" t="s">
        <v>318</v>
      </c>
      <c r="G26" s="87"/>
      <c r="H26" s="87"/>
      <c r="I26" s="87"/>
      <c r="J26" s="87"/>
      <c r="K26" s="87"/>
      <c r="L26" s="87"/>
      <c r="M26" s="87"/>
      <c r="N26" s="87"/>
      <c r="O26" s="87"/>
      <c r="P26" s="87"/>
      <c r="Q26" s="87" t="s">
        <v>522</v>
      </c>
      <c r="R26" s="87"/>
      <c r="S26" s="87"/>
      <c r="T26" s="87"/>
      <c r="U26" s="87"/>
      <c r="V26" s="87"/>
      <c r="W26" s="87"/>
      <c r="X26" s="87" t="s">
        <v>314</v>
      </c>
      <c r="Y26" s="87"/>
      <c r="Z26" s="87" t="s">
        <v>396</v>
      </c>
      <c r="AA26" s="70"/>
      <c r="AB26" s="70"/>
    </row>
    <row r="27" spans="1:28" ht="15.75" customHeight="1" x14ac:dyDescent="0.25">
      <c r="A27" s="86" t="s">
        <v>317</v>
      </c>
      <c r="B27" s="87" t="s">
        <v>520</v>
      </c>
      <c r="C27" s="87"/>
      <c r="D27" s="87"/>
      <c r="E27" s="87"/>
      <c r="F27" s="87" t="s">
        <v>518</v>
      </c>
      <c r="G27" s="87"/>
      <c r="H27" s="87"/>
      <c r="I27" s="87"/>
      <c r="J27" s="87"/>
      <c r="K27" s="87"/>
      <c r="L27" s="87"/>
      <c r="M27" s="87"/>
      <c r="N27" s="87"/>
      <c r="O27" s="87"/>
      <c r="P27" s="87"/>
      <c r="Q27" s="87"/>
      <c r="R27" s="87"/>
      <c r="S27" s="87"/>
      <c r="T27" s="87"/>
      <c r="U27" s="87"/>
      <c r="V27" s="87"/>
      <c r="W27" s="87">
        <v>15</v>
      </c>
      <c r="X27" s="87" t="s">
        <v>319</v>
      </c>
      <c r="Y27" s="87"/>
      <c r="Z27" s="87" t="s">
        <v>396</v>
      </c>
      <c r="AA27" s="70"/>
      <c r="AB27" s="70"/>
    </row>
    <row r="28" spans="1:28" ht="15.75" customHeight="1" x14ac:dyDescent="0.25">
      <c r="A28" s="86" t="s">
        <v>317</v>
      </c>
      <c r="B28" s="87" t="s">
        <v>523</v>
      </c>
      <c r="C28" s="87"/>
      <c r="D28" s="87"/>
      <c r="E28" s="87" t="s">
        <v>519</v>
      </c>
      <c r="F28" s="87" t="s">
        <v>524</v>
      </c>
      <c r="G28" s="87"/>
      <c r="H28" s="87"/>
      <c r="I28" s="87"/>
      <c r="J28" s="87"/>
      <c r="K28" s="87"/>
      <c r="L28" s="87"/>
      <c r="M28" s="87"/>
      <c r="N28" s="87"/>
      <c r="O28" s="87"/>
      <c r="P28" s="87"/>
      <c r="Q28" s="87"/>
      <c r="R28" s="87"/>
      <c r="S28" s="87"/>
      <c r="T28" s="87"/>
      <c r="U28" s="87"/>
      <c r="V28" s="87"/>
      <c r="W28" s="87"/>
      <c r="X28" s="87" t="s">
        <v>319</v>
      </c>
      <c r="Y28" s="87"/>
      <c r="Z28" s="87" t="s">
        <v>396</v>
      </c>
      <c r="AA28" s="70"/>
      <c r="AB28" s="70"/>
    </row>
    <row r="29" spans="1:28" ht="15.75" customHeight="1" x14ac:dyDescent="0.25">
      <c r="A29" s="86" t="s">
        <v>317</v>
      </c>
      <c r="B29" s="87" t="s">
        <v>521</v>
      </c>
      <c r="C29" s="87"/>
      <c r="D29" s="87"/>
      <c r="E29" s="163" t="s">
        <v>525</v>
      </c>
      <c r="F29" s="87" t="s">
        <v>318</v>
      </c>
      <c r="G29" s="87"/>
      <c r="H29" s="87"/>
      <c r="I29" s="87"/>
      <c r="J29" s="87"/>
      <c r="K29" s="87"/>
      <c r="L29" s="87"/>
      <c r="M29" s="87"/>
      <c r="N29" s="87"/>
      <c r="O29" s="87"/>
      <c r="P29" s="87"/>
      <c r="Q29" s="87" t="s">
        <v>522</v>
      </c>
      <c r="R29" s="87"/>
      <c r="S29" s="87"/>
      <c r="T29" s="87"/>
      <c r="U29" s="87"/>
      <c r="V29" s="87"/>
      <c r="W29" s="87"/>
      <c r="X29" s="87" t="s">
        <v>314</v>
      </c>
      <c r="Y29" s="87"/>
      <c r="Z29" s="87" t="s">
        <v>396</v>
      </c>
      <c r="AA29" s="70"/>
      <c r="AB29" s="70"/>
    </row>
    <row r="30" spans="1:28" ht="14.5" x14ac:dyDescent="0.35">
      <c r="A30" s="71"/>
      <c r="B30" s="71"/>
      <c r="C30" s="71"/>
      <c r="D30" s="71"/>
      <c r="E30" s="71"/>
      <c r="F30" s="71"/>
      <c r="G30" s="71"/>
      <c r="H30" s="71"/>
      <c r="I30" s="71"/>
      <c r="J30" s="71"/>
      <c r="K30" s="71"/>
      <c r="L30" s="71"/>
      <c r="M30" s="71"/>
      <c r="N30" s="71"/>
      <c r="O30" s="71"/>
      <c r="P30" s="71"/>
      <c r="Q30" s="71"/>
      <c r="R30" s="71"/>
      <c r="S30" s="28"/>
      <c r="T30" s="69"/>
      <c r="U30" s="69"/>
      <c r="V30" s="69"/>
      <c r="W30" s="69"/>
      <c r="X30" s="69"/>
      <c r="Y30" s="69"/>
      <c r="Z30" s="70"/>
      <c r="AA30" s="70"/>
      <c r="AB30" s="70"/>
    </row>
    <row r="31" spans="1:28" x14ac:dyDescent="0.25">
      <c r="A31" s="71"/>
      <c r="B31" s="71"/>
      <c r="C31" s="71"/>
      <c r="D31" s="71"/>
      <c r="E31" s="71"/>
      <c r="F31" s="70"/>
      <c r="G31" s="70"/>
      <c r="H31" s="70"/>
      <c r="I31" s="70"/>
      <c r="J31" s="70"/>
      <c r="K31" s="70"/>
      <c r="L31" s="70"/>
      <c r="M31" s="70"/>
      <c r="N31" s="70"/>
      <c r="O31" s="70"/>
      <c r="P31" s="70"/>
      <c r="Q31" s="70"/>
      <c r="R31" s="70"/>
      <c r="S31" s="70"/>
      <c r="T31" s="70"/>
      <c r="U31" s="70"/>
      <c r="V31" s="70"/>
      <c r="W31" s="70"/>
      <c r="X31" s="70"/>
      <c r="Y31" s="70"/>
      <c r="Z31" s="70"/>
      <c r="AA31" s="70"/>
      <c r="AB31" s="70"/>
    </row>
    <row r="32" spans="1:28" ht="15.75" customHeight="1" x14ac:dyDescent="0.3">
      <c r="A32" s="88" t="s">
        <v>77</v>
      </c>
      <c r="B32" s="71"/>
      <c r="C32" s="71"/>
      <c r="D32" s="71"/>
      <c r="E32" s="71"/>
      <c r="F32" s="71"/>
      <c r="G32" s="71"/>
      <c r="H32" s="71"/>
      <c r="I32" s="70"/>
      <c r="J32" s="70"/>
      <c r="K32" s="70"/>
      <c r="L32" s="70"/>
      <c r="M32" s="70"/>
      <c r="N32" s="70"/>
      <c r="O32" s="70"/>
      <c r="P32" s="70"/>
      <c r="Q32" s="70"/>
      <c r="R32" s="70"/>
      <c r="S32" s="70"/>
      <c r="T32" s="70"/>
      <c r="U32" s="70"/>
      <c r="V32" s="70"/>
      <c r="W32" s="70"/>
      <c r="X32" s="70"/>
      <c r="Y32" s="70"/>
      <c r="Z32" s="70"/>
      <c r="AA32" s="70"/>
      <c r="AB32" s="70"/>
    </row>
    <row r="33" spans="1:28" ht="13" x14ac:dyDescent="0.3">
      <c r="A33" s="215" t="s">
        <v>245</v>
      </c>
      <c r="B33" s="216" t="s">
        <v>92</v>
      </c>
      <c r="C33" s="29" t="s">
        <v>5</v>
      </c>
      <c r="D33" s="54" t="s">
        <v>78</v>
      </c>
      <c r="E33" s="29" t="s">
        <v>79</v>
      </c>
      <c r="F33" s="70"/>
      <c r="G33" s="70"/>
      <c r="H33" s="70"/>
      <c r="I33" s="70"/>
      <c r="J33" s="70"/>
      <c r="K33" s="70"/>
      <c r="L33" s="70"/>
      <c r="M33" s="70"/>
      <c r="N33" s="70"/>
      <c r="O33" s="70"/>
      <c r="P33" s="70"/>
      <c r="Q33" s="70"/>
      <c r="R33" s="70"/>
      <c r="S33" s="70"/>
      <c r="T33" s="70"/>
      <c r="U33" s="70"/>
      <c r="V33" s="70"/>
      <c r="W33" s="70"/>
      <c r="X33" s="70"/>
      <c r="Y33"/>
      <c r="Z33"/>
      <c r="AA33"/>
      <c r="AB33"/>
    </row>
    <row r="34" spans="1:28" ht="15.75" customHeight="1" x14ac:dyDescent="0.25">
      <c r="A34" s="86" t="s">
        <v>312</v>
      </c>
      <c r="B34" s="87" t="s">
        <v>334</v>
      </c>
      <c r="C34" s="87" t="s">
        <v>334</v>
      </c>
      <c r="D34" s="87"/>
      <c r="E34" s="87" t="s">
        <v>75</v>
      </c>
      <c r="F34" s="70"/>
      <c r="G34" s="70"/>
      <c r="H34" s="70"/>
      <c r="I34" s="70"/>
      <c r="J34" s="70"/>
      <c r="K34" s="70"/>
      <c r="L34" s="70"/>
      <c r="M34" s="70"/>
      <c r="N34" s="70"/>
      <c r="O34" s="70"/>
      <c r="P34" s="70"/>
      <c r="Q34" s="70"/>
      <c r="R34" s="70"/>
      <c r="S34" s="70"/>
      <c r="T34" s="70"/>
      <c r="U34" s="70"/>
      <c r="V34" s="70"/>
      <c r="W34" s="70"/>
      <c r="X34" s="70"/>
      <c r="Y34"/>
      <c r="Z34"/>
      <c r="AA34"/>
      <c r="AB34"/>
    </row>
    <row r="35" spans="1:28" x14ac:dyDescent="0.25">
      <c r="A35" s="86" t="s">
        <v>312</v>
      </c>
      <c r="B35" s="87" t="s">
        <v>521</v>
      </c>
      <c r="C35" s="87" t="s">
        <v>520</v>
      </c>
      <c r="D35" s="87"/>
      <c r="E35" s="87" t="s">
        <v>378</v>
      </c>
      <c r="F35" s="70"/>
      <c r="G35" s="70"/>
      <c r="H35" s="70"/>
      <c r="I35" s="70"/>
      <c r="J35" s="70"/>
      <c r="K35" s="70"/>
      <c r="L35" s="70"/>
      <c r="M35" s="70"/>
      <c r="N35" s="70"/>
      <c r="O35" s="70"/>
      <c r="P35" s="70"/>
      <c r="Q35" s="70"/>
      <c r="R35" s="70"/>
      <c r="S35" s="70"/>
      <c r="T35" s="70"/>
      <c r="U35" s="70"/>
      <c r="V35" s="70"/>
      <c r="W35" s="70"/>
      <c r="X35" s="70"/>
      <c r="Y35"/>
      <c r="Z35"/>
      <c r="AA35"/>
      <c r="AB35"/>
    </row>
    <row r="36" spans="1:28" ht="15.75" customHeight="1" x14ac:dyDescent="0.25">
      <c r="A36" s="86" t="s">
        <v>312</v>
      </c>
      <c r="B36" s="87" t="s">
        <v>521</v>
      </c>
      <c r="C36" s="87" t="s">
        <v>523</v>
      </c>
      <c r="D36" s="87"/>
      <c r="E36" s="87" t="s">
        <v>526</v>
      </c>
      <c r="F36" s="70"/>
      <c r="G36" s="70"/>
      <c r="H36" s="70"/>
      <c r="I36" s="70"/>
      <c r="J36" s="70"/>
      <c r="K36" s="70"/>
      <c r="L36" s="70"/>
      <c r="M36" s="70"/>
      <c r="N36" s="70"/>
      <c r="O36" s="70"/>
      <c r="P36" s="70"/>
      <c r="Q36" s="70"/>
      <c r="R36" s="70"/>
      <c r="S36" s="70"/>
      <c r="T36" s="70"/>
      <c r="U36" s="70"/>
      <c r="V36" s="70"/>
      <c r="W36" s="70"/>
      <c r="X36" s="70"/>
      <c r="Y36"/>
      <c r="Z36"/>
      <c r="AA36"/>
      <c r="AB36"/>
    </row>
    <row r="37" spans="1:28" ht="15.75" customHeight="1" x14ac:dyDescent="0.25">
      <c r="A37" s="86" t="s">
        <v>312</v>
      </c>
      <c r="B37" s="87" t="s">
        <v>521</v>
      </c>
      <c r="C37" s="87" t="s">
        <v>521</v>
      </c>
      <c r="D37" s="87"/>
      <c r="E37" s="87" t="s">
        <v>335</v>
      </c>
      <c r="F37" s="70"/>
      <c r="G37" s="70"/>
      <c r="H37" s="70"/>
      <c r="I37" s="70"/>
      <c r="J37" s="70"/>
      <c r="K37" s="70"/>
      <c r="L37" s="70"/>
      <c r="M37" s="70"/>
      <c r="N37" s="70"/>
      <c r="O37" s="70"/>
      <c r="P37" s="70"/>
      <c r="Q37" s="70"/>
      <c r="R37" s="70"/>
      <c r="S37" s="70"/>
      <c r="T37" s="70"/>
      <c r="U37" s="70"/>
      <c r="V37" s="70"/>
      <c r="W37" s="70"/>
      <c r="X37" s="70"/>
      <c r="Y37"/>
      <c r="Z37"/>
      <c r="AA37"/>
      <c r="AB37"/>
    </row>
    <row r="38" spans="1:28" ht="15.75" customHeight="1" x14ac:dyDescent="0.25">
      <c r="A38" s="86" t="s">
        <v>312</v>
      </c>
      <c r="B38" s="87" t="s">
        <v>521</v>
      </c>
      <c r="C38" s="87" t="s">
        <v>380</v>
      </c>
      <c r="D38" s="87" t="s">
        <v>297</v>
      </c>
      <c r="E38" s="87" t="s">
        <v>380</v>
      </c>
      <c r="F38" s="70"/>
      <c r="G38" s="70"/>
      <c r="H38" s="70"/>
      <c r="I38" s="70"/>
      <c r="J38" s="70"/>
      <c r="K38" s="70"/>
      <c r="L38" s="70"/>
      <c r="M38" s="70"/>
      <c r="N38" s="70"/>
      <c r="O38" s="70"/>
      <c r="P38" s="70"/>
      <c r="Q38" s="70"/>
      <c r="R38" s="70"/>
      <c r="S38" s="70"/>
      <c r="T38" s="70"/>
      <c r="U38" s="70"/>
      <c r="V38" s="70"/>
      <c r="W38" s="70"/>
      <c r="X38" s="70"/>
      <c r="Y38"/>
      <c r="Z38"/>
      <c r="AA38"/>
      <c r="AB38"/>
    </row>
    <row r="39" spans="1:28" x14ac:dyDescent="0.25">
      <c r="A39" s="86" t="s">
        <v>317</v>
      </c>
      <c r="B39" s="87" t="s">
        <v>521</v>
      </c>
      <c r="C39" s="87" t="s">
        <v>520</v>
      </c>
      <c r="D39" s="87"/>
      <c r="E39" s="87" t="s">
        <v>378</v>
      </c>
      <c r="F39" s="70"/>
      <c r="G39" s="70"/>
      <c r="H39" s="70"/>
      <c r="I39" s="70"/>
      <c r="J39" s="70"/>
      <c r="K39" s="70"/>
      <c r="L39" s="70"/>
      <c r="M39" s="70"/>
      <c r="N39" s="70"/>
      <c r="O39" s="70"/>
      <c r="P39" s="70"/>
      <c r="Q39" s="70"/>
      <c r="R39" s="70"/>
      <c r="S39" s="70"/>
      <c r="T39" s="70"/>
      <c r="U39" s="70"/>
      <c r="V39" s="70"/>
      <c r="W39" s="70"/>
      <c r="X39" s="70"/>
      <c r="Y39"/>
      <c r="Z39"/>
      <c r="AA39"/>
      <c r="AB39"/>
    </row>
    <row r="40" spans="1:28" ht="15.75" customHeight="1" x14ac:dyDescent="0.25">
      <c r="A40" s="86" t="s">
        <v>317</v>
      </c>
      <c r="B40" s="87" t="s">
        <v>521</v>
      </c>
      <c r="C40" s="87" t="s">
        <v>523</v>
      </c>
      <c r="D40" s="87"/>
      <c r="E40" s="87" t="s">
        <v>526</v>
      </c>
      <c r="F40" s="70"/>
      <c r="G40" s="70"/>
      <c r="H40" s="70"/>
      <c r="I40" s="70"/>
      <c r="J40" s="70"/>
      <c r="K40" s="70"/>
      <c r="L40" s="70"/>
      <c r="M40" s="70"/>
      <c r="N40" s="70"/>
      <c r="O40" s="70"/>
      <c r="P40" s="70"/>
      <c r="Q40" s="70"/>
      <c r="R40" s="70"/>
      <c r="S40" s="70"/>
      <c r="T40" s="70"/>
      <c r="U40" s="70"/>
      <c r="V40" s="70"/>
      <c r="W40" s="70"/>
      <c r="X40" s="70"/>
      <c r="Y40"/>
      <c r="Z40"/>
      <c r="AA40"/>
      <c r="AB40"/>
    </row>
    <row r="41" spans="1:28" ht="15.75" customHeight="1" x14ac:dyDescent="0.25">
      <c r="A41" s="86" t="s">
        <v>317</v>
      </c>
      <c r="B41" s="87" t="s">
        <v>521</v>
      </c>
      <c r="C41" s="87" t="s">
        <v>521</v>
      </c>
      <c r="D41" s="87"/>
      <c r="E41" s="87" t="s">
        <v>335</v>
      </c>
      <c r="F41" s="70"/>
      <c r="G41" s="70"/>
      <c r="H41" s="70"/>
      <c r="I41" s="70"/>
      <c r="J41" s="70"/>
      <c r="K41" s="70"/>
      <c r="L41" s="70"/>
      <c r="M41" s="70"/>
      <c r="N41" s="70"/>
      <c r="O41" s="70"/>
      <c r="P41" s="70"/>
      <c r="Q41" s="70"/>
      <c r="R41" s="70"/>
      <c r="S41" s="70"/>
      <c r="T41" s="70"/>
      <c r="U41" s="70"/>
      <c r="V41" s="70"/>
      <c r="W41" s="70"/>
      <c r="X41" s="70"/>
      <c r="Y41"/>
      <c r="Z41"/>
      <c r="AA41"/>
      <c r="AB41"/>
    </row>
    <row r="42" spans="1:28" ht="15.75" customHeight="1" x14ac:dyDescent="0.25">
      <c r="A42" s="86" t="s">
        <v>317</v>
      </c>
      <c r="B42" s="87" t="s">
        <v>521</v>
      </c>
      <c r="C42" s="87" t="s">
        <v>380</v>
      </c>
      <c r="D42" s="87" t="s">
        <v>297</v>
      </c>
      <c r="E42" s="87" t="s">
        <v>380</v>
      </c>
      <c r="F42" s="70"/>
      <c r="G42" s="70"/>
      <c r="H42" s="70"/>
      <c r="I42" s="70"/>
      <c r="J42" s="70"/>
      <c r="K42" s="70"/>
      <c r="L42" s="70"/>
      <c r="M42" s="70"/>
      <c r="N42" s="70"/>
      <c r="O42" s="70"/>
      <c r="P42" s="70"/>
      <c r="Q42" s="70"/>
      <c r="R42" s="70"/>
      <c r="S42" s="70"/>
      <c r="T42" s="70"/>
      <c r="U42" s="70"/>
      <c r="V42" s="70"/>
      <c r="W42" s="70"/>
      <c r="X42" s="70"/>
      <c r="Y42"/>
      <c r="Z42"/>
      <c r="AA42"/>
      <c r="AB42"/>
    </row>
    <row r="43" spans="1:28" x14ac:dyDescent="0.25">
      <c r="A43" s="71"/>
      <c r="B43" s="69"/>
      <c r="C43" s="69"/>
      <c r="D43" s="69"/>
      <c r="E43" s="69"/>
      <c r="F43" s="69"/>
      <c r="G43" s="69"/>
      <c r="H43" s="69"/>
      <c r="I43" s="70"/>
      <c r="J43" s="70"/>
      <c r="K43" s="70"/>
      <c r="L43" s="70"/>
      <c r="M43" s="70"/>
      <c r="N43" s="70"/>
      <c r="O43" s="70"/>
      <c r="P43" s="70"/>
      <c r="Q43" s="70"/>
      <c r="R43" s="70"/>
      <c r="S43" s="70"/>
      <c r="T43" s="70"/>
      <c r="U43" s="70"/>
      <c r="V43" s="70"/>
      <c r="W43" s="70"/>
      <c r="X43" s="70"/>
      <c r="Y43" s="70"/>
      <c r="Z43" s="70"/>
      <c r="AA43" s="70"/>
      <c r="AB43" s="70"/>
    </row>
    <row r="44" spans="1:28" ht="15.75" customHeight="1" x14ac:dyDescent="0.35">
      <c r="A44" s="80" t="s">
        <v>76</v>
      </c>
      <c r="B44" s="69"/>
      <c r="C44" s="69"/>
      <c r="D44" s="69"/>
      <c r="E44" s="69"/>
      <c r="F44" s="69"/>
      <c r="G44" s="69"/>
      <c r="H44" s="69"/>
      <c r="I44" s="70"/>
      <c r="J44" s="70"/>
      <c r="K44" s="70"/>
      <c r="L44" s="70"/>
      <c r="M44" s="70"/>
      <c r="N44" s="70"/>
      <c r="O44" s="70"/>
      <c r="P44" s="70"/>
      <c r="Q44" s="70"/>
      <c r="R44" s="70"/>
      <c r="S44" s="70"/>
      <c r="T44" s="70"/>
      <c r="U44" s="70"/>
      <c r="V44" s="70"/>
      <c r="W44" s="70"/>
      <c r="X44" s="70"/>
      <c r="Y44" s="70"/>
      <c r="Z44" s="70"/>
      <c r="AA44" s="70"/>
      <c r="AB44" s="70"/>
    </row>
    <row r="45" spans="1:28" ht="15.75" customHeight="1" x14ac:dyDescent="0.25">
      <c r="A45" s="215" t="s">
        <v>245</v>
      </c>
      <c r="B45" s="54" t="s">
        <v>10</v>
      </c>
      <c r="C45" s="54" t="s">
        <v>75</v>
      </c>
      <c r="D45" s="54" t="s">
        <v>63</v>
      </c>
      <c r="E45" s="54" t="s">
        <v>28</v>
      </c>
      <c r="F45" s="70"/>
      <c r="G45" s="70"/>
      <c r="H45" s="70"/>
      <c r="I45" s="70"/>
      <c r="J45" s="70"/>
      <c r="K45" s="70"/>
      <c r="L45" s="70"/>
      <c r="M45" s="70"/>
      <c r="N45" s="70"/>
      <c r="O45" s="70"/>
      <c r="P45" s="70"/>
      <c r="Q45" s="70"/>
      <c r="R45" s="70"/>
      <c r="S45" s="70"/>
      <c r="T45" s="70"/>
      <c r="U45" s="70"/>
      <c r="V45" s="70"/>
      <c r="W45" s="70"/>
      <c r="X45" s="70"/>
      <c r="Y45" s="70"/>
      <c r="Z45" s="70"/>
      <c r="AA45" s="70"/>
      <c r="AB45" s="70"/>
    </row>
    <row r="46" spans="1:28" x14ac:dyDescent="0.25">
      <c r="A46" s="72" t="s">
        <v>312</v>
      </c>
      <c r="B46" s="75" t="s">
        <v>321</v>
      </c>
      <c r="C46" s="74" t="s">
        <v>499</v>
      </c>
      <c r="D46" s="73"/>
      <c r="E46" s="73" t="s">
        <v>498</v>
      </c>
      <c r="F46" s="70"/>
      <c r="G46" s="70"/>
      <c r="H46" s="70"/>
      <c r="I46" s="70"/>
      <c r="J46" s="70"/>
      <c r="K46" s="70"/>
      <c r="L46" s="70"/>
      <c r="M46" s="70"/>
      <c r="N46" s="70"/>
      <c r="O46" s="70"/>
      <c r="P46" s="70"/>
      <c r="Q46" s="70"/>
      <c r="R46" s="70"/>
      <c r="S46" s="70"/>
      <c r="T46" s="70"/>
      <c r="U46" s="70"/>
      <c r="V46" s="70"/>
      <c r="W46" s="70"/>
      <c r="X46" s="70"/>
      <c r="Y46" s="70"/>
      <c r="Z46" s="70"/>
      <c r="AA46" s="70"/>
      <c r="AB46"/>
    </row>
    <row r="47" spans="1:28" x14ac:dyDescent="0.25">
      <c r="A47" s="72" t="s">
        <v>312</v>
      </c>
      <c r="B47" s="72" t="s">
        <v>322</v>
      </c>
      <c r="C47" s="73" t="s">
        <v>494</v>
      </c>
      <c r="D47" s="73"/>
      <c r="E47" s="73" t="s">
        <v>495</v>
      </c>
      <c r="F47" s="70"/>
      <c r="G47" s="70"/>
      <c r="H47" s="70"/>
      <c r="I47" s="70"/>
      <c r="J47" s="70"/>
      <c r="K47" s="70"/>
      <c r="L47" s="70"/>
      <c r="M47" s="70"/>
      <c r="N47" s="70"/>
      <c r="O47" s="70"/>
      <c r="P47" s="70"/>
      <c r="Q47" s="70"/>
      <c r="R47" s="70"/>
      <c r="S47" s="70"/>
      <c r="T47" s="70"/>
      <c r="U47" s="70"/>
      <c r="V47" s="70"/>
      <c r="W47" s="70"/>
      <c r="X47" s="70"/>
      <c r="Y47" s="70"/>
      <c r="Z47" s="70"/>
      <c r="AA47" s="70"/>
      <c r="AB47"/>
    </row>
    <row r="48" spans="1:28" ht="15.75" customHeight="1" thickBot="1" x14ac:dyDescent="0.4">
      <c r="A48" s="80" t="s">
        <v>42</v>
      </c>
      <c r="B48" s="164"/>
      <c r="C48" s="164"/>
      <c r="D48" s="164"/>
      <c r="E48" s="69"/>
      <c r="F48" s="70"/>
      <c r="G48" s="70"/>
      <c r="H48" s="70"/>
      <c r="I48" s="70"/>
      <c r="J48" s="70"/>
      <c r="K48" s="70"/>
      <c r="L48" s="70"/>
      <c r="M48" s="70"/>
      <c r="N48" s="70"/>
      <c r="O48" s="70"/>
      <c r="P48" s="70"/>
      <c r="Q48" s="70"/>
      <c r="R48" s="70"/>
      <c r="S48" s="70"/>
      <c r="T48" s="70"/>
      <c r="U48" s="70"/>
      <c r="V48" s="70"/>
      <c r="W48" s="70"/>
      <c r="X48" s="70"/>
      <c r="Y48" s="70"/>
      <c r="Z48" s="70"/>
      <c r="AA48" s="70"/>
      <c r="AB48" s="70"/>
    </row>
    <row r="49" spans="1:28" ht="15.75" customHeight="1" thickBot="1" x14ac:dyDescent="0.3">
      <c r="A49" s="56" t="s">
        <v>245</v>
      </c>
      <c r="B49" s="54" t="s">
        <v>80</v>
      </c>
      <c r="C49" s="54" t="s">
        <v>81</v>
      </c>
      <c r="D49" s="54" t="s">
        <v>82</v>
      </c>
      <c r="E49" s="54" t="s">
        <v>63</v>
      </c>
      <c r="F49" s="29" t="s">
        <v>28</v>
      </c>
      <c r="G49" s="70"/>
      <c r="H49" s="70"/>
      <c r="I49" s="70"/>
      <c r="J49" s="70"/>
      <c r="K49" s="70"/>
      <c r="L49" s="70"/>
      <c r="M49" s="70"/>
      <c r="N49" s="70"/>
      <c r="O49" s="70"/>
      <c r="P49" s="70"/>
      <c r="Q49" s="70"/>
      <c r="R49" s="70"/>
      <c r="S49" s="70"/>
      <c r="T49" s="70"/>
      <c r="U49" s="70"/>
      <c r="V49" s="70"/>
      <c r="W49" s="70"/>
      <c r="X49" s="70"/>
      <c r="Y49" s="70"/>
      <c r="Z49" s="70"/>
      <c r="AA49" s="70"/>
      <c r="AB49" s="70"/>
    </row>
    <row r="50" spans="1:28" x14ac:dyDescent="0.25">
      <c r="A50" s="86" t="s">
        <v>312</v>
      </c>
      <c r="B50" s="165" t="s">
        <v>299</v>
      </c>
      <c r="C50" s="163" t="s">
        <v>519</v>
      </c>
      <c r="D50" s="163" t="s">
        <v>297</v>
      </c>
      <c r="E50" s="81"/>
      <c r="F50" s="193" t="s">
        <v>397</v>
      </c>
      <c r="G50" s="70"/>
      <c r="H50" s="70"/>
      <c r="I50" s="70"/>
      <c r="J50" s="70"/>
      <c r="K50" s="70"/>
      <c r="L50" s="70"/>
      <c r="M50" s="70"/>
      <c r="N50" s="70"/>
      <c r="O50" s="70"/>
      <c r="P50" s="70"/>
      <c r="Q50" s="70"/>
      <c r="R50" s="70"/>
      <c r="S50" s="70"/>
      <c r="T50" s="70"/>
      <c r="U50" s="70"/>
      <c r="V50" s="70"/>
      <c r="W50" s="70"/>
      <c r="X50" s="70"/>
      <c r="Y50" s="70"/>
      <c r="Z50" s="70"/>
      <c r="AA50" s="70"/>
      <c r="AB50" s="70"/>
    </row>
    <row r="51" spans="1:28" x14ac:dyDescent="0.25">
      <c r="A51" s="86" t="s">
        <v>312</v>
      </c>
      <c r="B51" s="165" t="s">
        <v>323</v>
      </c>
      <c r="C51" s="163" t="s">
        <v>525</v>
      </c>
      <c r="D51" s="163" t="s">
        <v>297</v>
      </c>
      <c r="E51" s="81"/>
      <c r="F51" s="193" t="s">
        <v>397</v>
      </c>
      <c r="G51" s="70"/>
      <c r="H51" s="70"/>
      <c r="I51" s="70"/>
      <c r="J51" s="70"/>
      <c r="K51" s="70"/>
      <c r="L51" s="70"/>
      <c r="M51" s="70"/>
      <c r="N51" s="70"/>
      <c r="O51" s="70"/>
      <c r="P51" s="70"/>
      <c r="Q51" s="70"/>
      <c r="R51" s="70"/>
      <c r="S51" s="70"/>
      <c r="T51" s="70"/>
      <c r="U51" s="70"/>
      <c r="V51" s="70"/>
      <c r="W51" s="70"/>
      <c r="X51" s="70"/>
      <c r="Y51" s="70"/>
      <c r="Z51" s="70"/>
      <c r="AA51" s="70"/>
      <c r="AB51" s="70"/>
    </row>
    <row r="52" spans="1:28" x14ac:dyDescent="0.25">
      <c r="A52" s="86" t="s">
        <v>317</v>
      </c>
      <c r="B52" s="165" t="s">
        <v>299</v>
      </c>
      <c r="C52" s="163" t="s">
        <v>519</v>
      </c>
      <c r="D52" s="163" t="s">
        <v>297</v>
      </c>
      <c r="E52" s="81"/>
      <c r="F52" s="193" t="s">
        <v>397</v>
      </c>
      <c r="G52" s="70"/>
      <c r="H52" s="70"/>
      <c r="I52" s="70"/>
      <c r="J52" s="70"/>
      <c r="K52" s="70"/>
      <c r="L52" s="70"/>
      <c r="M52" s="70"/>
      <c r="N52" s="70"/>
      <c r="O52" s="70"/>
      <c r="P52" s="70"/>
      <c r="Q52" s="70"/>
      <c r="R52" s="70"/>
      <c r="S52" s="70"/>
      <c r="T52" s="70"/>
      <c r="U52" s="70"/>
      <c r="V52" s="70"/>
      <c r="W52" s="70"/>
      <c r="X52" s="70"/>
      <c r="Y52" s="70"/>
      <c r="Z52" s="70"/>
      <c r="AA52" s="70"/>
      <c r="AB52" s="70"/>
    </row>
    <row r="53" spans="1:28" x14ac:dyDescent="0.25">
      <c r="A53" s="86" t="s">
        <v>317</v>
      </c>
      <c r="B53" s="165" t="s">
        <v>323</v>
      </c>
      <c r="C53" s="163" t="s">
        <v>525</v>
      </c>
      <c r="D53" s="163" t="s">
        <v>297</v>
      </c>
      <c r="E53" s="81"/>
      <c r="F53" s="193" t="s">
        <v>397</v>
      </c>
      <c r="G53" s="70"/>
      <c r="H53" s="70"/>
      <c r="I53" s="70"/>
      <c r="J53" s="70"/>
      <c r="K53" s="70"/>
      <c r="L53" s="70"/>
      <c r="M53" s="70"/>
      <c r="N53" s="70"/>
      <c r="O53" s="70"/>
      <c r="P53" s="70"/>
      <c r="Q53" s="70"/>
      <c r="R53" s="70"/>
      <c r="S53" s="70"/>
      <c r="T53" s="70"/>
      <c r="U53" s="70"/>
      <c r="V53" s="70"/>
      <c r="W53" s="70"/>
      <c r="X53" s="70"/>
      <c r="Y53" s="70"/>
      <c r="Z53" s="70"/>
      <c r="AA53" s="70"/>
      <c r="AB53" s="70"/>
    </row>
    <row r="54" spans="1:28" ht="13" thickBot="1" x14ac:dyDescent="0.3">
      <c r="A54" s="149"/>
      <c r="B54" s="166"/>
      <c r="C54" s="149"/>
      <c r="D54" s="149"/>
      <c r="E54" s="82"/>
      <c r="F54" s="83"/>
      <c r="G54" s="70"/>
      <c r="H54" s="70"/>
      <c r="I54" s="70"/>
      <c r="J54" s="70"/>
      <c r="K54" s="70"/>
      <c r="L54" s="70"/>
      <c r="M54" s="70"/>
      <c r="N54" s="70"/>
      <c r="O54" s="70"/>
      <c r="P54" s="70"/>
      <c r="Q54" s="70"/>
      <c r="R54" s="70"/>
      <c r="S54" s="70"/>
      <c r="T54" s="70"/>
      <c r="U54" s="70"/>
      <c r="V54" s="70"/>
      <c r="W54" s="70"/>
      <c r="X54" s="70"/>
      <c r="Y54" s="70"/>
      <c r="Z54" s="70"/>
      <c r="AA54" s="70"/>
      <c r="AB54" s="70"/>
    </row>
    <row r="55" spans="1:28" x14ac:dyDescent="0.25">
      <c r="A55" s="167"/>
      <c r="B55" s="164"/>
      <c r="C55" s="164"/>
      <c r="D55" s="164"/>
      <c r="E55" s="69"/>
      <c r="F55" s="70"/>
      <c r="G55" s="70"/>
      <c r="H55" s="70"/>
      <c r="I55" s="70"/>
      <c r="J55" s="70"/>
      <c r="K55" s="70"/>
      <c r="L55" s="70"/>
      <c r="M55" s="70"/>
      <c r="N55" s="70"/>
      <c r="O55" s="70"/>
      <c r="P55" s="70"/>
      <c r="Q55" s="70"/>
      <c r="R55" s="70"/>
      <c r="S55" s="70"/>
      <c r="T55" s="70"/>
      <c r="U55" s="70"/>
      <c r="V55" s="70"/>
      <c r="W55" s="70"/>
      <c r="X55" s="70"/>
      <c r="Y55" s="70"/>
      <c r="Z55" s="70"/>
      <c r="AA55" s="70"/>
      <c r="AB55" s="70"/>
    </row>
    <row r="56" spans="1:28" ht="15.75" customHeight="1" x14ac:dyDescent="0.35">
      <c r="A56" s="80" t="s">
        <v>83</v>
      </c>
      <c r="B56" s="164"/>
      <c r="C56" s="164"/>
      <c r="D56" s="164"/>
      <c r="E56" s="69"/>
      <c r="F56" s="69"/>
      <c r="G56" s="70"/>
      <c r="H56" s="70"/>
      <c r="I56" s="70"/>
      <c r="J56" s="70"/>
      <c r="K56" s="70"/>
      <c r="L56" s="70"/>
      <c r="M56" s="70"/>
      <c r="N56" s="70"/>
      <c r="O56" s="70"/>
      <c r="P56" s="70"/>
      <c r="Q56" s="70"/>
      <c r="R56" s="70"/>
      <c r="S56" s="70"/>
      <c r="T56" s="70"/>
      <c r="U56" s="70"/>
      <c r="V56" s="70"/>
      <c r="W56" s="70"/>
      <c r="X56" s="70"/>
      <c r="Y56" s="70"/>
      <c r="Z56" s="70"/>
      <c r="AA56" s="70"/>
      <c r="AB56" s="70"/>
    </row>
    <row r="57" spans="1:28" ht="15.75" customHeight="1" x14ac:dyDescent="0.3">
      <c r="A57" s="215" t="s">
        <v>245</v>
      </c>
      <c r="B57" s="18" t="s">
        <v>93</v>
      </c>
      <c r="C57" s="54" t="s">
        <v>10</v>
      </c>
      <c r="D57" s="54" t="s">
        <v>84</v>
      </c>
      <c r="E57" s="29" t="s">
        <v>85</v>
      </c>
      <c r="F57" s="224" t="s">
        <v>28</v>
      </c>
      <c r="G57" s="70"/>
      <c r="H57" s="70"/>
      <c r="I57" s="70"/>
      <c r="J57" s="70"/>
      <c r="K57" s="70"/>
      <c r="L57" s="70"/>
      <c r="M57" s="70"/>
      <c r="N57" s="70"/>
      <c r="O57" s="70"/>
      <c r="P57" s="70"/>
      <c r="Q57" s="70"/>
      <c r="R57" s="70"/>
      <c r="S57" s="70"/>
      <c r="T57" s="70"/>
      <c r="U57" s="70"/>
      <c r="V57" s="70"/>
      <c r="W57" s="70"/>
      <c r="X57" s="70"/>
      <c r="Y57" s="70"/>
      <c r="Z57" s="70"/>
      <c r="AA57" s="70"/>
      <c r="AB57"/>
    </row>
    <row r="58" spans="1:28" x14ac:dyDescent="0.25">
      <c r="A58" s="86" t="s">
        <v>312</v>
      </c>
      <c r="B58" s="163" t="s">
        <v>519</v>
      </c>
      <c r="C58" s="163" t="s">
        <v>519</v>
      </c>
      <c r="D58" s="73" t="s">
        <v>324</v>
      </c>
      <c r="E58" s="73" t="s">
        <v>520</v>
      </c>
      <c r="F58" s="225" t="s">
        <v>398</v>
      </c>
      <c r="G58" s="70"/>
      <c r="H58" s="70"/>
      <c r="I58" s="70"/>
      <c r="J58" s="70"/>
      <c r="K58" s="70"/>
      <c r="L58" s="70"/>
      <c r="M58" s="70"/>
      <c r="N58" s="70"/>
      <c r="O58" s="70"/>
      <c r="P58" s="70"/>
      <c r="Q58" s="70"/>
      <c r="R58" s="70"/>
      <c r="S58" s="70"/>
      <c r="T58" s="70"/>
      <c r="U58" s="70"/>
      <c r="V58" s="70"/>
      <c r="W58" s="70"/>
      <c r="X58" s="70"/>
      <c r="Y58" s="70"/>
      <c r="Z58" s="70"/>
      <c r="AA58" s="70"/>
      <c r="AB58"/>
    </row>
    <row r="59" spans="1:28" x14ac:dyDescent="0.25">
      <c r="A59" s="86" t="s">
        <v>312</v>
      </c>
      <c r="B59" s="163" t="s">
        <v>525</v>
      </c>
      <c r="C59" s="163" t="s">
        <v>525</v>
      </c>
      <c r="D59" s="73" t="s">
        <v>324</v>
      </c>
      <c r="E59" s="87" t="s">
        <v>523</v>
      </c>
      <c r="F59" s="225" t="s">
        <v>398</v>
      </c>
      <c r="G59" s="70"/>
      <c r="H59" s="70"/>
      <c r="I59" s="70"/>
      <c r="J59" s="70"/>
      <c r="K59" s="70"/>
      <c r="L59" s="70"/>
      <c r="M59" s="70"/>
      <c r="N59" s="70"/>
      <c r="O59" s="70"/>
      <c r="P59" s="70"/>
      <c r="Q59" s="70"/>
      <c r="R59" s="70"/>
      <c r="S59" s="70"/>
      <c r="T59" s="70"/>
      <c r="U59" s="70"/>
      <c r="V59" s="70"/>
      <c r="W59" s="70"/>
      <c r="X59" s="70"/>
      <c r="Y59" s="70"/>
      <c r="Z59" s="70"/>
      <c r="AA59" s="70"/>
      <c r="AB59"/>
    </row>
    <row r="60" spans="1:28" x14ac:dyDescent="0.25">
      <c r="A60" s="86" t="s">
        <v>317</v>
      </c>
      <c r="B60" s="73" t="s">
        <v>519</v>
      </c>
      <c r="C60" s="73" t="s">
        <v>519</v>
      </c>
      <c r="D60" s="73" t="s">
        <v>324</v>
      </c>
      <c r="E60" s="73" t="s">
        <v>520</v>
      </c>
      <c r="F60" s="225" t="s">
        <v>398</v>
      </c>
      <c r="G60" s="70"/>
      <c r="H60" s="70"/>
      <c r="I60" s="70"/>
      <c r="J60" s="70"/>
      <c r="K60" s="70"/>
      <c r="L60" s="70"/>
      <c r="M60" s="70"/>
      <c r="N60" s="70"/>
      <c r="O60" s="70"/>
      <c r="P60" s="70"/>
      <c r="Q60" s="70"/>
      <c r="R60" s="70"/>
      <c r="S60" s="70"/>
      <c r="T60" s="70"/>
      <c r="U60" s="70"/>
      <c r="V60" s="70"/>
      <c r="W60" s="70"/>
      <c r="X60" s="70"/>
      <c r="Y60" s="70"/>
      <c r="Z60" s="70"/>
      <c r="AA60" s="70"/>
      <c r="AB60"/>
    </row>
    <row r="61" spans="1:28" x14ac:dyDescent="0.25">
      <c r="A61" s="86" t="s">
        <v>317</v>
      </c>
      <c r="B61" s="163" t="s">
        <v>525</v>
      </c>
      <c r="C61" s="163" t="s">
        <v>525</v>
      </c>
      <c r="D61" s="73" t="s">
        <v>324</v>
      </c>
      <c r="E61" s="87" t="s">
        <v>523</v>
      </c>
      <c r="F61" s="225" t="s">
        <v>398</v>
      </c>
      <c r="G61" s="70"/>
      <c r="H61" s="70"/>
      <c r="I61" s="70"/>
      <c r="J61" s="70"/>
      <c r="K61" s="70"/>
      <c r="L61" s="70"/>
      <c r="M61" s="70"/>
      <c r="N61" s="70"/>
      <c r="O61" s="70"/>
      <c r="P61" s="70"/>
      <c r="Q61" s="70"/>
      <c r="R61" s="70"/>
      <c r="S61" s="70"/>
      <c r="T61" s="70"/>
      <c r="U61" s="70"/>
      <c r="V61" s="70"/>
      <c r="W61" s="70"/>
      <c r="X61" s="70"/>
      <c r="Y61" s="70"/>
      <c r="Z61" s="70"/>
      <c r="AA61" s="70"/>
      <c r="AB61"/>
    </row>
    <row r="62" spans="1:28" ht="13" thickBot="1" x14ac:dyDescent="0.3">
      <c r="A62" s="73"/>
      <c r="B62" s="73"/>
      <c r="C62" s="73"/>
      <c r="D62" s="73"/>
      <c r="E62" s="72"/>
      <c r="F62" s="226"/>
      <c r="G62" s="70"/>
      <c r="H62" s="70"/>
      <c r="I62" s="70"/>
      <c r="J62" s="70"/>
      <c r="K62" s="70"/>
      <c r="L62" s="70"/>
      <c r="M62" s="70"/>
      <c r="N62" s="70"/>
      <c r="O62" s="70"/>
      <c r="P62" s="70"/>
      <c r="Q62" s="70"/>
      <c r="R62" s="70"/>
      <c r="S62" s="70"/>
      <c r="T62" s="70"/>
      <c r="U62" s="70"/>
      <c r="V62" s="70"/>
      <c r="W62" s="70"/>
      <c r="X62" s="70"/>
      <c r="Y62" s="70"/>
      <c r="Z62" s="70"/>
      <c r="AA62" s="70"/>
      <c r="AB62"/>
    </row>
    <row r="63" spans="1:28" x14ac:dyDescent="0.25">
      <c r="A63" s="167"/>
      <c r="B63" s="164"/>
      <c r="C63" s="164"/>
      <c r="D63" s="164"/>
      <c r="E63" s="69"/>
      <c r="F63" s="69"/>
      <c r="G63" s="69"/>
      <c r="H63" s="69"/>
      <c r="I63" s="69"/>
      <c r="J63" s="70"/>
      <c r="K63" s="70"/>
      <c r="L63" s="70"/>
      <c r="M63" s="70"/>
      <c r="N63" s="69"/>
      <c r="O63" s="70"/>
      <c r="P63" s="70"/>
      <c r="Q63" s="70"/>
      <c r="R63" s="69"/>
      <c r="S63" s="69"/>
      <c r="T63" s="69"/>
      <c r="U63" s="69"/>
      <c r="V63" s="69"/>
      <c r="W63" s="69"/>
      <c r="X63" s="69"/>
      <c r="Y63" s="70"/>
      <c r="Z63" s="70"/>
      <c r="AA63" s="70"/>
      <c r="AB63" s="70"/>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919A6-9453-4883-94B4-2A6141E2CC41}">
  <sheetPr codeName="Sheet6"/>
  <dimension ref="A1:G8"/>
  <sheetViews>
    <sheetView zoomScale="85" zoomScaleNormal="85" workbookViewId="0"/>
  </sheetViews>
  <sheetFormatPr defaultColWidth="9.08984375" defaultRowHeight="12.5" x14ac:dyDescent="0.25"/>
  <cols>
    <col min="1" max="1" width="59.1796875" style="156" bestFit="1" customWidth="1"/>
    <col min="2" max="2" width="24.6328125" style="156" bestFit="1" customWidth="1"/>
    <col min="3" max="3" width="34.6328125" style="156" bestFit="1" customWidth="1"/>
    <col min="4" max="4" width="11.36328125" style="156" bestFit="1" customWidth="1"/>
    <col min="5" max="5" width="17.36328125" style="156" bestFit="1" customWidth="1"/>
    <col min="6" max="6" width="14" style="156" bestFit="1" customWidth="1"/>
    <col min="7" max="7" width="49" style="156" bestFit="1" customWidth="1"/>
    <col min="8" max="8" width="49.453125" style="156" bestFit="1" customWidth="1"/>
    <col min="9" max="9" width="10" style="156" bestFit="1" customWidth="1"/>
    <col min="10" max="16384" width="9.08984375" style="156"/>
  </cols>
  <sheetData>
    <row r="1" spans="1:7" ht="18" x14ac:dyDescent="0.25">
      <c r="A1" s="154" t="s">
        <v>177</v>
      </c>
      <c r="B1" s="155"/>
      <c r="C1" s="155"/>
      <c r="D1" s="155"/>
      <c r="E1" s="155"/>
    </row>
    <row r="2" spans="1:7" ht="13" thickBot="1" x14ac:dyDescent="0.3">
      <c r="A2" s="157"/>
      <c r="B2" s="155"/>
    </row>
    <row r="3" spans="1:7" x14ac:dyDescent="0.25">
      <c r="A3" s="158" t="s">
        <v>51</v>
      </c>
      <c r="B3" s="159" t="s">
        <v>52</v>
      </c>
    </row>
    <row r="4" spans="1:7" ht="13" thickBot="1" x14ac:dyDescent="0.3">
      <c r="A4" s="160"/>
      <c r="B4" s="161">
        <v>0.02</v>
      </c>
    </row>
    <row r="6" spans="1:7" ht="15.5" x14ac:dyDescent="0.25">
      <c r="A6" s="162" t="s">
        <v>251</v>
      </c>
    </row>
    <row r="7" spans="1:7" ht="13" x14ac:dyDescent="0.25">
      <c r="A7" s="230" t="s">
        <v>252</v>
      </c>
      <c r="B7" s="231" t="s">
        <v>253</v>
      </c>
      <c r="C7" s="231" t="s">
        <v>254</v>
      </c>
      <c r="D7" s="231" t="s">
        <v>85</v>
      </c>
      <c r="E7" s="231" t="s">
        <v>109</v>
      </c>
      <c r="F7" s="231" t="s">
        <v>255</v>
      </c>
      <c r="G7" s="231" t="s">
        <v>28</v>
      </c>
    </row>
    <row r="8" spans="1:7" ht="14.5" x14ac:dyDescent="0.35">
      <c r="A8" s="127" t="s">
        <v>377</v>
      </c>
      <c r="B8" s="153" t="s">
        <v>312</v>
      </c>
      <c r="C8" s="153" t="s">
        <v>307</v>
      </c>
      <c r="D8" s="153" t="s">
        <v>378</v>
      </c>
      <c r="E8" s="87" t="s">
        <v>520</v>
      </c>
      <c r="F8" s="153" t="s">
        <v>379</v>
      </c>
      <c r="G8" s="227" t="s">
        <v>401</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667BB-A50B-4339-86E4-A9238111942B}">
  <sheetPr codeName="Sheet28">
    <pageSetUpPr fitToPage="1"/>
  </sheetPr>
  <dimension ref="A1:K8"/>
  <sheetViews>
    <sheetView zoomScale="85" workbookViewId="0"/>
  </sheetViews>
  <sheetFormatPr defaultColWidth="8.81640625" defaultRowHeight="12.5" x14ac:dyDescent="0.25"/>
  <cols>
    <col min="1" max="1" width="34.1796875" style="111" bestFit="1" customWidth="1"/>
    <col min="2" max="2" width="8.54296875" style="92" bestFit="1" customWidth="1"/>
    <col min="3" max="3" width="24.36328125" style="92" bestFit="1" customWidth="1"/>
    <col min="4" max="4" width="8.81640625" style="92"/>
    <col min="5" max="5" width="8.453125" style="92" bestFit="1" customWidth="1"/>
    <col min="6" max="6" width="9" style="92" bestFit="1" customWidth="1"/>
    <col min="7" max="7" width="9.6328125" style="92" bestFit="1" customWidth="1"/>
    <col min="8" max="8" width="9.54296875" style="109" bestFit="1" customWidth="1"/>
    <col min="9" max="9" width="20.90625" style="92" bestFit="1" customWidth="1"/>
    <col min="10" max="10" width="40.81640625" style="109" bestFit="1" customWidth="1"/>
    <col min="11" max="11" width="12.54296875" style="92" bestFit="1" customWidth="1"/>
    <col min="12" max="14" width="10" style="92" bestFit="1" customWidth="1"/>
    <col min="15" max="16384" width="8.81640625" style="92"/>
  </cols>
  <sheetData>
    <row r="1" spans="1:11" ht="18" x14ac:dyDescent="0.4">
      <c r="A1" s="150" t="s">
        <v>407</v>
      </c>
      <c r="B1" s="90"/>
      <c r="C1" s="90"/>
      <c r="D1" s="90"/>
      <c r="E1" s="90"/>
      <c r="F1" s="90"/>
      <c r="G1" s="90"/>
      <c r="H1" s="90"/>
      <c r="I1" s="90"/>
      <c r="J1" s="90"/>
      <c r="K1" s="90"/>
    </row>
    <row r="2" spans="1:11" x14ac:dyDescent="0.25">
      <c r="A2" s="90"/>
      <c r="C2" s="90"/>
      <c r="D2" s="90"/>
      <c r="E2" s="90"/>
      <c r="F2" s="90"/>
      <c r="G2" s="90"/>
      <c r="H2" s="90"/>
      <c r="I2" s="90"/>
      <c r="J2" s="90"/>
      <c r="K2" s="90"/>
    </row>
    <row r="3" spans="1:11" x14ac:dyDescent="0.25">
      <c r="A3" s="151" t="s">
        <v>51</v>
      </c>
      <c r="B3" s="151" t="s">
        <v>52</v>
      </c>
      <c r="C3" s="90"/>
      <c r="D3" s="90"/>
      <c r="E3" s="90"/>
      <c r="F3" s="90"/>
      <c r="G3" s="90"/>
      <c r="H3" s="90"/>
      <c r="I3" s="90"/>
      <c r="J3" s="90"/>
      <c r="K3" s="90"/>
    </row>
    <row r="4" spans="1:11" x14ac:dyDescent="0.25">
      <c r="A4" s="152"/>
      <c r="B4" s="152">
        <v>0.02</v>
      </c>
      <c r="C4" s="90"/>
      <c r="D4" s="90"/>
      <c r="E4" s="90"/>
      <c r="F4" s="90"/>
      <c r="G4" s="90"/>
      <c r="H4" s="90"/>
      <c r="I4" s="90"/>
      <c r="J4" s="90"/>
      <c r="K4" s="90"/>
    </row>
    <row r="5" spans="1:11" x14ac:dyDescent="0.25">
      <c r="A5" s="90"/>
      <c r="B5" s="90"/>
      <c r="C5" s="90"/>
      <c r="D5" s="90"/>
      <c r="E5" s="90"/>
      <c r="F5" s="90"/>
      <c r="G5" s="90"/>
      <c r="H5" s="91"/>
      <c r="I5" s="90"/>
      <c r="J5" s="91"/>
      <c r="K5" s="90"/>
    </row>
    <row r="6" spans="1:11" ht="15.5" x14ac:dyDescent="0.35">
      <c r="A6" s="98" t="s">
        <v>408</v>
      </c>
      <c r="B6" s="90"/>
      <c r="C6" s="90"/>
      <c r="D6" s="90"/>
      <c r="E6" s="90"/>
      <c r="F6" s="90"/>
      <c r="G6" s="90"/>
      <c r="H6" s="91"/>
      <c r="I6" s="90"/>
      <c r="J6" s="91"/>
      <c r="K6" s="90"/>
    </row>
    <row r="7" spans="1:11" x14ac:dyDescent="0.25">
      <c r="A7" s="124" t="s">
        <v>10</v>
      </c>
      <c r="B7" s="124" t="s">
        <v>409</v>
      </c>
      <c r="C7" s="124" t="s">
        <v>48</v>
      </c>
      <c r="D7" s="124" t="s">
        <v>86</v>
      </c>
      <c r="E7" s="124" t="s">
        <v>87</v>
      </c>
      <c r="F7" s="124" t="s">
        <v>141</v>
      </c>
      <c r="G7" s="124" t="s">
        <v>88</v>
      </c>
      <c r="H7" s="124" t="s">
        <v>89</v>
      </c>
      <c r="I7" s="124" t="s">
        <v>90</v>
      </c>
      <c r="J7" s="124" t="s">
        <v>28</v>
      </c>
      <c r="K7" s="90"/>
    </row>
    <row r="8" spans="1:11" ht="15.75" customHeight="1" x14ac:dyDescent="0.25">
      <c r="A8" s="127" t="s">
        <v>480</v>
      </c>
      <c r="B8" s="127"/>
      <c r="C8" s="127" t="s">
        <v>416</v>
      </c>
      <c r="D8" s="127" t="s">
        <v>297</v>
      </c>
      <c r="E8" s="127" t="s">
        <v>297</v>
      </c>
      <c r="F8" s="127" t="s">
        <v>297</v>
      </c>
      <c r="G8" s="127" t="s">
        <v>297</v>
      </c>
      <c r="H8" s="127" t="s">
        <v>44</v>
      </c>
      <c r="I8" s="127" t="s">
        <v>479</v>
      </c>
      <c r="J8" s="127" t="s">
        <v>419</v>
      </c>
      <c r="K8" s="90"/>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A0F34-054E-40C6-8BF2-64D515AAE6A7}">
  <sheetPr codeName="Sheet30">
    <pageSetUpPr fitToPage="1"/>
  </sheetPr>
  <dimension ref="A1:F11"/>
  <sheetViews>
    <sheetView zoomScale="85" workbookViewId="0"/>
  </sheetViews>
  <sheetFormatPr defaultColWidth="8.81640625" defaultRowHeight="12.5" x14ac:dyDescent="0.25"/>
  <cols>
    <col min="1" max="1" width="34.08984375" style="111" bestFit="1" customWidth="1"/>
    <col min="2" max="2" width="28.08984375" style="92" bestFit="1" customWidth="1"/>
    <col min="3" max="3" width="58.54296875" style="92" bestFit="1" customWidth="1"/>
    <col min="4" max="4" width="24.54296875" style="92" bestFit="1" customWidth="1"/>
    <col min="5" max="5" width="55.36328125" style="92" bestFit="1" customWidth="1"/>
    <col min="6" max="6" width="18.08984375" style="92" bestFit="1" customWidth="1"/>
    <col min="7" max="7" width="12.08984375" style="92" bestFit="1" customWidth="1"/>
    <col min="8" max="8" width="18.54296875" style="92" bestFit="1" customWidth="1"/>
    <col min="9" max="9" width="11.54296875" style="92" bestFit="1" customWidth="1"/>
    <col min="10" max="10" width="22.36328125" style="92" bestFit="1" customWidth="1"/>
    <col min="11" max="11" width="7.453125" style="92" bestFit="1" customWidth="1"/>
    <col min="12" max="12" width="15.6328125" style="92" bestFit="1" customWidth="1"/>
    <col min="13" max="13" width="11" style="92" bestFit="1" customWidth="1"/>
    <col min="14" max="14" width="14.453125" style="92" bestFit="1" customWidth="1"/>
    <col min="15" max="15" width="11.453125" style="92" bestFit="1" customWidth="1"/>
    <col min="16" max="16" width="9.54296875" style="92" bestFit="1" customWidth="1"/>
    <col min="17" max="17" width="16.54296875" style="92" bestFit="1" customWidth="1"/>
    <col min="18" max="18" width="14.6328125" style="92" bestFit="1" customWidth="1"/>
    <col min="19" max="19" width="10" style="92" bestFit="1" customWidth="1"/>
    <col min="20" max="20" width="9.6328125" style="92" bestFit="1" customWidth="1"/>
    <col min="21" max="21" width="8.453125" style="92" bestFit="1" customWidth="1"/>
    <col min="22" max="22" width="10.6328125" style="92" bestFit="1" customWidth="1"/>
    <col min="23" max="23" width="5.08984375" style="92" bestFit="1" customWidth="1"/>
    <col min="24" max="16384" width="8.81640625" style="92"/>
  </cols>
  <sheetData>
    <row r="1" spans="1:6" ht="18" x14ac:dyDescent="0.4">
      <c r="A1" s="150" t="s">
        <v>410</v>
      </c>
      <c r="B1" s="90"/>
      <c r="C1" s="90"/>
      <c r="D1" s="90"/>
      <c r="E1" s="90"/>
      <c r="F1" s="90"/>
    </row>
    <row r="2" spans="1:6" x14ac:dyDescent="0.25">
      <c r="A2" s="90"/>
      <c r="B2" s="90"/>
      <c r="C2" s="90"/>
      <c r="D2" s="90"/>
      <c r="E2" s="90"/>
      <c r="F2" s="90"/>
    </row>
    <row r="3" spans="1:6" x14ac:dyDescent="0.25">
      <c r="A3" s="151" t="s">
        <v>51</v>
      </c>
      <c r="B3" s="151" t="s">
        <v>52</v>
      </c>
      <c r="C3" s="90"/>
      <c r="D3" s="90"/>
      <c r="E3" s="90"/>
      <c r="F3" s="90"/>
    </row>
    <row r="4" spans="1:6" x14ac:dyDescent="0.25">
      <c r="A4" s="152"/>
      <c r="B4" s="152">
        <v>0.02</v>
      </c>
      <c r="C4" s="90"/>
      <c r="D4" s="90"/>
      <c r="E4" s="90"/>
      <c r="F4" s="90"/>
    </row>
    <row r="5" spans="1:6" x14ac:dyDescent="0.25">
      <c r="A5" s="90"/>
      <c r="B5" s="90"/>
      <c r="C5" s="90"/>
      <c r="D5" s="90"/>
      <c r="E5" s="90"/>
      <c r="F5" s="90"/>
    </row>
    <row r="6" spans="1:6" ht="16" thickBot="1" x14ac:dyDescent="0.4">
      <c r="A6" s="98" t="s">
        <v>411</v>
      </c>
      <c r="B6" s="90"/>
      <c r="C6" s="90"/>
      <c r="D6" s="90"/>
      <c r="E6" s="90"/>
      <c r="F6" s="90"/>
    </row>
    <row r="7" spans="1:6" ht="13.5" thickBot="1" x14ac:dyDescent="0.35">
      <c r="A7" s="197" t="s">
        <v>160</v>
      </c>
      <c r="B7" s="124" t="s">
        <v>10</v>
      </c>
      <c r="C7" s="124" t="s">
        <v>412</v>
      </c>
      <c r="D7" s="198" t="s">
        <v>413</v>
      </c>
      <c r="E7" s="199" t="s">
        <v>28</v>
      </c>
      <c r="F7" s="90"/>
    </row>
    <row r="8" spans="1:6" ht="15.75" customHeight="1" x14ac:dyDescent="0.25">
      <c r="A8" s="200" t="s">
        <v>414</v>
      </c>
      <c r="B8" s="202" t="s">
        <v>470</v>
      </c>
      <c r="C8" s="202" t="s">
        <v>463</v>
      </c>
      <c r="D8" s="202" t="s">
        <v>462</v>
      </c>
      <c r="E8" s="202" t="s">
        <v>415</v>
      </c>
      <c r="F8" s="90"/>
    </row>
    <row r="9" spans="1:6" ht="15.75" customHeight="1" x14ac:dyDescent="0.25">
      <c r="A9" s="200" t="s">
        <v>414</v>
      </c>
      <c r="B9" s="203" t="s">
        <v>471</v>
      </c>
      <c r="C9" s="203" t="s">
        <v>469</v>
      </c>
      <c r="D9" s="203" t="s">
        <v>468</v>
      </c>
      <c r="E9" s="202" t="s">
        <v>415</v>
      </c>
      <c r="F9" s="90"/>
    </row>
    <row r="10" spans="1:6" ht="15.75" customHeight="1" x14ac:dyDescent="0.25">
      <c r="A10" s="200" t="s">
        <v>414</v>
      </c>
      <c r="B10" s="203" t="s">
        <v>508</v>
      </c>
      <c r="C10" s="203" t="s">
        <v>505</v>
      </c>
      <c r="D10" s="203" t="s">
        <v>504</v>
      </c>
      <c r="E10" s="202" t="s">
        <v>415</v>
      </c>
      <c r="F10" s="90"/>
    </row>
    <row r="11" spans="1:6" ht="15.75" customHeight="1" thickBot="1" x14ac:dyDescent="0.3">
      <c r="A11" s="201"/>
      <c r="B11" s="201"/>
      <c r="C11" s="201"/>
      <c r="D11" s="201"/>
      <c r="E11" s="201"/>
      <c r="F11" s="90"/>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60B40-492A-4D8E-9F91-FCF796FA15E3}">
  <sheetPr codeName="Sheet29">
    <pageSetUpPr fitToPage="1"/>
  </sheetPr>
  <dimension ref="A1:I241"/>
  <sheetViews>
    <sheetView tabSelected="1" topLeftCell="A19" zoomScale="85" workbookViewId="0">
      <selection activeCell="E31" sqref="E31"/>
    </sheetView>
  </sheetViews>
  <sheetFormatPr defaultRowHeight="12.5" x14ac:dyDescent="0.25"/>
  <cols>
    <col min="1" max="1" width="32" style="191" bestFit="1" customWidth="1"/>
    <col min="2" max="2" width="58.54296875" style="192" bestFit="1" customWidth="1"/>
    <col min="3" max="3" width="5.08984375" style="192" bestFit="1" customWidth="1"/>
    <col min="4" max="4" width="9.1796875" style="192" bestFit="1" customWidth="1"/>
    <col min="5" max="5" width="58.54296875" style="192" bestFit="1" customWidth="1"/>
    <col min="6" max="6" width="54.1796875" style="192" bestFit="1" customWidth="1"/>
    <col min="7" max="7" width="60.6328125" style="192" bestFit="1" customWidth="1"/>
    <col min="8" max="8" width="18.54296875" style="192" bestFit="1" customWidth="1"/>
    <col min="9" max="9" width="11.54296875" style="192" bestFit="1" customWidth="1"/>
    <col min="10" max="10" width="22.36328125" bestFit="1" customWidth="1"/>
    <col min="11" max="11" width="7.453125" bestFit="1" customWidth="1"/>
    <col min="12" max="12" width="15.6328125" bestFit="1" customWidth="1"/>
    <col min="13" max="13" width="11" bestFit="1" customWidth="1"/>
    <col min="14" max="14" width="14.453125" bestFit="1" customWidth="1"/>
    <col min="15" max="15" width="11.453125" bestFit="1" customWidth="1"/>
    <col min="16" max="16" width="9.54296875" bestFit="1" customWidth="1"/>
    <col min="17" max="17" width="16.54296875" bestFit="1" customWidth="1"/>
    <col min="18" max="18" width="14.6328125" bestFit="1" customWidth="1"/>
    <col min="19" max="19" width="10" bestFit="1" customWidth="1"/>
    <col min="20" max="20" width="9.6328125" bestFit="1" customWidth="1"/>
    <col min="21" max="21" width="8.453125" bestFit="1" customWidth="1"/>
    <col min="22" max="22" width="10.6328125" bestFit="1" customWidth="1"/>
    <col min="23" max="23" width="5.08984375" bestFit="1" customWidth="1"/>
  </cols>
  <sheetData>
    <row r="1" spans="1:9" ht="18" x14ac:dyDescent="0.25">
      <c r="A1" s="168" t="s">
        <v>385</v>
      </c>
      <c r="B1" s="169"/>
      <c r="C1" s="169"/>
      <c r="D1" s="169"/>
      <c r="E1" s="169"/>
      <c r="F1" s="169"/>
      <c r="G1" s="169"/>
      <c r="H1" s="169"/>
      <c r="I1" s="169"/>
    </row>
    <row r="2" spans="1:9" x14ac:dyDescent="0.25">
      <c r="A2" s="169"/>
      <c r="B2" s="169"/>
      <c r="C2" s="169"/>
      <c r="D2" s="169"/>
      <c r="E2" s="169"/>
      <c r="F2" s="169"/>
      <c r="G2" s="169"/>
      <c r="H2" s="169"/>
      <c r="I2" s="169"/>
    </row>
    <row r="3" spans="1:9" x14ac:dyDescent="0.25">
      <c r="A3" s="170" t="s">
        <v>51</v>
      </c>
      <c r="B3" s="170" t="s">
        <v>52</v>
      </c>
      <c r="C3" s="169"/>
      <c r="D3" s="169"/>
      <c r="E3" s="169"/>
      <c r="F3" s="169"/>
      <c r="G3" s="169"/>
      <c r="H3" s="169"/>
      <c r="I3" s="169"/>
    </row>
    <row r="4" spans="1:9" x14ac:dyDescent="0.25">
      <c r="A4" s="171"/>
      <c r="B4" s="171">
        <v>0.04</v>
      </c>
      <c r="C4" s="169"/>
      <c r="D4" s="169"/>
      <c r="E4" s="169"/>
      <c r="F4" s="169"/>
      <c r="G4" s="169"/>
      <c r="H4" s="169"/>
      <c r="I4" s="169"/>
    </row>
    <row r="5" spans="1:9" x14ac:dyDescent="0.25">
      <c r="A5" s="172"/>
      <c r="B5" s="172"/>
      <c r="C5" s="169"/>
      <c r="D5" s="169"/>
      <c r="E5" s="169"/>
      <c r="F5" s="169"/>
      <c r="G5" s="169"/>
      <c r="H5" s="169"/>
      <c r="I5" s="169"/>
    </row>
    <row r="6" spans="1:9" ht="16" thickBot="1" x14ac:dyDescent="0.3">
      <c r="A6" s="173" t="s">
        <v>386</v>
      </c>
      <c r="B6" s="169"/>
      <c r="C6" s="169"/>
      <c r="D6" s="169"/>
      <c r="E6" s="169"/>
      <c r="F6" s="169"/>
      <c r="G6" s="169"/>
    </row>
    <row r="7" spans="1:9" ht="13" thickBot="1" x14ac:dyDescent="0.3">
      <c r="A7" s="174" t="s">
        <v>158</v>
      </c>
      <c r="B7" s="175" t="s">
        <v>387</v>
      </c>
      <c r="C7" s="176" t="s">
        <v>44</v>
      </c>
      <c r="D7" s="177" t="s">
        <v>130</v>
      </c>
      <c r="E7" s="178" t="s">
        <v>388</v>
      </c>
      <c r="F7" s="178" t="s">
        <v>389</v>
      </c>
      <c r="G7" s="179" t="s">
        <v>28</v>
      </c>
    </row>
    <row r="8" spans="1:9" x14ac:dyDescent="0.25">
      <c r="A8" s="180" t="s">
        <v>326</v>
      </c>
      <c r="B8" s="181" t="s">
        <v>393</v>
      </c>
      <c r="C8" s="182"/>
      <c r="D8" s="207" t="s">
        <v>427</v>
      </c>
      <c r="E8" s="214" t="s">
        <v>393</v>
      </c>
      <c r="F8" s="207" t="s">
        <v>326</v>
      </c>
      <c r="G8" s="182" t="s">
        <v>390</v>
      </c>
    </row>
    <row r="9" spans="1:9" x14ac:dyDescent="0.25">
      <c r="A9" s="183" t="s">
        <v>326</v>
      </c>
      <c r="B9" s="184" t="s">
        <v>393</v>
      </c>
      <c r="C9" s="185"/>
      <c r="D9" s="186" t="s">
        <v>428</v>
      </c>
      <c r="E9" s="184" t="s">
        <v>393</v>
      </c>
      <c r="F9" s="184" t="s">
        <v>326</v>
      </c>
      <c r="G9" s="185" t="s">
        <v>390</v>
      </c>
    </row>
    <row r="10" spans="1:9" x14ac:dyDescent="0.25">
      <c r="A10" s="183" t="s">
        <v>326</v>
      </c>
      <c r="B10" s="184" t="s">
        <v>393</v>
      </c>
      <c r="C10" s="185"/>
      <c r="D10" s="186" t="s">
        <v>429</v>
      </c>
      <c r="E10" s="184" t="s">
        <v>393</v>
      </c>
      <c r="F10" s="184" t="s">
        <v>326</v>
      </c>
      <c r="G10" s="185" t="s">
        <v>390</v>
      </c>
    </row>
    <row r="11" spans="1:9" x14ac:dyDescent="0.25">
      <c r="A11" s="183" t="s">
        <v>326</v>
      </c>
      <c r="B11" s="184" t="s">
        <v>393</v>
      </c>
      <c r="C11" s="185"/>
      <c r="D11" s="186" t="s">
        <v>430</v>
      </c>
      <c r="E11" s="184" t="s">
        <v>393</v>
      </c>
      <c r="F11" s="184" t="s">
        <v>326</v>
      </c>
      <c r="G11" s="185" t="s">
        <v>390</v>
      </c>
    </row>
    <row r="12" spans="1:9" x14ac:dyDescent="0.25">
      <c r="A12" s="208" t="s">
        <v>326</v>
      </c>
      <c r="B12" s="209" t="s">
        <v>393</v>
      </c>
      <c r="C12" s="210"/>
      <c r="D12" s="211" t="s">
        <v>182</v>
      </c>
      <c r="E12" s="209" t="s">
        <v>394</v>
      </c>
      <c r="F12" s="209" t="s">
        <v>326</v>
      </c>
      <c r="G12" s="210" t="s">
        <v>390</v>
      </c>
    </row>
    <row r="13" spans="1:9" x14ac:dyDescent="0.25">
      <c r="A13" s="183" t="s">
        <v>326</v>
      </c>
      <c r="B13" s="184" t="s">
        <v>393</v>
      </c>
      <c r="C13" s="185"/>
      <c r="D13" s="186" t="s">
        <v>431</v>
      </c>
      <c r="E13" s="184" t="s">
        <v>393</v>
      </c>
      <c r="F13" s="184" t="s">
        <v>326</v>
      </c>
      <c r="G13" s="185" t="s">
        <v>390</v>
      </c>
    </row>
    <row r="14" spans="1:9" x14ac:dyDescent="0.25">
      <c r="A14" s="183" t="s">
        <v>326</v>
      </c>
      <c r="B14" s="184" t="s">
        <v>393</v>
      </c>
      <c r="C14" s="185"/>
      <c r="D14" s="186" t="s">
        <v>432</v>
      </c>
      <c r="E14" s="184" t="s">
        <v>393</v>
      </c>
      <c r="F14" s="184" t="s">
        <v>326</v>
      </c>
      <c r="G14" s="185" t="s">
        <v>390</v>
      </c>
    </row>
    <row r="15" spans="1:9" x14ac:dyDescent="0.25">
      <c r="A15" s="183" t="s">
        <v>326</v>
      </c>
      <c r="B15" s="184" t="s">
        <v>393</v>
      </c>
      <c r="C15" s="185"/>
      <c r="D15" s="186" t="s">
        <v>433</v>
      </c>
      <c r="E15" s="184" t="s">
        <v>393</v>
      </c>
      <c r="F15" s="184" t="s">
        <v>326</v>
      </c>
      <c r="G15" s="185" t="s">
        <v>390</v>
      </c>
    </row>
    <row r="16" spans="1:9" x14ac:dyDescent="0.25">
      <c r="A16" s="183" t="s">
        <v>326</v>
      </c>
      <c r="B16" s="184" t="s">
        <v>393</v>
      </c>
      <c r="C16" s="185"/>
      <c r="D16" s="186" t="s">
        <v>434</v>
      </c>
      <c r="E16" s="184" t="s">
        <v>393</v>
      </c>
      <c r="F16" s="184" t="s">
        <v>326</v>
      </c>
      <c r="G16" s="185" t="s">
        <v>390</v>
      </c>
    </row>
    <row r="17" spans="1:7" x14ac:dyDescent="0.25">
      <c r="A17" s="183" t="s">
        <v>326</v>
      </c>
      <c r="B17" s="184" t="s">
        <v>393</v>
      </c>
      <c r="C17" s="185"/>
      <c r="D17" s="186" t="s">
        <v>435</v>
      </c>
      <c r="E17" s="184" t="s">
        <v>393</v>
      </c>
      <c r="F17" s="184" t="s">
        <v>326</v>
      </c>
      <c r="G17" s="185" t="s">
        <v>390</v>
      </c>
    </row>
    <row r="18" spans="1:7" x14ac:dyDescent="0.25">
      <c r="A18" s="183" t="s">
        <v>326</v>
      </c>
      <c r="B18" s="184" t="s">
        <v>393</v>
      </c>
      <c r="C18" s="185"/>
      <c r="D18" s="186" t="s">
        <v>436</v>
      </c>
      <c r="E18" s="184" t="s">
        <v>393</v>
      </c>
      <c r="F18" s="184" t="s">
        <v>326</v>
      </c>
      <c r="G18" s="185" t="s">
        <v>390</v>
      </c>
    </row>
    <row r="19" spans="1:7" x14ac:dyDescent="0.25">
      <c r="A19" s="183" t="s">
        <v>326</v>
      </c>
      <c r="B19" s="184" t="s">
        <v>393</v>
      </c>
      <c r="C19" s="185"/>
      <c r="D19" s="186" t="s">
        <v>437</v>
      </c>
      <c r="E19" s="184" t="s">
        <v>393</v>
      </c>
      <c r="F19" s="184" t="s">
        <v>326</v>
      </c>
      <c r="G19" s="185" t="s">
        <v>390</v>
      </c>
    </row>
    <row r="20" spans="1:7" x14ac:dyDescent="0.25">
      <c r="A20" s="183" t="s">
        <v>326</v>
      </c>
      <c r="B20" s="184" t="s">
        <v>393</v>
      </c>
      <c r="C20" s="185"/>
      <c r="D20" s="186" t="s">
        <v>391</v>
      </c>
      <c r="E20" s="184" t="s">
        <v>393</v>
      </c>
      <c r="F20" s="184" t="s">
        <v>326</v>
      </c>
      <c r="G20" s="185" t="s">
        <v>390</v>
      </c>
    </row>
    <row r="21" spans="1:7" x14ac:dyDescent="0.25">
      <c r="A21" s="183" t="s">
        <v>326</v>
      </c>
      <c r="B21" s="184" t="s">
        <v>393</v>
      </c>
      <c r="C21" s="185"/>
      <c r="D21" s="186" t="s">
        <v>392</v>
      </c>
      <c r="E21" s="184" t="s">
        <v>393</v>
      </c>
      <c r="F21" s="184" t="s">
        <v>326</v>
      </c>
      <c r="G21" s="185" t="s">
        <v>390</v>
      </c>
    </row>
    <row r="22" spans="1:7" x14ac:dyDescent="0.25">
      <c r="A22" s="183" t="s">
        <v>326</v>
      </c>
      <c r="B22" s="184" t="s">
        <v>393</v>
      </c>
      <c r="C22" s="185"/>
      <c r="D22" s="186" t="s">
        <v>438</v>
      </c>
      <c r="E22" s="184" t="s">
        <v>393</v>
      </c>
      <c r="F22" s="184" t="s">
        <v>326</v>
      </c>
      <c r="G22" s="185" t="s">
        <v>390</v>
      </c>
    </row>
    <row r="23" spans="1:7" x14ac:dyDescent="0.25">
      <c r="A23" s="183" t="s">
        <v>326</v>
      </c>
      <c r="B23" s="184" t="s">
        <v>393</v>
      </c>
      <c r="C23" s="185"/>
      <c r="D23" s="186" t="s">
        <v>439</v>
      </c>
      <c r="E23" s="184" t="s">
        <v>393</v>
      </c>
      <c r="F23" s="184" t="s">
        <v>326</v>
      </c>
      <c r="G23" s="185" t="s">
        <v>390</v>
      </c>
    </row>
    <row r="24" spans="1:7" x14ac:dyDescent="0.25">
      <c r="A24" s="183" t="s">
        <v>326</v>
      </c>
      <c r="B24" s="184" t="s">
        <v>393</v>
      </c>
      <c r="C24" s="185"/>
      <c r="D24" s="186" t="s">
        <v>440</v>
      </c>
      <c r="E24" s="184" t="s">
        <v>393</v>
      </c>
      <c r="F24" s="184" t="s">
        <v>326</v>
      </c>
      <c r="G24" s="185" t="s">
        <v>390</v>
      </c>
    </row>
    <row r="25" spans="1:7" x14ac:dyDescent="0.25">
      <c r="A25" s="183" t="s">
        <v>326</v>
      </c>
      <c r="B25" s="184" t="s">
        <v>393</v>
      </c>
      <c r="C25" s="185"/>
      <c r="D25" s="186" t="s">
        <v>441</v>
      </c>
      <c r="E25" s="184" t="s">
        <v>393</v>
      </c>
      <c r="F25" s="184" t="s">
        <v>326</v>
      </c>
      <c r="G25" s="185" t="s">
        <v>390</v>
      </c>
    </row>
    <row r="26" spans="1:7" x14ac:dyDescent="0.25">
      <c r="A26" s="183" t="s">
        <v>326</v>
      </c>
      <c r="B26" s="184" t="s">
        <v>393</v>
      </c>
      <c r="C26" s="185"/>
      <c r="D26" s="186" t="s">
        <v>442</v>
      </c>
      <c r="E26" s="184" t="s">
        <v>393</v>
      </c>
      <c r="F26" s="184" t="s">
        <v>326</v>
      </c>
      <c r="G26" s="185" t="s">
        <v>390</v>
      </c>
    </row>
    <row r="27" spans="1:7" x14ac:dyDescent="0.25">
      <c r="A27" s="183" t="s">
        <v>326</v>
      </c>
      <c r="B27" s="184" t="s">
        <v>393</v>
      </c>
      <c r="C27" s="185"/>
      <c r="D27" s="186" t="s">
        <v>443</v>
      </c>
      <c r="E27" s="184" t="s">
        <v>393</v>
      </c>
      <c r="F27" s="184" t="s">
        <v>326</v>
      </c>
      <c r="G27" s="185" t="s">
        <v>390</v>
      </c>
    </row>
    <row r="28" spans="1:7" x14ac:dyDescent="0.25">
      <c r="A28" s="183" t="s">
        <v>326</v>
      </c>
      <c r="B28" s="184" t="s">
        <v>393</v>
      </c>
      <c r="C28" s="185"/>
      <c r="D28" s="186" t="s">
        <v>444</v>
      </c>
      <c r="E28" s="184" t="s">
        <v>393</v>
      </c>
      <c r="F28" s="184" t="s">
        <v>326</v>
      </c>
      <c r="G28" s="185" t="s">
        <v>390</v>
      </c>
    </row>
    <row r="29" spans="1:7" x14ac:dyDescent="0.25">
      <c r="A29" s="183" t="s">
        <v>326</v>
      </c>
      <c r="B29" s="184" t="s">
        <v>393</v>
      </c>
      <c r="C29" s="185"/>
      <c r="D29" s="186" t="s">
        <v>445</v>
      </c>
      <c r="E29" s="184" t="s">
        <v>393</v>
      </c>
      <c r="F29" s="184" t="s">
        <v>326</v>
      </c>
      <c r="G29" s="185" t="s">
        <v>390</v>
      </c>
    </row>
    <row r="30" spans="1:7" x14ac:dyDescent="0.25">
      <c r="A30" s="183" t="s">
        <v>326</v>
      </c>
      <c r="B30" s="184" t="s">
        <v>393</v>
      </c>
      <c r="C30" s="185"/>
      <c r="D30" s="186" t="s">
        <v>446</v>
      </c>
      <c r="E30" s="184" t="s">
        <v>393</v>
      </c>
      <c r="F30" s="184" t="s">
        <v>326</v>
      </c>
      <c r="G30" s="185" t="s">
        <v>390</v>
      </c>
    </row>
    <row r="31" spans="1:7" x14ac:dyDescent="0.25">
      <c r="A31" s="208" t="s">
        <v>326</v>
      </c>
      <c r="B31" s="209" t="s">
        <v>393</v>
      </c>
      <c r="C31" s="210"/>
      <c r="D31" s="211" t="s">
        <v>183</v>
      </c>
      <c r="E31" s="209" t="s">
        <v>395</v>
      </c>
      <c r="F31" s="209" t="s">
        <v>326</v>
      </c>
      <c r="G31" s="210" t="s">
        <v>390</v>
      </c>
    </row>
    <row r="32" spans="1:7" x14ac:dyDescent="0.25">
      <c r="A32" s="183" t="s">
        <v>326</v>
      </c>
      <c r="B32" s="184" t="s">
        <v>393</v>
      </c>
      <c r="C32" s="185"/>
      <c r="D32" s="186" t="s">
        <v>447</v>
      </c>
      <c r="E32" s="184" t="s">
        <v>393</v>
      </c>
      <c r="F32" s="184" t="s">
        <v>326</v>
      </c>
      <c r="G32" s="185" t="s">
        <v>390</v>
      </c>
    </row>
    <row r="33" spans="1:7" x14ac:dyDescent="0.25">
      <c r="A33" s="183" t="s">
        <v>326</v>
      </c>
      <c r="B33" s="184" t="s">
        <v>393</v>
      </c>
      <c r="C33" s="185"/>
      <c r="D33" s="186" t="s">
        <v>448</v>
      </c>
      <c r="E33" s="184" t="s">
        <v>393</v>
      </c>
      <c r="F33" s="184" t="s">
        <v>326</v>
      </c>
      <c r="G33" s="185" t="s">
        <v>390</v>
      </c>
    </row>
    <row r="34" spans="1:7" x14ac:dyDescent="0.25">
      <c r="A34" s="183" t="s">
        <v>326</v>
      </c>
      <c r="B34" s="184" t="s">
        <v>393</v>
      </c>
      <c r="C34" s="185"/>
      <c r="D34" s="186" t="s">
        <v>449</v>
      </c>
      <c r="E34" s="184" t="s">
        <v>393</v>
      </c>
      <c r="F34" s="184" t="s">
        <v>326</v>
      </c>
      <c r="G34" s="185" t="s">
        <v>390</v>
      </c>
    </row>
    <row r="35" spans="1:7" x14ac:dyDescent="0.25">
      <c r="A35" s="183" t="s">
        <v>326</v>
      </c>
      <c r="B35" s="184" t="s">
        <v>393</v>
      </c>
      <c r="C35" s="185"/>
      <c r="D35" s="186" t="s">
        <v>450</v>
      </c>
      <c r="E35" s="184" t="s">
        <v>393</v>
      </c>
      <c r="F35" s="184" t="s">
        <v>326</v>
      </c>
      <c r="G35" s="185" t="s">
        <v>390</v>
      </c>
    </row>
    <row r="36" spans="1:7" x14ac:dyDescent="0.25">
      <c r="A36" s="183" t="s">
        <v>326</v>
      </c>
      <c r="B36" s="184" t="s">
        <v>393</v>
      </c>
      <c r="C36" s="185"/>
      <c r="D36" s="186" t="s">
        <v>451</v>
      </c>
      <c r="E36" s="184" t="s">
        <v>393</v>
      </c>
      <c r="F36" s="184" t="s">
        <v>326</v>
      </c>
      <c r="G36" s="185" t="s">
        <v>390</v>
      </c>
    </row>
    <row r="37" spans="1:7" x14ac:dyDescent="0.25">
      <c r="A37" s="183" t="s">
        <v>326</v>
      </c>
      <c r="B37" s="184" t="s">
        <v>393</v>
      </c>
      <c r="C37" s="185"/>
      <c r="D37" s="186" t="s">
        <v>452</v>
      </c>
      <c r="E37" s="184" t="s">
        <v>393</v>
      </c>
      <c r="F37" s="184" t="s">
        <v>326</v>
      </c>
      <c r="G37" s="185" t="s">
        <v>390</v>
      </c>
    </row>
    <row r="38" spans="1:7" x14ac:dyDescent="0.25">
      <c r="A38" s="183" t="s">
        <v>326</v>
      </c>
      <c r="B38" s="184" t="s">
        <v>393</v>
      </c>
      <c r="C38" s="185"/>
      <c r="D38" s="186" t="s">
        <v>453</v>
      </c>
      <c r="E38" s="184" t="s">
        <v>393</v>
      </c>
      <c r="F38" s="184" t="s">
        <v>326</v>
      </c>
      <c r="G38" s="185" t="s">
        <v>390</v>
      </c>
    </row>
    <row r="39" spans="1:7" x14ac:dyDescent="0.25">
      <c r="A39" s="183" t="s">
        <v>326</v>
      </c>
      <c r="B39" s="184" t="s">
        <v>393</v>
      </c>
      <c r="C39" s="185"/>
      <c r="D39" s="186" t="s">
        <v>454</v>
      </c>
      <c r="E39" s="184" t="s">
        <v>393</v>
      </c>
      <c r="F39" s="184" t="s">
        <v>326</v>
      </c>
      <c r="G39" s="185" t="s">
        <v>390</v>
      </c>
    </row>
    <row r="40" spans="1:7" x14ac:dyDescent="0.25">
      <c r="A40" s="183" t="s">
        <v>326</v>
      </c>
      <c r="B40" s="184" t="s">
        <v>393</v>
      </c>
      <c r="C40" s="185"/>
      <c r="D40" s="186" t="s">
        <v>455</v>
      </c>
      <c r="E40" s="184" t="s">
        <v>393</v>
      </c>
      <c r="F40" s="184" t="s">
        <v>326</v>
      </c>
      <c r="G40" s="185" t="s">
        <v>390</v>
      </c>
    </row>
    <row r="41" spans="1:7" x14ac:dyDescent="0.25">
      <c r="A41" s="183" t="s">
        <v>326</v>
      </c>
      <c r="B41" s="184" t="s">
        <v>393</v>
      </c>
      <c r="C41" s="185"/>
      <c r="D41" s="186" t="s">
        <v>456</v>
      </c>
      <c r="E41" s="184" t="s">
        <v>393</v>
      </c>
      <c r="F41" s="184" t="s">
        <v>326</v>
      </c>
      <c r="G41" s="185" t="s">
        <v>390</v>
      </c>
    </row>
    <row r="42" spans="1:7" x14ac:dyDescent="0.25">
      <c r="A42" s="183" t="s">
        <v>326</v>
      </c>
      <c r="B42" s="184" t="s">
        <v>393</v>
      </c>
      <c r="C42" s="185"/>
      <c r="D42" s="186" t="s">
        <v>457</v>
      </c>
      <c r="E42" s="184" t="s">
        <v>393</v>
      </c>
      <c r="F42" s="184" t="s">
        <v>326</v>
      </c>
      <c r="G42" s="185" t="s">
        <v>390</v>
      </c>
    </row>
    <row r="43" spans="1:7" x14ac:dyDescent="0.25">
      <c r="A43" s="183" t="s">
        <v>326</v>
      </c>
      <c r="B43" s="184" t="s">
        <v>393</v>
      </c>
      <c r="C43" s="185"/>
      <c r="D43" s="186" t="s">
        <v>458</v>
      </c>
      <c r="E43" s="184" t="s">
        <v>393</v>
      </c>
      <c r="F43" s="184" t="s">
        <v>326</v>
      </c>
      <c r="G43" s="185" t="s">
        <v>390</v>
      </c>
    </row>
    <row r="44" spans="1:7" x14ac:dyDescent="0.25">
      <c r="A44" s="183" t="s">
        <v>326</v>
      </c>
      <c r="B44" s="184" t="s">
        <v>393</v>
      </c>
      <c r="C44" s="185"/>
      <c r="D44" s="186" t="s">
        <v>459</v>
      </c>
      <c r="E44" s="184" t="s">
        <v>393</v>
      </c>
      <c r="F44" s="184" t="s">
        <v>326</v>
      </c>
      <c r="G44" s="185" t="s">
        <v>390</v>
      </c>
    </row>
    <row r="45" spans="1:7" x14ac:dyDescent="0.25">
      <c r="A45" s="183" t="s">
        <v>326</v>
      </c>
      <c r="B45" s="184" t="s">
        <v>393</v>
      </c>
      <c r="C45" s="185"/>
      <c r="D45" s="186" t="s">
        <v>460</v>
      </c>
      <c r="E45" s="184" t="s">
        <v>393</v>
      </c>
      <c r="F45" s="184" t="s">
        <v>326</v>
      </c>
      <c r="G45" s="185" t="s">
        <v>390</v>
      </c>
    </row>
    <row r="46" spans="1:7" ht="13" thickBot="1" x14ac:dyDescent="0.3">
      <c r="A46" s="187" t="s">
        <v>326</v>
      </c>
      <c r="B46" s="188" t="s">
        <v>393</v>
      </c>
      <c r="C46" s="189"/>
      <c r="D46" s="190" t="s">
        <v>461</v>
      </c>
      <c r="E46" s="188" t="s">
        <v>393</v>
      </c>
      <c r="F46" s="188" t="s">
        <v>326</v>
      </c>
      <c r="G46" s="189" t="s">
        <v>390</v>
      </c>
    </row>
    <row r="47" spans="1:7" x14ac:dyDescent="0.25">
      <c r="A47" s="180" t="s">
        <v>303</v>
      </c>
      <c r="B47" s="181" t="s">
        <v>328</v>
      </c>
      <c r="C47" s="182"/>
      <c r="D47" s="207" t="s">
        <v>427</v>
      </c>
      <c r="E47" s="214" t="s">
        <v>328</v>
      </c>
      <c r="F47" s="207" t="s">
        <v>303</v>
      </c>
      <c r="G47" s="182" t="s">
        <v>390</v>
      </c>
    </row>
    <row r="48" spans="1:7" x14ac:dyDescent="0.25">
      <c r="A48" s="183" t="s">
        <v>303</v>
      </c>
      <c r="B48" s="184" t="s">
        <v>328</v>
      </c>
      <c r="C48" s="185"/>
      <c r="D48" s="186" t="s">
        <v>428</v>
      </c>
      <c r="E48" s="184" t="s">
        <v>328</v>
      </c>
      <c r="F48" s="184" t="s">
        <v>303</v>
      </c>
      <c r="G48" s="185" t="s">
        <v>390</v>
      </c>
    </row>
    <row r="49" spans="1:7" x14ac:dyDescent="0.25">
      <c r="A49" s="183" t="s">
        <v>303</v>
      </c>
      <c r="B49" s="184" t="s">
        <v>328</v>
      </c>
      <c r="C49" s="185"/>
      <c r="D49" s="186" t="s">
        <v>429</v>
      </c>
      <c r="E49" s="184" t="s">
        <v>328</v>
      </c>
      <c r="F49" s="184" t="s">
        <v>303</v>
      </c>
      <c r="G49" s="185" t="s">
        <v>390</v>
      </c>
    </row>
    <row r="50" spans="1:7" x14ac:dyDescent="0.25">
      <c r="A50" s="183" t="s">
        <v>303</v>
      </c>
      <c r="B50" s="184" t="s">
        <v>328</v>
      </c>
      <c r="C50" s="185"/>
      <c r="D50" s="186" t="s">
        <v>430</v>
      </c>
      <c r="E50" s="184" t="s">
        <v>328</v>
      </c>
      <c r="F50" s="184" t="s">
        <v>303</v>
      </c>
      <c r="G50" s="185" t="s">
        <v>390</v>
      </c>
    </row>
    <row r="51" spans="1:7" x14ac:dyDescent="0.25">
      <c r="A51" s="183" t="s">
        <v>303</v>
      </c>
      <c r="B51" s="184" t="s">
        <v>328</v>
      </c>
      <c r="C51" s="185"/>
      <c r="D51" s="186" t="s">
        <v>182</v>
      </c>
      <c r="E51" s="184" t="s">
        <v>328</v>
      </c>
      <c r="F51" s="184" t="s">
        <v>303</v>
      </c>
      <c r="G51" s="185" t="s">
        <v>390</v>
      </c>
    </row>
    <row r="52" spans="1:7" x14ac:dyDescent="0.25">
      <c r="A52" s="183" t="s">
        <v>303</v>
      </c>
      <c r="B52" s="184" t="s">
        <v>328</v>
      </c>
      <c r="C52" s="185"/>
      <c r="D52" s="186" t="s">
        <v>431</v>
      </c>
      <c r="E52" s="184" t="s">
        <v>328</v>
      </c>
      <c r="F52" s="184" t="s">
        <v>303</v>
      </c>
      <c r="G52" s="185" t="s">
        <v>390</v>
      </c>
    </row>
    <row r="53" spans="1:7" x14ac:dyDescent="0.25">
      <c r="A53" s="183" t="s">
        <v>303</v>
      </c>
      <c r="B53" s="184" t="s">
        <v>328</v>
      </c>
      <c r="C53" s="185"/>
      <c r="D53" s="186" t="s">
        <v>432</v>
      </c>
      <c r="E53" s="184" t="s">
        <v>328</v>
      </c>
      <c r="F53" s="184" t="s">
        <v>303</v>
      </c>
      <c r="G53" s="185" t="s">
        <v>390</v>
      </c>
    </row>
    <row r="54" spans="1:7" x14ac:dyDescent="0.25">
      <c r="A54" s="183" t="s">
        <v>303</v>
      </c>
      <c r="B54" s="184" t="s">
        <v>328</v>
      </c>
      <c r="C54" s="185"/>
      <c r="D54" s="186" t="s">
        <v>433</v>
      </c>
      <c r="E54" s="184" t="s">
        <v>328</v>
      </c>
      <c r="F54" s="184" t="s">
        <v>303</v>
      </c>
      <c r="G54" s="185" t="s">
        <v>390</v>
      </c>
    </row>
    <row r="55" spans="1:7" x14ac:dyDescent="0.25">
      <c r="A55" s="183" t="s">
        <v>303</v>
      </c>
      <c r="B55" s="184" t="s">
        <v>328</v>
      </c>
      <c r="C55" s="185"/>
      <c r="D55" s="186" t="s">
        <v>434</v>
      </c>
      <c r="E55" s="184" t="s">
        <v>328</v>
      </c>
      <c r="F55" s="184" t="s">
        <v>303</v>
      </c>
      <c r="G55" s="185" t="s">
        <v>390</v>
      </c>
    </row>
    <row r="56" spans="1:7" x14ac:dyDescent="0.25">
      <c r="A56" s="183" t="s">
        <v>303</v>
      </c>
      <c r="B56" s="184" t="s">
        <v>328</v>
      </c>
      <c r="C56" s="185"/>
      <c r="D56" s="186" t="s">
        <v>435</v>
      </c>
      <c r="E56" s="184" t="s">
        <v>328</v>
      </c>
      <c r="F56" s="184" t="s">
        <v>303</v>
      </c>
      <c r="G56" s="185" t="s">
        <v>390</v>
      </c>
    </row>
    <row r="57" spans="1:7" x14ac:dyDescent="0.25">
      <c r="A57" s="183" t="s">
        <v>303</v>
      </c>
      <c r="B57" s="184" t="s">
        <v>328</v>
      </c>
      <c r="C57" s="185"/>
      <c r="D57" s="186" t="s">
        <v>436</v>
      </c>
      <c r="E57" s="184" t="s">
        <v>328</v>
      </c>
      <c r="F57" s="184" t="s">
        <v>303</v>
      </c>
      <c r="G57" s="185" t="s">
        <v>390</v>
      </c>
    </row>
    <row r="58" spans="1:7" x14ac:dyDescent="0.25">
      <c r="A58" s="183" t="s">
        <v>303</v>
      </c>
      <c r="B58" s="184" t="s">
        <v>328</v>
      </c>
      <c r="C58" s="185"/>
      <c r="D58" s="186" t="s">
        <v>437</v>
      </c>
      <c r="E58" s="184" t="s">
        <v>328</v>
      </c>
      <c r="F58" s="184" t="s">
        <v>303</v>
      </c>
      <c r="G58" s="185" t="s">
        <v>390</v>
      </c>
    </row>
    <row r="59" spans="1:7" x14ac:dyDescent="0.25">
      <c r="A59" s="183" t="s">
        <v>303</v>
      </c>
      <c r="B59" s="184" t="s">
        <v>328</v>
      </c>
      <c r="C59" s="185"/>
      <c r="D59" s="186" t="s">
        <v>391</v>
      </c>
      <c r="E59" s="184" t="s">
        <v>328</v>
      </c>
      <c r="F59" s="184" t="s">
        <v>303</v>
      </c>
      <c r="G59" s="185" t="s">
        <v>390</v>
      </c>
    </row>
    <row r="60" spans="1:7" x14ac:dyDescent="0.25">
      <c r="A60" s="183" t="s">
        <v>303</v>
      </c>
      <c r="B60" s="184" t="s">
        <v>328</v>
      </c>
      <c r="C60" s="185"/>
      <c r="D60" s="186" t="s">
        <v>392</v>
      </c>
      <c r="E60" s="184" t="s">
        <v>328</v>
      </c>
      <c r="F60" s="184" t="s">
        <v>303</v>
      </c>
      <c r="G60" s="185" t="s">
        <v>390</v>
      </c>
    </row>
    <row r="61" spans="1:7" x14ac:dyDescent="0.25">
      <c r="A61" s="183" t="s">
        <v>303</v>
      </c>
      <c r="B61" s="184" t="s">
        <v>328</v>
      </c>
      <c r="C61" s="185"/>
      <c r="D61" s="186" t="s">
        <v>438</v>
      </c>
      <c r="E61" s="184" t="s">
        <v>328</v>
      </c>
      <c r="F61" s="184" t="s">
        <v>303</v>
      </c>
      <c r="G61" s="185" t="s">
        <v>390</v>
      </c>
    </row>
    <row r="62" spans="1:7" x14ac:dyDescent="0.25">
      <c r="A62" s="183" t="s">
        <v>303</v>
      </c>
      <c r="B62" s="184" t="s">
        <v>328</v>
      </c>
      <c r="C62" s="185"/>
      <c r="D62" s="186" t="s">
        <v>439</v>
      </c>
      <c r="E62" s="184" t="s">
        <v>328</v>
      </c>
      <c r="F62" s="184" t="s">
        <v>303</v>
      </c>
      <c r="G62" s="185" t="s">
        <v>390</v>
      </c>
    </row>
    <row r="63" spans="1:7" x14ac:dyDescent="0.25">
      <c r="A63" s="183" t="s">
        <v>303</v>
      </c>
      <c r="B63" s="184" t="s">
        <v>328</v>
      </c>
      <c r="C63" s="185"/>
      <c r="D63" s="186" t="s">
        <v>440</v>
      </c>
      <c r="E63" s="184" t="s">
        <v>328</v>
      </c>
      <c r="F63" s="184" t="s">
        <v>303</v>
      </c>
      <c r="G63" s="185" t="s">
        <v>390</v>
      </c>
    </row>
    <row r="64" spans="1:7" x14ac:dyDescent="0.25">
      <c r="A64" s="183" t="s">
        <v>303</v>
      </c>
      <c r="B64" s="184" t="s">
        <v>328</v>
      </c>
      <c r="C64" s="185"/>
      <c r="D64" s="186" t="s">
        <v>441</v>
      </c>
      <c r="E64" s="184" t="s">
        <v>328</v>
      </c>
      <c r="F64" s="184" t="s">
        <v>303</v>
      </c>
      <c r="G64" s="185" t="s">
        <v>390</v>
      </c>
    </row>
    <row r="65" spans="1:7" x14ac:dyDescent="0.25">
      <c r="A65" s="183" t="s">
        <v>303</v>
      </c>
      <c r="B65" s="184" t="s">
        <v>328</v>
      </c>
      <c r="C65" s="185"/>
      <c r="D65" s="186" t="s">
        <v>442</v>
      </c>
      <c r="E65" s="184" t="s">
        <v>328</v>
      </c>
      <c r="F65" s="184" t="s">
        <v>303</v>
      </c>
      <c r="G65" s="185" t="s">
        <v>390</v>
      </c>
    </row>
    <row r="66" spans="1:7" ht="12.65" customHeight="1" x14ac:dyDescent="0.25">
      <c r="A66" s="183" t="s">
        <v>303</v>
      </c>
      <c r="B66" s="184" t="s">
        <v>328</v>
      </c>
      <c r="C66" s="185"/>
      <c r="D66" s="186" t="s">
        <v>443</v>
      </c>
      <c r="E66" s="184" t="s">
        <v>328</v>
      </c>
      <c r="F66" s="184" t="s">
        <v>303</v>
      </c>
      <c r="G66" s="185" t="s">
        <v>390</v>
      </c>
    </row>
    <row r="67" spans="1:7" x14ac:dyDescent="0.25">
      <c r="A67" s="183" t="s">
        <v>303</v>
      </c>
      <c r="B67" s="184" t="s">
        <v>328</v>
      </c>
      <c r="C67" s="185"/>
      <c r="D67" s="186" t="s">
        <v>444</v>
      </c>
      <c r="E67" s="184" t="s">
        <v>328</v>
      </c>
      <c r="F67" s="184" t="s">
        <v>303</v>
      </c>
      <c r="G67" s="185" t="s">
        <v>390</v>
      </c>
    </row>
    <row r="68" spans="1:7" x14ac:dyDescent="0.25">
      <c r="A68" s="183" t="s">
        <v>303</v>
      </c>
      <c r="B68" s="184" t="s">
        <v>328</v>
      </c>
      <c r="C68" s="185"/>
      <c r="D68" s="186" t="s">
        <v>445</v>
      </c>
      <c r="E68" s="184" t="s">
        <v>328</v>
      </c>
      <c r="F68" s="184" t="s">
        <v>303</v>
      </c>
      <c r="G68" s="185" t="s">
        <v>390</v>
      </c>
    </row>
    <row r="69" spans="1:7" x14ac:dyDescent="0.25">
      <c r="A69" s="183" t="s">
        <v>303</v>
      </c>
      <c r="B69" s="184" t="s">
        <v>328</v>
      </c>
      <c r="C69" s="185"/>
      <c r="D69" s="186" t="s">
        <v>446</v>
      </c>
      <c r="E69" s="184" t="s">
        <v>328</v>
      </c>
      <c r="F69" s="184" t="s">
        <v>303</v>
      </c>
      <c r="G69" s="185" t="s">
        <v>390</v>
      </c>
    </row>
    <row r="70" spans="1:7" x14ac:dyDescent="0.25">
      <c r="A70" s="183" t="s">
        <v>303</v>
      </c>
      <c r="B70" s="184" t="s">
        <v>328</v>
      </c>
      <c r="C70" s="185"/>
      <c r="D70" s="186" t="s">
        <v>183</v>
      </c>
      <c r="E70" s="184" t="s">
        <v>328</v>
      </c>
      <c r="F70" s="184" t="s">
        <v>303</v>
      </c>
      <c r="G70" s="185" t="s">
        <v>390</v>
      </c>
    </row>
    <row r="71" spans="1:7" x14ac:dyDescent="0.25">
      <c r="A71" s="183" t="s">
        <v>303</v>
      </c>
      <c r="B71" s="184" t="s">
        <v>328</v>
      </c>
      <c r="C71" s="185"/>
      <c r="D71" s="186" t="s">
        <v>447</v>
      </c>
      <c r="E71" s="184" t="s">
        <v>328</v>
      </c>
      <c r="F71" s="184" t="s">
        <v>303</v>
      </c>
      <c r="G71" s="185" t="s">
        <v>390</v>
      </c>
    </row>
    <row r="72" spans="1:7" x14ac:dyDescent="0.25">
      <c r="A72" s="183" t="s">
        <v>303</v>
      </c>
      <c r="B72" s="184" t="s">
        <v>328</v>
      </c>
      <c r="C72" s="185"/>
      <c r="D72" s="186" t="s">
        <v>448</v>
      </c>
      <c r="E72" s="184" t="s">
        <v>328</v>
      </c>
      <c r="F72" s="184" t="s">
        <v>303</v>
      </c>
      <c r="G72" s="185" t="s">
        <v>390</v>
      </c>
    </row>
    <row r="73" spans="1:7" x14ac:dyDescent="0.25">
      <c r="A73" s="183" t="s">
        <v>303</v>
      </c>
      <c r="B73" s="184" t="s">
        <v>328</v>
      </c>
      <c r="C73" s="185"/>
      <c r="D73" s="186" t="s">
        <v>449</v>
      </c>
      <c r="E73" s="184" t="s">
        <v>328</v>
      </c>
      <c r="F73" s="184" t="s">
        <v>303</v>
      </c>
      <c r="G73" s="185" t="s">
        <v>390</v>
      </c>
    </row>
    <row r="74" spans="1:7" x14ac:dyDescent="0.25">
      <c r="A74" s="183" t="s">
        <v>303</v>
      </c>
      <c r="B74" s="184" t="s">
        <v>328</v>
      </c>
      <c r="C74" s="185"/>
      <c r="D74" s="186" t="s">
        <v>450</v>
      </c>
      <c r="E74" s="184" t="s">
        <v>328</v>
      </c>
      <c r="F74" s="184" t="s">
        <v>303</v>
      </c>
      <c r="G74" s="185" t="s">
        <v>390</v>
      </c>
    </row>
    <row r="75" spans="1:7" x14ac:dyDescent="0.25">
      <c r="A75" s="183" t="s">
        <v>303</v>
      </c>
      <c r="B75" s="184" t="s">
        <v>328</v>
      </c>
      <c r="C75" s="185"/>
      <c r="D75" s="186" t="s">
        <v>451</v>
      </c>
      <c r="E75" s="184" t="s">
        <v>328</v>
      </c>
      <c r="F75" s="184" t="s">
        <v>303</v>
      </c>
      <c r="G75" s="185" t="s">
        <v>390</v>
      </c>
    </row>
    <row r="76" spans="1:7" x14ac:dyDescent="0.25">
      <c r="A76" s="183" t="s">
        <v>303</v>
      </c>
      <c r="B76" s="184" t="s">
        <v>328</v>
      </c>
      <c r="C76" s="185"/>
      <c r="D76" s="186" t="s">
        <v>452</v>
      </c>
      <c r="E76" s="184" t="s">
        <v>328</v>
      </c>
      <c r="F76" s="184" t="s">
        <v>303</v>
      </c>
      <c r="G76" s="185" t="s">
        <v>390</v>
      </c>
    </row>
    <row r="77" spans="1:7" x14ac:dyDescent="0.25">
      <c r="A77" s="183" t="s">
        <v>303</v>
      </c>
      <c r="B77" s="184" t="s">
        <v>328</v>
      </c>
      <c r="C77" s="185"/>
      <c r="D77" s="186" t="s">
        <v>453</v>
      </c>
      <c r="E77" s="184" t="s">
        <v>328</v>
      </c>
      <c r="F77" s="184" t="s">
        <v>303</v>
      </c>
      <c r="G77" s="185" t="s">
        <v>390</v>
      </c>
    </row>
    <row r="78" spans="1:7" x14ac:dyDescent="0.25">
      <c r="A78" s="183" t="s">
        <v>303</v>
      </c>
      <c r="B78" s="184" t="s">
        <v>328</v>
      </c>
      <c r="C78" s="185"/>
      <c r="D78" s="186" t="s">
        <v>454</v>
      </c>
      <c r="E78" s="184" t="s">
        <v>328</v>
      </c>
      <c r="F78" s="184" t="s">
        <v>303</v>
      </c>
      <c r="G78" s="185" t="s">
        <v>390</v>
      </c>
    </row>
    <row r="79" spans="1:7" x14ac:dyDescent="0.25">
      <c r="A79" s="183" t="s">
        <v>303</v>
      </c>
      <c r="B79" s="184" t="s">
        <v>328</v>
      </c>
      <c r="C79" s="185"/>
      <c r="D79" s="186" t="s">
        <v>455</v>
      </c>
      <c r="E79" s="184" t="s">
        <v>328</v>
      </c>
      <c r="F79" s="184" t="s">
        <v>303</v>
      </c>
      <c r="G79" s="185" t="s">
        <v>390</v>
      </c>
    </row>
    <row r="80" spans="1:7" x14ac:dyDescent="0.25">
      <c r="A80" s="183" t="s">
        <v>303</v>
      </c>
      <c r="B80" s="184" t="s">
        <v>328</v>
      </c>
      <c r="C80" s="185"/>
      <c r="D80" s="186" t="s">
        <v>456</v>
      </c>
      <c r="E80" s="184" t="s">
        <v>328</v>
      </c>
      <c r="F80" s="184" t="s">
        <v>303</v>
      </c>
      <c r="G80" s="185" t="s">
        <v>390</v>
      </c>
    </row>
    <row r="81" spans="1:7" x14ac:dyDescent="0.25">
      <c r="A81" s="183" t="s">
        <v>303</v>
      </c>
      <c r="B81" s="184" t="s">
        <v>328</v>
      </c>
      <c r="C81" s="185"/>
      <c r="D81" s="186" t="s">
        <v>457</v>
      </c>
      <c r="E81" s="184" t="s">
        <v>328</v>
      </c>
      <c r="F81" s="184" t="s">
        <v>303</v>
      </c>
      <c r="G81" s="185" t="s">
        <v>390</v>
      </c>
    </row>
    <row r="82" spans="1:7" x14ac:dyDescent="0.25">
      <c r="A82" s="183" t="s">
        <v>303</v>
      </c>
      <c r="B82" s="184" t="s">
        <v>328</v>
      </c>
      <c r="C82" s="185"/>
      <c r="D82" s="186" t="s">
        <v>458</v>
      </c>
      <c r="E82" s="184" t="s">
        <v>328</v>
      </c>
      <c r="F82" s="184" t="s">
        <v>303</v>
      </c>
      <c r="G82" s="185" t="s">
        <v>390</v>
      </c>
    </row>
    <row r="83" spans="1:7" x14ac:dyDescent="0.25">
      <c r="A83" s="183" t="s">
        <v>303</v>
      </c>
      <c r="B83" s="184" t="s">
        <v>328</v>
      </c>
      <c r="C83" s="185"/>
      <c r="D83" s="186" t="s">
        <v>459</v>
      </c>
      <c r="E83" s="184" t="s">
        <v>328</v>
      </c>
      <c r="F83" s="184" t="s">
        <v>303</v>
      </c>
      <c r="G83" s="185" t="s">
        <v>390</v>
      </c>
    </row>
    <row r="84" spans="1:7" x14ac:dyDescent="0.25">
      <c r="A84" s="183" t="s">
        <v>303</v>
      </c>
      <c r="B84" s="184" t="s">
        <v>328</v>
      </c>
      <c r="C84" s="185"/>
      <c r="D84" s="186" t="s">
        <v>460</v>
      </c>
      <c r="E84" s="184" t="s">
        <v>328</v>
      </c>
      <c r="F84" s="184" t="s">
        <v>303</v>
      </c>
      <c r="G84" s="185" t="s">
        <v>390</v>
      </c>
    </row>
    <row r="85" spans="1:7" ht="13" thickBot="1" x14ac:dyDescent="0.3">
      <c r="A85" s="187" t="s">
        <v>303</v>
      </c>
      <c r="B85" s="188" t="s">
        <v>328</v>
      </c>
      <c r="C85" s="189"/>
      <c r="D85" s="190" t="s">
        <v>461</v>
      </c>
      <c r="E85" s="188" t="s">
        <v>328</v>
      </c>
      <c r="F85" s="188" t="s">
        <v>303</v>
      </c>
      <c r="G85" s="189" t="s">
        <v>390</v>
      </c>
    </row>
    <row r="86" spans="1:7" x14ac:dyDescent="0.25">
      <c r="A86" s="180" t="s">
        <v>462</v>
      </c>
      <c r="B86" s="181" t="s">
        <v>463</v>
      </c>
      <c r="C86" s="182"/>
      <c r="D86" s="207" t="s">
        <v>427</v>
      </c>
      <c r="E86" s="214" t="s">
        <v>463</v>
      </c>
      <c r="F86" s="207" t="s">
        <v>462</v>
      </c>
      <c r="G86" s="182" t="s">
        <v>390</v>
      </c>
    </row>
    <row r="87" spans="1:7" x14ac:dyDescent="0.25">
      <c r="A87" s="183" t="s">
        <v>462</v>
      </c>
      <c r="B87" s="184" t="s">
        <v>463</v>
      </c>
      <c r="C87" s="185"/>
      <c r="D87" s="186" t="s">
        <v>428</v>
      </c>
      <c r="E87" s="184" t="s">
        <v>463</v>
      </c>
      <c r="F87" s="184" t="s">
        <v>462</v>
      </c>
      <c r="G87" s="185" t="s">
        <v>390</v>
      </c>
    </row>
    <row r="88" spans="1:7" x14ac:dyDescent="0.25">
      <c r="A88" s="183" t="s">
        <v>462</v>
      </c>
      <c r="B88" s="184" t="s">
        <v>463</v>
      </c>
      <c r="C88" s="185"/>
      <c r="D88" s="186" t="s">
        <v>429</v>
      </c>
      <c r="E88" s="184" t="s">
        <v>463</v>
      </c>
      <c r="F88" s="184" t="s">
        <v>462</v>
      </c>
      <c r="G88" s="185" t="s">
        <v>390</v>
      </c>
    </row>
    <row r="89" spans="1:7" x14ac:dyDescent="0.25">
      <c r="A89" s="183" t="s">
        <v>462</v>
      </c>
      <c r="B89" s="184" t="s">
        <v>463</v>
      </c>
      <c r="C89" s="185"/>
      <c r="D89" s="186" t="s">
        <v>430</v>
      </c>
      <c r="E89" s="184" t="s">
        <v>463</v>
      </c>
      <c r="F89" s="184" t="s">
        <v>462</v>
      </c>
      <c r="G89" s="185" t="s">
        <v>390</v>
      </c>
    </row>
    <row r="90" spans="1:7" x14ac:dyDescent="0.25">
      <c r="A90" s="208" t="s">
        <v>462</v>
      </c>
      <c r="B90" s="209" t="s">
        <v>463</v>
      </c>
      <c r="C90" s="210"/>
      <c r="D90" s="211" t="s">
        <v>182</v>
      </c>
      <c r="E90" s="209" t="s">
        <v>394</v>
      </c>
      <c r="F90" s="209" t="s">
        <v>462</v>
      </c>
      <c r="G90" s="210" t="s">
        <v>390</v>
      </c>
    </row>
    <row r="91" spans="1:7" x14ac:dyDescent="0.25">
      <c r="A91" s="183" t="s">
        <v>462</v>
      </c>
      <c r="B91" s="184" t="s">
        <v>463</v>
      </c>
      <c r="C91" s="185"/>
      <c r="D91" s="186" t="s">
        <v>431</v>
      </c>
      <c r="E91" s="184" t="s">
        <v>463</v>
      </c>
      <c r="F91" s="184" t="s">
        <v>462</v>
      </c>
      <c r="G91" s="185" t="s">
        <v>390</v>
      </c>
    </row>
    <row r="92" spans="1:7" x14ac:dyDescent="0.25">
      <c r="A92" s="183" t="s">
        <v>462</v>
      </c>
      <c r="B92" s="184" t="s">
        <v>463</v>
      </c>
      <c r="C92" s="185"/>
      <c r="D92" s="186" t="s">
        <v>432</v>
      </c>
      <c r="E92" s="184" t="s">
        <v>463</v>
      </c>
      <c r="F92" s="184" t="s">
        <v>462</v>
      </c>
      <c r="G92" s="185" t="s">
        <v>390</v>
      </c>
    </row>
    <row r="93" spans="1:7" x14ac:dyDescent="0.25">
      <c r="A93" s="183" t="s">
        <v>462</v>
      </c>
      <c r="B93" s="184" t="s">
        <v>463</v>
      </c>
      <c r="C93" s="185"/>
      <c r="D93" s="186" t="s">
        <v>433</v>
      </c>
      <c r="E93" s="184" t="s">
        <v>463</v>
      </c>
      <c r="F93" s="184" t="s">
        <v>462</v>
      </c>
      <c r="G93" s="185" t="s">
        <v>390</v>
      </c>
    </row>
    <row r="94" spans="1:7" x14ac:dyDescent="0.25">
      <c r="A94" s="183" t="s">
        <v>462</v>
      </c>
      <c r="B94" s="184" t="s">
        <v>463</v>
      </c>
      <c r="C94" s="185"/>
      <c r="D94" s="186" t="s">
        <v>434</v>
      </c>
      <c r="E94" s="184" t="s">
        <v>463</v>
      </c>
      <c r="F94" s="184" t="s">
        <v>462</v>
      </c>
      <c r="G94" s="185" t="s">
        <v>390</v>
      </c>
    </row>
    <row r="95" spans="1:7" x14ac:dyDescent="0.25">
      <c r="A95" s="183" t="s">
        <v>462</v>
      </c>
      <c r="B95" s="184" t="s">
        <v>463</v>
      </c>
      <c r="C95" s="185"/>
      <c r="D95" s="186" t="s">
        <v>435</v>
      </c>
      <c r="E95" s="184" t="s">
        <v>463</v>
      </c>
      <c r="F95" s="184" t="s">
        <v>462</v>
      </c>
      <c r="G95" s="185" t="s">
        <v>390</v>
      </c>
    </row>
    <row r="96" spans="1:7" x14ac:dyDescent="0.25">
      <c r="A96" s="183" t="s">
        <v>462</v>
      </c>
      <c r="B96" s="184" t="s">
        <v>463</v>
      </c>
      <c r="C96" s="185"/>
      <c r="D96" s="186" t="s">
        <v>436</v>
      </c>
      <c r="E96" s="184" t="s">
        <v>463</v>
      </c>
      <c r="F96" s="184" t="s">
        <v>462</v>
      </c>
      <c r="G96" s="185" t="s">
        <v>390</v>
      </c>
    </row>
    <row r="97" spans="1:7" x14ac:dyDescent="0.25">
      <c r="A97" s="183" t="s">
        <v>462</v>
      </c>
      <c r="B97" s="184" t="s">
        <v>463</v>
      </c>
      <c r="C97" s="185"/>
      <c r="D97" s="186" t="s">
        <v>437</v>
      </c>
      <c r="E97" s="184" t="s">
        <v>463</v>
      </c>
      <c r="F97" s="184" t="s">
        <v>462</v>
      </c>
      <c r="G97" s="185" t="s">
        <v>390</v>
      </c>
    </row>
    <row r="98" spans="1:7" x14ac:dyDescent="0.25">
      <c r="A98" s="183" t="s">
        <v>462</v>
      </c>
      <c r="B98" s="184" t="s">
        <v>463</v>
      </c>
      <c r="C98" s="185"/>
      <c r="D98" s="186" t="s">
        <v>391</v>
      </c>
      <c r="E98" s="184" t="s">
        <v>463</v>
      </c>
      <c r="F98" s="184" t="s">
        <v>462</v>
      </c>
      <c r="G98" s="185" t="s">
        <v>390</v>
      </c>
    </row>
    <row r="99" spans="1:7" x14ac:dyDescent="0.25">
      <c r="A99" s="183" t="s">
        <v>462</v>
      </c>
      <c r="B99" s="184" t="s">
        <v>463</v>
      </c>
      <c r="C99" s="185"/>
      <c r="D99" s="186" t="s">
        <v>392</v>
      </c>
      <c r="E99" s="184" t="s">
        <v>463</v>
      </c>
      <c r="F99" s="184" t="s">
        <v>462</v>
      </c>
      <c r="G99" s="185" t="s">
        <v>390</v>
      </c>
    </row>
    <row r="100" spans="1:7" x14ac:dyDescent="0.25">
      <c r="A100" s="183" t="s">
        <v>462</v>
      </c>
      <c r="B100" s="184" t="s">
        <v>463</v>
      </c>
      <c r="C100" s="185"/>
      <c r="D100" s="186" t="s">
        <v>438</v>
      </c>
      <c r="E100" s="184" t="s">
        <v>463</v>
      </c>
      <c r="F100" s="184" t="s">
        <v>462</v>
      </c>
      <c r="G100" s="185" t="s">
        <v>390</v>
      </c>
    </row>
    <row r="101" spans="1:7" x14ac:dyDescent="0.25">
      <c r="A101" s="183" t="s">
        <v>462</v>
      </c>
      <c r="B101" s="184" t="s">
        <v>463</v>
      </c>
      <c r="C101" s="185"/>
      <c r="D101" s="186" t="s">
        <v>439</v>
      </c>
      <c r="E101" s="184" t="s">
        <v>463</v>
      </c>
      <c r="F101" s="184" t="s">
        <v>462</v>
      </c>
      <c r="G101" s="185" t="s">
        <v>390</v>
      </c>
    </row>
    <row r="102" spans="1:7" x14ac:dyDescent="0.25">
      <c r="A102" s="183" t="s">
        <v>462</v>
      </c>
      <c r="B102" s="184" t="s">
        <v>463</v>
      </c>
      <c r="C102" s="185"/>
      <c r="D102" s="186" t="s">
        <v>440</v>
      </c>
      <c r="E102" s="184" t="s">
        <v>463</v>
      </c>
      <c r="F102" s="184" t="s">
        <v>462</v>
      </c>
      <c r="G102" s="185" t="s">
        <v>390</v>
      </c>
    </row>
    <row r="103" spans="1:7" x14ac:dyDescent="0.25">
      <c r="A103" s="183" t="s">
        <v>462</v>
      </c>
      <c r="B103" s="184" t="s">
        <v>463</v>
      </c>
      <c r="C103" s="185"/>
      <c r="D103" s="186" t="s">
        <v>441</v>
      </c>
      <c r="E103" s="184" t="s">
        <v>463</v>
      </c>
      <c r="F103" s="184" t="s">
        <v>462</v>
      </c>
      <c r="G103" s="185" t="s">
        <v>390</v>
      </c>
    </row>
    <row r="104" spans="1:7" x14ac:dyDescent="0.25">
      <c r="A104" s="183" t="s">
        <v>462</v>
      </c>
      <c r="B104" s="184" t="s">
        <v>463</v>
      </c>
      <c r="C104" s="185"/>
      <c r="D104" s="186" t="s">
        <v>442</v>
      </c>
      <c r="E104" s="184" t="s">
        <v>463</v>
      </c>
      <c r="F104" s="184" t="s">
        <v>462</v>
      </c>
      <c r="G104" s="185" t="s">
        <v>390</v>
      </c>
    </row>
    <row r="105" spans="1:7" ht="12.65" customHeight="1" x14ac:dyDescent="0.25">
      <c r="A105" s="183" t="s">
        <v>462</v>
      </c>
      <c r="B105" s="184" t="s">
        <v>463</v>
      </c>
      <c r="C105" s="185"/>
      <c r="D105" s="186" t="s">
        <v>443</v>
      </c>
      <c r="E105" s="184" t="s">
        <v>463</v>
      </c>
      <c r="F105" s="184" t="s">
        <v>462</v>
      </c>
      <c r="G105" s="185" t="s">
        <v>390</v>
      </c>
    </row>
    <row r="106" spans="1:7" x14ac:dyDescent="0.25">
      <c r="A106" s="183" t="s">
        <v>462</v>
      </c>
      <c r="B106" s="184" t="s">
        <v>463</v>
      </c>
      <c r="C106" s="185"/>
      <c r="D106" s="186" t="s">
        <v>444</v>
      </c>
      <c r="E106" s="184" t="s">
        <v>463</v>
      </c>
      <c r="F106" s="184" t="s">
        <v>462</v>
      </c>
      <c r="G106" s="185" t="s">
        <v>390</v>
      </c>
    </row>
    <row r="107" spans="1:7" x14ac:dyDescent="0.25">
      <c r="A107" s="183" t="s">
        <v>462</v>
      </c>
      <c r="B107" s="184" t="s">
        <v>463</v>
      </c>
      <c r="C107" s="185"/>
      <c r="D107" s="186" t="s">
        <v>445</v>
      </c>
      <c r="E107" s="184" t="s">
        <v>463</v>
      </c>
      <c r="F107" s="184" t="s">
        <v>462</v>
      </c>
      <c r="G107" s="185" t="s">
        <v>390</v>
      </c>
    </row>
    <row r="108" spans="1:7" x14ac:dyDescent="0.25">
      <c r="A108" s="183" t="s">
        <v>462</v>
      </c>
      <c r="B108" s="184" t="s">
        <v>463</v>
      </c>
      <c r="C108" s="185"/>
      <c r="D108" s="186" t="s">
        <v>446</v>
      </c>
      <c r="E108" s="184" t="s">
        <v>463</v>
      </c>
      <c r="F108" s="184" t="s">
        <v>462</v>
      </c>
      <c r="G108" s="185" t="s">
        <v>390</v>
      </c>
    </row>
    <row r="109" spans="1:7" x14ac:dyDescent="0.25">
      <c r="A109" s="208" t="s">
        <v>462</v>
      </c>
      <c r="B109" s="209" t="s">
        <v>463</v>
      </c>
      <c r="C109" s="210"/>
      <c r="D109" s="211" t="s">
        <v>183</v>
      </c>
      <c r="E109" s="209" t="s">
        <v>394</v>
      </c>
      <c r="F109" s="209" t="s">
        <v>462</v>
      </c>
      <c r="G109" s="210" t="s">
        <v>390</v>
      </c>
    </row>
    <row r="110" spans="1:7" x14ac:dyDescent="0.25">
      <c r="A110" s="183" t="s">
        <v>462</v>
      </c>
      <c r="B110" s="184" t="s">
        <v>463</v>
      </c>
      <c r="C110" s="185"/>
      <c r="D110" s="186" t="s">
        <v>447</v>
      </c>
      <c r="E110" s="184" t="s">
        <v>463</v>
      </c>
      <c r="F110" s="184" t="s">
        <v>462</v>
      </c>
      <c r="G110" s="185" t="s">
        <v>390</v>
      </c>
    </row>
    <row r="111" spans="1:7" x14ac:dyDescent="0.25">
      <c r="A111" s="183" t="s">
        <v>462</v>
      </c>
      <c r="B111" s="184" t="s">
        <v>463</v>
      </c>
      <c r="C111" s="185"/>
      <c r="D111" s="186" t="s">
        <v>448</v>
      </c>
      <c r="E111" s="184" t="s">
        <v>463</v>
      </c>
      <c r="F111" s="184" t="s">
        <v>462</v>
      </c>
      <c r="G111" s="185" t="s">
        <v>390</v>
      </c>
    </row>
    <row r="112" spans="1:7" x14ac:dyDescent="0.25">
      <c r="A112" s="183" t="s">
        <v>462</v>
      </c>
      <c r="B112" s="184" t="s">
        <v>463</v>
      </c>
      <c r="C112" s="185"/>
      <c r="D112" s="186" t="s">
        <v>449</v>
      </c>
      <c r="E112" s="184" t="s">
        <v>463</v>
      </c>
      <c r="F112" s="184" t="s">
        <v>462</v>
      </c>
      <c r="G112" s="185" t="s">
        <v>390</v>
      </c>
    </row>
    <row r="113" spans="1:7" x14ac:dyDescent="0.25">
      <c r="A113" s="183" t="s">
        <v>462</v>
      </c>
      <c r="B113" s="184" t="s">
        <v>463</v>
      </c>
      <c r="C113" s="185"/>
      <c r="D113" s="186" t="s">
        <v>450</v>
      </c>
      <c r="E113" s="184" t="s">
        <v>463</v>
      </c>
      <c r="F113" s="184" t="s">
        <v>462</v>
      </c>
      <c r="G113" s="185" t="s">
        <v>390</v>
      </c>
    </row>
    <row r="114" spans="1:7" x14ac:dyDescent="0.25">
      <c r="A114" s="183" t="s">
        <v>462</v>
      </c>
      <c r="B114" s="184" t="s">
        <v>463</v>
      </c>
      <c r="C114" s="185"/>
      <c r="D114" s="186" t="s">
        <v>451</v>
      </c>
      <c r="E114" s="184" t="s">
        <v>463</v>
      </c>
      <c r="F114" s="184" t="s">
        <v>462</v>
      </c>
      <c r="G114" s="185" t="s">
        <v>390</v>
      </c>
    </row>
    <row r="115" spans="1:7" x14ac:dyDescent="0.25">
      <c r="A115" s="183" t="s">
        <v>462</v>
      </c>
      <c r="B115" s="184" t="s">
        <v>463</v>
      </c>
      <c r="C115" s="185"/>
      <c r="D115" s="186" t="s">
        <v>452</v>
      </c>
      <c r="E115" s="184" t="s">
        <v>463</v>
      </c>
      <c r="F115" s="184" t="s">
        <v>462</v>
      </c>
      <c r="G115" s="185" t="s">
        <v>390</v>
      </c>
    </row>
    <row r="116" spans="1:7" x14ac:dyDescent="0.25">
      <c r="A116" s="183" t="s">
        <v>462</v>
      </c>
      <c r="B116" s="184" t="s">
        <v>463</v>
      </c>
      <c r="C116" s="185"/>
      <c r="D116" s="186" t="s">
        <v>453</v>
      </c>
      <c r="E116" s="184" t="s">
        <v>463</v>
      </c>
      <c r="F116" s="184" t="s">
        <v>462</v>
      </c>
      <c r="G116" s="185" t="s">
        <v>390</v>
      </c>
    </row>
    <row r="117" spans="1:7" x14ac:dyDescent="0.25">
      <c r="A117" s="183" t="s">
        <v>462</v>
      </c>
      <c r="B117" s="184" t="s">
        <v>463</v>
      </c>
      <c r="C117" s="185"/>
      <c r="D117" s="186" t="s">
        <v>454</v>
      </c>
      <c r="E117" s="184" t="s">
        <v>463</v>
      </c>
      <c r="F117" s="184" t="s">
        <v>462</v>
      </c>
      <c r="G117" s="185" t="s">
        <v>390</v>
      </c>
    </row>
    <row r="118" spans="1:7" x14ac:dyDescent="0.25">
      <c r="A118" s="183" t="s">
        <v>462</v>
      </c>
      <c r="B118" s="184" t="s">
        <v>463</v>
      </c>
      <c r="C118" s="185"/>
      <c r="D118" s="186" t="s">
        <v>455</v>
      </c>
      <c r="E118" s="184" t="s">
        <v>463</v>
      </c>
      <c r="F118" s="184" t="s">
        <v>462</v>
      </c>
      <c r="G118" s="185" t="s">
        <v>390</v>
      </c>
    </row>
    <row r="119" spans="1:7" x14ac:dyDescent="0.25">
      <c r="A119" s="183" t="s">
        <v>462</v>
      </c>
      <c r="B119" s="184" t="s">
        <v>463</v>
      </c>
      <c r="C119" s="185"/>
      <c r="D119" s="186" t="s">
        <v>456</v>
      </c>
      <c r="E119" s="184" t="s">
        <v>463</v>
      </c>
      <c r="F119" s="184" t="s">
        <v>462</v>
      </c>
      <c r="G119" s="185" t="s">
        <v>390</v>
      </c>
    </row>
    <row r="120" spans="1:7" x14ac:dyDescent="0.25">
      <c r="A120" s="183" t="s">
        <v>462</v>
      </c>
      <c r="B120" s="184" t="s">
        <v>463</v>
      </c>
      <c r="C120" s="185"/>
      <c r="D120" s="186" t="s">
        <v>457</v>
      </c>
      <c r="E120" s="184" t="s">
        <v>463</v>
      </c>
      <c r="F120" s="184" t="s">
        <v>462</v>
      </c>
      <c r="G120" s="185" t="s">
        <v>390</v>
      </c>
    </row>
    <row r="121" spans="1:7" x14ac:dyDescent="0.25">
      <c r="A121" s="183" t="s">
        <v>462</v>
      </c>
      <c r="B121" s="184" t="s">
        <v>463</v>
      </c>
      <c r="C121" s="185"/>
      <c r="D121" s="186" t="s">
        <v>458</v>
      </c>
      <c r="E121" s="184" t="s">
        <v>463</v>
      </c>
      <c r="F121" s="184" t="s">
        <v>462</v>
      </c>
      <c r="G121" s="185" t="s">
        <v>390</v>
      </c>
    </row>
    <row r="122" spans="1:7" x14ac:dyDescent="0.25">
      <c r="A122" s="183" t="s">
        <v>462</v>
      </c>
      <c r="B122" s="184" t="s">
        <v>463</v>
      </c>
      <c r="C122" s="185"/>
      <c r="D122" s="186" t="s">
        <v>459</v>
      </c>
      <c r="E122" s="184" t="s">
        <v>463</v>
      </c>
      <c r="F122" s="184" t="s">
        <v>462</v>
      </c>
      <c r="G122" s="185" t="s">
        <v>390</v>
      </c>
    </row>
    <row r="123" spans="1:7" x14ac:dyDescent="0.25">
      <c r="A123" s="183" t="s">
        <v>462</v>
      </c>
      <c r="B123" s="184" t="s">
        <v>463</v>
      </c>
      <c r="C123" s="185"/>
      <c r="D123" s="186" t="s">
        <v>460</v>
      </c>
      <c r="E123" s="184" t="s">
        <v>463</v>
      </c>
      <c r="F123" s="184" t="s">
        <v>462</v>
      </c>
      <c r="G123" s="185" t="s">
        <v>390</v>
      </c>
    </row>
    <row r="124" spans="1:7" ht="13" thickBot="1" x14ac:dyDescent="0.3">
      <c r="A124" s="187" t="s">
        <v>462</v>
      </c>
      <c r="B124" s="188" t="s">
        <v>463</v>
      </c>
      <c r="C124" s="189"/>
      <c r="D124" s="190" t="s">
        <v>461</v>
      </c>
      <c r="E124" s="188" t="s">
        <v>463</v>
      </c>
      <c r="F124" s="188" t="s">
        <v>462</v>
      </c>
      <c r="G124" s="189" t="s">
        <v>390</v>
      </c>
    </row>
    <row r="125" spans="1:7" x14ac:dyDescent="0.25">
      <c r="A125" s="180" t="s">
        <v>468</v>
      </c>
      <c r="B125" s="181" t="s">
        <v>469</v>
      </c>
      <c r="C125" s="182"/>
      <c r="D125" s="207" t="s">
        <v>427</v>
      </c>
      <c r="E125" s="214" t="s">
        <v>469</v>
      </c>
      <c r="F125" s="207" t="s">
        <v>468</v>
      </c>
      <c r="G125" s="182" t="s">
        <v>390</v>
      </c>
    </row>
    <row r="126" spans="1:7" x14ac:dyDescent="0.25">
      <c r="A126" s="183" t="s">
        <v>468</v>
      </c>
      <c r="B126" s="184" t="s">
        <v>469</v>
      </c>
      <c r="C126" s="185"/>
      <c r="D126" s="186" t="s">
        <v>428</v>
      </c>
      <c r="E126" s="184" t="s">
        <v>469</v>
      </c>
      <c r="F126" s="184" t="s">
        <v>468</v>
      </c>
      <c r="G126" s="185" t="s">
        <v>390</v>
      </c>
    </row>
    <row r="127" spans="1:7" x14ac:dyDescent="0.25">
      <c r="A127" s="183" t="s">
        <v>468</v>
      </c>
      <c r="B127" s="184" t="s">
        <v>469</v>
      </c>
      <c r="C127" s="185"/>
      <c r="D127" s="186" t="s">
        <v>429</v>
      </c>
      <c r="E127" s="184" t="s">
        <v>469</v>
      </c>
      <c r="F127" s="184" t="s">
        <v>468</v>
      </c>
      <c r="G127" s="185" t="s">
        <v>390</v>
      </c>
    </row>
    <row r="128" spans="1:7" x14ac:dyDescent="0.25">
      <c r="A128" s="183" t="s">
        <v>468</v>
      </c>
      <c r="B128" s="184" t="s">
        <v>469</v>
      </c>
      <c r="C128" s="185"/>
      <c r="D128" s="186" t="s">
        <v>430</v>
      </c>
      <c r="E128" s="184" t="s">
        <v>469</v>
      </c>
      <c r="F128" s="184" t="s">
        <v>468</v>
      </c>
      <c r="G128" s="185" t="s">
        <v>390</v>
      </c>
    </row>
    <row r="129" spans="1:7" x14ac:dyDescent="0.25">
      <c r="A129" s="183" t="s">
        <v>468</v>
      </c>
      <c r="B129" s="184" t="s">
        <v>469</v>
      </c>
      <c r="C129" s="185"/>
      <c r="D129" s="186" t="s">
        <v>182</v>
      </c>
      <c r="E129" s="184" t="s">
        <v>469</v>
      </c>
      <c r="F129" s="184" t="s">
        <v>468</v>
      </c>
      <c r="G129" s="185" t="s">
        <v>390</v>
      </c>
    </row>
    <row r="130" spans="1:7" x14ac:dyDescent="0.25">
      <c r="A130" s="183" t="s">
        <v>468</v>
      </c>
      <c r="B130" s="184" t="s">
        <v>469</v>
      </c>
      <c r="C130" s="185"/>
      <c r="D130" s="186" t="s">
        <v>431</v>
      </c>
      <c r="E130" s="184" t="s">
        <v>469</v>
      </c>
      <c r="F130" s="184" t="s">
        <v>468</v>
      </c>
      <c r="G130" s="185" t="s">
        <v>390</v>
      </c>
    </row>
    <row r="131" spans="1:7" x14ac:dyDescent="0.25">
      <c r="A131" s="183" t="s">
        <v>468</v>
      </c>
      <c r="B131" s="184" t="s">
        <v>469</v>
      </c>
      <c r="C131" s="185"/>
      <c r="D131" s="186" t="s">
        <v>432</v>
      </c>
      <c r="E131" s="184" t="s">
        <v>469</v>
      </c>
      <c r="F131" s="184" t="s">
        <v>468</v>
      </c>
      <c r="G131" s="185" t="s">
        <v>390</v>
      </c>
    </row>
    <row r="132" spans="1:7" x14ac:dyDescent="0.25">
      <c r="A132" s="183" t="s">
        <v>468</v>
      </c>
      <c r="B132" s="184" t="s">
        <v>469</v>
      </c>
      <c r="C132" s="185"/>
      <c r="D132" s="186" t="s">
        <v>433</v>
      </c>
      <c r="E132" s="184" t="s">
        <v>469</v>
      </c>
      <c r="F132" s="184" t="s">
        <v>468</v>
      </c>
      <c r="G132" s="185" t="s">
        <v>390</v>
      </c>
    </row>
    <row r="133" spans="1:7" x14ac:dyDescent="0.25">
      <c r="A133" s="183" t="s">
        <v>468</v>
      </c>
      <c r="B133" s="184" t="s">
        <v>469</v>
      </c>
      <c r="C133" s="185"/>
      <c r="D133" s="186" t="s">
        <v>434</v>
      </c>
      <c r="E133" s="184" t="s">
        <v>469</v>
      </c>
      <c r="F133" s="184" t="s">
        <v>468</v>
      </c>
      <c r="G133" s="185" t="s">
        <v>390</v>
      </c>
    </row>
    <row r="134" spans="1:7" x14ac:dyDescent="0.25">
      <c r="A134" s="183" t="s">
        <v>468</v>
      </c>
      <c r="B134" s="184" t="s">
        <v>469</v>
      </c>
      <c r="C134" s="185"/>
      <c r="D134" s="186" t="s">
        <v>435</v>
      </c>
      <c r="E134" s="184" t="s">
        <v>469</v>
      </c>
      <c r="F134" s="184" t="s">
        <v>468</v>
      </c>
      <c r="G134" s="185" t="s">
        <v>390</v>
      </c>
    </row>
    <row r="135" spans="1:7" x14ac:dyDescent="0.25">
      <c r="A135" s="183" t="s">
        <v>468</v>
      </c>
      <c r="B135" s="184" t="s">
        <v>469</v>
      </c>
      <c r="C135" s="185"/>
      <c r="D135" s="186" t="s">
        <v>436</v>
      </c>
      <c r="E135" s="184" t="s">
        <v>469</v>
      </c>
      <c r="F135" s="184" t="s">
        <v>468</v>
      </c>
      <c r="G135" s="185" t="s">
        <v>390</v>
      </c>
    </row>
    <row r="136" spans="1:7" x14ac:dyDescent="0.25">
      <c r="A136" s="183" t="s">
        <v>468</v>
      </c>
      <c r="B136" s="184" t="s">
        <v>469</v>
      </c>
      <c r="C136" s="185"/>
      <c r="D136" s="186" t="s">
        <v>437</v>
      </c>
      <c r="E136" s="184" t="s">
        <v>469</v>
      </c>
      <c r="F136" s="184" t="s">
        <v>468</v>
      </c>
      <c r="G136" s="185" t="s">
        <v>390</v>
      </c>
    </row>
    <row r="137" spans="1:7" x14ac:dyDescent="0.25">
      <c r="A137" s="183" t="s">
        <v>468</v>
      </c>
      <c r="B137" s="184" t="s">
        <v>469</v>
      </c>
      <c r="C137" s="185"/>
      <c r="D137" s="186" t="s">
        <v>391</v>
      </c>
      <c r="E137" s="184" t="s">
        <v>469</v>
      </c>
      <c r="F137" s="184" t="s">
        <v>468</v>
      </c>
      <c r="G137" s="185" t="s">
        <v>390</v>
      </c>
    </row>
    <row r="138" spans="1:7" x14ac:dyDescent="0.25">
      <c r="A138" s="183" t="s">
        <v>468</v>
      </c>
      <c r="B138" s="184" t="s">
        <v>469</v>
      </c>
      <c r="C138" s="185"/>
      <c r="D138" s="186" t="s">
        <v>392</v>
      </c>
      <c r="E138" s="184" t="s">
        <v>469</v>
      </c>
      <c r="F138" s="184" t="s">
        <v>468</v>
      </c>
      <c r="G138" s="185" t="s">
        <v>390</v>
      </c>
    </row>
    <row r="139" spans="1:7" x14ac:dyDescent="0.25">
      <c r="A139" s="183" t="s">
        <v>468</v>
      </c>
      <c r="B139" s="184" t="s">
        <v>469</v>
      </c>
      <c r="C139" s="185"/>
      <c r="D139" s="186" t="s">
        <v>438</v>
      </c>
      <c r="E139" s="184" t="s">
        <v>469</v>
      </c>
      <c r="F139" s="184" t="s">
        <v>468</v>
      </c>
      <c r="G139" s="185" t="s">
        <v>390</v>
      </c>
    </row>
    <row r="140" spans="1:7" x14ac:dyDescent="0.25">
      <c r="A140" s="183" t="s">
        <v>468</v>
      </c>
      <c r="B140" s="184" t="s">
        <v>469</v>
      </c>
      <c r="C140" s="185"/>
      <c r="D140" s="186" t="s">
        <v>439</v>
      </c>
      <c r="E140" s="184" t="s">
        <v>469</v>
      </c>
      <c r="F140" s="184" t="s">
        <v>468</v>
      </c>
      <c r="G140" s="185" t="s">
        <v>390</v>
      </c>
    </row>
    <row r="141" spans="1:7" x14ac:dyDescent="0.25">
      <c r="A141" s="183" t="s">
        <v>468</v>
      </c>
      <c r="B141" s="184" t="s">
        <v>469</v>
      </c>
      <c r="C141" s="185"/>
      <c r="D141" s="186" t="s">
        <v>440</v>
      </c>
      <c r="E141" s="184" t="s">
        <v>469</v>
      </c>
      <c r="F141" s="184" t="s">
        <v>468</v>
      </c>
      <c r="G141" s="185" t="s">
        <v>390</v>
      </c>
    </row>
    <row r="142" spans="1:7" x14ac:dyDescent="0.25">
      <c r="A142" s="183" t="s">
        <v>468</v>
      </c>
      <c r="B142" s="184" t="s">
        <v>469</v>
      </c>
      <c r="C142" s="185"/>
      <c r="D142" s="186" t="s">
        <v>441</v>
      </c>
      <c r="E142" s="184" t="s">
        <v>469</v>
      </c>
      <c r="F142" s="184" t="s">
        <v>468</v>
      </c>
      <c r="G142" s="185" t="s">
        <v>390</v>
      </c>
    </row>
    <row r="143" spans="1:7" x14ac:dyDescent="0.25">
      <c r="A143" s="183" t="s">
        <v>468</v>
      </c>
      <c r="B143" s="184" t="s">
        <v>469</v>
      </c>
      <c r="C143" s="185"/>
      <c r="D143" s="186" t="s">
        <v>442</v>
      </c>
      <c r="E143" s="184" t="s">
        <v>469</v>
      </c>
      <c r="F143" s="184" t="s">
        <v>468</v>
      </c>
      <c r="G143" s="185" t="s">
        <v>390</v>
      </c>
    </row>
    <row r="144" spans="1:7" x14ac:dyDescent="0.25">
      <c r="A144" s="183" t="s">
        <v>468</v>
      </c>
      <c r="B144" s="184" t="s">
        <v>469</v>
      </c>
      <c r="C144" s="185"/>
      <c r="D144" s="186" t="s">
        <v>443</v>
      </c>
      <c r="E144" s="184" t="s">
        <v>469</v>
      </c>
      <c r="F144" s="184" t="s">
        <v>468</v>
      </c>
      <c r="G144" s="185" t="s">
        <v>390</v>
      </c>
    </row>
    <row r="145" spans="1:7" x14ac:dyDescent="0.25">
      <c r="A145" s="183" t="s">
        <v>468</v>
      </c>
      <c r="B145" s="184" t="s">
        <v>469</v>
      </c>
      <c r="C145" s="185"/>
      <c r="D145" s="186" t="s">
        <v>444</v>
      </c>
      <c r="E145" s="184" t="s">
        <v>469</v>
      </c>
      <c r="F145" s="184" t="s">
        <v>468</v>
      </c>
      <c r="G145" s="185" t="s">
        <v>390</v>
      </c>
    </row>
    <row r="146" spans="1:7" x14ac:dyDescent="0.25">
      <c r="A146" s="183" t="s">
        <v>468</v>
      </c>
      <c r="B146" s="184" t="s">
        <v>469</v>
      </c>
      <c r="C146" s="185"/>
      <c r="D146" s="186" t="s">
        <v>445</v>
      </c>
      <c r="E146" s="184" t="s">
        <v>469</v>
      </c>
      <c r="F146" s="184" t="s">
        <v>468</v>
      </c>
      <c r="G146" s="185" t="s">
        <v>390</v>
      </c>
    </row>
    <row r="147" spans="1:7" x14ac:dyDescent="0.25">
      <c r="A147" s="183" t="s">
        <v>468</v>
      </c>
      <c r="B147" s="184" t="s">
        <v>469</v>
      </c>
      <c r="C147" s="185"/>
      <c r="D147" s="186" t="s">
        <v>446</v>
      </c>
      <c r="E147" s="184" t="s">
        <v>469</v>
      </c>
      <c r="F147" s="184" t="s">
        <v>468</v>
      </c>
      <c r="G147" s="185" t="s">
        <v>390</v>
      </c>
    </row>
    <row r="148" spans="1:7" x14ac:dyDescent="0.25">
      <c r="A148" s="183" t="s">
        <v>468</v>
      </c>
      <c r="B148" s="184" t="s">
        <v>469</v>
      </c>
      <c r="C148" s="185"/>
      <c r="D148" s="186" t="s">
        <v>183</v>
      </c>
      <c r="E148" s="184" t="s">
        <v>469</v>
      </c>
      <c r="F148" s="184" t="s">
        <v>468</v>
      </c>
      <c r="G148" s="185" t="s">
        <v>390</v>
      </c>
    </row>
    <row r="149" spans="1:7" x14ac:dyDescent="0.25">
      <c r="A149" s="183" t="s">
        <v>468</v>
      </c>
      <c r="B149" s="184" t="s">
        <v>469</v>
      </c>
      <c r="C149" s="185"/>
      <c r="D149" s="186" t="s">
        <v>447</v>
      </c>
      <c r="E149" s="184" t="s">
        <v>469</v>
      </c>
      <c r="F149" s="184" t="s">
        <v>468</v>
      </c>
      <c r="G149" s="185" t="s">
        <v>390</v>
      </c>
    </row>
    <row r="150" spans="1:7" x14ac:dyDescent="0.25">
      <c r="A150" s="183" t="s">
        <v>468</v>
      </c>
      <c r="B150" s="184" t="s">
        <v>469</v>
      </c>
      <c r="C150" s="185"/>
      <c r="D150" s="186" t="s">
        <v>448</v>
      </c>
      <c r="E150" s="184" t="s">
        <v>469</v>
      </c>
      <c r="F150" s="184" t="s">
        <v>468</v>
      </c>
      <c r="G150" s="185" t="s">
        <v>390</v>
      </c>
    </row>
    <row r="151" spans="1:7" x14ac:dyDescent="0.25">
      <c r="A151" s="183" t="s">
        <v>468</v>
      </c>
      <c r="B151" s="184" t="s">
        <v>469</v>
      </c>
      <c r="C151" s="185"/>
      <c r="D151" s="186" t="s">
        <v>449</v>
      </c>
      <c r="E151" s="184" t="s">
        <v>469</v>
      </c>
      <c r="F151" s="184" t="s">
        <v>468</v>
      </c>
      <c r="G151" s="185" t="s">
        <v>390</v>
      </c>
    </row>
    <row r="152" spans="1:7" x14ac:dyDescent="0.25">
      <c r="A152" s="183" t="s">
        <v>468</v>
      </c>
      <c r="B152" s="184" t="s">
        <v>469</v>
      </c>
      <c r="C152" s="185"/>
      <c r="D152" s="186" t="s">
        <v>450</v>
      </c>
      <c r="E152" s="184" t="s">
        <v>469</v>
      </c>
      <c r="F152" s="184" t="s">
        <v>468</v>
      </c>
      <c r="G152" s="185" t="s">
        <v>390</v>
      </c>
    </row>
    <row r="153" spans="1:7" x14ac:dyDescent="0.25">
      <c r="A153" s="183" t="s">
        <v>468</v>
      </c>
      <c r="B153" s="184" t="s">
        <v>469</v>
      </c>
      <c r="C153" s="185"/>
      <c r="D153" s="186" t="s">
        <v>451</v>
      </c>
      <c r="E153" s="184" t="s">
        <v>469</v>
      </c>
      <c r="F153" s="184" t="s">
        <v>468</v>
      </c>
      <c r="G153" s="185" t="s">
        <v>390</v>
      </c>
    </row>
    <row r="154" spans="1:7" x14ac:dyDescent="0.25">
      <c r="A154" s="183" t="s">
        <v>468</v>
      </c>
      <c r="B154" s="184" t="s">
        <v>469</v>
      </c>
      <c r="C154" s="185"/>
      <c r="D154" s="186" t="s">
        <v>452</v>
      </c>
      <c r="E154" s="184" t="s">
        <v>469</v>
      </c>
      <c r="F154" s="184" t="s">
        <v>468</v>
      </c>
      <c r="G154" s="185" t="s">
        <v>390</v>
      </c>
    </row>
    <row r="155" spans="1:7" x14ac:dyDescent="0.25">
      <c r="A155" s="183" t="s">
        <v>468</v>
      </c>
      <c r="B155" s="184" t="s">
        <v>469</v>
      </c>
      <c r="C155" s="185"/>
      <c r="D155" s="186" t="s">
        <v>453</v>
      </c>
      <c r="E155" s="184" t="s">
        <v>469</v>
      </c>
      <c r="F155" s="184" t="s">
        <v>468</v>
      </c>
      <c r="G155" s="185" t="s">
        <v>390</v>
      </c>
    </row>
    <row r="156" spans="1:7" x14ac:dyDescent="0.25">
      <c r="A156" s="183" t="s">
        <v>468</v>
      </c>
      <c r="B156" s="184" t="s">
        <v>469</v>
      </c>
      <c r="C156" s="185"/>
      <c r="D156" s="186" t="s">
        <v>454</v>
      </c>
      <c r="E156" s="184" t="s">
        <v>469</v>
      </c>
      <c r="F156" s="184" t="s">
        <v>468</v>
      </c>
      <c r="G156" s="185" t="s">
        <v>390</v>
      </c>
    </row>
    <row r="157" spans="1:7" x14ac:dyDescent="0.25">
      <c r="A157" s="183" t="s">
        <v>468</v>
      </c>
      <c r="B157" s="184" t="s">
        <v>469</v>
      </c>
      <c r="C157" s="185"/>
      <c r="D157" s="186" t="s">
        <v>455</v>
      </c>
      <c r="E157" s="184" t="s">
        <v>469</v>
      </c>
      <c r="F157" s="184" t="s">
        <v>468</v>
      </c>
      <c r="G157" s="185" t="s">
        <v>390</v>
      </c>
    </row>
    <row r="158" spans="1:7" x14ac:dyDescent="0.25">
      <c r="A158" s="183" t="s">
        <v>468</v>
      </c>
      <c r="B158" s="184" t="s">
        <v>469</v>
      </c>
      <c r="C158" s="185"/>
      <c r="D158" s="186" t="s">
        <v>456</v>
      </c>
      <c r="E158" s="184" t="s">
        <v>469</v>
      </c>
      <c r="F158" s="184" t="s">
        <v>468</v>
      </c>
      <c r="G158" s="185" t="s">
        <v>390</v>
      </c>
    </row>
    <row r="159" spans="1:7" x14ac:dyDescent="0.25">
      <c r="A159" s="183" t="s">
        <v>468</v>
      </c>
      <c r="B159" s="184" t="s">
        <v>469</v>
      </c>
      <c r="C159" s="185"/>
      <c r="D159" s="186" t="s">
        <v>457</v>
      </c>
      <c r="E159" s="184" t="s">
        <v>469</v>
      </c>
      <c r="F159" s="184" t="s">
        <v>468</v>
      </c>
      <c r="G159" s="185" t="s">
        <v>390</v>
      </c>
    </row>
    <row r="160" spans="1:7" x14ac:dyDescent="0.25">
      <c r="A160" s="183" t="s">
        <v>468</v>
      </c>
      <c r="B160" s="184" t="s">
        <v>469</v>
      </c>
      <c r="C160" s="185"/>
      <c r="D160" s="186" t="s">
        <v>458</v>
      </c>
      <c r="E160" s="184" t="s">
        <v>469</v>
      </c>
      <c r="F160" s="184" t="s">
        <v>468</v>
      </c>
      <c r="G160" s="185" t="s">
        <v>390</v>
      </c>
    </row>
    <row r="161" spans="1:7" x14ac:dyDescent="0.25">
      <c r="A161" s="183" t="s">
        <v>468</v>
      </c>
      <c r="B161" s="184" t="s">
        <v>469</v>
      </c>
      <c r="C161" s="185"/>
      <c r="D161" s="186" t="s">
        <v>459</v>
      </c>
      <c r="E161" s="184" t="s">
        <v>469</v>
      </c>
      <c r="F161" s="184" t="s">
        <v>468</v>
      </c>
      <c r="G161" s="185" t="s">
        <v>390</v>
      </c>
    </row>
    <row r="162" spans="1:7" x14ac:dyDescent="0.25">
      <c r="A162" s="183" t="s">
        <v>468</v>
      </c>
      <c r="B162" s="184" t="s">
        <v>469</v>
      </c>
      <c r="C162" s="185"/>
      <c r="D162" s="186" t="s">
        <v>460</v>
      </c>
      <c r="E162" s="184" t="s">
        <v>469</v>
      </c>
      <c r="F162" s="184" t="s">
        <v>468</v>
      </c>
      <c r="G162" s="185" t="s">
        <v>390</v>
      </c>
    </row>
    <row r="163" spans="1:7" ht="13" thickBot="1" x14ac:dyDescent="0.3">
      <c r="A163" s="187" t="s">
        <v>468</v>
      </c>
      <c r="B163" s="188" t="s">
        <v>469</v>
      </c>
      <c r="C163" s="189"/>
      <c r="D163" s="190" t="s">
        <v>461</v>
      </c>
      <c r="E163" s="188" t="s">
        <v>469</v>
      </c>
      <c r="F163" s="188" t="s">
        <v>468</v>
      </c>
      <c r="G163" s="189" t="s">
        <v>390</v>
      </c>
    </row>
    <row r="164" spans="1:7" x14ac:dyDescent="0.25">
      <c r="A164" s="180" t="s">
        <v>501</v>
      </c>
      <c r="B164" s="181" t="s">
        <v>313</v>
      </c>
      <c r="C164" s="182"/>
      <c r="D164" s="207" t="s">
        <v>427</v>
      </c>
      <c r="E164" s="214" t="s">
        <v>313</v>
      </c>
      <c r="F164" s="207" t="s">
        <v>501</v>
      </c>
      <c r="G164" s="182" t="s">
        <v>390</v>
      </c>
    </row>
    <row r="165" spans="1:7" x14ac:dyDescent="0.25">
      <c r="A165" s="180" t="s">
        <v>501</v>
      </c>
      <c r="B165" s="181" t="s">
        <v>313</v>
      </c>
      <c r="C165" s="185"/>
      <c r="D165" s="186" t="s">
        <v>428</v>
      </c>
      <c r="E165" s="184" t="s">
        <v>313</v>
      </c>
      <c r="F165" s="184" t="s">
        <v>501</v>
      </c>
      <c r="G165" s="185" t="s">
        <v>390</v>
      </c>
    </row>
    <row r="166" spans="1:7" x14ac:dyDescent="0.25">
      <c r="A166" s="180" t="s">
        <v>501</v>
      </c>
      <c r="B166" s="181" t="s">
        <v>313</v>
      </c>
      <c r="C166" s="185"/>
      <c r="D166" s="186" t="s">
        <v>429</v>
      </c>
      <c r="E166" s="184" t="s">
        <v>313</v>
      </c>
      <c r="F166" s="184" t="s">
        <v>501</v>
      </c>
      <c r="G166" s="185" t="s">
        <v>390</v>
      </c>
    </row>
    <row r="167" spans="1:7" x14ac:dyDescent="0.25">
      <c r="A167" s="180" t="s">
        <v>501</v>
      </c>
      <c r="B167" s="181" t="s">
        <v>313</v>
      </c>
      <c r="C167" s="185"/>
      <c r="D167" s="186" t="s">
        <v>430</v>
      </c>
      <c r="E167" s="184" t="s">
        <v>313</v>
      </c>
      <c r="F167" s="184" t="s">
        <v>501</v>
      </c>
      <c r="G167" s="185" t="s">
        <v>390</v>
      </c>
    </row>
    <row r="168" spans="1:7" x14ac:dyDescent="0.25">
      <c r="A168" s="217" t="s">
        <v>501</v>
      </c>
      <c r="B168" s="218" t="s">
        <v>313</v>
      </c>
      <c r="C168" s="210"/>
      <c r="D168" s="211" t="s">
        <v>182</v>
      </c>
      <c r="E168" s="209" t="s">
        <v>394</v>
      </c>
      <c r="F168" s="209" t="s">
        <v>501</v>
      </c>
      <c r="G168" s="210" t="s">
        <v>390</v>
      </c>
    </row>
    <row r="169" spans="1:7" x14ac:dyDescent="0.25">
      <c r="A169" s="180" t="s">
        <v>501</v>
      </c>
      <c r="B169" s="181" t="s">
        <v>313</v>
      </c>
      <c r="C169" s="185"/>
      <c r="D169" s="186" t="s">
        <v>431</v>
      </c>
      <c r="E169" s="184" t="s">
        <v>313</v>
      </c>
      <c r="F169" s="184" t="s">
        <v>501</v>
      </c>
      <c r="G169" s="185" t="s">
        <v>390</v>
      </c>
    </row>
    <row r="170" spans="1:7" x14ac:dyDescent="0.25">
      <c r="A170" s="180" t="s">
        <v>501</v>
      </c>
      <c r="B170" s="181" t="s">
        <v>313</v>
      </c>
      <c r="C170" s="185"/>
      <c r="D170" s="186" t="s">
        <v>432</v>
      </c>
      <c r="E170" s="184" t="s">
        <v>313</v>
      </c>
      <c r="F170" s="184" t="s">
        <v>501</v>
      </c>
      <c r="G170" s="185" t="s">
        <v>390</v>
      </c>
    </row>
    <row r="171" spans="1:7" x14ac:dyDescent="0.25">
      <c r="A171" s="180" t="s">
        <v>501</v>
      </c>
      <c r="B171" s="181" t="s">
        <v>313</v>
      </c>
      <c r="C171" s="185"/>
      <c r="D171" s="186" t="s">
        <v>433</v>
      </c>
      <c r="E171" s="184" t="s">
        <v>313</v>
      </c>
      <c r="F171" s="184" t="s">
        <v>501</v>
      </c>
      <c r="G171" s="185" t="s">
        <v>390</v>
      </c>
    </row>
    <row r="172" spans="1:7" x14ac:dyDescent="0.25">
      <c r="A172" s="180" t="s">
        <v>501</v>
      </c>
      <c r="B172" s="181" t="s">
        <v>313</v>
      </c>
      <c r="C172" s="185"/>
      <c r="D172" s="186" t="s">
        <v>434</v>
      </c>
      <c r="E172" s="184" t="s">
        <v>313</v>
      </c>
      <c r="F172" s="184" t="s">
        <v>501</v>
      </c>
      <c r="G172" s="185" t="s">
        <v>390</v>
      </c>
    </row>
    <row r="173" spans="1:7" x14ac:dyDescent="0.25">
      <c r="A173" s="180" t="s">
        <v>501</v>
      </c>
      <c r="B173" s="181" t="s">
        <v>313</v>
      </c>
      <c r="C173" s="185"/>
      <c r="D173" s="186" t="s">
        <v>435</v>
      </c>
      <c r="E173" s="184" t="s">
        <v>313</v>
      </c>
      <c r="F173" s="184" t="s">
        <v>501</v>
      </c>
      <c r="G173" s="185" t="s">
        <v>390</v>
      </c>
    </row>
    <row r="174" spans="1:7" x14ac:dyDescent="0.25">
      <c r="A174" s="180" t="s">
        <v>501</v>
      </c>
      <c r="B174" s="181" t="s">
        <v>313</v>
      </c>
      <c r="C174" s="185"/>
      <c r="D174" s="186" t="s">
        <v>436</v>
      </c>
      <c r="E174" s="184" t="s">
        <v>313</v>
      </c>
      <c r="F174" s="184" t="s">
        <v>501</v>
      </c>
      <c r="G174" s="185" t="s">
        <v>390</v>
      </c>
    </row>
    <row r="175" spans="1:7" x14ac:dyDescent="0.25">
      <c r="A175" s="180" t="s">
        <v>501</v>
      </c>
      <c r="B175" s="181" t="s">
        <v>313</v>
      </c>
      <c r="C175" s="185"/>
      <c r="D175" s="186" t="s">
        <v>437</v>
      </c>
      <c r="E175" s="184" t="s">
        <v>313</v>
      </c>
      <c r="F175" s="184" t="s">
        <v>501</v>
      </c>
      <c r="G175" s="185" t="s">
        <v>390</v>
      </c>
    </row>
    <row r="176" spans="1:7" x14ac:dyDescent="0.25">
      <c r="A176" s="180" t="s">
        <v>501</v>
      </c>
      <c r="B176" s="181" t="s">
        <v>313</v>
      </c>
      <c r="C176" s="185"/>
      <c r="D176" s="186" t="s">
        <v>391</v>
      </c>
      <c r="E176" s="184" t="s">
        <v>313</v>
      </c>
      <c r="F176" s="184" t="s">
        <v>501</v>
      </c>
      <c r="G176" s="185" t="s">
        <v>390</v>
      </c>
    </row>
    <row r="177" spans="1:7" x14ac:dyDescent="0.25">
      <c r="A177" s="217" t="s">
        <v>501</v>
      </c>
      <c r="B177" s="218" t="s">
        <v>313</v>
      </c>
      <c r="C177" s="210"/>
      <c r="D177" s="211" t="s">
        <v>392</v>
      </c>
      <c r="E177" s="209" t="s">
        <v>503</v>
      </c>
      <c r="F177" s="209" t="s">
        <v>501</v>
      </c>
      <c r="G177" s="210" t="s">
        <v>390</v>
      </c>
    </row>
    <row r="178" spans="1:7" x14ac:dyDescent="0.25">
      <c r="A178" s="180" t="s">
        <v>501</v>
      </c>
      <c r="B178" s="181" t="s">
        <v>313</v>
      </c>
      <c r="C178" s="185"/>
      <c r="D178" s="186" t="s">
        <v>438</v>
      </c>
      <c r="E178" s="184" t="s">
        <v>313</v>
      </c>
      <c r="F178" s="184" t="s">
        <v>501</v>
      </c>
      <c r="G178" s="185" t="s">
        <v>390</v>
      </c>
    </row>
    <row r="179" spans="1:7" x14ac:dyDescent="0.25">
      <c r="A179" s="180" t="s">
        <v>501</v>
      </c>
      <c r="B179" s="181" t="s">
        <v>313</v>
      </c>
      <c r="C179" s="185"/>
      <c r="D179" s="186" t="s">
        <v>439</v>
      </c>
      <c r="E179" s="184" t="s">
        <v>313</v>
      </c>
      <c r="F179" s="184" t="s">
        <v>501</v>
      </c>
      <c r="G179" s="185" t="s">
        <v>390</v>
      </c>
    </row>
    <row r="180" spans="1:7" x14ac:dyDescent="0.25">
      <c r="A180" s="180" t="s">
        <v>501</v>
      </c>
      <c r="B180" s="181" t="s">
        <v>313</v>
      </c>
      <c r="C180" s="185"/>
      <c r="D180" s="186" t="s">
        <v>440</v>
      </c>
      <c r="E180" s="184" t="s">
        <v>313</v>
      </c>
      <c r="F180" s="184" t="s">
        <v>501</v>
      </c>
      <c r="G180" s="185" t="s">
        <v>390</v>
      </c>
    </row>
    <row r="181" spans="1:7" x14ac:dyDescent="0.25">
      <c r="A181" s="180" t="s">
        <v>501</v>
      </c>
      <c r="B181" s="181" t="s">
        <v>313</v>
      </c>
      <c r="C181" s="185"/>
      <c r="D181" s="186" t="s">
        <v>441</v>
      </c>
      <c r="E181" s="184" t="s">
        <v>313</v>
      </c>
      <c r="F181" s="184" t="s">
        <v>501</v>
      </c>
      <c r="G181" s="185" t="s">
        <v>390</v>
      </c>
    </row>
    <row r="182" spans="1:7" x14ac:dyDescent="0.25">
      <c r="A182" s="180" t="s">
        <v>501</v>
      </c>
      <c r="B182" s="181" t="s">
        <v>313</v>
      </c>
      <c r="C182" s="185"/>
      <c r="D182" s="186" t="s">
        <v>442</v>
      </c>
      <c r="E182" s="184" t="s">
        <v>313</v>
      </c>
      <c r="F182" s="184" t="s">
        <v>501</v>
      </c>
      <c r="G182" s="185" t="s">
        <v>390</v>
      </c>
    </row>
    <row r="183" spans="1:7" x14ac:dyDescent="0.25">
      <c r="A183" s="180" t="s">
        <v>501</v>
      </c>
      <c r="B183" s="181" t="s">
        <v>313</v>
      </c>
      <c r="C183" s="185"/>
      <c r="D183" s="186" t="s">
        <v>443</v>
      </c>
      <c r="E183" s="184" t="s">
        <v>313</v>
      </c>
      <c r="F183" s="184" t="s">
        <v>501</v>
      </c>
      <c r="G183" s="185" t="s">
        <v>390</v>
      </c>
    </row>
    <row r="184" spans="1:7" x14ac:dyDescent="0.25">
      <c r="A184" s="180" t="s">
        <v>501</v>
      </c>
      <c r="B184" s="181" t="s">
        <v>313</v>
      </c>
      <c r="C184" s="185"/>
      <c r="D184" s="186" t="s">
        <v>444</v>
      </c>
      <c r="E184" s="184" t="s">
        <v>313</v>
      </c>
      <c r="F184" s="184" t="s">
        <v>501</v>
      </c>
      <c r="G184" s="185" t="s">
        <v>390</v>
      </c>
    </row>
    <row r="185" spans="1:7" x14ac:dyDescent="0.25">
      <c r="A185" s="180" t="s">
        <v>501</v>
      </c>
      <c r="B185" s="181" t="s">
        <v>313</v>
      </c>
      <c r="C185" s="185"/>
      <c r="D185" s="186" t="s">
        <v>445</v>
      </c>
      <c r="E185" s="184" t="s">
        <v>313</v>
      </c>
      <c r="F185" s="184" t="s">
        <v>501</v>
      </c>
      <c r="G185" s="185" t="s">
        <v>390</v>
      </c>
    </row>
    <row r="186" spans="1:7" x14ac:dyDescent="0.25">
      <c r="A186" s="180" t="s">
        <v>501</v>
      </c>
      <c r="B186" s="181" t="s">
        <v>313</v>
      </c>
      <c r="C186" s="185"/>
      <c r="D186" s="186" t="s">
        <v>446</v>
      </c>
      <c r="E186" s="184" t="s">
        <v>313</v>
      </c>
      <c r="F186" s="184" t="s">
        <v>501</v>
      </c>
      <c r="G186" s="185" t="s">
        <v>390</v>
      </c>
    </row>
    <row r="187" spans="1:7" x14ac:dyDescent="0.25">
      <c r="A187" s="217" t="s">
        <v>501</v>
      </c>
      <c r="B187" s="218" t="s">
        <v>313</v>
      </c>
      <c r="C187" s="210"/>
      <c r="D187" s="211" t="s">
        <v>183</v>
      </c>
      <c r="E187" s="209" t="s">
        <v>502</v>
      </c>
      <c r="F187" s="209" t="s">
        <v>501</v>
      </c>
      <c r="G187" s="210" t="s">
        <v>390</v>
      </c>
    </row>
    <row r="188" spans="1:7" x14ac:dyDescent="0.25">
      <c r="A188" s="180" t="s">
        <v>501</v>
      </c>
      <c r="B188" s="181" t="s">
        <v>313</v>
      </c>
      <c r="C188" s="185"/>
      <c r="D188" s="186" t="s">
        <v>447</v>
      </c>
      <c r="E188" s="184" t="s">
        <v>313</v>
      </c>
      <c r="F188" s="184" t="s">
        <v>501</v>
      </c>
      <c r="G188" s="185" t="s">
        <v>390</v>
      </c>
    </row>
    <row r="189" spans="1:7" x14ac:dyDescent="0.25">
      <c r="A189" s="180" t="s">
        <v>501</v>
      </c>
      <c r="B189" s="181" t="s">
        <v>313</v>
      </c>
      <c r="C189" s="185"/>
      <c r="D189" s="186" t="s">
        <v>448</v>
      </c>
      <c r="E189" s="184" t="s">
        <v>313</v>
      </c>
      <c r="F189" s="184" t="s">
        <v>501</v>
      </c>
      <c r="G189" s="185" t="s">
        <v>390</v>
      </c>
    </row>
    <row r="190" spans="1:7" x14ac:dyDescent="0.25">
      <c r="A190" s="180" t="s">
        <v>501</v>
      </c>
      <c r="B190" s="181" t="s">
        <v>313</v>
      </c>
      <c r="C190" s="185"/>
      <c r="D190" s="186" t="s">
        <v>449</v>
      </c>
      <c r="E190" s="184" t="s">
        <v>313</v>
      </c>
      <c r="F190" s="184" t="s">
        <v>501</v>
      </c>
      <c r="G190" s="185" t="s">
        <v>390</v>
      </c>
    </row>
    <row r="191" spans="1:7" x14ac:dyDescent="0.25">
      <c r="A191" s="180" t="s">
        <v>501</v>
      </c>
      <c r="B191" s="181" t="s">
        <v>313</v>
      </c>
      <c r="C191" s="185"/>
      <c r="D191" s="186" t="s">
        <v>450</v>
      </c>
      <c r="E191" s="184" t="s">
        <v>313</v>
      </c>
      <c r="F191" s="184" t="s">
        <v>501</v>
      </c>
      <c r="G191" s="185" t="s">
        <v>390</v>
      </c>
    </row>
    <row r="192" spans="1:7" x14ac:dyDescent="0.25">
      <c r="A192" s="180" t="s">
        <v>501</v>
      </c>
      <c r="B192" s="181" t="s">
        <v>313</v>
      </c>
      <c r="C192" s="185"/>
      <c r="D192" s="186" t="s">
        <v>451</v>
      </c>
      <c r="E192" s="184" t="s">
        <v>313</v>
      </c>
      <c r="F192" s="184" t="s">
        <v>501</v>
      </c>
      <c r="G192" s="185" t="s">
        <v>390</v>
      </c>
    </row>
    <row r="193" spans="1:7" x14ac:dyDescent="0.25">
      <c r="A193" s="180" t="s">
        <v>501</v>
      </c>
      <c r="B193" s="181" t="s">
        <v>313</v>
      </c>
      <c r="C193" s="185"/>
      <c r="D193" s="186" t="s">
        <v>452</v>
      </c>
      <c r="E193" s="184" t="s">
        <v>313</v>
      </c>
      <c r="F193" s="184" t="s">
        <v>501</v>
      </c>
      <c r="G193" s="185" t="s">
        <v>390</v>
      </c>
    </row>
    <row r="194" spans="1:7" x14ac:dyDescent="0.25">
      <c r="A194" s="180" t="s">
        <v>501</v>
      </c>
      <c r="B194" s="181" t="s">
        <v>313</v>
      </c>
      <c r="C194" s="185"/>
      <c r="D194" s="186" t="s">
        <v>453</v>
      </c>
      <c r="E194" s="184" t="s">
        <v>313</v>
      </c>
      <c r="F194" s="184" t="s">
        <v>501</v>
      </c>
      <c r="G194" s="185" t="s">
        <v>390</v>
      </c>
    </row>
    <row r="195" spans="1:7" x14ac:dyDescent="0.25">
      <c r="A195" s="180" t="s">
        <v>501</v>
      </c>
      <c r="B195" s="181" t="s">
        <v>313</v>
      </c>
      <c r="C195" s="185"/>
      <c r="D195" s="186" t="s">
        <v>454</v>
      </c>
      <c r="E195" s="184" t="s">
        <v>313</v>
      </c>
      <c r="F195" s="184" t="s">
        <v>501</v>
      </c>
      <c r="G195" s="185" t="s">
        <v>390</v>
      </c>
    </row>
    <row r="196" spans="1:7" x14ac:dyDescent="0.25">
      <c r="A196" s="180" t="s">
        <v>501</v>
      </c>
      <c r="B196" s="181" t="s">
        <v>313</v>
      </c>
      <c r="C196" s="185"/>
      <c r="D196" s="186" t="s">
        <v>455</v>
      </c>
      <c r="E196" s="184" t="s">
        <v>313</v>
      </c>
      <c r="F196" s="184" t="s">
        <v>501</v>
      </c>
      <c r="G196" s="185" t="s">
        <v>390</v>
      </c>
    </row>
    <row r="197" spans="1:7" x14ac:dyDescent="0.25">
      <c r="A197" s="180" t="s">
        <v>501</v>
      </c>
      <c r="B197" s="181" t="s">
        <v>313</v>
      </c>
      <c r="C197" s="185"/>
      <c r="D197" s="186" t="s">
        <v>456</v>
      </c>
      <c r="E197" s="184" t="s">
        <v>313</v>
      </c>
      <c r="F197" s="184" t="s">
        <v>501</v>
      </c>
      <c r="G197" s="185" t="s">
        <v>390</v>
      </c>
    </row>
    <row r="198" spans="1:7" x14ac:dyDescent="0.25">
      <c r="A198" s="180" t="s">
        <v>501</v>
      </c>
      <c r="B198" s="181" t="s">
        <v>313</v>
      </c>
      <c r="C198" s="185"/>
      <c r="D198" s="186" t="s">
        <v>457</v>
      </c>
      <c r="E198" s="184" t="s">
        <v>313</v>
      </c>
      <c r="F198" s="184" t="s">
        <v>501</v>
      </c>
      <c r="G198" s="185" t="s">
        <v>390</v>
      </c>
    </row>
    <row r="199" spans="1:7" x14ac:dyDescent="0.25">
      <c r="A199" s="180" t="s">
        <v>501</v>
      </c>
      <c r="B199" s="181" t="s">
        <v>313</v>
      </c>
      <c r="C199" s="185"/>
      <c r="D199" s="186" t="s">
        <v>458</v>
      </c>
      <c r="E199" s="184" t="s">
        <v>313</v>
      </c>
      <c r="F199" s="184" t="s">
        <v>501</v>
      </c>
      <c r="G199" s="185" t="s">
        <v>390</v>
      </c>
    </row>
    <row r="200" spans="1:7" x14ac:dyDescent="0.25">
      <c r="A200" s="180" t="s">
        <v>501</v>
      </c>
      <c r="B200" s="181" t="s">
        <v>313</v>
      </c>
      <c r="C200" s="185"/>
      <c r="D200" s="186" t="s">
        <v>459</v>
      </c>
      <c r="E200" s="184" t="s">
        <v>313</v>
      </c>
      <c r="F200" s="184" t="s">
        <v>501</v>
      </c>
      <c r="G200" s="185" t="s">
        <v>390</v>
      </c>
    </row>
    <row r="201" spans="1:7" x14ac:dyDescent="0.25">
      <c r="A201" s="180" t="s">
        <v>501</v>
      </c>
      <c r="B201" s="181" t="s">
        <v>313</v>
      </c>
      <c r="C201" s="185"/>
      <c r="D201" s="186" t="s">
        <v>460</v>
      </c>
      <c r="E201" s="184" t="s">
        <v>313</v>
      </c>
      <c r="F201" s="184" t="s">
        <v>501</v>
      </c>
      <c r="G201" s="185" t="s">
        <v>390</v>
      </c>
    </row>
    <row r="202" spans="1:7" ht="13" thickBot="1" x14ac:dyDescent="0.3">
      <c r="A202" s="187" t="s">
        <v>501</v>
      </c>
      <c r="B202" s="188" t="s">
        <v>313</v>
      </c>
      <c r="C202" s="189"/>
      <c r="D202" s="190" t="s">
        <v>461</v>
      </c>
      <c r="E202" s="188" t="s">
        <v>313</v>
      </c>
      <c r="F202" s="188" t="s">
        <v>501</v>
      </c>
      <c r="G202" s="189" t="s">
        <v>390</v>
      </c>
    </row>
    <row r="203" spans="1:7" x14ac:dyDescent="0.25">
      <c r="A203" s="180" t="s">
        <v>504</v>
      </c>
      <c r="B203" s="181" t="s">
        <v>505</v>
      </c>
      <c r="C203" s="182"/>
      <c r="D203" s="207" t="s">
        <v>427</v>
      </c>
      <c r="E203" s="214" t="s">
        <v>505</v>
      </c>
      <c r="F203" s="207" t="s">
        <v>504</v>
      </c>
      <c r="G203" s="182" t="s">
        <v>390</v>
      </c>
    </row>
    <row r="204" spans="1:7" x14ac:dyDescent="0.25">
      <c r="A204" s="180" t="s">
        <v>504</v>
      </c>
      <c r="B204" s="181" t="s">
        <v>505</v>
      </c>
      <c r="C204" s="185"/>
      <c r="D204" s="186" t="s">
        <v>428</v>
      </c>
      <c r="E204" s="184" t="s">
        <v>505</v>
      </c>
      <c r="F204" s="184" t="s">
        <v>504</v>
      </c>
      <c r="G204" s="185" t="s">
        <v>390</v>
      </c>
    </row>
    <row r="205" spans="1:7" x14ac:dyDescent="0.25">
      <c r="A205" s="180" t="s">
        <v>504</v>
      </c>
      <c r="B205" s="181" t="s">
        <v>505</v>
      </c>
      <c r="C205" s="185"/>
      <c r="D205" s="186" t="s">
        <v>429</v>
      </c>
      <c r="E205" s="184" t="s">
        <v>505</v>
      </c>
      <c r="F205" s="184" t="s">
        <v>504</v>
      </c>
      <c r="G205" s="185" t="s">
        <v>390</v>
      </c>
    </row>
    <row r="206" spans="1:7" x14ac:dyDescent="0.25">
      <c r="A206" s="180" t="s">
        <v>504</v>
      </c>
      <c r="B206" s="181" t="s">
        <v>505</v>
      </c>
      <c r="C206" s="185"/>
      <c r="D206" s="186" t="s">
        <v>430</v>
      </c>
      <c r="E206" s="184" t="s">
        <v>505</v>
      </c>
      <c r="F206" s="184" t="s">
        <v>504</v>
      </c>
      <c r="G206" s="185" t="s">
        <v>390</v>
      </c>
    </row>
    <row r="207" spans="1:7" x14ac:dyDescent="0.25">
      <c r="A207" s="217" t="s">
        <v>504</v>
      </c>
      <c r="B207" s="218" t="s">
        <v>505</v>
      </c>
      <c r="C207" s="210"/>
      <c r="D207" s="211" t="s">
        <v>182</v>
      </c>
      <c r="E207" s="209" t="s">
        <v>394</v>
      </c>
      <c r="F207" s="209" t="s">
        <v>504</v>
      </c>
      <c r="G207" s="210" t="s">
        <v>390</v>
      </c>
    </row>
    <row r="208" spans="1:7" x14ac:dyDescent="0.25">
      <c r="A208" s="180" t="s">
        <v>504</v>
      </c>
      <c r="B208" s="181" t="s">
        <v>505</v>
      </c>
      <c r="C208" s="185"/>
      <c r="D208" s="186" t="s">
        <v>431</v>
      </c>
      <c r="E208" s="184" t="s">
        <v>505</v>
      </c>
      <c r="F208" s="184" t="s">
        <v>504</v>
      </c>
      <c r="G208" s="185" t="s">
        <v>390</v>
      </c>
    </row>
    <row r="209" spans="1:7" x14ac:dyDescent="0.25">
      <c r="A209" s="180" t="s">
        <v>504</v>
      </c>
      <c r="B209" s="181" t="s">
        <v>505</v>
      </c>
      <c r="C209" s="185"/>
      <c r="D209" s="186" t="s">
        <v>432</v>
      </c>
      <c r="E209" s="184" t="s">
        <v>505</v>
      </c>
      <c r="F209" s="184" t="s">
        <v>504</v>
      </c>
      <c r="G209" s="185" t="s">
        <v>390</v>
      </c>
    </row>
    <row r="210" spans="1:7" x14ac:dyDescent="0.25">
      <c r="A210" s="180" t="s">
        <v>504</v>
      </c>
      <c r="B210" s="181" t="s">
        <v>505</v>
      </c>
      <c r="C210" s="185"/>
      <c r="D210" s="186" t="s">
        <v>433</v>
      </c>
      <c r="E210" s="184" t="s">
        <v>505</v>
      </c>
      <c r="F210" s="184" t="s">
        <v>504</v>
      </c>
      <c r="G210" s="185" t="s">
        <v>390</v>
      </c>
    </row>
    <row r="211" spans="1:7" x14ac:dyDescent="0.25">
      <c r="A211" s="180" t="s">
        <v>504</v>
      </c>
      <c r="B211" s="181" t="s">
        <v>505</v>
      </c>
      <c r="C211" s="185"/>
      <c r="D211" s="186" t="s">
        <v>434</v>
      </c>
      <c r="E211" s="184" t="s">
        <v>505</v>
      </c>
      <c r="F211" s="184" t="s">
        <v>504</v>
      </c>
      <c r="G211" s="185" t="s">
        <v>390</v>
      </c>
    </row>
    <row r="212" spans="1:7" x14ac:dyDescent="0.25">
      <c r="A212" s="180" t="s">
        <v>504</v>
      </c>
      <c r="B212" s="181" t="s">
        <v>505</v>
      </c>
      <c r="C212" s="185"/>
      <c r="D212" s="186" t="s">
        <v>435</v>
      </c>
      <c r="E212" s="184" t="s">
        <v>505</v>
      </c>
      <c r="F212" s="184" t="s">
        <v>504</v>
      </c>
      <c r="G212" s="185" t="s">
        <v>390</v>
      </c>
    </row>
    <row r="213" spans="1:7" x14ac:dyDescent="0.25">
      <c r="A213" s="180" t="s">
        <v>504</v>
      </c>
      <c r="B213" s="181" t="s">
        <v>505</v>
      </c>
      <c r="C213" s="185"/>
      <c r="D213" s="186" t="s">
        <v>436</v>
      </c>
      <c r="E213" s="184" t="s">
        <v>505</v>
      </c>
      <c r="F213" s="184" t="s">
        <v>504</v>
      </c>
      <c r="G213" s="185" t="s">
        <v>390</v>
      </c>
    </row>
    <row r="214" spans="1:7" x14ac:dyDescent="0.25">
      <c r="A214" s="180" t="s">
        <v>504</v>
      </c>
      <c r="B214" s="181" t="s">
        <v>505</v>
      </c>
      <c r="C214" s="185"/>
      <c r="D214" s="186" t="s">
        <v>437</v>
      </c>
      <c r="E214" s="184" t="s">
        <v>505</v>
      </c>
      <c r="F214" s="184" t="s">
        <v>504</v>
      </c>
      <c r="G214" s="185" t="s">
        <v>390</v>
      </c>
    </row>
    <row r="215" spans="1:7" x14ac:dyDescent="0.25">
      <c r="A215" s="180" t="s">
        <v>504</v>
      </c>
      <c r="B215" s="181" t="s">
        <v>505</v>
      </c>
      <c r="C215" s="185"/>
      <c r="D215" s="186" t="s">
        <v>391</v>
      </c>
      <c r="E215" s="184" t="s">
        <v>505</v>
      </c>
      <c r="F215" s="184" t="s">
        <v>504</v>
      </c>
      <c r="G215" s="185" t="s">
        <v>390</v>
      </c>
    </row>
    <row r="216" spans="1:7" x14ac:dyDescent="0.25">
      <c r="A216" s="217" t="s">
        <v>504</v>
      </c>
      <c r="B216" s="218" t="s">
        <v>505</v>
      </c>
      <c r="C216" s="210"/>
      <c r="D216" s="211" t="s">
        <v>392</v>
      </c>
      <c r="E216" s="209" t="s">
        <v>507</v>
      </c>
      <c r="F216" s="209" t="s">
        <v>504</v>
      </c>
      <c r="G216" s="210" t="s">
        <v>390</v>
      </c>
    </row>
    <row r="217" spans="1:7" x14ac:dyDescent="0.25">
      <c r="A217" s="180" t="s">
        <v>504</v>
      </c>
      <c r="B217" s="181" t="s">
        <v>505</v>
      </c>
      <c r="C217" s="185"/>
      <c r="D217" s="186" t="s">
        <v>438</v>
      </c>
      <c r="E217" s="184" t="s">
        <v>505</v>
      </c>
      <c r="F217" s="184" t="s">
        <v>504</v>
      </c>
      <c r="G217" s="185" t="s">
        <v>390</v>
      </c>
    </row>
    <row r="218" spans="1:7" x14ac:dyDescent="0.25">
      <c r="A218" s="180" t="s">
        <v>504</v>
      </c>
      <c r="B218" s="181" t="s">
        <v>505</v>
      </c>
      <c r="C218" s="185"/>
      <c r="D218" s="186" t="s">
        <v>439</v>
      </c>
      <c r="E218" s="184" t="s">
        <v>505</v>
      </c>
      <c r="F218" s="184" t="s">
        <v>504</v>
      </c>
      <c r="G218" s="185" t="s">
        <v>390</v>
      </c>
    </row>
    <row r="219" spans="1:7" x14ac:dyDescent="0.25">
      <c r="A219" s="180" t="s">
        <v>504</v>
      </c>
      <c r="B219" s="181" t="s">
        <v>505</v>
      </c>
      <c r="C219" s="185"/>
      <c r="D219" s="186" t="s">
        <v>440</v>
      </c>
      <c r="E219" s="184" t="s">
        <v>505</v>
      </c>
      <c r="F219" s="184" t="s">
        <v>504</v>
      </c>
      <c r="G219" s="185" t="s">
        <v>390</v>
      </c>
    </row>
    <row r="220" spans="1:7" x14ac:dyDescent="0.25">
      <c r="A220" s="180" t="s">
        <v>504</v>
      </c>
      <c r="B220" s="181" t="s">
        <v>505</v>
      </c>
      <c r="C220" s="185"/>
      <c r="D220" s="186" t="s">
        <v>441</v>
      </c>
      <c r="E220" s="184" t="s">
        <v>505</v>
      </c>
      <c r="F220" s="184" t="s">
        <v>504</v>
      </c>
      <c r="G220" s="185" t="s">
        <v>390</v>
      </c>
    </row>
    <row r="221" spans="1:7" x14ac:dyDescent="0.25">
      <c r="A221" s="180" t="s">
        <v>504</v>
      </c>
      <c r="B221" s="181" t="s">
        <v>505</v>
      </c>
      <c r="C221" s="185"/>
      <c r="D221" s="186" t="s">
        <v>442</v>
      </c>
      <c r="E221" s="184" t="s">
        <v>505</v>
      </c>
      <c r="F221" s="184" t="s">
        <v>504</v>
      </c>
      <c r="G221" s="185" t="s">
        <v>390</v>
      </c>
    </row>
    <row r="222" spans="1:7" x14ac:dyDescent="0.25">
      <c r="A222" s="180" t="s">
        <v>504</v>
      </c>
      <c r="B222" s="181" t="s">
        <v>505</v>
      </c>
      <c r="C222" s="185"/>
      <c r="D222" s="186" t="s">
        <v>443</v>
      </c>
      <c r="E222" s="184" t="s">
        <v>505</v>
      </c>
      <c r="F222" s="184" t="s">
        <v>504</v>
      </c>
      <c r="G222" s="185" t="s">
        <v>390</v>
      </c>
    </row>
    <row r="223" spans="1:7" x14ac:dyDescent="0.25">
      <c r="A223" s="180" t="s">
        <v>504</v>
      </c>
      <c r="B223" s="181" t="s">
        <v>505</v>
      </c>
      <c r="C223" s="185"/>
      <c r="D223" s="186" t="s">
        <v>444</v>
      </c>
      <c r="E223" s="184" t="s">
        <v>505</v>
      </c>
      <c r="F223" s="184" t="s">
        <v>504</v>
      </c>
      <c r="G223" s="185" t="s">
        <v>390</v>
      </c>
    </row>
    <row r="224" spans="1:7" x14ac:dyDescent="0.25">
      <c r="A224" s="180" t="s">
        <v>504</v>
      </c>
      <c r="B224" s="181" t="s">
        <v>505</v>
      </c>
      <c r="C224" s="185"/>
      <c r="D224" s="186" t="s">
        <v>445</v>
      </c>
      <c r="E224" s="184" t="s">
        <v>505</v>
      </c>
      <c r="F224" s="184" t="s">
        <v>504</v>
      </c>
      <c r="G224" s="185" t="s">
        <v>390</v>
      </c>
    </row>
    <row r="225" spans="1:7" x14ac:dyDescent="0.25">
      <c r="A225" s="180" t="s">
        <v>504</v>
      </c>
      <c r="B225" s="181" t="s">
        <v>505</v>
      </c>
      <c r="C225" s="185"/>
      <c r="D225" s="186" t="s">
        <v>446</v>
      </c>
      <c r="E225" s="184" t="s">
        <v>505</v>
      </c>
      <c r="F225" s="184" t="s">
        <v>504</v>
      </c>
      <c r="G225" s="185" t="s">
        <v>390</v>
      </c>
    </row>
    <row r="226" spans="1:7" x14ac:dyDescent="0.25">
      <c r="A226" s="217" t="s">
        <v>504</v>
      </c>
      <c r="B226" s="218" t="s">
        <v>505</v>
      </c>
      <c r="C226" s="210"/>
      <c r="D226" s="211" t="s">
        <v>183</v>
      </c>
      <c r="E226" s="209" t="s">
        <v>506</v>
      </c>
      <c r="F226" s="209" t="s">
        <v>504</v>
      </c>
      <c r="G226" s="210" t="s">
        <v>390</v>
      </c>
    </row>
    <row r="227" spans="1:7" x14ac:dyDescent="0.25">
      <c r="A227" s="180" t="s">
        <v>504</v>
      </c>
      <c r="B227" s="181" t="s">
        <v>505</v>
      </c>
      <c r="C227" s="185"/>
      <c r="D227" s="186" t="s">
        <v>447</v>
      </c>
      <c r="E227" s="184" t="s">
        <v>505</v>
      </c>
      <c r="F227" s="184" t="s">
        <v>504</v>
      </c>
      <c r="G227" s="185" t="s">
        <v>390</v>
      </c>
    </row>
    <row r="228" spans="1:7" x14ac:dyDescent="0.25">
      <c r="A228" s="180" t="s">
        <v>504</v>
      </c>
      <c r="B228" s="181" t="s">
        <v>505</v>
      </c>
      <c r="C228" s="185"/>
      <c r="D228" s="186" t="s">
        <v>448</v>
      </c>
      <c r="E228" s="184" t="s">
        <v>505</v>
      </c>
      <c r="F228" s="184" t="s">
        <v>504</v>
      </c>
      <c r="G228" s="185" t="s">
        <v>390</v>
      </c>
    </row>
    <row r="229" spans="1:7" x14ac:dyDescent="0.25">
      <c r="A229" s="180" t="s">
        <v>504</v>
      </c>
      <c r="B229" s="181" t="s">
        <v>505</v>
      </c>
      <c r="C229" s="185"/>
      <c r="D229" s="186" t="s">
        <v>449</v>
      </c>
      <c r="E229" s="184" t="s">
        <v>505</v>
      </c>
      <c r="F229" s="184" t="s">
        <v>504</v>
      </c>
      <c r="G229" s="185" t="s">
        <v>390</v>
      </c>
    </row>
    <row r="230" spans="1:7" x14ac:dyDescent="0.25">
      <c r="A230" s="180" t="s">
        <v>504</v>
      </c>
      <c r="B230" s="181" t="s">
        <v>505</v>
      </c>
      <c r="C230" s="185"/>
      <c r="D230" s="186" t="s">
        <v>450</v>
      </c>
      <c r="E230" s="184" t="s">
        <v>505</v>
      </c>
      <c r="F230" s="184" t="s">
        <v>504</v>
      </c>
      <c r="G230" s="185" t="s">
        <v>390</v>
      </c>
    </row>
    <row r="231" spans="1:7" x14ac:dyDescent="0.25">
      <c r="A231" s="180" t="s">
        <v>504</v>
      </c>
      <c r="B231" s="181" t="s">
        <v>505</v>
      </c>
      <c r="C231" s="185"/>
      <c r="D231" s="186" t="s">
        <v>451</v>
      </c>
      <c r="E231" s="184" t="s">
        <v>505</v>
      </c>
      <c r="F231" s="184" t="s">
        <v>504</v>
      </c>
      <c r="G231" s="185" t="s">
        <v>390</v>
      </c>
    </row>
    <row r="232" spans="1:7" x14ac:dyDescent="0.25">
      <c r="A232" s="180" t="s">
        <v>504</v>
      </c>
      <c r="B232" s="181" t="s">
        <v>505</v>
      </c>
      <c r="C232" s="185"/>
      <c r="D232" s="186" t="s">
        <v>452</v>
      </c>
      <c r="E232" s="184" t="s">
        <v>505</v>
      </c>
      <c r="F232" s="184" t="s">
        <v>504</v>
      </c>
      <c r="G232" s="185" t="s">
        <v>390</v>
      </c>
    </row>
    <row r="233" spans="1:7" x14ac:dyDescent="0.25">
      <c r="A233" s="180" t="s">
        <v>504</v>
      </c>
      <c r="B233" s="181" t="s">
        <v>505</v>
      </c>
      <c r="C233" s="185"/>
      <c r="D233" s="186" t="s">
        <v>453</v>
      </c>
      <c r="E233" s="184" t="s">
        <v>505</v>
      </c>
      <c r="F233" s="184" t="s">
        <v>504</v>
      </c>
      <c r="G233" s="185" t="s">
        <v>390</v>
      </c>
    </row>
    <row r="234" spans="1:7" x14ac:dyDescent="0.25">
      <c r="A234" s="180" t="s">
        <v>504</v>
      </c>
      <c r="B234" s="181" t="s">
        <v>505</v>
      </c>
      <c r="C234" s="185"/>
      <c r="D234" s="186" t="s">
        <v>454</v>
      </c>
      <c r="E234" s="184" t="s">
        <v>505</v>
      </c>
      <c r="F234" s="184" t="s">
        <v>504</v>
      </c>
      <c r="G234" s="185" t="s">
        <v>390</v>
      </c>
    </row>
    <row r="235" spans="1:7" x14ac:dyDescent="0.25">
      <c r="A235" s="180" t="s">
        <v>504</v>
      </c>
      <c r="B235" s="181" t="s">
        <v>505</v>
      </c>
      <c r="C235" s="185"/>
      <c r="D235" s="186" t="s">
        <v>455</v>
      </c>
      <c r="E235" s="184" t="s">
        <v>505</v>
      </c>
      <c r="F235" s="184" t="s">
        <v>504</v>
      </c>
      <c r="G235" s="185" t="s">
        <v>390</v>
      </c>
    </row>
    <row r="236" spans="1:7" x14ac:dyDescent="0.25">
      <c r="A236" s="180" t="s">
        <v>504</v>
      </c>
      <c r="B236" s="181" t="s">
        <v>505</v>
      </c>
      <c r="C236" s="185"/>
      <c r="D236" s="186" t="s">
        <v>456</v>
      </c>
      <c r="E236" s="184" t="s">
        <v>505</v>
      </c>
      <c r="F236" s="184" t="s">
        <v>504</v>
      </c>
      <c r="G236" s="185" t="s">
        <v>390</v>
      </c>
    </row>
    <row r="237" spans="1:7" x14ac:dyDescent="0.25">
      <c r="A237" s="180" t="s">
        <v>504</v>
      </c>
      <c r="B237" s="181" t="s">
        <v>505</v>
      </c>
      <c r="C237" s="185"/>
      <c r="D237" s="186" t="s">
        <v>457</v>
      </c>
      <c r="E237" s="184" t="s">
        <v>505</v>
      </c>
      <c r="F237" s="184" t="s">
        <v>504</v>
      </c>
      <c r="G237" s="185" t="s">
        <v>390</v>
      </c>
    </row>
    <row r="238" spans="1:7" x14ac:dyDescent="0.25">
      <c r="A238" s="180" t="s">
        <v>504</v>
      </c>
      <c r="B238" s="181" t="s">
        <v>505</v>
      </c>
      <c r="C238" s="185"/>
      <c r="D238" s="186" t="s">
        <v>458</v>
      </c>
      <c r="E238" s="184" t="s">
        <v>505</v>
      </c>
      <c r="F238" s="184" t="s">
        <v>504</v>
      </c>
      <c r="G238" s="185" t="s">
        <v>390</v>
      </c>
    </row>
    <row r="239" spans="1:7" x14ac:dyDescent="0.25">
      <c r="A239" s="180" t="s">
        <v>504</v>
      </c>
      <c r="B239" s="181" t="s">
        <v>505</v>
      </c>
      <c r="C239" s="185"/>
      <c r="D239" s="186" t="s">
        <v>459</v>
      </c>
      <c r="E239" s="184" t="s">
        <v>505</v>
      </c>
      <c r="F239" s="184" t="s">
        <v>504</v>
      </c>
      <c r="G239" s="185" t="s">
        <v>390</v>
      </c>
    </row>
    <row r="240" spans="1:7" x14ac:dyDescent="0.25">
      <c r="A240" s="180" t="s">
        <v>504</v>
      </c>
      <c r="B240" s="181" t="s">
        <v>505</v>
      </c>
      <c r="C240" s="185"/>
      <c r="D240" s="186" t="s">
        <v>460</v>
      </c>
      <c r="E240" s="184" t="s">
        <v>505</v>
      </c>
      <c r="F240" s="184" t="s">
        <v>504</v>
      </c>
      <c r="G240" s="185" t="s">
        <v>390</v>
      </c>
    </row>
    <row r="241" spans="1:7" ht="13" thickBot="1" x14ac:dyDescent="0.3">
      <c r="A241" s="187" t="s">
        <v>504</v>
      </c>
      <c r="B241" s="188" t="s">
        <v>505</v>
      </c>
      <c r="C241" s="189"/>
      <c r="D241" s="190" t="s">
        <v>461</v>
      </c>
      <c r="E241" s="188" t="s">
        <v>505</v>
      </c>
      <c r="F241" s="188" t="s">
        <v>504</v>
      </c>
      <c r="G241" s="189" t="s">
        <v>390</v>
      </c>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2E066-0EA4-47FB-B7E5-49D03490FF87}">
  <sheetPr codeName="Sheet7">
    <tabColor rgb="FFFFC000"/>
  </sheetPr>
  <dimension ref="A1:AR33"/>
  <sheetViews>
    <sheetView zoomScale="85" zoomScaleNormal="85" workbookViewId="0"/>
  </sheetViews>
  <sheetFormatPr defaultColWidth="101.08984375" defaultRowHeight="12.5" outlineLevelRow="1" x14ac:dyDescent="0.25"/>
  <cols>
    <col min="1" max="1" width="34.81640625" style="68" customWidth="1"/>
    <col min="2" max="3" width="24.1796875" style="1" bestFit="1" customWidth="1"/>
    <col min="4" max="4" width="24.453125" style="1" bestFit="1" customWidth="1"/>
    <col min="5" max="5" width="24.1796875" style="1" bestFit="1" customWidth="1"/>
    <col min="6" max="6" width="20.08984375" style="1" bestFit="1" customWidth="1"/>
    <col min="7" max="7" width="16" style="1" bestFit="1" customWidth="1"/>
    <col min="8" max="8" width="19.36328125" style="1" bestFit="1" customWidth="1"/>
    <col min="9" max="9" width="6.453125" style="67" bestFit="1" customWidth="1"/>
    <col min="10" max="10" width="8.6328125" style="67" bestFit="1" customWidth="1"/>
    <col min="11" max="11" width="5.54296875" style="67" bestFit="1" customWidth="1"/>
    <col min="12" max="12" width="20.90625" style="67" bestFit="1" customWidth="1"/>
    <col min="13" max="13" width="12.36328125" style="1" bestFit="1" customWidth="1"/>
    <col min="14" max="14" width="13.1796875" style="67" bestFit="1" customWidth="1"/>
    <col min="15" max="15" width="19.08984375" style="67" bestFit="1" customWidth="1"/>
    <col min="16" max="16" width="6" style="67" bestFit="1" customWidth="1"/>
    <col min="17" max="17" width="18.81640625" style="1" bestFit="1" customWidth="1"/>
    <col min="18" max="18" width="54.1796875" style="1" bestFit="1" customWidth="1"/>
    <col min="19" max="43" width="101.08984375" style="1"/>
  </cols>
  <sheetData>
    <row r="1" spans="1:44" ht="18" x14ac:dyDescent="0.4">
      <c r="A1" s="2" t="s">
        <v>146</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row>
    <row r="2" spans="1:44" x14ac:dyDescent="0.25">
      <c r="A2" s="20"/>
      <c r="B2" s="20"/>
      <c r="C2" s="20"/>
      <c r="D2" s="20"/>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row>
    <row r="3" spans="1:44" outlineLevel="1" x14ac:dyDescent="0.25">
      <c r="A3" s="30" t="s">
        <v>51</v>
      </c>
      <c r="B3" s="30" t="s">
        <v>52</v>
      </c>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row>
    <row r="4" spans="1:44" outlineLevel="1" x14ac:dyDescent="0.25">
      <c r="A4" s="31"/>
      <c r="B4" s="31">
        <v>0.12</v>
      </c>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row>
    <row r="5" spans="1:44" outlineLevel="1" x14ac:dyDescent="0.2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row>
    <row r="6" spans="1:44" ht="16" outlineLevel="1" thickBot="1" x14ac:dyDescent="0.4">
      <c r="A6" s="80" t="s">
        <v>43</v>
      </c>
      <c r="B6" s="69"/>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row>
    <row r="7" spans="1:44" ht="13" outlineLevel="1" thickBot="1" x14ac:dyDescent="0.3">
      <c r="A7" s="57" t="s">
        <v>241</v>
      </c>
      <c r="B7" s="29" t="s">
        <v>10</v>
      </c>
      <c r="C7" s="29" t="s">
        <v>44</v>
      </c>
      <c r="D7" s="29" t="s">
        <v>147</v>
      </c>
      <c r="E7" s="29" t="s">
        <v>148</v>
      </c>
      <c r="F7" s="29" t="s">
        <v>149</v>
      </c>
      <c r="G7" s="29" t="s">
        <v>150</v>
      </c>
      <c r="H7" s="29" t="s">
        <v>151</v>
      </c>
      <c r="I7" s="29" t="s">
        <v>152</v>
      </c>
      <c r="J7" s="29" t="s">
        <v>70</v>
      </c>
      <c r="K7" s="29" t="s">
        <v>153</v>
      </c>
      <c r="L7" s="29" t="s">
        <v>154</v>
      </c>
      <c r="M7" s="29" t="s">
        <v>155</v>
      </c>
      <c r="N7" s="29" t="s">
        <v>156</v>
      </c>
      <c r="O7" s="29" t="s">
        <v>157</v>
      </c>
      <c r="P7" s="29" t="s">
        <v>135</v>
      </c>
      <c r="Q7" s="29" t="s">
        <v>26</v>
      </c>
      <c r="R7" s="29" t="s">
        <v>28</v>
      </c>
      <c r="S7" s="20"/>
      <c r="T7"/>
      <c r="U7"/>
      <c r="V7"/>
      <c r="W7"/>
      <c r="X7"/>
      <c r="Y7"/>
      <c r="Z7"/>
      <c r="AA7"/>
      <c r="AB7"/>
      <c r="AC7"/>
      <c r="AD7"/>
      <c r="AE7"/>
      <c r="AF7"/>
      <c r="AG7"/>
      <c r="AH7"/>
      <c r="AI7"/>
      <c r="AJ7"/>
      <c r="AK7"/>
      <c r="AL7"/>
      <c r="AM7"/>
      <c r="AN7"/>
      <c r="AO7"/>
      <c r="AP7"/>
      <c r="AQ7"/>
    </row>
    <row r="8" spans="1:44" ht="15.75" customHeight="1" outlineLevel="1" x14ac:dyDescent="0.25">
      <c r="A8" s="79" t="s">
        <v>305</v>
      </c>
      <c r="B8" s="78" t="s">
        <v>423</v>
      </c>
      <c r="C8" s="77" t="s">
        <v>302</v>
      </c>
      <c r="D8" s="77" t="s">
        <v>297</v>
      </c>
      <c r="E8" s="77"/>
      <c r="F8" s="77"/>
      <c r="G8" s="77"/>
      <c r="H8" s="77" t="s">
        <v>301</v>
      </c>
      <c r="I8" s="77">
        <v>22</v>
      </c>
      <c r="J8" s="77">
        <v>22</v>
      </c>
      <c r="K8" s="77">
        <v>7</v>
      </c>
      <c r="L8" s="204"/>
      <c r="M8" s="77"/>
      <c r="N8" s="77" t="s">
        <v>379</v>
      </c>
      <c r="O8" s="77" t="s">
        <v>297</v>
      </c>
      <c r="P8" s="76" t="s">
        <v>134</v>
      </c>
      <c r="Q8" s="76" t="s">
        <v>425</v>
      </c>
      <c r="R8" s="76" t="s">
        <v>426</v>
      </c>
      <c r="S8" s="20"/>
      <c r="T8"/>
      <c r="U8"/>
      <c r="V8"/>
      <c r="W8"/>
      <c r="X8"/>
      <c r="Y8"/>
      <c r="Z8"/>
      <c r="AA8"/>
      <c r="AB8"/>
      <c r="AC8"/>
      <c r="AD8"/>
      <c r="AE8"/>
      <c r="AF8"/>
      <c r="AG8"/>
      <c r="AH8"/>
      <c r="AI8"/>
      <c r="AJ8"/>
      <c r="AK8"/>
      <c r="AL8"/>
      <c r="AM8"/>
      <c r="AN8"/>
      <c r="AO8"/>
      <c r="AP8"/>
      <c r="AQ8"/>
    </row>
    <row r="9" spans="1:44" ht="15.75" customHeight="1" outlineLevel="1" x14ac:dyDescent="0.25">
      <c r="A9" s="75" t="s">
        <v>305</v>
      </c>
      <c r="B9" s="74" t="s">
        <v>424</v>
      </c>
      <c r="C9" s="73" t="s">
        <v>302</v>
      </c>
      <c r="D9" s="73" t="s">
        <v>297</v>
      </c>
      <c r="E9" s="73"/>
      <c r="F9" s="73"/>
      <c r="G9" s="73"/>
      <c r="H9" s="73" t="s">
        <v>301</v>
      </c>
      <c r="I9" s="73">
        <v>22</v>
      </c>
      <c r="J9" s="73">
        <v>22</v>
      </c>
      <c r="K9" s="73">
        <v>7</v>
      </c>
      <c r="L9" s="74"/>
      <c r="M9" s="73"/>
      <c r="N9" s="73" t="s">
        <v>379</v>
      </c>
      <c r="O9" s="73" t="s">
        <v>297</v>
      </c>
      <c r="P9" s="73" t="s">
        <v>134</v>
      </c>
      <c r="Q9" s="73" t="s">
        <v>425</v>
      </c>
      <c r="R9" s="73" t="s">
        <v>426</v>
      </c>
      <c r="S9" s="20"/>
      <c r="T9"/>
      <c r="U9"/>
      <c r="V9"/>
      <c r="W9"/>
      <c r="X9"/>
      <c r="Y9"/>
      <c r="Z9"/>
      <c r="AA9"/>
      <c r="AB9"/>
      <c r="AC9"/>
      <c r="AD9"/>
      <c r="AE9"/>
      <c r="AF9"/>
      <c r="AG9"/>
      <c r="AH9"/>
      <c r="AI9"/>
      <c r="AJ9"/>
      <c r="AK9"/>
      <c r="AL9"/>
      <c r="AM9"/>
      <c r="AN9"/>
      <c r="AO9"/>
      <c r="AP9"/>
      <c r="AQ9"/>
    </row>
    <row r="10" spans="1:44" ht="15.75" customHeight="1" outlineLevel="1" x14ac:dyDescent="0.25">
      <c r="A10" s="75" t="s">
        <v>299</v>
      </c>
      <c r="B10" s="74" t="s">
        <v>478</v>
      </c>
      <c r="C10" s="73" t="s">
        <v>302</v>
      </c>
      <c r="D10" s="73" t="s">
        <v>297</v>
      </c>
      <c r="E10" s="73" t="s">
        <v>297</v>
      </c>
      <c r="F10" s="73" t="s">
        <v>304</v>
      </c>
      <c r="G10" s="73"/>
      <c r="H10" s="73" t="s">
        <v>298</v>
      </c>
      <c r="I10" s="73">
        <v>30</v>
      </c>
      <c r="J10" s="73"/>
      <c r="K10" s="73"/>
      <c r="L10" s="74" t="s">
        <v>479</v>
      </c>
      <c r="M10" s="73" t="s">
        <v>297</v>
      </c>
      <c r="N10" s="73" t="s">
        <v>379</v>
      </c>
      <c r="O10" s="73" t="s">
        <v>297</v>
      </c>
      <c r="P10" s="73" t="s">
        <v>134</v>
      </c>
      <c r="Q10" s="73" t="s">
        <v>425</v>
      </c>
      <c r="R10" s="73" t="s">
        <v>426</v>
      </c>
      <c r="S10" s="20"/>
      <c r="T10"/>
      <c r="U10"/>
      <c r="V10"/>
      <c r="W10"/>
      <c r="X10"/>
      <c r="Y10"/>
      <c r="Z10"/>
      <c r="AA10"/>
      <c r="AB10"/>
      <c r="AC10"/>
      <c r="AD10"/>
      <c r="AE10"/>
      <c r="AF10"/>
      <c r="AG10"/>
      <c r="AH10"/>
      <c r="AI10"/>
      <c r="AJ10"/>
      <c r="AK10"/>
      <c r="AL10"/>
      <c r="AM10"/>
      <c r="AN10"/>
      <c r="AO10"/>
      <c r="AP10"/>
      <c r="AQ10"/>
    </row>
    <row r="11" spans="1:44" ht="15.75" customHeight="1" outlineLevel="1" x14ac:dyDescent="0.25">
      <c r="A11" s="75" t="s">
        <v>299</v>
      </c>
      <c r="B11" s="74" t="s">
        <v>518</v>
      </c>
      <c r="C11" s="73" t="s">
        <v>302</v>
      </c>
      <c r="D11" s="73" t="s">
        <v>297</v>
      </c>
      <c r="E11" s="73"/>
      <c r="F11" s="73"/>
      <c r="G11" s="73" t="s">
        <v>299</v>
      </c>
      <c r="H11" s="73" t="s">
        <v>298</v>
      </c>
      <c r="I11" s="73">
        <v>15</v>
      </c>
      <c r="J11" s="73"/>
      <c r="K11" s="73"/>
      <c r="L11" s="74"/>
      <c r="M11" s="73"/>
      <c r="N11" s="73" t="s">
        <v>379</v>
      </c>
      <c r="O11" s="73" t="s">
        <v>297</v>
      </c>
      <c r="P11" s="73" t="s">
        <v>134</v>
      </c>
      <c r="Q11" s="73" t="s">
        <v>425</v>
      </c>
      <c r="R11" s="73" t="s">
        <v>426</v>
      </c>
      <c r="S11" s="20"/>
      <c r="T11"/>
      <c r="U11"/>
      <c r="V11"/>
      <c r="W11"/>
      <c r="X11"/>
      <c r="Y11"/>
      <c r="Z11"/>
      <c r="AA11"/>
      <c r="AB11"/>
      <c r="AC11"/>
      <c r="AD11"/>
      <c r="AE11"/>
      <c r="AF11"/>
      <c r="AG11"/>
      <c r="AH11"/>
      <c r="AI11"/>
      <c r="AJ11"/>
      <c r="AK11"/>
      <c r="AL11"/>
      <c r="AM11"/>
      <c r="AN11"/>
      <c r="AO11"/>
      <c r="AP11"/>
      <c r="AQ11"/>
    </row>
    <row r="12" spans="1:44" ht="15.75" customHeight="1" outlineLevel="1" x14ac:dyDescent="0.25">
      <c r="A12" s="75" t="s">
        <v>300</v>
      </c>
      <c r="B12" s="74" t="s">
        <v>518</v>
      </c>
      <c r="C12" s="73" t="s">
        <v>302</v>
      </c>
      <c r="D12" s="73" t="s">
        <v>297</v>
      </c>
      <c r="E12" s="73"/>
      <c r="F12" s="73"/>
      <c r="G12" s="73" t="s">
        <v>299</v>
      </c>
      <c r="H12" s="73" t="s">
        <v>298</v>
      </c>
      <c r="I12" s="73">
        <v>15</v>
      </c>
      <c r="J12" s="73"/>
      <c r="K12" s="73"/>
      <c r="L12" s="74"/>
      <c r="M12" s="73"/>
      <c r="N12" s="73" t="s">
        <v>379</v>
      </c>
      <c r="O12" s="73" t="s">
        <v>297</v>
      </c>
      <c r="P12" s="73" t="s">
        <v>134</v>
      </c>
      <c r="Q12" s="73" t="s">
        <v>425</v>
      </c>
      <c r="R12" s="73" t="s">
        <v>426</v>
      </c>
      <c r="S12" s="20"/>
      <c r="T12"/>
      <c r="U12"/>
      <c r="V12"/>
      <c r="W12"/>
      <c r="X12"/>
      <c r="Y12"/>
      <c r="Z12"/>
      <c r="AA12"/>
      <c r="AB12"/>
      <c r="AC12"/>
      <c r="AD12"/>
      <c r="AE12"/>
      <c r="AF12"/>
      <c r="AG12"/>
      <c r="AH12"/>
      <c r="AI12"/>
      <c r="AJ12"/>
      <c r="AK12"/>
      <c r="AL12"/>
      <c r="AM12"/>
      <c r="AN12"/>
      <c r="AO12"/>
      <c r="AP12"/>
      <c r="AQ12"/>
    </row>
    <row r="13" spans="1:44" x14ac:dyDescent="0.25">
      <c r="A13" s="71"/>
      <c r="B13" s="69"/>
      <c r="C13" s="69"/>
      <c r="D13" s="69"/>
      <c r="E13" s="69"/>
      <c r="F13" s="69"/>
      <c r="G13" s="69"/>
      <c r="H13" s="69"/>
      <c r="I13" s="70"/>
      <c r="J13" s="70"/>
      <c r="K13" s="70"/>
      <c r="L13" s="70"/>
      <c r="M13" s="69"/>
      <c r="N13" s="70"/>
      <c r="O13" s="70"/>
      <c r="P13" s="70"/>
      <c r="Q13" s="69"/>
      <c r="R13" s="69"/>
      <c r="S13" s="69"/>
      <c r="T13" s="69"/>
      <c r="U13" s="69"/>
      <c r="V13" s="69"/>
      <c r="W13" s="69"/>
      <c r="X13" s="69"/>
      <c r="Y13" s="69"/>
      <c r="Z13" s="69"/>
      <c r="AA13" s="69"/>
      <c r="AB13" s="69"/>
      <c r="AC13" s="69"/>
      <c r="AD13" s="69"/>
      <c r="AE13" s="69"/>
      <c r="AF13" s="69"/>
      <c r="AG13" s="69"/>
      <c r="AH13" s="69"/>
      <c r="AI13" s="69"/>
      <c r="AJ13" s="69"/>
      <c r="AK13" s="69"/>
      <c r="AL13" s="69"/>
      <c r="AM13" s="69"/>
      <c r="AN13" s="69"/>
      <c r="AO13" s="69"/>
      <c r="AP13" s="69"/>
      <c r="AQ13" s="20"/>
    </row>
    <row r="15" spans="1:44" ht="15.5" x14ac:dyDescent="0.35">
      <c r="A15" s="80" t="s">
        <v>535</v>
      </c>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row>
    <row r="16" spans="1:44" outlineLevel="1" x14ac:dyDescent="0.25">
      <c r="A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row>
    <row r="17" spans="1:44" ht="16" outlineLevel="1" thickBot="1" x14ac:dyDescent="0.4">
      <c r="A17" s="80" t="s">
        <v>43</v>
      </c>
      <c r="B17" s="69"/>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row>
    <row r="18" spans="1:44" ht="13" outlineLevel="1" thickBot="1" x14ac:dyDescent="0.3">
      <c r="A18" s="57" t="s">
        <v>241</v>
      </c>
      <c r="B18" s="29" t="s">
        <v>10</v>
      </c>
      <c r="C18" s="29" t="s">
        <v>44</v>
      </c>
      <c r="D18" s="29" t="s">
        <v>147</v>
      </c>
      <c r="E18" s="29" t="s">
        <v>148</v>
      </c>
      <c r="F18" s="29" t="s">
        <v>149</v>
      </c>
      <c r="G18" s="29" t="s">
        <v>150</v>
      </c>
      <c r="H18" s="29" t="s">
        <v>151</v>
      </c>
      <c r="I18" s="29" t="s">
        <v>152</v>
      </c>
      <c r="J18" s="29" t="s">
        <v>70</v>
      </c>
      <c r="K18" s="29" t="s">
        <v>153</v>
      </c>
      <c r="L18" s="29" t="s">
        <v>154</v>
      </c>
      <c r="M18" s="29" t="s">
        <v>155</v>
      </c>
      <c r="N18" s="29" t="s">
        <v>156</v>
      </c>
      <c r="O18" s="29" t="s">
        <v>157</v>
      </c>
      <c r="P18" s="29" t="s">
        <v>135</v>
      </c>
      <c r="Q18" s="29" t="s">
        <v>26</v>
      </c>
      <c r="R18" s="29" t="s">
        <v>28</v>
      </c>
      <c r="S18" s="20"/>
      <c r="T18"/>
      <c r="U18"/>
      <c r="V18"/>
      <c r="W18"/>
      <c r="X18"/>
      <c r="Y18"/>
      <c r="Z18"/>
      <c r="AA18"/>
      <c r="AB18"/>
      <c r="AC18"/>
      <c r="AD18"/>
      <c r="AE18"/>
      <c r="AF18"/>
      <c r="AG18"/>
      <c r="AH18"/>
      <c r="AI18"/>
      <c r="AJ18"/>
      <c r="AK18"/>
      <c r="AL18"/>
      <c r="AM18"/>
      <c r="AN18"/>
      <c r="AO18"/>
      <c r="AP18"/>
      <c r="AQ18"/>
    </row>
    <row r="19" spans="1:44" ht="15.75" customHeight="1" outlineLevel="1" x14ac:dyDescent="0.25">
      <c r="A19" s="79" t="s">
        <v>544</v>
      </c>
      <c r="B19" s="78" t="s">
        <v>423</v>
      </c>
      <c r="C19" s="77" t="s">
        <v>302</v>
      </c>
      <c r="D19" s="77" t="s">
        <v>297</v>
      </c>
      <c r="E19" s="77"/>
      <c r="F19" s="77"/>
      <c r="G19" s="77"/>
      <c r="H19" s="77" t="s">
        <v>301</v>
      </c>
      <c r="I19" s="77">
        <v>22</v>
      </c>
      <c r="J19" s="77">
        <v>22</v>
      </c>
      <c r="K19" s="77">
        <v>7</v>
      </c>
      <c r="L19" s="204"/>
      <c r="M19" s="77"/>
      <c r="N19" s="77" t="s">
        <v>379</v>
      </c>
      <c r="O19" s="77" t="s">
        <v>297</v>
      </c>
      <c r="P19" s="76" t="s">
        <v>134</v>
      </c>
      <c r="Q19" s="76" t="s">
        <v>425</v>
      </c>
      <c r="R19" s="76" t="s">
        <v>426</v>
      </c>
      <c r="S19" s="20"/>
      <c r="T19"/>
      <c r="U19"/>
      <c r="V19"/>
      <c r="W19"/>
      <c r="X19"/>
      <c r="Y19"/>
      <c r="Z19"/>
      <c r="AA19"/>
      <c r="AB19"/>
      <c r="AC19"/>
      <c r="AD19"/>
      <c r="AE19"/>
      <c r="AF19"/>
      <c r="AG19"/>
      <c r="AH19"/>
      <c r="AI19"/>
      <c r="AJ19"/>
      <c r="AK19"/>
      <c r="AL19"/>
      <c r="AM19"/>
      <c r="AN19"/>
      <c r="AO19"/>
      <c r="AP19"/>
      <c r="AQ19"/>
    </row>
    <row r="20" spans="1:44" ht="15.75" customHeight="1" outlineLevel="1" x14ac:dyDescent="0.25">
      <c r="A20" s="75" t="s">
        <v>544</v>
      </c>
      <c r="B20" s="74" t="s">
        <v>424</v>
      </c>
      <c r="C20" s="73" t="s">
        <v>302</v>
      </c>
      <c r="D20" s="73" t="s">
        <v>297</v>
      </c>
      <c r="E20" s="73"/>
      <c r="F20" s="73"/>
      <c r="G20" s="73"/>
      <c r="H20" s="73" t="s">
        <v>301</v>
      </c>
      <c r="I20" s="73">
        <v>22</v>
      </c>
      <c r="J20" s="73">
        <v>22</v>
      </c>
      <c r="K20" s="73">
        <v>7</v>
      </c>
      <c r="L20" s="74"/>
      <c r="M20" s="73"/>
      <c r="N20" s="73" t="s">
        <v>379</v>
      </c>
      <c r="O20" s="73" t="s">
        <v>297</v>
      </c>
      <c r="P20" s="73" t="s">
        <v>134</v>
      </c>
      <c r="Q20" s="73" t="s">
        <v>425</v>
      </c>
      <c r="R20" s="73" t="s">
        <v>426</v>
      </c>
      <c r="S20" s="20"/>
      <c r="T20"/>
      <c r="U20"/>
      <c r="V20"/>
      <c r="W20"/>
      <c r="X20"/>
      <c r="Y20"/>
      <c r="Z20"/>
      <c r="AA20"/>
      <c r="AB20"/>
      <c r="AC20"/>
      <c r="AD20"/>
      <c r="AE20"/>
      <c r="AF20"/>
      <c r="AG20"/>
      <c r="AH20"/>
      <c r="AI20"/>
      <c r="AJ20"/>
      <c r="AK20"/>
      <c r="AL20"/>
      <c r="AM20"/>
      <c r="AN20"/>
      <c r="AO20"/>
      <c r="AP20"/>
      <c r="AQ20"/>
    </row>
    <row r="21" spans="1:44" outlineLevel="1"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row>
    <row r="22" spans="1:44" ht="15.5" x14ac:dyDescent="0.35">
      <c r="A22" s="80" t="s">
        <v>536</v>
      </c>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row>
    <row r="23" spans="1:44" ht="15.5" outlineLevel="1" x14ac:dyDescent="0.35">
      <c r="A23" s="80" t="s">
        <v>537</v>
      </c>
      <c r="B23" s="69"/>
      <c r="C23" s="69"/>
      <c r="D23" s="69"/>
      <c r="E23" s="69"/>
      <c r="F23" s="69"/>
      <c r="G23" s="69"/>
      <c r="H23" s="69"/>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row>
    <row r="24" spans="1:44" outlineLevel="1" x14ac:dyDescent="0.25">
      <c r="A24" s="215" t="s">
        <v>538</v>
      </c>
      <c r="B24" s="215" t="s">
        <v>539</v>
      </c>
      <c r="C24" s="29" t="s">
        <v>10</v>
      </c>
      <c r="D24" s="29" t="s">
        <v>540</v>
      </c>
      <c r="E24" s="29" t="s">
        <v>541</v>
      </c>
      <c r="F24" s="29" t="s">
        <v>542</v>
      </c>
      <c r="G24" s="29" t="s">
        <v>63</v>
      </c>
      <c r="H24" s="29" t="s">
        <v>28</v>
      </c>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row>
    <row r="25" spans="1:44" ht="15.75" customHeight="1" outlineLevel="1" x14ac:dyDescent="0.25">
      <c r="A25" s="72" t="s">
        <v>544</v>
      </c>
      <c r="B25" s="72" t="s">
        <v>305</v>
      </c>
      <c r="C25" s="73" t="s">
        <v>423</v>
      </c>
      <c r="D25" s="73" t="s">
        <v>423</v>
      </c>
      <c r="E25" s="73" t="s">
        <v>423</v>
      </c>
      <c r="F25" s="72"/>
      <c r="G25" s="72"/>
      <c r="H25" s="73" t="s">
        <v>545</v>
      </c>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row>
    <row r="26" spans="1:44" ht="15.75" customHeight="1" outlineLevel="1" x14ac:dyDescent="0.25">
      <c r="A26" s="72" t="s">
        <v>544</v>
      </c>
      <c r="B26" s="72" t="s">
        <v>305</v>
      </c>
      <c r="C26" s="73" t="s">
        <v>424</v>
      </c>
      <c r="D26" s="73" t="s">
        <v>424</v>
      </c>
      <c r="E26" s="73" t="s">
        <v>424</v>
      </c>
      <c r="F26" s="72"/>
      <c r="G26" s="72"/>
      <c r="H26" s="73" t="s">
        <v>545</v>
      </c>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row>
    <row r="27" spans="1:44" outlineLevel="1" x14ac:dyDescent="0.25">
      <c r="I27" s="1"/>
      <c r="M27" s="67"/>
      <c r="N27" s="1"/>
      <c r="Q27" s="67"/>
      <c r="AR27" s="20"/>
    </row>
    <row r="28" spans="1:44" x14ac:dyDescent="0.25">
      <c r="I28" s="1"/>
      <c r="M28" s="67"/>
      <c r="N28" s="1"/>
      <c r="Q28" s="67"/>
      <c r="AR28" s="20"/>
    </row>
    <row r="29" spans="1:44" x14ac:dyDescent="0.25">
      <c r="I29" s="1"/>
      <c r="M29" s="67"/>
      <c r="N29" s="1"/>
      <c r="Q29" s="67"/>
      <c r="AR29" s="20"/>
    </row>
    <row r="30" spans="1:44" ht="18" x14ac:dyDescent="0.4">
      <c r="A30" s="232" t="s">
        <v>543</v>
      </c>
      <c r="B30" s="233"/>
      <c r="C30" s="233"/>
      <c r="D30" s="233"/>
      <c r="E30" s="233"/>
      <c r="F30" s="233"/>
      <c r="G30" s="233"/>
      <c r="H30" s="233"/>
      <c r="I30" s="233"/>
      <c r="J30" s="234"/>
      <c r="K30" s="234"/>
      <c r="L30" s="234"/>
      <c r="M30" s="234"/>
      <c r="N30" s="233"/>
      <c r="O30" s="234"/>
      <c r="P30" s="234"/>
      <c r="Q30" s="234"/>
      <c r="R30" s="233"/>
      <c r="S30" s="233"/>
      <c r="T30" s="233"/>
      <c r="U30" s="233"/>
      <c r="V30" s="233"/>
      <c r="W30" s="233"/>
      <c r="X30" s="233"/>
      <c r="Y30" s="233"/>
      <c r="Z30" s="233"/>
      <c r="AA30" s="233"/>
      <c r="AB30" s="233"/>
      <c r="AC30" s="233"/>
      <c r="AD30" s="233"/>
      <c r="AE30" s="233"/>
      <c r="AF30" s="233"/>
      <c r="AG30" s="233"/>
      <c r="AH30" s="233"/>
      <c r="AI30" s="233"/>
      <c r="AJ30" s="233"/>
      <c r="AK30" s="233"/>
      <c r="AL30" s="233"/>
      <c r="AM30" s="233"/>
      <c r="AN30" s="233"/>
      <c r="AO30" s="233"/>
      <c r="AP30" s="233"/>
      <c r="AQ30" s="233"/>
      <c r="AR30" s="20"/>
    </row>
    <row r="31" spans="1:44" x14ac:dyDescent="0.25">
      <c r="A31" s="215" t="s">
        <v>538</v>
      </c>
      <c r="B31" s="215" t="s">
        <v>539</v>
      </c>
    </row>
    <row r="32" spans="1:44" x14ac:dyDescent="0.25">
      <c r="A32" s="75" t="s">
        <v>546</v>
      </c>
      <c r="B32" s="72" t="s">
        <v>299</v>
      </c>
    </row>
    <row r="33" spans="1:2" x14ac:dyDescent="0.25">
      <c r="A33" s="72" t="s">
        <v>547</v>
      </c>
      <c r="B33" s="75" t="s">
        <v>300</v>
      </c>
    </row>
  </sheetData>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650C2-6101-4B0E-B0B0-F864A955FADD}">
  <sheetPr codeName="Sheet12">
    <tabColor rgb="FFFFC000"/>
    <pageSetUpPr fitToPage="1"/>
  </sheetPr>
  <dimension ref="A1:AS32"/>
  <sheetViews>
    <sheetView showGridLines="0" zoomScale="85" zoomScaleNormal="85" workbookViewId="0">
      <selection sqref="A1:F1"/>
    </sheetView>
  </sheetViews>
  <sheetFormatPr defaultColWidth="4.36328125" defaultRowHeight="12.5" x14ac:dyDescent="0.25"/>
  <cols>
    <col min="1" max="21" width="4.36328125" style="112"/>
    <col min="22" max="22" width="7.54296875" style="112" bestFit="1" customWidth="1"/>
    <col min="23" max="45" width="4.36328125" style="112"/>
  </cols>
  <sheetData>
    <row r="1" spans="1:41" ht="18" x14ac:dyDescent="0.4">
      <c r="A1" s="281" t="s">
        <v>45</v>
      </c>
      <c r="B1" s="281"/>
      <c r="C1" s="281"/>
      <c r="D1" s="281"/>
      <c r="E1" s="281"/>
      <c r="F1" s="281"/>
      <c r="I1" s="120"/>
    </row>
    <row r="2" spans="1:41" ht="13" thickBot="1" x14ac:dyDescent="0.3">
      <c r="A2" s="120"/>
      <c r="I2" s="120"/>
    </row>
    <row r="3" spans="1:41" ht="13.5" thickBot="1" x14ac:dyDescent="0.35">
      <c r="A3" s="282" t="s">
        <v>46</v>
      </c>
      <c r="B3" s="283"/>
      <c r="C3" s="283"/>
      <c r="D3" s="283"/>
      <c r="E3" s="283"/>
      <c r="F3" s="283"/>
      <c r="G3" s="283"/>
      <c r="H3" s="283"/>
      <c r="I3" s="283"/>
      <c r="J3" s="283"/>
      <c r="K3" s="283"/>
      <c r="L3" s="283"/>
      <c r="M3" s="283"/>
      <c r="N3" s="284"/>
      <c r="Q3" s="285" t="s">
        <v>51</v>
      </c>
      <c r="R3" s="286"/>
      <c r="S3" s="286"/>
      <c r="T3" s="286"/>
      <c r="U3" s="287"/>
      <c r="V3" s="121" t="s">
        <v>55</v>
      </c>
    </row>
    <row r="4" spans="1:41" ht="13" thickBot="1" x14ac:dyDescent="0.3">
      <c r="A4" s="120"/>
      <c r="G4" s="118"/>
      <c r="H4" s="118"/>
      <c r="I4" s="119"/>
      <c r="J4" s="118"/>
      <c r="K4" s="118"/>
      <c r="L4" s="118"/>
      <c r="M4" s="118"/>
      <c r="N4" s="118"/>
      <c r="Q4" s="288"/>
      <c r="R4" s="289"/>
      <c r="S4" s="289"/>
      <c r="T4" s="289"/>
      <c r="U4" s="290"/>
      <c r="V4" s="117">
        <v>0.15</v>
      </c>
    </row>
    <row r="5" spans="1:41" ht="43.25" customHeight="1" x14ac:dyDescent="0.25">
      <c r="A5" s="291" t="s">
        <v>47</v>
      </c>
      <c r="B5" s="292"/>
      <c r="C5" s="292"/>
      <c r="D5" s="292"/>
      <c r="E5" s="292"/>
      <c r="F5" s="292"/>
      <c r="G5" s="293" t="s">
        <v>509</v>
      </c>
      <c r="H5" s="294"/>
      <c r="I5" s="294"/>
      <c r="J5" s="294"/>
      <c r="K5" s="294"/>
      <c r="L5" s="294"/>
      <c r="M5" s="294"/>
      <c r="N5" s="295"/>
    </row>
    <row r="6" spans="1:41" ht="13" x14ac:dyDescent="0.25">
      <c r="A6" s="272" t="s">
        <v>48</v>
      </c>
      <c r="B6" s="273"/>
      <c r="C6" s="273"/>
      <c r="D6" s="273"/>
      <c r="E6" s="273"/>
      <c r="F6" s="273"/>
      <c r="G6" s="274" t="s">
        <v>315</v>
      </c>
      <c r="H6" s="275"/>
      <c r="I6" s="275"/>
      <c r="J6" s="275"/>
      <c r="K6" s="275"/>
      <c r="L6" s="275"/>
      <c r="M6" s="275"/>
      <c r="N6" s="276"/>
    </row>
    <row r="7" spans="1:41" ht="13" thickBot="1" x14ac:dyDescent="0.3">
      <c r="K7" s="116"/>
    </row>
    <row r="8" spans="1:41" ht="30.75" customHeight="1" thickBot="1" x14ac:dyDescent="0.3">
      <c r="A8" s="277" t="s">
        <v>49</v>
      </c>
      <c r="B8" s="278"/>
      <c r="C8" s="278"/>
      <c r="D8" s="278"/>
      <c r="E8" s="278"/>
      <c r="F8" s="278"/>
      <c r="G8" s="279" t="s">
        <v>418</v>
      </c>
      <c r="H8" s="279"/>
      <c r="I8" s="279"/>
      <c r="J8" s="279"/>
      <c r="K8" s="279"/>
      <c r="L8" s="279"/>
      <c r="M8" s="279"/>
      <c r="N8" s="279"/>
      <c r="O8" s="279"/>
      <c r="P8" s="279"/>
      <c r="Q8" s="279"/>
      <c r="R8" s="279"/>
      <c r="S8" s="279"/>
      <c r="T8" s="279"/>
      <c r="U8" s="279"/>
      <c r="V8" s="279"/>
      <c r="W8" s="279"/>
      <c r="X8" s="279"/>
      <c r="Y8" s="279"/>
      <c r="Z8" s="279"/>
      <c r="AA8" s="279"/>
      <c r="AB8" s="279"/>
      <c r="AC8" s="279"/>
      <c r="AD8" s="279"/>
      <c r="AE8" s="279"/>
      <c r="AF8" s="279"/>
      <c r="AG8" s="279"/>
      <c r="AH8" s="279"/>
      <c r="AI8" s="279"/>
      <c r="AJ8" s="279"/>
      <c r="AK8" s="279"/>
      <c r="AL8" s="279"/>
      <c r="AM8" s="279"/>
      <c r="AN8" s="279"/>
      <c r="AO8" s="280"/>
    </row>
    <row r="15" spans="1:41" x14ac:dyDescent="0.25">
      <c r="AB15" s="114"/>
      <c r="AC15" s="114"/>
      <c r="AD15" s="114"/>
      <c r="AE15" s="114"/>
      <c r="AF15" s="114"/>
      <c r="AG15" s="114"/>
      <c r="AH15" s="114"/>
      <c r="AI15" s="114"/>
      <c r="AJ15" s="114"/>
      <c r="AK15" s="114"/>
      <c r="AL15" s="114"/>
    </row>
    <row r="16" spans="1:41" ht="17.5" x14ac:dyDescent="0.35">
      <c r="AB16" s="114"/>
      <c r="AC16" s="115"/>
      <c r="AD16" s="114"/>
      <c r="AE16" s="114"/>
      <c r="AF16" s="114"/>
      <c r="AG16" s="114"/>
      <c r="AH16" s="114"/>
      <c r="AI16" s="114"/>
      <c r="AJ16" s="114"/>
      <c r="AK16" s="114"/>
      <c r="AL16" s="114"/>
    </row>
    <row r="17" spans="4:38" x14ac:dyDescent="0.25">
      <c r="AB17" s="114"/>
      <c r="AC17" s="114"/>
      <c r="AD17" s="114"/>
      <c r="AE17" s="114"/>
      <c r="AF17" s="114"/>
      <c r="AG17" s="114"/>
      <c r="AH17" s="114"/>
      <c r="AI17" s="114"/>
      <c r="AJ17" s="114"/>
      <c r="AK17" s="114"/>
      <c r="AL17" s="114"/>
    </row>
    <row r="18" spans="4:38" x14ac:dyDescent="0.25">
      <c r="AB18" s="114"/>
      <c r="AC18" s="114"/>
      <c r="AD18" s="114"/>
      <c r="AE18" s="114"/>
      <c r="AF18" s="114"/>
      <c r="AG18" s="114"/>
      <c r="AH18" s="114"/>
      <c r="AI18" s="114"/>
      <c r="AJ18" s="114"/>
      <c r="AK18" s="114"/>
      <c r="AL18" s="114"/>
    </row>
    <row r="19" spans="4:38" x14ac:dyDescent="0.25">
      <c r="AB19" s="114"/>
      <c r="AC19" s="114"/>
      <c r="AD19" s="114"/>
      <c r="AE19" s="114"/>
      <c r="AF19" s="114"/>
      <c r="AG19" s="114"/>
      <c r="AH19" s="114"/>
      <c r="AI19" s="114"/>
      <c r="AJ19" s="114"/>
      <c r="AK19" s="114"/>
      <c r="AL19" s="114"/>
    </row>
    <row r="20" spans="4:38" x14ac:dyDescent="0.25">
      <c r="AB20" s="114"/>
      <c r="AC20" s="114"/>
      <c r="AD20" s="114"/>
      <c r="AE20" s="114"/>
      <c r="AF20" s="114"/>
      <c r="AG20" s="114"/>
      <c r="AH20" s="114"/>
      <c r="AI20" s="114"/>
      <c r="AJ20" s="114"/>
      <c r="AK20" s="114"/>
      <c r="AL20" s="114"/>
    </row>
    <row r="21" spans="4:38" x14ac:dyDescent="0.25">
      <c r="AB21" s="114"/>
      <c r="AC21" s="114"/>
      <c r="AD21" s="114"/>
      <c r="AE21" s="114"/>
      <c r="AF21" s="114"/>
      <c r="AG21" s="114"/>
      <c r="AH21" s="114"/>
      <c r="AI21" s="114"/>
      <c r="AJ21" s="114"/>
      <c r="AK21" s="114"/>
      <c r="AL21" s="114"/>
    </row>
    <row r="28" spans="4:38" ht="13" x14ac:dyDescent="0.3">
      <c r="D28" s="113"/>
    </row>
    <row r="29" spans="4:38" ht="13" x14ac:dyDescent="0.3">
      <c r="D29" s="113"/>
    </row>
    <row r="32" spans="4:38" ht="13" x14ac:dyDescent="0.3">
      <c r="D32" s="113"/>
    </row>
  </sheetData>
  <mergeCells count="11">
    <mergeCell ref="A6:F6"/>
    <mergeCell ref="G6:N6"/>
    <mergeCell ref="A8:F8"/>
    <mergeCell ref="G8:AO8"/>
    <mergeCell ref="A1:F1"/>
    <mergeCell ref="A3:F3"/>
    <mergeCell ref="G3:N3"/>
    <mergeCell ref="Q3:U3"/>
    <mergeCell ref="Q4:U4"/>
    <mergeCell ref="A5:F5"/>
    <mergeCell ref="G5:N5"/>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3A685-2CD2-4C32-84C1-F8D22ED060F6}">
  <sheetPr codeName="Sheet8">
    <tabColor rgb="FFFFC000"/>
    <pageSetUpPr fitToPage="1"/>
  </sheetPr>
  <dimension ref="A1:AS32"/>
  <sheetViews>
    <sheetView showGridLines="0" zoomScale="85" zoomScaleNormal="85" workbookViewId="0">
      <selection sqref="A1:F1"/>
    </sheetView>
  </sheetViews>
  <sheetFormatPr defaultColWidth="4.36328125" defaultRowHeight="12.5" x14ac:dyDescent="0.25"/>
  <cols>
    <col min="1" max="21" width="4.36328125" style="112"/>
    <col min="22" max="22" width="7.54296875" style="112" bestFit="1" customWidth="1"/>
    <col min="23" max="45" width="4.36328125" style="112"/>
  </cols>
  <sheetData>
    <row r="1" spans="1:41" ht="18" x14ac:dyDescent="0.4">
      <c r="A1" s="281" t="s">
        <v>45</v>
      </c>
      <c r="B1" s="281"/>
      <c r="C1" s="281"/>
      <c r="D1" s="281"/>
      <c r="E1" s="281"/>
      <c r="F1" s="281"/>
      <c r="I1" s="120"/>
    </row>
    <row r="2" spans="1:41" ht="13" thickBot="1" x14ac:dyDescent="0.3">
      <c r="A2" s="120"/>
      <c r="I2" s="120"/>
    </row>
    <row r="3" spans="1:41" ht="13.5" thickBot="1" x14ac:dyDescent="0.35">
      <c r="A3" s="282" t="s">
        <v>46</v>
      </c>
      <c r="B3" s="283"/>
      <c r="C3" s="283"/>
      <c r="D3" s="283"/>
      <c r="E3" s="283"/>
      <c r="F3" s="283"/>
      <c r="G3" s="283"/>
      <c r="H3" s="283"/>
      <c r="I3" s="283"/>
      <c r="J3" s="283"/>
      <c r="K3" s="283"/>
      <c r="L3" s="283"/>
      <c r="M3" s="283"/>
      <c r="N3" s="284"/>
      <c r="Q3" s="285" t="s">
        <v>51</v>
      </c>
      <c r="R3" s="286"/>
      <c r="S3" s="286"/>
      <c r="T3" s="286"/>
      <c r="U3" s="287"/>
      <c r="V3" s="121" t="s">
        <v>55</v>
      </c>
    </row>
    <row r="4" spans="1:41" ht="13" thickBot="1" x14ac:dyDescent="0.3">
      <c r="A4" s="120"/>
      <c r="G4" s="118"/>
      <c r="H4" s="118"/>
      <c r="I4" s="119"/>
      <c r="J4" s="118"/>
      <c r="K4" s="118"/>
      <c r="L4" s="118"/>
      <c r="M4" s="118"/>
      <c r="N4" s="118"/>
      <c r="Q4" s="288"/>
      <c r="R4" s="289"/>
      <c r="S4" s="289"/>
      <c r="T4" s="289"/>
      <c r="U4" s="290"/>
      <c r="V4" s="117">
        <v>0.12</v>
      </c>
    </row>
    <row r="5" spans="1:41" ht="31.25" customHeight="1" x14ac:dyDescent="0.25">
      <c r="A5" s="291" t="s">
        <v>47</v>
      </c>
      <c r="B5" s="292"/>
      <c r="C5" s="292"/>
      <c r="D5" s="292"/>
      <c r="E5" s="292"/>
      <c r="F5" s="292"/>
      <c r="G5" s="293" t="s">
        <v>510</v>
      </c>
      <c r="H5" s="294"/>
      <c r="I5" s="294"/>
      <c r="J5" s="294"/>
      <c r="K5" s="294"/>
      <c r="L5" s="294"/>
      <c r="M5" s="294"/>
      <c r="N5" s="295"/>
    </row>
    <row r="6" spans="1:41" ht="13" x14ac:dyDescent="0.25">
      <c r="A6" s="272" t="s">
        <v>48</v>
      </c>
      <c r="B6" s="273"/>
      <c r="C6" s="273"/>
      <c r="D6" s="273"/>
      <c r="E6" s="273"/>
      <c r="F6" s="273"/>
      <c r="G6" s="296" t="s">
        <v>306</v>
      </c>
      <c r="H6" s="297"/>
      <c r="I6" s="297"/>
      <c r="J6" s="297"/>
      <c r="K6" s="297"/>
      <c r="L6" s="297"/>
      <c r="M6" s="297"/>
      <c r="N6" s="298"/>
    </row>
    <row r="7" spans="1:41" ht="13" thickBot="1" x14ac:dyDescent="0.3">
      <c r="K7" s="116"/>
    </row>
    <row r="8" spans="1:41" ht="13.5" thickBot="1" x14ac:dyDescent="0.3">
      <c r="A8" s="277" t="s">
        <v>49</v>
      </c>
      <c r="B8" s="278"/>
      <c r="C8" s="278"/>
      <c r="D8" s="278"/>
      <c r="E8" s="278"/>
      <c r="F8" s="278"/>
      <c r="G8" s="279" t="s">
        <v>330</v>
      </c>
      <c r="H8" s="279"/>
      <c r="I8" s="279"/>
      <c r="J8" s="279"/>
      <c r="K8" s="279"/>
      <c r="L8" s="279"/>
      <c r="M8" s="279"/>
      <c r="N8" s="279"/>
      <c r="O8" s="279"/>
      <c r="P8" s="279"/>
      <c r="Q8" s="279"/>
      <c r="R8" s="279"/>
      <c r="S8" s="279"/>
      <c r="T8" s="279"/>
      <c r="U8" s="279"/>
      <c r="V8" s="279"/>
      <c r="W8" s="279"/>
      <c r="X8" s="279"/>
      <c r="Y8" s="279"/>
      <c r="Z8" s="279"/>
      <c r="AA8" s="279"/>
      <c r="AB8" s="279"/>
      <c r="AC8" s="279"/>
      <c r="AD8" s="279"/>
      <c r="AE8" s="279"/>
      <c r="AF8" s="279"/>
      <c r="AG8" s="279"/>
      <c r="AH8" s="279"/>
      <c r="AI8" s="279"/>
      <c r="AJ8" s="279"/>
      <c r="AK8" s="279"/>
      <c r="AL8" s="279"/>
      <c r="AM8" s="279"/>
      <c r="AN8" s="279"/>
      <c r="AO8" s="280"/>
    </row>
    <row r="15" spans="1:41" x14ac:dyDescent="0.25">
      <c r="AB15" s="114"/>
      <c r="AC15" s="114"/>
      <c r="AD15" s="114"/>
      <c r="AE15" s="114"/>
      <c r="AF15" s="114"/>
      <c r="AG15" s="114"/>
      <c r="AH15" s="114"/>
      <c r="AI15" s="114"/>
      <c r="AJ15" s="114"/>
      <c r="AK15" s="114"/>
      <c r="AL15" s="114"/>
    </row>
    <row r="16" spans="1:41" ht="17.5" x14ac:dyDescent="0.35">
      <c r="AB16" s="114"/>
      <c r="AC16" s="115"/>
      <c r="AD16" s="114"/>
      <c r="AE16" s="114"/>
      <c r="AF16" s="114"/>
      <c r="AG16" s="114"/>
      <c r="AH16" s="114"/>
      <c r="AI16" s="114"/>
      <c r="AJ16" s="114"/>
      <c r="AK16" s="114"/>
      <c r="AL16" s="114"/>
    </row>
    <row r="17" spans="4:38" x14ac:dyDescent="0.25">
      <c r="AB17" s="114"/>
      <c r="AC17" s="114"/>
      <c r="AD17" s="114"/>
      <c r="AE17" s="114"/>
      <c r="AF17" s="114"/>
      <c r="AG17" s="114"/>
      <c r="AH17" s="114"/>
      <c r="AI17" s="114"/>
      <c r="AJ17" s="114"/>
      <c r="AK17" s="114"/>
      <c r="AL17" s="114"/>
    </row>
    <row r="18" spans="4:38" x14ac:dyDescent="0.25">
      <c r="AB18" s="114"/>
      <c r="AC18" s="114"/>
      <c r="AD18" s="114"/>
      <c r="AE18" s="114"/>
      <c r="AF18" s="114"/>
      <c r="AG18" s="114"/>
      <c r="AH18" s="114"/>
      <c r="AI18" s="114"/>
      <c r="AJ18" s="114"/>
      <c r="AK18" s="114"/>
      <c r="AL18" s="114"/>
    </row>
    <row r="19" spans="4:38" x14ac:dyDescent="0.25">
      <c r="AB19" s="114"/>
      <c r="AC19" s="114"/>
      <c r="AD19" s="114"/>
      <c r="AE19" s="114"/>
      <c r="AF19" s="114"/>
      <c r="AG19" s="114"/>
      <c r="AH19" s="114"/>
      <c r="AI19" s="114"/>
      <c r="AJ19" s="114"/>
      <c r="AK19" s="114"/>
      <c r="AL19" s="114"/>
    </row>
    <row r="20" spans="4:38" x14ac:dyDescent="0.25">
      <c r="AB20" s="114"/>
      <c r="AC20" s="114"/>
      <c r="AD20" s="114"/>
      <c r="AE20" s="114"/>
      <c r="AF20" s="114"/>
      <c r="AG20" s="114"/>
      <c r="AH20" s="114"/>
      <c r="AI20" s="114"/>
      <c r="AJ20" s="114"/>
      <c r="AK20" s="114"/>
      <c r="AL20" s="114"/>
    </row>
    <row r="21" spans="4:38" x14ac:dyDescent="0.25">
      <c r="AB21" s="114"/>
      <c r="AC21" s="114"/>
      <c r="AD21" s="114"/>
      <c r="AE21" s="114"/>
      <c r="AF21" s="114"/>
      <c r="AG21" s="114"/>
      <c r="AH21" s="114"/>
      <c r="AI21" s="114"/>
      <c r="AJ21" s="114"/>
      <c r="AK21" s="114"/>
      <c r="AL21" s="114"/>
    </row>
    <row r="28" spans="4:38" ht="13" x14ac:dyDescent="0.3">
      <c r="D28" s="113"/>
    </row>
    <row r="29" spans="4:38" ht="13" x14ac:dyDescent="0.3">
      <c r="D29" s="113"/>
    </row>
    <row r="32" spans="4:38" ht="13" x14ac:dyDescent="0.3">
      <c r="D32" s="113"/>
    </row>
  </sheetData>
  <mergeCells count="11">
    <mergeCell ref="A8:F8"/>
    <mergeCell ref="G8:AO8"/>
    <mergeCell ref="A6:F6"/>
    <mergeCell ref="G6:N6"/>
    <mergeCell ref="Q3:U3"/>
    <mergeCell ref="Q4:U4"/>
    <mergeCell ref="A1:F1"/>
    <mergeCell ref="A3:F3"/>
    <mergeCell ref="G3:N3"/>
    <mergeCell ref="A5:F5"/>
    <mergeCell ref="G5:N5"/>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4612F-96ED-4472-8E14-087FBC45A7ED}">
  <sheetPr codeName="Sheet11">
    <tabColor rgb="FFFFC000"/>
    <pageSetUpPr fitToPage="1"/>
  </sheetPr>
  <dimension ref="A1:AS32"/>
  <sheetViews>
    <sheetView showGridLines="0" zoomScale="85" zoomScaleNormal="85" workbookViewId="0">
      <selection sqref="A1:F1"/>
    </sheetView>
  </sheetViews>
  <sheetFormatPr defaultColWidth="4.36328125" defaultRowHeight="12.5" x14ac:dyDescent="0.25"/>
  <cols>
    <col min="1" max="21" width="4.36328125" style="112"/>
    <col min="22" max="22" width="7.54296875" style="112" bestFit="1" customWidth="1"/>
    <col min="23" max="45" width="4.36328125" style="112"/>
    <col min="46" max="16384" width="4.36328125" style="92"/>
  </cols>
  <sheetData>
    <row r="1" spans="1:41" ht="18" x14ac:dyDescent="0.4">
      <c r="A1" s="281" t="s">
        <v>45</v>
      </c>
      <c r="B1" s="281"/>
      <c r="C1" s="281"/>
      <c r="D1" s="281"/>
      <c r="E1" s="281"/>
      <c r="F1" s="281"/>
      <c r="I1" s="120"/>
    </row>
    <row r="2" spans="1:41" ht="13" thickBot="1" x14ac:dyDescent="0.3">
      <c r="A2" s="120"/>
      <c r="I2" s="120"/>
    </row>
    <row r="3" spans="1:41" ht="13.5" thickBot="1" x14ac:dyDescent="0.35">
      <c r="A3" s="282" t="s">
        <v>46</v>
      </c>
      <c r="B3" s="283"/>
      <c r="C3" s="283"/>
      <c r="D3" s="283"/>
      <c r="E3" s="283"/>
      <c r="F3" s="283"/>
      <c r="G3" s="283"/>
      <c r="H3" s="283"/>
      <c r="I3" s="283"/>
      <c r="J3" s="283"/>
      <c r="K3" s="283"/>
      <c r="L3" s="283"/>
      <c r="M3" s="283"/>
      <c r="N3" s="284"/>
      <c r="Q3" s="285" t="s">
        <v>51</v>
      </c>
      <c r="R3" s="286"/>
      <c r="S3" s="286"/>
      <c r="T3" s="286"/>
      <c r="U3" s="287"/>
      <c r="V3" s="121" t="s">
        <v>55</v>
      </c>
    </row>
    <row r="4" spans="1:41" ht="13" thickBot="1" x14ac:dyDescent="0.3">
      <c r="A4" s="120"/>
      <c r="G4" s="118"/>
      <c r="H4" s="118"/>
      <c r="I4" s="119"/>
      <c r="J4" s="118"/>
      <c r="K4" s="118"/>
      <c r="L4" s="118"/>
      <c r="M4" s="118"/>
      <c r="N4" s="118"/>
      <c r="Q4" s="288"/>
      <c r="R4" s="299"/>
      <c r="S4" s="299"/>
      <c r="T4" s="299"/>
      <c r="U4" s="300"/>
      <c r="V4" s="117">
        <v>0.05</v>
      </c>
    </row>
    <row r="5" spans="1:41" ht="13" x14ac:dyDescent="0.25">
      <c r="A5" s="291" t="s">
        <v>47</v>
      </c>
      <c r="B5" s="292"/>
      <c r="C5" s="292"/>
      <c r="D5" s="292"/>
      <c r="E5" s="292"/>
      <c r="F5" s="292"/>
      <c r="G5" s="293" t="s">
        <v>353</v>
      </c>
      <c r="H5" s="294"/>
      <c r="I5" s="294"/>
      <c r="J5" s="294"/>
      <c r="K5" s="294"/>
      <c r="L5" s="294"/>
      <c r="M5" s="294"/>
      <c r="N5" s="295"/>
    </row>
    <row r="6" spans="1:41" ht="13" x14ac:dyDescent="0.25">
      <c r="A6" s="272" t="s">
        <v>136</v>
      </c>
      <c r="B6" s="273"/>
      <c r="C6" s="273"/>
      <c r="D6" s="273"/>
      <c r="E6" s="273"/>
      <c r="F6" s="273"/>
      <c r="G6" s="296" t="s">
        <v>352</v>
      </c>
      <c r="H6" s="297"/>
      <c r="I6" s="297"/>
      <c r="J6" s="297"/>
      <c r="K6" s="297"/>
      <c r="L6" s="297"/>
      <c r="M6" s="297"/>
      <c r="N6" s="298"/>
    </row>
    <row r="7" spans="1:41" ht="13" thickBot="1" x14ac:dyDescent="0.3">
      <c r="K7" s="116"/>
    </row>
    <row r="8" spans="1:41" ht="13.5" customHeight="1" thickBot="1" x14ac:dyDescent="0.3">
      <c r="A8" s="277" t="s">
        <v>49</v>
      </c>
      <c r="B8" s="278"/>
      <c r="C8" s="278"/>
      <c r="D8" s="278"/>
      <c r="E8" s="278"/>
      <c r="F8" s="278"/>
      <c r="G8" s="279" t="s">
        <v>351</v>
      </c>
      <c r="H8" s="279"/>
      <c r="I8" s="279"/>
      <c r="J8" s="279"/>
      <c r="K8" s="279"/>
      <c r="L8" s="279"/>
      <c r="M8" s="279"/>
      <c r="N8" s="279"/>
      <c r="O8" s="279"/>
      <c r="P8" s="279"/>
      <c r="Q8" s="279"/>
      <c r="R8" s="279"/>
      <c r="S8" s="279"/>
      <c r="T8" s="279"/>
      <c r="U8" s="279"/>
      <c r="V8" s="279"/>
      <c r="W8" s="279"/>
      <c r="X8" s="279"/>
      <c r="Y8" s="279"/>
      <c r="Z8" s="279"/>
      <c r="AA8" s="279"/>
      <c r="AB8" s="279"/>
      <c r="AC8" s="279"/>
      <c r="AD8" s="279"/>
      <c r="AE8" s="279"/>
      <c r="AF8" s="279"/>
      <c r="AG8" s="279"/>
      <c r="AH8" s="279"/>
      <c r="AI8" s="279"/>
      <c r="AJ8" s="279"/>
      <c r="AK8" s="279"/>
      <c r="AL8" s="279"/>
      <c r="AM8" s="279"/>
      <c r="AN8" s="279"/>
      <c r="AO8" s="280"/>
    </row>
    <row r="15" spans="1:41" x14ac:dyDescent="0.25">
      <c r="AB15" s="114"/>
      <c r="AC15" s="114"/>
      <c r="AD15" s="114"/>
      <c r="AE15" s="114"/>
      <c r="AF15" s="114"/>
      <c r="AG15" s="114"/>
      <c r="AH15" s="114"/>
      <c r="AI15" s="114"/>
      <c r="AJ15" s="114"/>
      <c r="AK15" s="114"/>
      <c r="AL15" s="114"/>
    </row>
    <row r="16" spans="1:41" ht="17.5" x14ac:dyDescent="0.35">
      <c r="AB16" s="114"/>
      <c r="AC16" s="115"/>
      <c r="AD16" s="114"/>
      <c r="AE16" s="114"/>
      <c r="AF16" s="114"/>
      <c r="AG16" s="114"/>
      <c r="AH16" s="114"/>
      <c r="AI16" s="114"/>
      <c r="AJ16" s="114"/>
      <c r="AK16" s="114"/>
      <c r="AL16" s="114"/>
    </row>
    <row r="17" spans="4:38" x14ac:dyDescent="0.25">
      <c r="AB17" s="114"/>
      <c r="AC17" s="114"/>
      <c r="AD17" s="114"/>
      <c r="AE17" s="114"/>
      <c r="AF17" s="114"/>
      <c r="AG17" s="114"/>
      <c r="AH17" s="114"/>
      <c r="AI17" s="114"/>
      <c r="AJ17" s="114"/>
      <c r="AK17" s="114"/>
      <c r="AL17" s="114"/>
    </row>
    <row r="18" spans="4:38" x14ac:dyDescent="0.25">
      <c r="AB18" s="114"/>
      <c r="AC18" s="114"/>
      <c r="AD18" s="114"/>
      <c r="AE18" s="114"/>
      <c r="AF18" s="114"/>
      <c r="AG18" s="114"/>
      <c r="AH18" s="114"/>
      <c r="AI18" s="114"/>
      <c r="AJ18" s="114"/>
      <c r="AK18" s="114"/>
      <c r="AL18" s="114"/>
    </row>
    <row r="19" spans="4:38" x14ac:dyDescent="0.25">
      <c r="AB19" s="114"/>
      <c r="AC19" s="114"/>
      <c r="AD19" s="114"/>
      <c r="AE19" s="114"/>
      <c r="AF19" s="114"/>
      <c r="AG19" s="114"/>
      <c r="AH19" s="114"/>
      <c r="AI19" s="114"/>
      <c r="AJ19" s="114"/>
      <c r="AK19" s="114"/>
      <c r="AL19" s="114"/>
    </row>
    <row r="20" spans="4:38" x14ac:dyDescent="0.25">
      <c r="AB20" s="114"/>
      <c r="AC20" s="114"/>
      <c r="AD20" s="114"/>
      <c r="AE20" s="114"/>
      <c r="AF20" s="114"/>
      <c r="AG20" s="114"/>
      <c r="AH20" s="114"/>
      <c r="AI20" s="114"/>
      <c r="AJ20" s="114"/>
      <c r="AK20" s="114"/>
      <c r="AL20" s="114"/>
    </row>
    <row r="21" spans="4:38" x14ac:dyDescent="0.25">
      <c r="AB21" s="114"/>
      <c r="AC21" s="114"/>
      <c r="AD21" s="114"/>
      <c r="AE21" s="114"/>
      <c r="AF21" s="114"/>
      <c r="AG21" s="114"/>
      <c r="AH21" s="114"/>
      <c r="AI21" s="114"/>
      <c r="AJ21" s="114"/>
      <c r="AK21" s="114"/>
      <c r="AL21" s="114"/>
    </row>
    <row r="28" spans="4:38" ht="13" x14ac:dyDescent="0.3">
      <c r="D28" s="113"/>
    </row>
    <row r="29" spans="4:38" ht="13" x14ac:dyDescent="0.3">
      <c r="D29" s="113"/>
    </row>
    <row r="32" spans="4:38" ht="13" x14ac:dyDescent="0.3">
      <c r="D32" s="113"/>
    </row>
  </sheetData>
  <mergeCells count="11">
    <mergeCell ref="G5:N5"/>
    <mergeCell ref="A6:F6"/>
    <mergeCell ref="G6:N6"/>
    <mergeCell ref="A8:F8"/>
    <mergeCell ref="G8:AO8"/>
    <mergeCell ref="A5:F5"/>
    <mergeCell ref="A1:F1"/>
    <mergeCell ref="A3:F3"/>
    <mergeCell ref="G3:N3"/>
    <mergeCell ref="Q3:U3"/>
    <mergeCell ref="Q4:U4"/>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33F29-38CB-4E07-9E5B-BE2295641138}">
  <sheetPr codeName="Sheet9">
    <tabColor rgb="FFFFC000"/>
    <pageSetUpPr fitToPage="1"/>
  </sheetPr>
  <dimension ref="A1:AS32"/>
  <sheetViews>
    <sheetView showGridLines="0" zoomScale="85" zoomScaleNormal="85" workbookViewId="0">
      <selection sqref="A1:F1"/>
    </sheetView>
  </sheetViews>
  <sheetFormatPr defaultColWidth="4.36328125" defaultRowHeight="12.5" x14ac:dyDescent="0.25"/>
  <cols>
    <col min="1" max="21" width="4.36328125" style="112"/>
    <col min="22" max="22" width="7.54296875" style="112" bestFit="1" customWidth="1"/>
    <col min="23" max="45" width="4.36328125" style="112"/>
    <col min="46" max="16384" width="4.36328125" style="92"/>
  </cols>
  <sheetData>
    <row r="1" spans="1:41" ht="18" x14ac:dyDescent="0.4">
      <c r="A1" s="281" t="s">
        <v>45</v>
      </c>
      <c r="B1" s="281"/>
      <c r="C1" s="281"/>
      <c r="D1" s="281"/>
      <c r="E1" s="281"/>
      <c r="F1" s="281"/>
      <c r="I1" s="120"/>
    </row>
    <row r="2" spans="1:41" ht="13" thickBot="1" x14ac:dyDescent="0.3">
      <c r="A2" s="120"/>
      <c r="I2" s="120"/>
    </row>
    <row r="3" spans="1:41" ht="13.5" thickBot="1" x14ac:dyDescent="0.35">
      <c r="A3" s="282" t="s">
        <v>46</v>
      </c>
      <c r="B3" s="283"/>
      <c r="C3" s="283"/>
      <c r="D3" s="283"/>
      <c r="E3" s="283"/>
      <c r="F3" s="283"/>
      <c r="G3" s="283"/>
      <c r="H3" s="283"/>
      <c r="I3" s="283"/>
      <c r="J3" s="283"/>
      <c r="K3" s="283"/>
      <c r="L3" s="283"/>
      <c r="M3" s="283"/>
      <c r="N3" s="284"/>
      <c r="Q3" s="285" t="s">
        <v>51</v>
      </c>
      <c r="R3" s="286"/>
      <c r="S3" s="286"/>
      <c r="T3" s="286"/>
      <c r="U3" s="287"/>
      <c r="V3" s="121" t="s">
        <v>55</v>
      </c>
    </row>
    <row r="4" spans="1:41" ht="13" thickBot="1" x14ac:dyDescent="0.3">
      <c r="A4" s="120"/>
      <c r="G4" s="118"/>
      <c r="H4" s="118"/>
      <c r="I4" s="119"/>
      <c r="J4" s="118"/>
      <c r="K4" s="118"/>
      <c r="L4" s="118"/>
      <c r="M4" s="118"/>
      <c r="N4" s="118"/>
      <c r="Q4" s="288"/>
      <c r="R4" s="299"/>
      <c r="S4" s="299"/>
      <c r="T4" s="299"/>
      <c r="U4" s="300"/>
      <c r="V4" s="117">
        <v>0.08</v>
      </c>
    </row>
    <row r="5" spans="1:41" ht="13" x14ac:dyDescent="0.25">
      <c r="A5" s="291" t="s">
        <v>47</v>
      </c>
      <c r="B5" s="292"/>
      <c r="C5" s="292"/>
      <c r="D5" s="292"/>
      <c r="E5" s="292"/>
      <c r="F5" s="292"/>
      <c r="G5" s="293" t="s">
        <v>553</v>
      </c>
      <c r="H5" s="294"/>
      <c r="I5" s="294"/>
      <c r="J5" s="294"/>
      <c r="K5" s="294"/>
      <c r="L5" s="294"/>
      <c r="M5" s="294"/>
      <c r="N5" s="295"/>
    </row>
    <row r="6" spans="1:41" ht="16" customHeight="1" x14ac:dyDescent="0.25">
      <c r="A6" s="272" t="s">
        <v>29</v>
      </c>
      <c r="B6" s="273"/>
      <c r="C6" s="273"/>
      <c r="D6" s="273"/>
      <c r="E6" s="273"/>
      <c r="F6" s="273"/>
      <c r="G6" s="296" t="s">
        <v>338</v>
      </c>
      <c r="H6" s="297"/>
      <c r="I6" s="297"/>
      <c r="J6" s="297"/>
      <c r="K6" s="297"/>
      <c r="L6" s="297"/>
      <c r="M6" s="297"/>
      <c r="N6" s="298"/>
    </row>
    <row r="7" spans="1:41" ht="13" thickBot="1" x14ac:dyDescent="0.3">
      <c r="K7" s="116"/>
    </row>
    <row r="8" spans="1:41" ht="30.75" customHeight="1" thickBot="1" x14ac:dyDescent="0.3">
      <c r="A8" s="277" t="s">
        <v>49</v>
      </c>
      <c r="B8" s="278"/>
      <c r="C8" s="278"/>
      <c r="D8" s="278"/>
      <c r="E8" s="278"/>
      <c r="F8" s="278"/>
      <c r="G8" s="279" t="s">
        <v>384</v>
      </c>
      <c r="H8" s="279"/>
      <c r="I8" s="279"/>
      <c r="J8" s="279"/>
      <c r="K8" s="279"/>
      <c r="L8" s="279"/>
      <c r="M8" s="279"/>
      <c r="N8" s="279"/>
      <c r="O8" s="279"/>
      <c r="P8" s="279"/>
      <c r="Q8" s="279"/>
      <c r="R8" s="279"/>
      <c r="S8" s="279"/>
      <c r="T8" s="279"/>
      <c r="U8" s="279"/>
      <c r="V8" s="279"/>
      <c r="W8" s="279"/>
      <c r="X8" s="279"/>
      <c r="Y8" s="279"/>
      <c r="Z8" s="279"/>
      <c r="AA8" s="279"/>
      <c r="AB8" s="279"/>
      <c r="AC8" s="279"/>
      <c r="AD8" s="279"/>
      <c r="AE8" s="279"/>
      <c r="AF8" s="279"/>
      <c r="AG8" s="279"/>
      <c r="AH8" s="279"/>
      <c r="AI8" s="279"/>
      <c r="AJ8" s="279"/>
      <c r="AK8" s="279"/>
      <c r="AL8" s="279"/>
      <c r="AM8" s="279"/>
      <c r="AN8" s="279"/>
      <c r="AO8" s="280"/>
    </row>
    <row r="15" spans="1:41" s="112" customFormat="1" x14ac:dyDescent="0.25">
      <c r="AB15" s="114"/>
      <c r="AC15" s="114"/>
      <c r="AD15" s="114"/>
      <c r="AE15" s="114"/>
      <c r="AF15" s="114"/>
      <c r="AG15" s="114"/>
      <c r="AH15" s="114"/>
      <c r="AI15" s="114"/>
      <c r="AJ15" s="114"/>
      <c r="AK15" s="114"/>
      <c r="AL15" s="114"/>
    </row>
    <row r="16" spans="1:41" s="112" customFormat="1" ht="17.5" x14ac:dyDescent="0.35">
      <c r="AB16" s="114"/>
      <c r="AC16" s="115"/>
      <c r="AD16" s="114"/>
      <c r="AE16" s="114"/>
      <c r="AF16" s="114"/>
      <c r="AG16" s="114"/>
      <c r="AH16" s="114"/>
      <c r="AI16" s="114"/>
      <c r="AJ16" s="114"/>
      <c r="AK16" s="114"/>
      <c r="AL16" s="114"/>
    </row>
    <row r="17" spans="4:38" s="112" customFormat="1" x14ac:dyDescent="0.25">
      <c r="AB17" s="114"/>
      <c r="AC17" s="114"/>
      <c r="AD17" s="114"/>
      <c r="AE17" s="114"/>
      <c r="AF17" s="114"/>
      <c r="AG17" s="114"/>
      <c r="AH17" s="114"/>
      <c r="AI17" s="114"/>
      <c r="AJ17" s="114"/>
      <c r="AK17" s="114"/>
      <c r="AL17" s="114"/>
    </row>
    <row r="18" spans="4:38" s="112" customFormat="1" x14ac:dyDescent="0.25">
      <c r="AB18" s="114"/>
      <c r="AC18" s="114"/>
      <c r="AD18" s="114"/>
      <c r="AE18" s="114"/>
      <c r="AF18" s="114"/>
      <c r="AG18" s="114"/>
      <c r="AH18" s="114"/>
      <c r="AI18" s="114"/>
      <c r="AJ18" s="114"/>
      <c r="AK18" s="114"/>
      <c r="AL18" s="114"/>
    </row>
    <row r="19" spans="4:38" s="112" customFormat="1" x14ac:dyDescent="0.25">
      <c r="AB19" s="114"/>
      <c r="AC19" s="114"/>
      <c r="AD19" s="114"/>
      <c r="AE19" s="114"/>
      <c r="AF19" s="114"/>
      <c r="AG19" s="114"/>
      <c r="AH19" s="114"/>
      <c r="AI19" s="114"/>
      <c r="AJ19" s="114"/>
      <c r="AK19" s="114"/>
      <c r="AL19" s="114"/>
    </row>
    <row r="20" spans="4:38" s="112" customFormat="1" x14ac:dyDescent="0.25">
      <c r="AB20" s="114"/>
      <c r="AC20" s="114"/>
      <c r="AD20" s="114"/>
      <c r="AE20" s="114"/>
      <c r="AF20" s="114"/>
      <c r="AG20" s="114"/>
      <c r="AH20" s="114"/>
      <c r="AI20" s="114"/>
      <c r="AJ20" s="114"/>
      <c r="AK20" s="114"/>
      <c r="AL20" s="114"/>
    </row>
    <row r="21" spans="4:38" s="112" customFormat="1" x14ac:dyDescent="0.25">
      <c r="AB21" s="114"/>
      <c r="AC21" s="114"/>
      <c r="AD21" s="114"/>
      <c r="AE21" s="114"/>
      <c r="AF21" s="114"/>
      <c r="AG21" s="114"/>
      <c r="AH21" s="114"/>
      <c r="AI21" s="114"/>
      <c r="AJ21" s="114"/>
      <c r="AK21" s="114"/>
      <c r="AL21" s="114"/>
    </row>
    <row r="28" spans="4:38" s="112" customFormat="1" ht="13" x14ac:dyDescent="0.3">
      <c r="D28" s="113"/>
    </row>
    <row r="29" spans="4:38" s="112" customFormat="1" ht="13" x14ac:dyDescent="0.3">
      <c r="D29" s="113"/>
    </row>
    <row r="32" spans="4:38" s="112" customFormat="1" ht="13" x14ac:dyDescent="0.3">
      <c r="D32" s="113"/>
    </row>
  </sheetData>
  <mergeCells count="11">
    <mergeCell ref="A8:F8"/>
    <mergeCell ref="G8:AO8"/>
    <mergeCell ref="A6:F6"/>
    <mergeCell ref="G6:N6"/>
    <mergeCell ref="A1:F1"/>
    <mergeCell ref="A3:F3"/>
    <mergeCell ref="G3:N3"/>
    <mergeCell ref="Q3:U3"/>
    <mergeCell ref="Q4:U4"/>
    <mergeCell ref="A5:F5"/>
    <mergeCell ref="G5:N5"/>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BBD4-317E-45A2-A5C5-DAEF92F4DEEB}">
  <sheetPr codeName="Sheet16">
    <tabColor rgb="FFFFC000"/>
    <pageSetUpPr fitToPage="1"/>
  </sheetPr>
  <dimension ref="A1:AS32"/>
  <sheetViews>
    <sheetView showGridLines="0" zoomScale="85" zoomScaleNormal="85" workbookViewId="0">
      <selection sqref="A1:F1"/>
    </sheetView>
  </sheetViews>
  <sheetFormatPr defaultColWidth="4.36328125" defaultRowHeight="12.5" x14ac:dyDescent="0.25"/>
  <cols>
    <col min="1" max="13" width="4.36328125" style="112"/>
    <col min="14" max="14" width="9.36328125" style="112" customWidth="1"/>
    <col min="15" max="21" width="4.36328125" style="112"/>
    <col min="22" max="22" width="7.54296875" style="112" bestFit="1" customWidth="1"/>
    <col min="23" max="45" width="4.36328125" style="112"/>
    <col min="46" max="16384" width="4.36328125" style="92"/>
  </cols>
  <sheetData>
    <row r="1" spans="1:41" ht="18" x14ac:dyDescent="0.4">
      <c r="A1" s="281" t="s">
        <v>45</v>
      </c>
      <c r="B1" s="281"/>
      <c r="C1" s="281"/>
      <c r="D1" s="281"/>
      <c r="E1" s="281"/>
      <c r="F1" s="281"/>
      <c r="I1" s="120"/>
    </row>
    <row r="2" spans="1:41" ht="13" thickBot="1" x14ac:dyDescent="0.3">
      <c r="A2" s="120"/>
      <c r="I2" s="120"/>
    </row>
    <row r="3" spans="1:41" ht="13.5" thickBot="1" x14ac:dyDescent="0.35">
      <c r="A3" s="282" t="s">
        <v>46</v>
      </c>
      <c r="B3" s="283"/>
      <c r="C3" s="283"/>
      <c r="D3" s="283"/>
      <c r="E3" s="283"/>
      <c r="F3" s="283"/>
      <c r="G3" s="283"/>
      <c r="H3" s="283"/>
      <c r="I3" s="283"/>
      <c r="J3" s="283"/>
      <c r="K3" s="283"/>
      <c r="L3" s="283"/>
      <c r="M3" s="283"/>
      <c r="N3" s="284"/>
      <c r="Q3" s="285" t="s">
        <v>51</v>
      </c>
      <c r="R3" s="286"/>
      <c r="S3" s="286"/>
      <c r="T3" s="286"/>
      <c r="U3" s="287"/>
      <c r="V3" s="121" t="s">
        <v>55</v>
      </c>
    </row>
    <row r="4" spans="1:41" ht="13" thickBot="1" x14ac:dyDescent="0.3">
      <c r="A4" s="120"/>
      <c r="G4" s="118"/>
      <c r="H4" s="118"/>
      <c r="I4" s="119"/>
      <c r="J4" s="118"/>
      <c r="K4" s="118"/>
      <c r="L4" s="118"/>
      <c r="M4" s="118"/>
      <c r="N4" s="118"/>
      <c r="Q4" s="288"/>
      <c r="R4" s="299"/>
      <c r="S4" s="299"/>
      <c r="T4" s="299"/>
      <c r="U4" s="300"/>
      <c r="V4" s="117">
        <v>0.1</v>
      </c>
    </row>
    <row r="5" spans="1:41" ht="32.4" customHeight="1" x14ac:dyDescent="0.25">
      <c r="A5" s="291" t="s">
        <v>47</v>
      </c>
      <c r="B5" s="292"/>
      <c r="C5" s="292"/>
      <c r="D5" s="292"/>
      <c r="E5" s="292"/>
      <c r="F5" s="292"/>
      <c r="G5" s="293" t="s">
        <v>552</v>
      </c>
      <c r="H5" s="294"/>
      <c r="I5" s="294"/>
      <c r="J5" s="294"/>
      <c r="K5" s="294"/>
      <c r="L5" s="294"/>
      <c r="M5" s="294"/>
      <c r="N5" s="295"/>
    </row>
    <row r="6" spans="1:41" ht="16" customHeight="1" x14ac:dyDescent="0.25">
      <c r="A6" s="272" t="s">
        <v>29</v>
      </c>
      <c r="B6" s="273"/>
      <c r="C6" s="273"/>
      <c r="D6" s="273"/>
      <c r="E6" s="273"/>
      <c r="F6" s="273"/>
      <c r="G6" s="296" t="s">
        <v>339</v>
      </c>
      <c r="H6" s="297"/>
      <c r="I6" s="297"/>
      <c r="J6" s="297"/>
      <c r="K6" s="297"/>
      <c r="L6" s="297"/>
      <c r="M6" s="297"/>
      <c r="N6" s="298"/>
    </row>
    <row r="7" spans="1:41" ht="13" thickBot="1" x14ac:dyDescent="0.3">
      <c r="K7" s="116"/>
    </row>
    <row r="8" spans="1:41" ht="13.5" thickBot="1" x14ac:dyDescent="0.3">
      <c r="A8" s="277" t="s">
        <v>49</v>
      </c>
      <c r="B8" s="278"/>
      <c r="C8" s="278"/>
      <c r="D8" s="278"/>
      <c r="E8" s="278"/>
      <c r="F8" s="278"/>
      <c r="G8" s="279" t="s">
        <v>551</v>
      </c>
      <c r="H8" s="279"/>
      <c r="I8" s="279"/>
      <c r="J8" s="279"/>
      <c r="K8" s="279"/>
      <c r="L8" s="279"/>
      <c r="M8" s="279"/>
      <c r="N8" s="279"/>
      <c r="O8" s="279"/>
      <c r="P8" s="279"/>
      <c r="Q8" s="279"/>
      <c r="R8" s="279"/>
      <c r="S8" s="279"/>
      <c r="T8" s="279"/>
      <c r="U8" s="279"/>
      <c r="V8" s="279"/>
      <c r="W8" s="279"/>
      <c r="X8" s="279"/>
      <c r="Y8" s="279"/>
      <c r="Z8" s="279"/>
      <c r="AA8" s="279"/>
      <c r="AB8" s="279"/>
      <c r="AC8" s="279"/>
      <c r="AD8" s="279"/>
      <c r="AE8" s="279"/>
      <c r="AF8" s="279"/>
      <c r="AG8" s="279"/>
      <c r="AH8" s="279"/>
      <c r="AI8" s="279"/>
      <c r="AJ8" s="279"/>
      <c r="AK8" s="279"/>
      <c r="AL8" s="279"/>
      <c r="AM8" s="279"/>
      <c r="AN8" s="279"/>
      <c r="AO8" s="280"/>
    </row>
    <row r="15" spans="1:41" s="112" customFormat="1" x14ac:dyDescent="0.25">
      <c r="AB15" s="114"/>
      <c r="AC15" s="114"/>
      <c r="AD15" s="114"/>
      <c r="AE15" s="114"/>
      <c r="AF15" s="114"/>
      <c r="AG15" s="114"/>
      <c r="AH15" s="114"/>
      <c r="AI15" s="114"/>
      <c r="AJ15" s="114"/>
      <c r="AK15" s="114"/>
      <c r="AL15" s="114"/>
    </row>
    <row r="16" spans="1:41" s="112" customFormat="1" ht="17.5" x14ac:dyDescent="0.35">
      <c r="AB16" s="114"/>
      <c r="AC16" s="115"/>
      <c r="AD16" s="114"/>
      <c r="AE16" s="114"/>
      <c r="AF16" s="114"/>
      <c r="AG16" s="114"/>
      <c r="AH16" s="114"/>
      <c r="AI16" s="114"/>
      <c r="AJ16" s="114"/>
      <c r="AK16" s="114"/>
      <c r="AL16" s="114"/>
    </row>
    <row r="17" spans="4:38" s="112" customFormat="1" x14ac:dyDescent="0.25">
      <c r="AB17" s="114"/>
      <c r="AC17" s="114"/>
      <c r="AD17" s="114"/>
      <c r="AE17" s="114"/>
      <c r="AF17" s="114"/>
      <c r="AG17" s="114"/>
      <c r="AH17" s="114"/>
      <c r="AI17" s="114"/>
      <c r="AJ17" s="114"/>
      <c r="AK17" s="114"/>
      <c r="AL17" s="114"/>
    </row>
    <row r="18" spans="4:38" s="112" customFormat="1" x14ac:dyDescent="0.25">
      <c r="AB18" s="114"/>
      <c r="AC18" s="114"/>
      <c r="AD18" s="114"/>
      <c r="AE18" s="114"/>
      <c r="AF18" s="114"/>
      <c r="AG18" s="114"/>
      <c r="AH18" s="114"/>
      <c r="AI18" s="114"/>
      <c r="AJ18" s="114"/>
      <c r="AK18" s="114"/>
      <c r="AL18" s="114"/>
    </row>
    <row r="19" spans="4:38" s="112" customFormat="1" x14ac:dyDescent="0.25">
      <c r="AB19" s="114"/>
      <c r="AC19" s="114"/>
      <c r="AD19" s="114"/>
      <c r="AE19" s="114"/>
      <c r="AF19" s="114"/>
      <c r="AG19" s="114"/>
      <c r="AH19" s="114"/>
      <c r="AI19" s="114"/>
      <c r="AJ19" s="114"/>
      <c r="AK19" s="114"/>
      <c r="AL19" s="114"/>
    </row>
    <row r="20" spans="4:38" s="112" customFormat="1" x14ac:dyDescent="0.25">
      <c r="AB20" s="114"/>
      <c r="AC20" s="114"/>
      <c r="AD20" s="114"/>
      <c r="AE20" s="114"/>
      <c r="AF20" s="114"/>
      <c r="AG20" s="114"/>
      <c r="AH20" s="114"/>
      <c r="AI20" s="114"/>
      <c r="AJ20" s="114"/>
      <c r="AK20" s="114"/>
      <c r="AL20" s="114"/>
    </row>
    <row r="21" spans="4:38" s="112" customFormat="1" x14ac:dyDescent="0.25">
      <c r="AB21" s="114"/>
      <c r="AC21" s="114"/>
      <c r="AD21" s="114"/>
      <c r="AE21" s="114"/>
      <c r="AF21" s="114"/>
      <c r="AG21" s="114"/>
      <c r="AH21" s="114"/>
      <c r="AI21" s="114"/>
      <c r="AJ21" s="114"/>
      <c r="AK21" s="114"/>
      <c r="AL21" s="114"/>
    </row>
    <row r="28" spans="4:38" s="112" customFormat="1" ht="13" x14ac:dyDescent="0.3">
      <c r="D28" s="113"/>
    </row>
    <row r="29" spans="4:38" s="112" customFormat="1" ht="13" x14ac:dyDescent="0.3">
      <c r="D29" s="113"/>
    </row>
    <row r="32" spans="4:38" s="112" customFormat="1" ht="13" x14ac:dyDescent="0.3">
      <c r="D32" s="113"/>
    </row>
  </sheetData>
  <mergeCells count="11">
    <mergeCell ref="A6:F6"/>
    <mergeCell ref="G6:N6"/>
    <mergeCell ref="A8:F8"/>
    <mergeCell ref="G8:AO8"/>
    <mergeCell ref="A1:F1"/>
    <mergeCell ref="A3:F3"/>
    <mergeCell ref="G3:N3"/>
    <mergeCell ref="Q3:U3"/>
    <mergeCell ref="Q4:U4"/>
    <mergeCell ref="A5:F5"/>
    <mergeCell ref="G5:N5"/>
  </mergeCells>
  <pageMargins left="0.78740157499999996" right="0.78740157499999996" top="0.984251969" bottom="0.984251969" header="0.5" footer="0.5"/>
  <pageSetup paperSize="9" scale="75" orientation="landscape"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80661-B0EC-4CB7-A0DA-A027081ECAC7}">
  <sheetPr codeName="Sheet14">
    <tabColor rgb="FFFFC000"/>
  </sheetPr>
  <dimension ref="A1:O9"/>
  <sheetViews>
    <sheetView zoomScale="85" zoomScaleNormal="85" workbookViewId="0">
      <selection activeCell="J28" sqref="J28"/>
    </sheetView>
  </sheetViews>
  <sheetFormatPr defaultColWidth="8.81640625" defaultRowHeight="12.5" x14ac:dyDescent="0.25"/>
  <cols>
    <col min="1" max="1" width="33.81640625" style="111" bestFit="1" customWidth="1"/>
    <col min="2" max="2" width="30.1796875" style="92" bestFit="1" customWidth="1"/>
    <col min="3" max="3" width="14.90625" style="92" bestFit="1" customWidth="1"/>
    <col min="4" max="4" width="13" style="92" bestFit="1" customWidth="1"/>
    <col min="5" max="5" width="7.08984375" style="92" bestFit="1" customWidth="1"/>
    <col min="6" max="6" width="5.1796875" style="92" bestFit="1" customWidth="1"/>
    <col min="7" max="7" width="14.90625" style="92" bestFit="1" customWidth="1"/>
    <col min="8" max="8" width="17.453125" style="109" bestFit="1" customWidth="1"/>
    <col min="9" max="9" width="14.6328125" style="109" bestFit="1" customWidth="1"/>
    <col min="10" max="10" width="20" style="109" bestFit="1" customWidth="1"/>
    <col min="11" max="11" width="20" style="92" bestFit="1" customWidth="1"/>
    <col min="12" max="12" width="9.36328125" style="92" bestFit="1" customWidth="1"/>
    <col min="13" max="13" width="14.1796875" style="92" bestFit="1" customWidth="1"/>
    <col min="14" max="14" width="52.6328125" style="92" bestFit="1" customWidth="1"/>
    <col min="15" max="15" width="13.54296875" style="92" bestFit="1" customWidth="1"/>
    <col min="16" max="16" width="5.36328125" style="92" bestFit="1" customWidth="1"/>
    <col min="17" max="17" width="11.36328125" style="92" bestFit="1" customWidth="1"/>
    <col min="18" max="18" width="8.6328125" style="92" bestFit="1" customWidth="1"/>
    <col min="19" max="19" width="11.08984375" style="92" bestFit="1" customWidth="1"/>
    <col min="20" max="20" width="9.6328125" style="92" bestFit="1" customWidth="1"/>
    <col min="21" max="21" width="27.08984375" style="92" bestFit="1" customWidth="1"/>
    <col min="22" max="22" width="7.90625" style="92" bestFit="1" customWidth="1"/>
    <col min="23" max="23" width="25.54296875" style="92" bestFit="1" customWidth="1"/>
    <col min="24" max="24" width="12.36328125" style="92" bestFit="1" customWidth="1"/>
    <col min="25" max="25" width="13.54296875" style="92" bestFit="1" customWidth="1"/>
    <col min="26" max="26" width="31.36328125" style="92" bestFit="1" customWidth="1"/>
    <col min="27" max="27" width="28.36328125" style="92" bestFit="1" customWidth="1"/>
    <col min="28" max="28" width="12.90625" style="92" bestFit="1" customWidth="1"/>
    <col min="29" max="29" width="11.36328125" style="92" bestFit="1" customWidth="1"/>
    <col min="30" max="30" width="29.36328125" style="92" bestFit="1" customWidth="1"/>
    <col min="31" max="31" width="7.453125" style="92" bestFit="1" customWidth="1"/>
    <col min="32" max="32" width="10" style="92" bestFit="1" customWidth="1"/>
    <col min="33" max="33" width="18.6328125" style="92" bestFit="1" customWidth="1"/>
    <col min="34" max="34" width="36.453125" style="92" bestFit="1" customWidth="1"/>
    <col min="35" max="36" width="8.54296875" style="92" customWidth="1"/>
    <col min="37" max="16384" width="8.81640625" style="92"/>
  </cols>
  <sheetData>
    <row r="1" spans="1:15" ht="18" x14ac:dyDescent="0.4">
      <c r="A1" s="89" t="s">
        <v>138</v>
      </c>
      <c r="B1" s="90"/>
      <c r="C1" s="90"/>
      <c r="D1" s="90"/>
      <c r="E1" s="90"/>
      <c r="F1" s="90"/>
      <c r="G1" s="90"/>
      <c r="H1" s="90"/>
      <c r="I1" s="90"/>
      <c r="J1" s="90"/>
      <c r="K1" s="90"/>
      <c r="L1" s="90"/>
      <c r="M1" s="90"/>
      <c r="N1" s="90"/>
      <c r="O1" s="90"/>
    </row>
    <row r="2" spans="1:15" ht="13" thickBot="1" x14ac:dyDescent="0.3">
      <c r="A2" s="93"/>
      <c r="B2" s="90"/>
      <c r="C2" s="90"/>
      <c r="D2" s="90"/>
      <c r="E2" s="90"/>
      <c r="F2" s="90"/>
      <c r="G2" s="90"/>
      <c r="H2" s="90"/>
      <c r="I2" s="90"/>
      <c r="J2" s="90"/>
      <c r="K2" s="90"/>
      <c r="L2" s="90"/>
      <c r="M2" s="90"/>
      <c r="N2" s="90"/>
      <c r="O2" s="90"/>
    </row>
    <row r="3" spans="1:15" x14ac:dyDescent="0.25">
      <c r="A3" s="94" t="s">
        <v>51</v>
      </c>
      <c r="B3" s="95" t="s">
        <v>52</v>
      </c>
      <c r="C3" s="90"/>
      <c r="D3" s="90"/>
      <c r="E3" s="90"/>
      <c r="F3" s="90"/>
      <c r="G3" s="90"/>
      <c r="H3" s="90"/>
      <c r="I3" s="90"/>
      <c r="J3" s="90"/>
      <c r="K3" s="90"/>
      <c r="L3" s="90"/>
      <c r="M3" s="90"/>
      <c r="N3" s="90"/>
      <c r="O3" s="90"/>
    </row>
    <row r="4" spans="1:15" ht="13" thickBot="1" x14ac:dyDescent="0.3">
      <c r="A4" s="96"/>
      <c r="B4" s="97">
        <v>0.02</v>
      </c>
      <c r="C4" s="90"/>
      <c r="D4" s="90"/>
      <c r="E4" s="90"/>
      <c r="F4" s="90"/>
      <c r="G4" s="90"/>
      <c r="H4" s="90"/>
      <c r="I4" s="90"/>
      <c r="J4" s="90"/>
      <c r="K4" s="90"/>
      <c r="L4" s="90"/>
      <c r="M4" s="90"/>
      <c r="N4" s="90"/>
      <c r="O4" s="90"/>
    </row>
    <row r="5" spans="1:15" x14ac:dyDescent="0.25">
      <c r="A5" s="93"/>
      <c r="B5" s="90"/>
      <c r="C5" s="90"/>
      <c r="D5" s="90"/>
      <c r="E5" s="90"/>
      <c r="F5" s="90"/>
      <c r="G5" s="90"/>
      <c r="H5" s="90"/>
      <c r="I5" s="90"/>
      <c r="J5" s="90"/>
      <c r="K5" s="90"/>
      <c r="L5" s="90"/>
      <c r="M5" s="90"/>
      <c r="N5" s="90"/>
      <c r="O5" s="90"/>
    </row>
    <row r="6" spans="1:15" ht="16" thickBot="1" x14ac:dyDescent="0.4">
      <c r="A6" s="98" t="s">
        <v>167</v>
      </c>
      <c r="B6" s="90"/>
      <c r="C6" s="90"/>
      <c r="D6" s="90"/>
      <c r="E6" s="90"/>
      <c r="F6" s="91"/>
      <c r="G6" s="91"/>
      <c r="H6" s="91"/>
      <c r="I6" s="91"/>
      <c r="J6" s="91"/>
      <c r="K6" s="90"/>
      <c r="L6" s="90"/>
      <c r="M6" s="90"/>
      <c r="N6" s="90"/>
      <c r="O6" s="90"/>
    </row>
    <row r="7" spans="1:15" ht="13" thickBot="1" x14ac:dyDescent="0.3">
      <c r="A7" s="144" t="s">
        <v>246</v>
      </c>
      <c r="B7" s="144" t="s">
        <v>242</v>
      </c>
      <c r="C7" s="124" t="s">
        <v>10</v>
      </c>
      <c r="D7" s="124" t="s">
        <v>137</v>
      </c>
      <c r="E7" s="124" t="s">
        <v>152</v>
      </c>
      <c r="F7" s="124" t="s">
        <v>44</v>
      </c>
      <c r="G7" s="124" t="s">
        <v>164</v>
      </c>
      <c r="H7" s="124" t="s">
        <v>168</v>
      </c>
      <c r="I7" s="124" t="s">
        <v>169</v>
      </c>
      <c r="J7" s="124" t="s">
        <v>165</v>
      </c>
      <c r="K7" s="124" t="s">
        <v>170</v>
      </c>
      <c r="L7" s="124" t="s">
        <v>171</v>
      </c>
      <c r="M7" s="124" t="s">
        <v>166</v>
      </c>
      <c r="N7" s="123" t="s">
        <v>28</v>
      </c>
      <c r="O7" s="90"/>
    </row>
    <row r="8" spans="1:15" ht="14.5" x14ac:dyDescent="0.35">
      <c r="A8" s="220" t="s">
        <v>354</v>
      </c>
      <c r="B8" s="220" t="s">
        <v>320</v>
      </c>
      <c r="C8" s="195" t="s">
        <v>334</v>
      </c>
      <c r="D8" s="195" t="s">
        <v>314</v>
      </c>
      <c r="E8" s="195">
        <v>30</v>
      </c>
      <c r="F8" s="195" t="s">
        <v>355</v>
      </c>
      <c r="G8" s="195" t="s">
        <v>334</v>
      </c>
      <c r="H8" s="195" t="s">
        <v>314</v>
      </c>
      <c r="I8" s="195">
        <v>30</v>
      </c>
      <c r="J8" s="195" t="s">
        <v>425</v>
      </c>
      <c r="K8" s="195" t="s">
        <v>425</v>
      </c>
      <c r="L8" s="195" t="s">
        <v>356</v>
      </c>
      <c r="M8" s="195" t="s">
        <v>516</v>
      </c>
      <c r="N8" s="194" t="s">
        <v>403</v>
      </c>
      <c r="O8" s="90"/>
    </row>
    <row r="9" spans="1:15" ht="15.75" customHeight="1" thickBot="1" x14ac:dyDescent="0.3">
      <c r="A9" s="132"/>
      <c r="B9" s="132"/>
      <c r="C9" s="132"/>
      <c r="D9" s="132"/>
      <c r="E9" s="132"/>
      <c r="F9" s="132"/>
      <c r="G9" s="132"/>
      <c r="H9" s="132"/>
      <c r="I9" s="132"/>
      <c r="J9" s="132"/>
      <c r="K9" s="132"/>
      <c r="L9" s="132"/>
      <c r="M9" s="132"/>
      <c r="N9" s="131"/>
      <c r="O9" s="90"/>
    </row>
  </sheetData>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08DBA-C3FA-4EB2-9AE7-712413B5F418}">
  <sheetPr codeName="Sheet10">
    <outlinePr summaryBelow="0"/>
  </sheetPr>
  <dimension ref="A1:AF40"/>
  <sheetViews>
    <sheetView topLeftCell="A14" zoomScale="85" workbookViewId="0">
      <selection activeCell="B39" sqref="B39"/>
    </sheetView>
  </sheetViews>
  <sheetFormatPr defaultColWidth="9.08984375" defaultRowHeight="12.5" outlineLevelRow="1" x14ac:dyDescent="0.25"/>
  <cols>
    <col min="1" max="1" width="20.81640625" style="1" customWidth="1"/>
    <col min="2" max="2" width="24.90625" style="1" customWidth="1"/>
    <col min="3" max="3" width="19.7265625" style="1" customWidth="1"/>
    <col min="4" max="4" width="12.26953125" style="1" customWidth="1"/>
    <col min="5" max="5" width="10.36328125" style="1" customWidth="1"/>
    <col min="6" max="6" width="9.36328125" style="1" customWidth="1"/>
    <col min="7" max="7" width="10.6328125" style="1" customWidth="1"/>
    <col min="8" max="8" width="15.81640625" style="1" bestFit="1" customWidth="1"/>
    <col min="9" max="9" width="8.453125" style="1" bestFit="1" customWidth="1"/>
    <col min="10" max="10" width="13.90625" style="1" bestFit="1" customWidth="1"/>
    <col min="11" max="11" width="8.54296875" style="1" bestFit="1" customWidth="1"/>
    <col min="12" max="12" width="9.453125" style="1" bestFit="1" customWidth="1"/>
    <col min="13" max="13" width="11.1796875" style="1" bestFit="1" customWidth="1"/>
    <col min="14" max="14" width="28.36328125" style="1" bestFit="1" customWidth="1"/>
    <col min="15" max="15" width="11.08984375" style="1" bestFit="1" customWidth="1"/>
    <col min="16" max="16" width="9.90625" style="1" bestFit="1" customWidth="1"/>
    <col min="17" max="17" width="9.08984375" style="1" bestFit="1" customWidth="1"/>
    <col min="18" max="18" width="10" style="1" bestFit="1" customWidth="1"/>
    <col min="19" max="20" width="8.453125" style="1" bestFit="1" customWidth="1"/>
    <col min="21" max="21" width="7.6328125" style="1" bestFit="1" customWidth="1"/>
    <col min="22" max="22" width="8.54296875" style="1" bestFit="1" customWidth="1"/>
    <col min="23" max="23" width="9.453125" style="1" bestFit="1" customWidth="1"/>
    <col min="24" max="25" width="9.90625" style="1" bestFit="1" customWidth="1"/>
    <col min="26" max="27" width="6" style="1" bestFit="1" customWidth="1"/>
    <col min="28" max="28" width="9.08984375" style="1" bestFit="1" customWidth="1"/>
    <col min="29" max="29" width="10" style="1" customWidth="1"/>
    <col min="30" max="30" width="10.36328125" style="1" bestFit="1" customWidth="1"/>
    <col min="31" max="31" width="16" style="1" bestFit="1" customWidth="1"/>
    <col min="32" max="32" width="7" style="1" bestFit="1" customWidth="1"/>
    <col min="33" max="33" width="8.6328125" style="1" customWidth="1"/>
    <col min="34" max="34" width="11.08984375" style="1" customWidth="1"/>
    <col min="35" max="16384" width="9.08984375" style="1"/>
  </cols>
  <sheetData>
    <row r="1" spans="1:32" ht="14.5" hidden="1" outlineLevel="1" x14ac:dyDescent="0.25">
      <c r="A1" s="32"/>
      <c r="B1" s="134"/>
      <c r="C1" s="135"/>
      <c r="D1" s="135"/>
      <c r="E1" s="135"/>
      <c r="F1" s="135"/>
      <c r="G1" s="135"/>
      <c r="H1" s="135"/>
      <c r="I1" s="135"/>
      <c r="J1" s="135"/>
      <c r="K1" s="135"/>
      <c r="L1" s="135"/>
      <c r="M1" s="135"/>
      <c r="N1" s="136"/>
      <c r="O1" s="135"/>
      <c r="P1" s="136"/>
      <c r="Q1" s="136"/>
      <c r="R1" s="135"/>
      <c r="S1" s="135"/>
      <c r="T1" s="135"/>
      <c r="U1" s="135"/>
    </row>
    <row r="2" spans="1:32" ht="18" outlineLevel="1" x14ac:dyDescent="0.4">
      <c r="A2" s="35" t="s">
        <v>132</v>
      </c>
      <c r="B2" s="36"/>
      <c r="C2" s="36"/>
      <c r="D2" s="36"/>
      <c r="E2" s="36"/>
      <c r="F2" s="36"/>
      <c r="G2" s="36"/>
      <c r="H2" s="36"/>
      <c r="I2" s="36"/>
      <c r="J2" s="36"/>
      <c r="K2" s="36"/>
      <c r="L2" s="36"/>
      <c r="M2" s="36"/>
      <c r="N2" s="35"/>
      <c r="O2" s="36"/>
      <c r="P2" s="36"/>
      <c r="Q2" s="36"/>
      <c r="R2" s="36"/>
      <c r="S2" s="36"/>
      <c r="T2" s="36"/>
      <c r="U2" s="36"/>
      <c r="V2" s="36"/>
      <c r="W2" s="36"/>
      <c r="X2" s="36"/>
      <c r="Y2" s="36"/>
      <c r="Z2" s="36"/>
      <c r="AA2" s="36"/>
      <c r="AB2" s="36"/>
      <c r="AC2" s="36"/>
      <c r="AD2" s="36"/>
      <c r="AE2" s="36"/>
      <c r="AF2" s="36"/>
    </row>
    <row r="3" spans="1:32" ht="29" x14ac:dyDescent="0.25">
      <c r="A3" s="137" t="s">
        <v>126</v>
      </c>
      <c r="B3" s="137" t="s">
        <v>127</v>
      </c>
      <c r="C3" s="137" t="s">
        <v>128</v>
      </c>
      <c r="D3" s="138" t="s">
        <v>129</v>
      </c>
      <c r="E3" s="138" t="s">
        <v>134</v>
      </c>
      <c r="F3" s="138" t="s">
        <v>148</v>
      </c>
      <c r="G3" s="138" t="s">
        <v>200</v>
      </c>
      <c r="H3" s="138" t="s">
        <v>130</v>
      </c>
      <c r="I3" s="138" t="s">
        <v>201</v>
      </c>
      <c r="J3" s="138" t="s">
        <v>131</v>
      </c>
      <c r="K3" s="138" t="s">
        <v>202</v>
      </c>
      <c r="L3" s="138" t="s">
        <v>203</v>
      </c>
      <c r="M3" s="138" t="s">
        <v>204</v>
      </c>
      <c r="N3" s="138" t="s">
        <v>487</v>
      </c>
      <c r="O3" s="138" t="s">
        <v>1</v>
      </c>
      <c r="P3" s="139" t="s">
        <v>123</v>
      </c>
      <c r="Q3" s="139" t="s">
        <v>187</v>
      </c>
      <c r="R3" s="139" t="s">
        <v>173</v>
      </c>
      <c r="S3" s="139" t="s">
        <v>188</v>
      </c>
      <c r="T3" s="139" t="s">
        <v>189</v>
      </c>
      <c r="U3" s="139" t="s">
        <v>124</v>
      </c>
      <c r="V3" s="139" t="s">
        <v>125</v>
      </c>
      <c r="W3" s="140" t="s">
        <v>193</v>
      </c>
      <c r="X3" s="140" t="s">
        <v>194</v>
      </c>
      <c r="Y3" s="140" t="s">
        <v>195</v>
      </c>
      <c r="Z3" s="140" t="s">
        <v>196</v>
      </c>
      <c r="AA3" s="140" t="s">
        <v>197</v>
      </c>
      <c r="AB3" s="140" t="s">
        <v>198</v>
      </c>
      <c r="AC3" s="140" t="s">
        <v>199</v>
      </c>
      <c r="AD3" s="141" t="s">
        <v>28</v>
      </c>
      <c r="AE3" s="142" t="s">
        <v>191</v>
      </c>
      <c r="AF3" s="142" t="s">
        <v>192</v>
      </c>
    </row>
    <row r="4" spans="1:32" customFormat="1" outlineLevel="1" x14ac:dyDescent="0.25">
      <c r="A4" s="75" t="s">
        <v>485</v>
      </c>
      <c r="B4" s="75" t="s">
        <v>486</v>
      </c>
      <c r="C4" s="75" t="b">
        <v>1</v>
      </c>
      <c r="D4" s="75"/>
      <c r="E4" s="75" t="s">
        <v>297</v>
      </c>
      <c r="F4" s="75" t="s">
        <v>464</v>
      </c>
      <c r="G4" s="75" t="s">
        <v>464</v>
      </c>
      <c r="H4" s="75" t="s">
        <v>341</v>
      </c>
      <c r="I4" s="75"/>
      <c r="J4" s="75" t="s">
        <v>180</v>
      </c>
      <c r="K4" s="75"/>
      <c r="L4" s="75"/>
      <c r="M4" s="75"/>
      <c r="N4" s="75" t="s">
        <v>488</v>
      </c>
      <c r="O4" s="75"/>
      <c r="P4" s="75"/>
      <c r="Q4" s="75" t="s">
        <v>297</v>
      </c>
      <c r="R4" s="75"/>
      <c r="S4" s="75"/>
      <c r="T4" s="75"/>
      <c r="U4" s="75"/>
      <c r="V4" s="75"/>
      <c r="W4" s="75"/>
      <c r="X4" s="75" t="s">
        <v>297</v>
      </c>
      <c r="Y4" s="75"/>
      <c r="Z4" s="75"/>
      <c r="AA4" s="75"/>
      <c r="AB4" s="75"/>
      <c r="AC4" s="75"/>
      <c r="AD4" s="75" t="s">
        <v>482</v>
      </c>
      <c r="AE4" s="75" t="s">
        <v>483</v>
      </c>
      <c r="AF4" s="75" t="s">
        <v>464</v>
      </c>
    </row>
    <row r="5" spans="1:32" customFormat="1" outlineLevel="1" x14ac:dyDescent="0.25">
      <c r="A5" s="75" t="s">
        <v>485</v>
      </c>
      <c r="B5" s="75" t="s">
        <v>489</v>
      </c>
      <c r="C5" s="75" t="b">
        <v>1</v>
      </c>
      <c r="D5" s="75"/>
      <c r="E5" s="75" t="s">
        <v>297</v>
      </c>
      <c r="F5" s="75" t="s">
        <v>464</v>
      </c>
      <c r="G5" s="75" t="s">
        <v>464</v>
      </c>
      <c r="H5" s="75" t="s">
        <v>341</v>
      </c>
      <c r="I5" s="75"/>
      <c r="J5" s="75" t="s">
        <v>180</v>
      </c>
      <c r="K5" s="75"/>
      <c r="L5" s="75"/>
      <c r="M5" s="75"/>
      <c r="N5" s="75" t="s">
        <v>490</v>
      </c>
      <c r="O5" s="75"/>
      <c r="P5" s="75"/>
      <c r="Q5" s="75" t="s">
        <v>297</v>
      </c>
      <c r="R5" s="75"/>
      <c r="S5" s="75"/>
      <c r="T5" s="75"/>
      <c r="U5" s="75"/>
      <c r="V5" s="75"/>
      <c r="W5" s="75"/>
      <c r="X5" s="75" t="s">
        <v>297</v>
      </c>
      <c r="Y5" s="75"/>
      <c r="Z5" s="75"/>
      <c r="AA5" s="75"/>
      <c r="AB5" s="75"/>
      <c r="AC5" s="75"/>
      <c r="AD5" s="75" t="s">
        <v>482</v>
      </c>
      <c r="AE5" s="75" t="s">
        <v>483</v>
      </c>
      <c r="AF5" s="75" t="s">
        <v>464</v>
      </c>
    </row>
    <row r="6" spans="1:32" customFormat="1" outlineLevel="1" x14ac:dyDescent="0.25">
      <c r="A6" s="75" t="s">
        <v>485</v>
      </c>
      <c r="B6" s="75" t="s">
        <v>486</v>
      </c>
      <c r="C6" s="75" t="b">
        <v>1</v>
      </c>
      <c r="D6" s="75"/>
      <c r="E6" s="75" t="s">
        <v>297</v>
      </c>
      <c r="F6" s="75" t="s">
        <v>464</v>
      </c>
      <c r="G6" s="75" t="s">
        <v>464</v>
      </c>
      <c r="H6" s="75" t="s">
        <v>341</v>
      </c>
      <c r="I6" s="75"/>
      <c r="J6" s="75" t="s">
        <v>491</v>
      </c>
      <c r="K6" s="75"/>
      <c r="L6" s="75"/>
      <c r="M6" s="75"/>
      <c r="N6" s="75" t="s">
        <v>492</v>
      </c>
      <c r="O6" s="75"/>
      <c r="P6" s="75"/>
      <c r="Q6" s="75"/>
      <c r="R6" s="75"/>
      <c r="S6" s="75"/>
      <c r="T6" s="75" t="s">
        <v>297</v>
      </c>
      <c r="U6" s="75"/>
      <c r="V6" s="75"/>
      <c r="W6" s="75"/>
      <c r="X6" s="75"/>
      <c r="Y6" s="75"/>
      <c r="Z6" s="75"/>
      <c r="AA6" s="75" t="s">
        <v>297</v>
      </c>
      <c r="AB6" s="75"/>
      <c r="AC6" s="75"/>
      <c r="AD6" s="75" t="s">
        <v>482</v>
      </c>
      <c r="AE6" s="75" t="s">
        <v>483</v>
      </c>
      <c r="AF6" s="75" t="s">
        <v>464</v>
      </c>
    </row>
    <row r="7" spans="1:32" customFormat="1" outlineLevel="1" x14ac:dyDescent="0.25">
      <c r="A7" s="75" t="s">
        <v>485</v>
      </c>
      <c r="B7" s="75" t="s">
        <v>489</v>
      </c>
      <c r="C7" s="75" t="b">
        <v>1</v>
      </c>
      <c r="D7" s="75"/>
      <c r="E7" s="75" t="s">
        <v>297</v>
      </c>
      <c r="F7" s="75" t="s">
        <v>464</v>
      </c>
      <c r="G7" s="75" t="s">
        <v>464</v>
      </c>
      <c r="H7" s="75" t="s">
        <v>341</v>
      </c>
      <c r="I7" s="75"/>
      <c r="J7" s="75" t="s">
        <v>491</v>
      </c>
      <c r="K7" s="75"/>
      <c r="L7" s="75"/>
      <c r="M7" s="75"/>
      <c r="N7" s="75" t="s">
        <v>493</v>
      </c>
      <c r="O7" s="75"/>
      <c r="P7" s="75"/>
      <c r="Q7" s="75"/>
      <c r="R7" s="75"/>
      <c r="S7" s="75"/>
      <c r="T7" s="75" t="s">
        <v>297</v>
      </c>
      <c r="U7" s="75"/>
      <c r="V7" s="75"/>
      <c r="W7" s="75"/>
      <c r="X7" s="75"/>
      <c r="Y7" s="75"/>
      <c r="Z7" s="75"/>
      <c r="AA7" s="75" t="s">
        <v>297</v>
      </c>
      <c r="AB7" s="75"/>
      <c r="AC7" s="75"/>
      <c r="AD7" s="75" t="s">
        <v>482</v>
      </c>
      <c r="AE7" s="75" t="s">
        <v>483</v>
      </c>
      <c r="AF7" s="75" t="s">
        <v>464</v>
      </c>
    </row>
    <row r="8" spans="1:32" customFormat="1" outlineLevel="1" x14ac:dyDescent="0.25">
      <c r="A8" s="75" t="s">
        <v>485</v>
      </c>
      <c r="B8" s="75" t="s">
        <v>512</v>
      </c>
      <c r="C8" s="75" t="b">
        <v>1</v>
      </c>
      <c r="D8" s="75"/>
      <c r="E8" s="75" t="s">
        <v>297</v>
      </c>
      <c r="F8" s="75" t="s">
        <v>464</v>
      </c>
      <c r="G8" s="75" t="s">
        <v>464</v>
      </c>
      <c r="H8" s="75" t="s">
        <v>341</v>
      </c>
      <c r="I8" s="75"/>
      <c r="J8" s="75" t="s">
        <v>180</v>
      </c>
      <c r="K8" s="75"/>
      <c r="L8" s="75"/>
      <c r="M8" s="75"/>
      <c r="N8" s="75" t="s">
        <v>513</v>
      </c>
      <c r="O8" s="75"/>
      <c r="P8" s="75"/>
      <c r="Q8" s="75" t="s">
        <v>297</v>
      </c>
      <c r="R8" s="75"/>
      <c r="S8" s="75"/>
      <c r="T8" s="75"/>
      <c r="U8" s="75"/>
      <c r="V8" s="75"/>
      <c r="W8" s="75"/>
      <c r="X8" s="75" t="s">
        <v>297</v>
      </c>
      <c r="Y8" s="75"/>
      <c r="Z8" s="75"/>
      <c r="AA8" s="75"/>
      <c r="AB8" s="75"/>
      <c r="AC8" s="75"/>
      <c r="AD8" s="75" t="s">
        <v>482</v>
      </c>
      <c r="AE8" s="75" t="s">
        <v>483</v>
      </c>
      <c r="AF8" s="75" t="s">
        <v>464</v>
      </c>
    </row>
    <row r="9" spans="1:32" customFormat="1" outlineLevel="1" x14ac:dyDescent="0.25">
      <c r="A9" s="75" t="s">
        <v>485</v>
      </c>
      <c r="B9" s="75" t="s">
        <v>512</v>
      </c>
      <c r="C9" s="75" t="b">
        <v>1</v>
      </c>
      <c r="D9" s="75"/>
      <c r="E9" s="75" t="s">
        <v>297</v>
      </c>
      <c r="F9" s="75" t="s">
        <v>464</v>
      </c>
      <c r="G9" s="75" t="s">
        <v>464</v>
      </c>
      <c r="H9" s="75" t="s">
        <v>341</v>
      </c>
      <c r="I9" s="75"/>
      <c r="J9" s="75" t="s">
        <v>491</v>
      </c>
      <c r="K9" s="75"/>
      <c r="L9" s="75"/>
      <c r="M9" s="75"/>
      <c r="N9" s="75" t="s">
        <v>514</v>
      </c>
      <c r="O9" s="75"/>
      <c r="P9" s="75"/>
      <c r="Q9" s="75"/>
      <c r="R9" s="75"/>
      <c r="S9" s="75"/>
      <c r="T9" s="75" t="s">
        <v>297</v>
      </c>
      <c r="U9" s="75"/>
      <c r="V9" s="75"/>
      <c r="W9" s="75"/>
      <c r="X9" s="75"/>
      <c r="Y9" s="75"/>
      <c r="Z9" s="75"/>
      <c r="AA9" s="75" t="s">
        <v>297</v>
      </c>
      <c r="AB9" s="75"/>
      <c r="AC9" s="75"/>
      <c r="AD9" s="75" t="s">
        <v>482</v>
      </c>
      <c r="AE9" s="75" t="s">
        <v>483</v>
      </c>
      <c r="AF9" s="75" t="s">
        <v>464</v>
      </c>
    </row>
    <row r="10" spans="1:32" x14ac:dyDescent="0.25">
      <c r="A10" s="75" t="s">
        <v>481</v>
      </c>
      <c r="B10" s="75" t="s">
        <v>479</v>
      </c>
      <c r="C10" s="75" t="s">
        <v>479</v>
      </c>
      <c r="D10" s="75"/>
      <c r="E10" s="75" t="s">
        <v>297</v>
      </c>
      <c r="F10" s="75" t="s">
        <v>297</v>
      </c>
      <c r="G10" s="75" t="s">
        <v>297</v>
      </c>
      <c r="H10" s="75" t="s">
        <v>341</v>
      </c>
      <c r="I10" s="75"/>
      <c r="J10" s="75"/>
      <c r="K10" s="75"/>
      <c r="L10" s="75"/>
      <c r="M10" s="75"/>
      <c r="N10" s="75"/>
      <c r="O10" s="75"/>
      <c r="P10" s="75"/>
      <c r="Q10" s="75" t="s">
        <v>297</v>
      </c>
      <c r="R10" s="75" t="s">
        <v>297</v>
      </c>
      <c r="S10" s="75"/>
      <c r="T10" s="75" t="s">
        <v>297</v>
      </c>
      <c r="U10" s="75"/>
      <c r="V10" s="75"/>
      <c r="W10" s="75"/>
      <c r="X10" s="75" t="s">
        <v>297</v>
      </c>
      <c r="Y10" s="75" t="s">
        <v>297</v>
      </c>
      <c r="Z10" s="75"/>
      <c r="AA10" s="75" t="s">
        <v>297</v>
      </c>
      <c r="AB10" s="75"/>
      <c r="AC10" s="75"/>
      <c r="AD10" s="75" t="s">
        <v>482</v>
      </c>
      <c r="AE10" s="75" t="s">
        <v>483</v>
      </c>
      <c r="AF10" s="75" t="s">
        <v>464</v>
      </c>
    </row>
    <row r="11" spans="1:32" x14ac:dyDescent="0.25">
      <c r="A11" s="75" t="s">
        <v>479</v>
      </c>
      <c r="B11" s="75" t="s">
        <v>340</v>
      </c>
      <c r="C11" s="75" t="s">
        <v>340</v>
      </c>
      <c r="D11" s="75"/>
      <c r="E11" s="75" t="s">
        <v>297</v>
      </c>
      <c r="F11" s="75" t="s">
        <v>297</v>
      </c>
      <c r="G11" s="75" t="s">
        <v>297</v>
      </c>
      <c r="H11" s="75" t="s">
        <v>341</v>
      </c>
      <c r="I11" s="75"/>
      <c r="J11" s="75"/>
      <c r="K11" s="75"/>
      <c r="L11" s="75"/>
      <c r="M11" s="75"/>
      <c r="N11" s="75"/>
      <c r="O11" s="75"/>
      <c r="P11" s="75"/>
      <c r="Q11" s="75" t="s">
        <v>297</v>
      </c>
      <c r="R11" s="75" t="s">
        <v>297</v>
      </c>
      <c r="S11" s="75"/>
      <c r="T11" s="75" t="s">
        <v>297</v>
      </c>
      <c r="U11" s="75"/>
      <c r="V11" s="75"/>
      <c r="W11" s="75"/>
      <c r="X11" s="75" t="s">
        <v>297</v>
      </c>
      <c r="Y11" s="75" t="s">
        <v>297</v>
      </c>
      <c r="Z11" s="75"/>
      <c r="AA11" s="75" t="s">
        <v>297</v>
      </c>
      <c r="AB11" s="75"/>
      <c r="AC11" s="75"/>
      <c r="AD11" s="75" t="s">
        <v>482</v>
      </c>
      <c r="AE11" s="75" t="s">
        <v>484</v>
      </c>
      <c r="AF11" s="75" t="s">
        <v>464</v>
      </c>
    </row>
    <row r="12" spans="1:32" x14ac:dyDescent="0.25">
      <c r="A12" s="75" t="s">
        <v>479</v>
      </c>
      <c r="B12" s="75" t="s">
        <v>342</v>
      </c>
      <c r="C12" s="75" t="s">
        <v>342</v>
      </c>
      <c r="D12" s="75"/>
      <c r="E12" s="75" t="s">
        <v>297</v>
      </c>
      <c r="F12" s="75" t="s">
        <v>297</v>
      </c>
      <c r="G12" s="75" t="s">
        <v>297</v>
      </c>
      <c r="H12" s="75" t="s">
        <v>341</v>
      </c>
      <c r="I12" s="75"/>
      <c r="J12" s="75"/>
      <c r="K12" s="75"/>
      <c r="L12" s="75"/>
      <c r="M12" s="75"/>
      <c r="N12" s="75"/>
      <c r="O12" s="75"/>
      <c r="P12" s="75"/>
      <c r="Q12" s="75" t="s">
        <v>297</v>
      </c>
      <c r="R12" s="75" t="s">
        <v>297</v>
      </c>
      <c r="S12" s="75"/>
      <c r="T12" s="75" t="s">
        <v>297</v>
      </c>
      <c r="U12" s="75"/>
      <c r="V12" s="75"/>
      <c r="W12" s="75"/>
      <c r="X12" s="75" t="s">
        <v>297</v>
      </c>
      <c r="Y12" s="75" t="s">
        <v>297</v>
      </c>
      <c r="Z12" s="75"/>
      <c r="AA12" s="75" t="s">
        <v>297</v>
      </c>
      <c r="AB12" s="75"/>
      <c r="AC12" s="75"/>
      <c r="AD12" s="75" t="s">
        <v>482</v>
      </c>
      <c r="AE12" s="75" t="s">
        <v>484</v>
      </c>
      <c r="AF12" s="75" t="s">
        <v>464</v>
      </c>
    </row>
    <row r="13" spans="1:32" x14ac:dyDescent="0.25">
      <c r="A13" s="75" t="s">
        <v>479</v>
      </c>
      <c r="B13" s="75" t="s">
        <v>340</v>
      </c>
      <c r="C13" s="75" t="s">
        <v>343</v>
      </c>
      <c r="D13" s="75"/>
      <c r="E13" s="75" t="s">
        <v>297</v>
      </c>
      <c r="F13" s="75" t="s">
        <v>297</v>
      </c>
      <c r="G13" s="75" t="s">
        <v>297</v>
      </c>
      <c r="H13" s="75" t="s">
        <v>344</v>
      </c>
      <c r="I13" s="75"/>
      <c r="J13" s="75"/>
      <c r="K13" s="75"/>
      <c r="L13" s="75"/>
      <c r="M13" s="75"/>
      <c r="N13" s="75"/>
      <c r="O13" s="75"/>
      <c r="P13" s="75"/>
      <c r="Q13" s="75"/>
      <c r="R13" s="75" t="s">
        <v>297</v>
      </c>
      <c r="S13" s="75"/>
      <c r="T13" s="75"/>
      <c r="U13" s="75"/>
      <c r="V13" s="75"/>
      <c r="W13" s="75"/>
      <c r="X13" s="75"/>
      <c r="Y13" s="75" t="s">
        <v>297</v>
      </c>
      <c r="Z13" s="75"/>
      <c r="AA13" s="75"/>
      <c r="AB13" s="75"/>
      <c r="AC13" s="75"/>
      <c r="AD13" s="75" t="s">
        <v>482</v>
      </c>
      <c r="AE13" s="75" t="s">
        <v>484</v>
      </c>
      <c r="AF13" s="75" t="s">
        <v>464</v>
      </c>
    </row>
    <row r="14" spans="1:32" customFormat="1" outlineLevel="1" x14ac:dyDescent="0.25">
      <c r="A14" s="75" t="s">
        <v>479</v>
      </c>
      <c r="B14" s="75" t="s">
        <v>340</v>
      </c>
      <c r="C14" s="75" t="s">
        <v>345</v>
      </c>
      <c r="D14" s="75"/>
      <c r="E14" s="75" t="s">
        <v>297</v>
      </c>
      <c r="F14" s="75" t="s">
        <v>297</v>
      </c>
      <c r="G14" s="75" t="s">
        <v>297</v>
      </c>
      <c r="H14" s="75" t="s">
        <v>346</v>
      </c>
      <c r="I14" s="75"/>
      <c r="J14" s="75"/>
      <c r="K14" s="75"/>
      <c r="L14" s="75"/>
      <c r="M14" s="75"/>
      <c r="N14" s="75"/>
      <c r="O14" s="75"/>
      <c r="P14" s="75"/>
      <c r="Q14" s="75" t="s">
        <v>297</v>
      </c>
      <c r="R14" s="75"/>
      <c r="S14" s="75"/>
      <c r="T14" s="75"/>
      <c r="U14" s="75"/>
      <c r="V14" s="75"/>
      <c r="W14" s="75"/>
      <c r="X14" s="75" t="s">
        <v>297</v>
      </c>
      <c r="Y14" s="75"/>
      <c r="Z14" s="75"/>
      <c r="AA14" s="75"/>
      <c r="AB14" s="75"/>
      <c r="AC14" s="75"/>
      <c r="AD14" s="75" t="s">
        <v>482</v>
      </c>
      <c r="AE14" s="75" t="s">
        <v>484</v>
      </c>
      <c r="AF14" s="75" t="s">
        <v>464</v>
      </c>
    </row>
    <row r="15" spans="1:32" outlineLevel="1" x14ac:dyDescent="0.25">
      <c r="A15" s="75" t="s">
        <v>479</v>
      </c>
      <c r="B15" s="75" t="s">
        <v>340</v>
      </c>
      <c r="C15" s="75" t="s">
        <v>394</v>
      </c>
      <c r="D15" s="75"/>
      <c r="E15" s="75" t="s">
        <v>297</v>
      </c>
      <c r="F15" s="75" t="s">
        <v>297</v>
      </c>
      <c r="G15" s="75" t="s">
        <v>297</v>
      </c>
      <c r="H15" s="75" t="s">
        <v>347</v>
      </c>
      <c r="I15" s="75"/>
      <c r="J15" s="75"/>
      <c r="K15" s="75"/>
      <c r="L15" s="75"/>
      <c r="M15" s="75"/>
      <c r="N15" s="75"/>
      <c r="O15" s="75"/>
      <c r="P15" s="75"/>
      <c r="Q15" s="75"/>
      <c r="R15" s="75"/>
      <c r="S15" s="75"/>
      <c r="T15" s="75" t="s">
        <v>297</v>
      </c>
      <c r="U15" s="75"/>
      <c r="V15" s="75"/>
      <c r="W15" s="75"/>
      <c r="X15" s="75"/>
      <c r="Y15" s="75"/>
      <c r="Z15" s="75"/>
      <c r="AA15" s="75" t="s">
        <v>297</v>
      </c>
      <c r="AB15" s="75"/>
      <c r="AC15" s="75"/>
      <c r="AD15" s="75" t="s">
        <v>482</v>
      </c>
      <c r="AE15" s="75" t="s">
        <v>484</v>
      </c>
      <c r="AF15" s="75" t="s">
        <v>464</v>
      </c>
    </row>
    <row r="16" spans="1:32" outlineLevel="1" x14ac:dyDescent="0.25">
      <c r="A16" s="75"/>
      <c r="B16" s="75"/>
      <c r="C16" s="75"/>
      <c r="D16" s="75"/>
      <c r="E16" s="75"/>
      <c r="F16" s="75"/>
      <c r="G16" s="75"/>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row>
    <row r="17" spans="1:32" ht="14" outlineLevel="1" x14ac:dyDescent="0.3">
      <c r="A17" s="26"/>
      <c r="B17" s="26"/>
      <c r="C17" s="26"/>
      <c r="D17" s="26"/>
      <c r="E17" s="26"/>
      <c r="F17" s="26"/>
      <c r="G17" s="26"/>
      <c r="H17" s="26"/>
      <c r="I17" s="26"/>
      <c r="J17" s="26"/>
      <c r="K17" s="26"/>
      <c r="L17" s="26"/>
      <c r="M17" s="32"/>
      <c r="N17" s="26"/>
      <c r="O17" s="26"/>
      <c r="P17" s="26"/>
      <c r="Q17" s="26"/>
      <c r="R17" s="26"/>
      <c r="S17" s="26"/>
      <c r="T17" s="26"/>
      <c r="U17" s="26"/>
      <c r="V17" s="26"/>
      <c r="W17" s="26"/>
      <c r="X17" s="26"/>
      <c r="Y17" s="26"/>
      <c r="Z17" s="26"/>
      <c r="AA17" s="26"/>
      <c r="AB17" s="26"/>
      <c r="AC17" s="26"/>
      <c r="AD17" s="26"/>
      <c r="AE17" s="26"/>
      <c r="AF17" s="26"/>
    </row>
    <row r="18" spans="1:32" ht="14" outlineLevel="1" x14ac:dyDescent="0.3">
      <c r="A18" s="26"/>
      <c r="B18" s="26"/>
      <c r="C18" s="26"/>
      <c r="D18" s="26"/>
      <c r="E18" s="26"/>
      <c r="F18" s="26"/>
      <c r="G18" s="26"/>
      <c r="H18" s="26"/>
      <c r="I18" s="26"/>
      <c r="J18" s="26"/>
      <c r="K18" s="26"/>
      <c r="L18" s="26"/>
      <c r="M18" s="32"/>
      <c r="N18" s="26"/>
      <c r="O18" s="26"/>
      <c r="P18" s="26"/>
      <c r="Q18" s="26"/>
      <c r="R18" s="26"/>
      <c r="S18" s="26"/>
      <c r="T18" s="26"/>
      <c r="U18" s="26"/>
      <c r="V18" s="26"/>
      <c r="W18" s="26"/>
      <c r="X18" s="26"/>
      <c r="Y18" s="26"/>
      <c r="Z18" s="26"/>
      <c r="AA18" s="26"/>
      <c r="AB18" s="26"/>
      <c r="AC18" s="26"/>
      <c r="AD18" s="26"/>
      <c r="AE18" s="26"/>
      <c r="AF18" s="26"/>
    </row>
    <row r="19" spans="1:32" ht="14.5" outlineLevel="1" thickBot="1" x14ac:dyDescent="0.35">
      <c r="A19" s="27" t="s">
        <v>133</v>
      </c>
      <c r="B19" s="143"/>
      <c r="C19" s="143"/>
      <c r="D19" s="143"/>
      <c r="E19" s="143"/>
      <c r="F19" s="143"/>
      <c r="G19" s="143"/>
      <c r="H19" s="143"/>
      <c r="I19" s="143"/>
      <c r="J19" s="143"/>
      <c r="K19" s="143"/>
      <c r="L19" s="143"/>
      <c r="M19" s="32"/>
      <c r="N19" s="26"/>
      <c r="O19" s="26"/>
      <c r="P19" s="26"/>
      <c r="Q19" s="26"/>
      <c r="R19" s="26"/>
      <c r="S19" s="26"/>
      <c r="T19" s="26"/>
      <c r="U19" s="26"/>
      <c r="V19" s="26"/>
      <c r="W19" s="26"/>
      <c r="X19" s="26"/>
      <c r="Y19" s="26"/>
      <c r="Z19" s="26"/>
      <c r="AA19" s="26"/>
      <c r="AB19" s="26"/>
      <c r="AC19" s="26"/>
      <c r="AD19" s="26"/>
      <c r="AE19" s="26"/>
      <c r="AF19" s="26"/>
    </row>
    <row r="21" spans="1:32" ht="18" x14ac:dyDescent="0.4">
      <c r="A21" s="35" t="s">
        <v>357</v>
      </c>
      <c r="B21" s="35"/>
      <c r="C21" s="35"/>
      <c r="D21" s="35"/>
      <c r="E21" s="35"/>
      <c r="F21" s="35"/>
      <c r="G21" s="69"/>
      <c r="H21" s="69"/>
      <c r="I21" s="69"/>
      <c r="J21" s="69"/>
    </row>
    <row r="22" spans="1:32" ht="16" thickBot="1" x14ac:dyDescent="0.4">
      <c r="A22" s="80" t="s">
        <v>358</v>
      </c>
      <c r="B22" s="69"/>
      <c r="C22" s="69"/>
      <c r="D22" s="69"/>
      <c r="E22" s="69"/>
      <c r="F22" s="69"/>
      <c r="G22" s="69"/>
      <c r="H22" s="69"/>
      <c r="I22" s="69"/>
      <c r="J22" s="69"/>
    </row>
    <row r="23" spans="1:32" ht="13" thickBot="1" x14ac:dyDescent="0.3">
      <c r="A23" s="55" t="s">
        <v>10</v>
      </c>
      <c r="B23" s="54" t="s">
        <v>359</v>
      </c>
      <c r="C23" s="54" t="s">
        <v>360</v>
      </c>
      <c r="D23" s="29" t="s">
        <v>163</v>
      </c>
      <c r="E23" s="54" t="s">
        <v>361</v>
      </c>
      <c r="F23" s="54" t="s">
        <v>28</v>
      </c>
    </row>
    <row r="24" spans="1:32" s="248" customFormat="1" ht="14.5" x14ac:dyDescent="0.35">
      <c r="A24" s="249" t="s">
        <v>362</v>
      </c>
      <c r="B24" s="250" t="s">
        <v>354</v>
      </c>
      <c r="C24" s="250" t="s">
        <v>354</v>
      </c>
      <c r="D24" s="250"/>
      <c r="E24" s="250"/>
      <c r="F24" s="251" t="s">
        <v>404</v>
      </c>
    </row>
    <row r="25" spans="1:32" ht="13" thickBot="1" x14ac:dyDescent="0.3">
      <c r="A25" s="82"/>
      <c r="B25" s="82"/>
      <c r="C25" s="82"/>
      <c r="D25" s="82"/>
      <c r="E25" s="82"/>
      <c r="F25" s="82"/>
    </row>
    <row r="27" spans="1:32" ht="16" thickBot="1" x14ac:dyDescent="0.4">
      <c r="A27" s="80" t="s">
        <v>363</v>
      </c>
      <c r="B27" s="69"/>
      <c r="C27" s="69"/>
      <c r="D27" s="69"/>
      <c r="E27" s="69"/>
      <c r="F27" s="69"/>
    </row>
    <row r="28" spans="1:32" ht="13" thickBot="1" x14ac:dyDescent="0.3">
      <c r="A28" s="55" t="s">
        <v>10</v>
      </c>
      <c r="B28" s="54" t="s">
        <v>365</v>
      </c>
      <c r="C28" s="54" t="s">
        <v>366</v>
      </c>
      <c r="D28" s="54" t="s">
        <v>367</v>
      </c>
      <c r="E28" s="54" t="s">
        <v>368</v>
      </c>
      <c r="F28" s="54" t="s">
        <v>28</v>
      </c>
    </row>
    <row r="29" spans="1:32" s="248" customFormat="1" ht="14.5" x14ac:dyDescent="0.35">
      <c r="A29" s="249" t="s">
        <v>364</v>
      </c>
      <c r="B29" s="250" t="s">
        <v>320</v>
      </c>
      <c r="C29" s="250" t="s">
        <v>320</v>
      </c>
      <c r="D29" s="250"/>
      <c r="E29" s="250" t="s">
        <v>369</v>
      </c>
      <c r="F29" s="251" t="s">
        <v>404</v>
      </c>
    </row>
    <row r="30" spans="1:32" ht="13" thickBot="1" x14ac:dyDescent="0.3">
      <c r="A30" s="82"/>
      <c r="B30" s="82"/>
      <c r="C30" s="82"/>
      <c r="D30" s="82"/>
      <c r="E30" s="82"/>
      <c r="F30" s="82"/>
    </row>
    <row r="32" spans="1:32" ht="15.5" x14ac:dyDescent="0.35">
      <c r="A32" s="80" t="s">
        <v>370</v>
      </c>
    </row>
    <row r="33" spans="1:18" x14ac:dyDescent="0.25">
      <c r="A33" s="196" t="s">
        <v>371</v>
      </c>
      <c r="B33" s="205" t="s">
        <v>372</v>
      </c>
      <c r="C33" s="205" t="s">
        <v>373</v>
      </c>
      <c r="D33" s="206" t="s">
        <v>205</v>
      </c>
    </row>
    <row r="34" spans="1:18" s="248" customFormat="1" ht="15" thickBot="1" x14ac:dyDescent="0.4">
      <c r="A34" s="252" t="s">
        <v>515</v>
      </c>
      <c r="B34" s="253"/>
      <c r="C34" s="253" t="s">
        <v>334</v>
      </c>
      <c r="D34" s="254" t="s">
        <v>404</v>
      </c>
    </row>
    <row r="37" spans="1:18" ht="18" x14ac:dyDescent="0.4">
      <c r="A37" s="35" t="s">
        <v>554</v>
      </c>
      <c r="B37" s="36"/>
      <c r="C37" s="36"/>
      <c r="D37" s="36"/>
      <c r="E37" s="36"/>
      <c r="F37" s="36"/>
      <c r="G37" s="36"/>
      <c r="H37" s="36"/>
      <c r="I37" s="36"/>
      <c r="J37" s="36"/>
      <c r="K37" s="35"/>
      <c r="L37" s="36"/>
      <c r="M37" s="36"/>
      <c r="N37" s="36"/>
      <c r="O37" s="36"/>
      <c r="P37" s="36"/>
      <c r="Q37" s="36"/>
      <c r="R37" s="36"/>
    </row>
    <row r="38" spans="1:18" ht="14.5" x14ac:dyDescent="0.25">
      <c r="A38" s="137" t="s">
        <v>10</v>
      </c>
      <c r="B38" s="137" t="s">
        <v>555</v>
      </c>
      <c r="C38" s="235" t="s">
        <v>28</v>
      </c>
      <c r="D38" s="235" t="s">
        <v>192</v>
      </c>
      <c r="E38" s="139" t="s">
        <v>123</v>
      </c>
      <c r="F38" s="139" t="s">
        <v>187</v>
      </c>
      <c r="G38" s="139" t="s">
        <v>173</v>
      </c>
      <c r="H38" s="139" t="s">
        <v>188</v>
      </c>
      <c r="I38" s="139" t="s">
        <v>189</v>
      </c>
      <c r="J38" s="139" t="s">
        <v>124</v>
      </c>
      <c r="K38" s="139" t="s">
        <v>125</v>
      </c>
      <c r="L38" s="140" t="s">
        <v>193</v>
      </c>
      <c r="M38" s="140" t="s">
        <v>194</v>
      </c>
      <c r="N38" s="140" t="s">
        <v>195</v>
      </c>
      <c r="O38" s="140" t="s">
        <v>196</v>
      </c>
      <c r="P38" s="140" t="s">
        <v>197</v>
      </c>
      <c r="Q38" s="140" t="s">
        <v>198</v>
      </c>
      <c r="R38" s="140" t="s">
        <v>199</v>
      </c>
    </row>
    <row r="39" spans="1:18" ht="14.5" x14ac:dyDescent="0.25">
      <c r="A39" s="145" t="s">
        <v>339</v>
      </c>
      <c r="B39" s="135" t="s">
        <v>556</v>
      </c>
      <c r="C39" s="135" t="s">
        <v>482</v>
      </c>
      <c r="D39" s="135" t="s">
        <v>464</v>
      </c>
      <c r="E39" s="135"/>
      <c r="F39" s="135" t="s">
        <v>297</v>
      </c>
      <c r="G39" s="135" t="s">
        <v>297</v>
      </c>
      <c r="H39" s="135"/>
      <c r="I39" s="135" t="s">
        <v>297</v>
      </c>
      <c r="J39" s="135"/>
      <c r="K39" s="135"/>
      <c r="L39" s="135"/>
      <c r="M39" s="135" t="s">
        <v>297</v>
      </c>
      <c r="N39" s="135" t="s">
        <v>297</v>
      </c>
      <c r="O39" s="135"/>
      <c r="P39" s="135" t="s">
        <v>297</v>
      </c>
      <c r="Q39" s="135"/>
      <c r="R39" s="135"/>
    </row>
    <row r="40" spans="1:18" ht="14.5" x14ac:dyDescent="0.25">
      <c r="A40" s="236"/>
      <c r="B40" s="236"/>
      <c r="C40" s="236"/>
      <c r="D40" s="236"/>
      <c r="E40" s="236"/>
      <c r="F40" s="236"/>
      <c r="G40" s="236"/>
      <c r="H40" s="236"/>
      <c r="I40" s="236"/>
      <c r="J40" s="236"/>
      <c r="K40" s="236"/>
      <c r="L40" s="236"/>
      <c r="M40" s="236"/>
      <c r="N40" s="236"/>
      <c r="O40" s="236"/>
      <c r="P40" s="236"/>
      <c r="Q40" s="236"/>
      <c r="R40" s="236"/>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Title</vt:lpstr>
      <vt:lpstr>Version Control</vt:lpstr>
      <vt:lpstr>Overview</vt:lpstr>
      <vt:lpstr>DTD Review Crosscheck</vt:lpstr>
      <vt:lpstr>1. View</vt:lpstr>
      <vt:lpstr>2. LA</vt:lpstr>
      <vt:lpstr>3. FA</vt:lpstr>
      <vt:lpstr>4. PA</vt:lpstr>
      <vt:lpstr>5. BO</vt:lpstr>
      <vt:lpstr>6. BC</vt:lpstr>
      <vt:lpstr>7. Link</vt:lpstr>
      <vt:lpstr>8. PickList</vt:lpstr>
      <vt:lpstr>9. Message Category</vt:lpstr>
      <vt:lpstr>10. Symbolic String</vt:lpstr>
      <vt:lpstr>11. Table Column Creation</vt:lpstr>
      <vt:lpstr>12.0 Script&lt;BC&gt;</vt:lpstr>
      <vt:lpstr>12.1 Script&lt;BC&gt;</vt:lpstr>
      <vt:lpstr>12.2 Script&lt;BS&gt;</vt:lpstr>
      <vt:lpstr>12.3 Script&lt;Applet&gt;</vt:lpstr>
      <vt:lpstr>12.4 Script&lt;Applet&gt;</vt:lpstr>
      <vt:lpstr>13. Integration Object</vt:lpstr>
      <vt:lpstr>14. PR Tasks</vt:lpstr>
      <vt:lpstr>'Version Control'!Print_Area</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Detailed FD - Accounts</dc:title>
  <dc:creator>Emmanuel Mauger</dc:creator>
  <cp:keywords/>
  <dc:description>Detailed FD - Accounts</dc:description>
  <cp:lastModifiedBy>Appasamy, Paranen</cp:lastModifiedBy>
  <cp:lastPrinted>2005-08-03T13:52:44Z</cp:lastPrinted>
  <dcterms:created xsi:type="dcterms:W3CDTF">2005-02-15T13:55:00Z</dcterms:created>
  <dcterms:modified xsi:type="dcterms:W3CDTF">2021-11-08T11:29:35Z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Type">
    <vt:lpwstr>Technical</vt:lpwstr>
  </property>
  <property fmtid="{D5CDD505-2E9C-101B-9397-08002B2CF9AE}" pid="3" name="_AdHocReviewCycleID">
    <vt:i4>-2090330415</vt:i4>
  </property>
  <property fmtid="{D5CDD505-2E9C-101B-9397-08002B2CF9AE}" pid="4" name="_NewReviewCycle">
    <vt:lpwstr/>
  </property>
  <property fmtid="{D5CDD505-2E9C-101B-9397-08002B2CF9AE}" pid="5" name="_EmailSubject">
    <vt:lpwstr>TME Phase 2 - Detailed FD - Pricing Administration v1_0.xls</vt:lpwstr>
  </property>
  <property fmtid="{D5CDD505-2E9C-101B-9397-08002B2CF9AE}" pid="6" name="_AuthorEmail">
    <vt:lpwstr>denny.volkardt@accenture.com</vt:lpwstr>
  </property>
  <property fmtid="{D5CDD505-2E9C-101B-9397-08002B2CF9AE}" pid="7" name="_AuthorEmailDisplayName">
    <vt:lpwstr>Volkardt, Denny</vt:lpwstr>
  </property>
  <property fmtid="{D5CDD505-2E9C-101B-9397-08002B2CF9AE}" pid="8" name="_PreviousAdHocReviewCycleID">
    <vt:i4>1950141634</vt:i4>
  </property>
  <property fmtid="{D5CDD505-2E9C-101B-9397-08002B2CF9AE}" pid="9" name="_ReviewingToolsShownOnce">
    <vt:lpwstr/>
  </property>
</Properties>
</file>