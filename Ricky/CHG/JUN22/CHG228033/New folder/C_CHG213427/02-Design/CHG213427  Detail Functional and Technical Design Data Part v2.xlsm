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00000000-0000-0000-0000-000000000000}"/>
  <workbookPr codeName="ThisWorkbook" defaultThemeVersion="124226"/>
  <mc:AlternateContent xmlns:mc="http://schemas.openxmlformats.org/markup-compatibility/2006">
    <mc:Choice Requires="x15">
      <x15ac:absPath xmlns:x15ac="http://schemas.microsoft.com/office/spreadsheetml/2010/11/ac" url="J:\General\04_RELEASE_MANAGEMENT\2021-06-Release PROD FEB22\02_Development\Cross\C_CHG213427\02-Design\"/>
    </mc:Choice>
  </mc:AlternateContent>
  <xr:revisionPtr revIDLastSave="0" documentId="13_ncr:1_{9EB9444E-F7FA-4CE8-8032-6ADA9DC2565D}" xr6:coauthVersionLast="46" xr6:coauthVersionMax="47" xr10:uidLastSave="{00000000-0000-0000-0000-000000000000}"/>
  <bookViews>
    <workbookView xWindow="-120" yWindow="-120" windowWidth="20730" windowHeight="11160" tabRatio="893" firstSheet="1" activeTab="1"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4" i="12" l="1"/>
  <c r="B33" i="16"/>
  <c r="B41" i="7"/>
  <c r="C25" i="12"/>
  <c r="B24" i="3"/>
  <c r="B8" i="21" l="1"/>
  <c r="B3" i="21"/>
  <c r="B9" i="21"/>
  <c r="B10" i="21"/>
  <c r="C17" i="21"/>
  <c r="D8" i="1" l="1"/>
  <c r="D7" i="1"/>
  <c r="D6" i="1"/>
  <c r="D5" i="1"/>
  <c r="D4" i="1"/>
  <c r="D3" i="1"/>
  <c r="B38" i="11"/>
  <c r="B7" i="21" l="1"/>
  <c r="C27" i="12"/>
  <c r="G27"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<sst xmlns="http://schemas.openxmlformats.org/spreadsheetml/2006/main" count="1044" uniqueCount="387">
  <si>
    <t>Trade Marketing Excellence Programme</t>
  </si>
  <si>
    <t>DATA</t>
  </si>
  <si>
    <t>Technical Design Mapping, Workflow &amp; Stored Procedure</t>
  </si>
  <si>
    <t>CHG/INC:</t>
  </si>
  <si>
    <t xml:space="preserve">CHG213427  </t>
  </si>
  <si>
    <t xml:space="preserve">        Title:</t>
  </si>
  <si>
    <t>TMEC: RI - Enhancements on Contracts &amp; Contract Terms</t>
  </si>
  <si>
    <t>Planned Prod Release Date:</t>
  </si>
  <si>
    <t>Feb, 2022</t>
  </si>
  <si>
    <t xml:space="preserve">  Market Affected:</t>
  </si>
  <si>
    <t>CT</t>
  </si>
  <si>
    <t>Date:</t>
  </si>
  <si>
    <t>Status:</t>
  </si>
  <si>
    <t xml:space="preserve">Draft </t>
  </si>
  <si>
    <t>Reviewer Control Section</t>
  </si>
  <si>
    <t>Completed</t>
  </si>
  <si>
    <t>Failed</t>
  </si>
  <si>
    <t>Name</t>
  </si>
  <si>
    <t>First Name</t>
  </si>
  <si>
    <t>Function</t>
  </si>
  <si>
    <t>Document Version</t>
  </si>
  <si>
    <t>Date</t>
  </si>
  <si>
    <t>Status</t>
  </si>
  <si>
    <t>Comments</t>
  </si>
  <si>
    <t>In Progress</t>
  </si>
  <si>
    <t>Seeburn</t>
  </si>
  <si>
    <t>Vikram</t>
  </si>
  <si>
    <t>Developer</t>
  </si>
  <si>
    <t>FD_CHG213427_TMEC_RI_Enhancements_on_Contracts_&amp;_Contract_Terms_v3.1</t>
  </si>
  <si>
    <t>Not Started</t>
  </si>
  <si>
    <t>Sign-off Control Section (a CoE and GDC sign-off names are required)</t>
  </si>
  <si>
    <t>Signature</t>
  </si>
  <si>
    <t>Estimation</t>
  </si>
  <si>
    <t>Manday</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</si>
  <si>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</si>
  <si>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</si>
  <si>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</si>
  <si>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</si>
  <si>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</si>
  <si>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</si>
  <si>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</si>
  <si>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</si>
  <si>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</si>
  <si>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</si>
  <si>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</si>
  <si>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</si>
  <si>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</si>
  <si>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</si>
  <si>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</si>
  <si>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</si>
  <si>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</si>
  <si>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</si>
  <si>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</si>
  <si>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</si>
  <si>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</si>
  <si>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</si>
  <si>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</si>
  <si>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</si>
  <si>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</si>
  <si>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</si>
  <si>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</si>
  <si>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</si>
  <si>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</si>
  <si>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</si>
  <si>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</si>
  <si>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</si>
  <si>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</si>
  <si>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</si>
  <si>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</si>
  <si>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</si>
  <si>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</si>
  <si>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</si>
  <si>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</si>
  <si>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</si>
  <si>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</si>
  <si>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</si>
  <si>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</si>
  <si>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</si>
  <si>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</si>
  <si>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</si>
  <si>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</si>
  <si>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</si>
  <si>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</si>
  <si>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</si>
  <si>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</si>
  <si>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</si>
  <si>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</si>
  <si>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</si>
  <si>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</si>
  <si>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</si>
  <si>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</si>
  <si>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</si>
  <si>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</si>
  <si>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</si>
  <si>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</si>
  <si>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</si>
  <si>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</si>
  <si>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</si>
  <si>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</si>
  <si>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</si>
  <si>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</si>
  <si>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</si>
  <si>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</si>
  <si>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</si>
  <si>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</si>
  <si>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</si>
  <si>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</si>
  <si>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</si>
  <si>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</si>
  <si>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</si>
  <si>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</si>
  <si>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</si>
  <si>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</si>
  <si>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</si>
  <si>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</si>
  <si>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</si>
  <si>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</si>
  <si>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</si>
  <si>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</si>
  <si>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</si>
  <si>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</si>
  <si>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</si>
  <si>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</si>
  <si>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</si>
  <si>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</si>
  <si>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</si>
  <si>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</si>
  <si>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</si>
  <si>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</si>
  <si>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</si>
  <si>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</si>
  <si>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</si>
  <si>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</si>
  <si>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</si>
  <si>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</si>
  <si>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</si>
  <si>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</si>
  <si>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</si>
  <si>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</si>
  <si>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</si>
  <si>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</si>
  <si>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</si>
  <si>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</si>
  <si>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</si>
  <si>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</si>
  <si>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</si>
  <si>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</si>
  <si>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</si>
  <si>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</si>
  <si>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</si>
  <si>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</si>
  <si>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</si>
  <si>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</si>
  <si>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</si>
  <si>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</si>
  <si>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</si>
  <si>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</si>
  <si>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</si>
  <si>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</si>
  <si>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</si>
  <si>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</si>
  <si>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</si>
  <si>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</si>
  <si>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</si>
  <si>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</si>
  <si>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</si>
  <si>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</si>
  <si>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</si>
  <si>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</si>
  <si>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</si>
  <si>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</si>
  <si>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</si>
  <si>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</si>
  <si>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</si>
  <si>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</si>
  <si>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</si>
  <si>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</si>
  <si>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</si>
  <si>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</si>
  <si>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</si>
  <si>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</si>
  <si>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</si>
  <si>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</si>
  <si>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</si>
  <si>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</si>
  <si>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</si>
  <si>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INSERT INTO EIM_AGREE_ITEM (</t>
  </si>
  <si>
    <t>IFBs</t>
  </si>
  <si>
    <t>ROW_ID</t>
  </si>
  <si>
    <t>Ifb Name</t>
  </si>
  <si>
    <t>,IF_ROW_BATCH_NUM</t>
  </si>
  <si>
    <t>Data Update IFB</t>
  </si>
  <si>
    <t>Prepare Update script/template based on the SQL. To Check with sales team for EIM tables/columns for new field</t>
  </si>
  <si>
    <t>,IF_ROW_STAT</t>
  </si>
  <si>
    <t>,ITM_AGREE_ACC_BU</t>
  </si>
  <si>
    <t>,ITM_AGREE_ACC_LOC</t>
  </si>
  <si>
    <t>,ITM_AGREE_ACC_NAME</t>
  </si>
  <si>
    <t>Parameter Files</t>
  </si>
  <si>
    <t>,ITM_AGREE_BU</t>
  </si>
  <si>
    <t>,ITM_AGREE_NAME</t>
  </si>
  <si>
    <t>,ITM_AGREE_REVNUM</t>
  </si>
  <si>
    <t>,ITM_LN_NUM</t>
  </si>
  <si>
    <t>,ITM_LN_NUM2</t>
  </si>
  <si>
    <t xml:space="preserve"> </t>
  </si>
  <si>
    <t>, X_BENEFIT_TYPE -- New Field</t>
  </si>
  <si>
    <t>Configuration File (*.ini)</t>
  </si>
  <si>
    <t>)</t>
  </si>
  <si>
    <t>SELECT AGR.ROW_ID</t>
  </si>
  <si>
    <t>,10000000 + ROW_NUMBER() OVER (</t>
  </si>
  <si>
    <t>ORDER BY AGR.ROW_ID</t>
  </si>
  <si>
    <t>) / 1000</t>
  </si>
  <si>
    <t>,'FOR UPDATE'</t>
  </si>
  <si>
    <t>Bat Files</t>
  </si>
  <si>
    <t>,ORG_BU.NAME</t>
  </si>
  <si>
    <t>,ORG.LOC</t>
  </si>
  <si>
    <t>,ORG.NAME</t>
  </si>
  <si>
    <t>,BU.NAME</t>
  </si>
  <si>
    <t>,DOC.NAME</t>
  </si>
  <si>
    <t>,DOC.REV_NUM</t>
  </si>
  <si>
    <t>,AGR.LN_NUM</t>
  </si>
  <si>
    <t>,AGR.LN_NUM2</t>
  </si>
  <si>
    <t>, 'Payment'</t>
  </si>
  <si>
    <t>FROM S_AGREE_ITEM AGR(NOLOCK)</t>
  </si>
  <si>
    <t>INNER JOIN S_DOC_AGREE DOC ON AGR.DOC_AGREE_ID = DOC.ROW_ID</t>
  </si>
  <si>
    <t>INNER JOIN S_BU BU ON DOC.BU_ID = BU.ROW_ID</t>
  </si>
  <si>
    <t>INNER JOIN S_ORG_EXT ORG ON AGR.BL_OU_ID = ORG.ROW_ID</t>
  </si>
  <si>
    <t>INNER JOIN S_BU ORG_BU ON ORG.BU_ID = ORG_BU.ROW_ID</t>
  </si>
  <si>
    <t>WHERE BU.NAME  IN  ('Italy, IT', 'Spain, ES', 'Czech Republic, CZ')</t>
  </si>
  <si>
    <t xml:space="preserve">Mapping </t>
  </si>
  <si>
    <t>Folder Name</t>
  </si>
  <si>
    <t>Mapping Name</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</si>
  <si>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</si>
  <si>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</si>
  <si>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</si>
  <si>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</si>
  <si>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</si>
  <si>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</si>
  <si>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</si>
  <si>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</si>
  <si>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</si>
  <si>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</si>
  <si>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</si>
  <si>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</si>
  <si>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Worklet</t>
  </si>
  <si>
    <t>Worklet Name</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</si>
  <si>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</si>
  <si>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</si>
  <si>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</si>
  <si>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</si>
  <si>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</si>
  <si>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</si>
  <si>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</si>
  <si>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</si>
  <si>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</si>
  <si>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</si>
  <si>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</si>
  <si>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</si>
  <si>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</si>
  <si>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</si>
  <si>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</si>
  <si>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</si>
  <si>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</si>
  <si>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</si>
  <si>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</si>
  <si>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</si>
  <si>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</si>
  <si>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</si>
  <si>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</si>
  <si>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Procedure Name</t>
  </si>
  <si>
    <t>Data Update Required</t>
  </si>
  <si>
    <t>Environment (OLTP or OLAP)</t>
  </si>
  <si>
    <t>Period (If any)</t>
  </si>
  <si>
    <t>Data Update type</t>
  </si>
  <si>
    <t>Data Update Priority</t>
  </si>
  <si>
    <t>Y</t>
  </si>
  <si>
    <t>OLTP</t>
  </si>
  <si>
    <t>IT; ES; CZ</t>
  </si>
  <si>
    <t>ALL</t>
  </si>
  <si>
    <t>SR Data Update</t>
  </si>
  <si>
    <t>Normal (N)</t>
  </si>
  <si>
    <t>N</t>
  </si>
  <si>
    <t>Approx. No. of records</t>
  </si>
  <si>
    <t>EU1</t>
  </si>
  <si>
    <t>EU2</t>
  </si>
  <si>
    <t>EU3</t>
  </si>
  <si>
    <t>CIS</t>
  </si>
  <si>
    <t>CEU</t>
  </si>
  <si>
    <t>ASI</t>
  </si>
  <si>
    <t>RUS</t>
  </si>
  <si>
    <t>Table : S_PARTY_REL</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</si>
  <si>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</si>
  <si>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</si>
  <si>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</si>
  <si>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</si>
  <si>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</si>
  <si>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</si>
  <si>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</si>
  <si>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</si>
  <si>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S_AGREE_ITEM</t>
  </si>
  <si>
    <t>View Impacted:</t>
  </si>
  <si>
    <t>View Scripts</t>
  </si>
  <si>
    <t>Ramen</t>
  </si>
  <si>
    <t>Rhishna</t>
  </si>
  <si>
    <t>X_TOTAL_AMOUNT_LIMIT</t>
  </si>
  <si>
    <t>X_TOTAL_POINTS_LIMIT</t>
  </si>
  <si>
    <t>PRE_EIM_AGREEMENT_NEW</t>
  </si>
  <si>
    <t>PRE_CONTRACT_NEW_TXT_GENERIC</t>
  </si>
  <si>
    <t>Informatica Definition</t>
  </si>
  <si>
    <t>New columns</t>
  </si>
  <si>
    <t>NUMERIC(22,7)</t>
  </si>
  <si>
    <t>PRE_CONTRACTITEMS_GENERIC</t>
  </si>
  <si>
    <t>X_BENEFIT_TYPE_CD</t>
  </si>
  <si>
    <t>NVARCHAR(30)</t>
  </si>
  <si>
    <t>PRE_EIM_AGREE_ITEM</t>
  </si>
  <si>
    <t>ITM_LN_NUM</t>
  </si>
  <si>
    <t>ITM_LN_NUM2</t>
  </si>
  <si>
    <t>Already being loaded</t>
  </si>
  <si>
    <t>PRE_EIM_AGREE_LS</t>
  </si>
  <si>
    <t>WC_FF_ENTITY_DATA</t>
  </si>
  <si>
    <t>WC_FF_ENTITY_DETAILS</t>
  </si>
  <si>
    <t>WC_FF_ENTITY_PARAM</t>
  </si>
  <si>
    <t>Update java parameter table for CHv6, CIv13 and ICv2</t>
  </si>
  <si>
    <t>IFA_XXX_CI_Contract_Items.ifb</t>
  </si>
  <si>
    <t>IFA_XXX_IC_Contract.ifb</t>
  </si>
  <si>
    <t>IFA_XXX_CH_Contract.ifb</t>
  </si>
  <si>
    <t>Modify to add new columns</t>
  </si>
  <si>
    <t>DU</t>
  </si>
  <si>
    <t>FDE_INT_CONTRACT_NEW_PRE_GENERIC</t>
  </si>
  <si>
    <t>FDE_INT_CONTRACT_ITEMS_NEW</t>
  </si>
  <si>
    <t>FDE_INT_CONTRACT_NEW_V2</t>
  </si>
  <si>
    <t>FDE_INT_CONTRACT_ITEMS_PRE_GENERIC</t>
  </si>
  <si>
    <t>FDE_INT_CONTRACT_ITEMS_NEW_V2</t>
  </si>
  <si>
    <t>FDE_INT_CONTRACT_INCENTIVES_PRE</t>
  </si>
  <si>
    <t>FDE_INT_CONTRACT_INCENTIVES</t>
  </si>
  <si>
    <t>EIM_INTERFACE</t>
  </si>
  <si>
    <t>Shortcut_to_FDE_INT_CONTRACT_NEW_PRE_GENERIC</t>
  </si>
  <si>
    <t>Shortcut_to_FDE_INT_CONTRACT_ITEMS_NEW</t>
  </si>
  <si>
    <t>Shortcut_to_FDE_INT_CONTRACT_NEW_V2</t>
  </si>
  <si>
    <t>Shortcut_to_FDE_INT_CONTRACT_ITEMS_PRE_GENERIC</t>
  </si>
  <si>
    <t>Shortcut_to_FDE_INT_CONTRACT_ITEMS_NEW_V2</t>
  </si>
  <si>
    <t>Shortcut_to_FDE_INT_CONTRACT_INCENTIVES_PRE</t>
  </si>
  <si>
    <t>Shortcut_to_FDE_INT_CONTRACT_INCENTIVES</t>
  </si>
  <si>
    <t>EC4U</t>
  </si>
  <si>
    <t>Impacted</t>
  </si>
  <si>
    <t>RUN_EIM_PROCESS_GENERIC</t>
  </si>
  <si>
    <t>To Validate</t>
  </si>
  <si>
    <t>JTI_DWH_ETLComplete_Incremental</t>
  </si>
  <si>
    <t>RUN_EIM_PROCESS_JAVA</t>
  </si>
  <si>
    <t>wrk_ContractItems_Interface_Generic</t>
  </si>
  <si>
    <t>wrk_ContractIncentives_Interface</t>
  </si>
  <si>
    <t>wrk_Contract_CH_Interface_Generic</t>
  </si>
  <si>
    <t>Load_EIM.wrk_Contract_CH_Interface_Generic</t>
  </si>
  <si>
    <t>Load_EIM.wrk_ContractItems_Interface_Generic</t>
  </si>
  <si>
    <t>Load_EIM.wrk_ContractIncentives_Interface</t>
  </si>
  <si>
    <t>s_FDE_INT_CONTRACT_INCENTIVES</t>
  </si>
  <si>
    <t>s_FDE_INT_CONTRACT_NEW_PRE_GENERIC</t>
  </si>
  <si>
    <t>s_FDE_INT_CONTRACT_NEW</t>
  </si>
  <si>
    <t>FDE_INT_CONTRACT_NEW</t>
  </si>
  <si>
    <t>Shortcut_to_FDE_INT_CONTRACT_NEW</t>
  </si>
  <si>
    <t>s_FDE_INT_CONTRACT_NEW_V2</t>
  </si>
  <si>
    <t>s_FDE_INT_CONTRACT_ITEMS_PRE_GENERIC</t>
  </si>
  <si>
    <t>s_FDE_INT_CONTRACT_ITEM</t>
  </si>
  <si>
    <t>s_FDE_INT_CONTRACT_ITEM_V2</t>
  </si>
  <si>
    <t>Testing DU:</t>
  </si>
  <si>
    <t>Testing CH,CI &amp; IC</t>
  </si>
  <si>
    <t>TME - HLFD Interface Contract New In OLTP Version 6.0</t>
  </si>
  <si>
    <t>TME Phase 2 - HLFD Interface Contract Incentives Version 2.0</t>
  </si>
  <si>
    <t>TME Phase 2 - HLFD Interface Contract Items Version 13.0</t>
  </si>
  <si>
    <t>To modify after confirmation with Miguel</t>
  </si>
  <si>
    <t>CONTRACT_INCENTIVES_GENERIC</t>
  </si>
  <si>
    <t>1. Rename CONTRACT_INCENTIVES to CONTRACT_INCENTIVES_GENERIC 
2. Move fields at the beginning
E_LINE_NUMBER
E_FILE_DATE
E_FILE_NAME
LANG_ID
3. New columns</t>
  </si>
  <si>
    <t>??</t>
  </si>
  <si>
    <t>pre-ADHOC_OLTP.ini</t>
  </si>
  <si>
    <t>post-ETL.ini</t>
  </si>
  <si>
    <t>Add Group functionality to normal INI file 
GroupEntities = IC</t>
  </si>
  <si>
    <t>FDE_INT_CONTRACT_INCENTIVES_PRE_GENERIC</t>
  </si>
  <si>
    <t>Copy from FDE_INT_CONTRACT_INCENTIVES_PRE. Rename. New columns</t>
  </si>
  <si>
    <t>To Decommission. New columns</t>
  </si>
  <si>
    <t>Generate_List</t>
  </si>
  <si>
    <t>DummyMap</t>
  </si>
  <si>
    <t>n/a</t>
  </si>
  <si>
    <t>Restart Task</t>
  </si>
  <si>
    <t>New generic session</t>
  </si>
  <si>
    <t>$PMSourceFileDir\Scripts\oltp-file-transform.bat /i List_IC.txt /p 1 /c pre-ADHOC_OLTP.ini</t>
  </si>
  <si>
    <t>s_FDE_INT_CONTRACT_INCENTIVES_PRE_GENERIC</t>
  </si>
  <si>
    <t>Decommision_s_FDE_INT_CONTRACT_INCENTIVES_PRE</t>
  </si>
  <si>
    <t>To Decommision session s_FDE_INT_CONTRACT_INCENTIVES_PRE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</si>
</sst>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9"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color theme="1"/>
      <name val="Arial"/>
      <family val="2"/>
    </font>
    <font>
      <sz val="10"/>
      <color theme="5" tint="-0.249977111117893"/>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4">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47">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xf numFmtId="0" fontId="1" fillId="0" borderId="0"/>
  </cellStyleXfs>
  <cellXfs count="157">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Alignment="1">
      <alignment vertical="top"/>
    </xf>
    <xf numFmtId="0" fontId="4" fillId="0" borderId="0" xfId="34" applyFont="1" applyAlignment="1">
      <alignment vertical="top"/>
    </xf>
    <xf numFmtId="0" fontId="10" fillId="0" borderId="0" xfId="34" applyFont="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xf numFmtId="0" fontId="33" fillId="26" borderId="11" xfId="0" applyFont="1" applyFill="1" applyBorder="1"/>
    <xf numFmtId="0" fontId="33" fillId="25" borderId="12" xfId="0" applyFont="1" applyFill="1" applyBorder="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33" fillId="26" borderId="10" xfId="0" applyFont="1" applyFill="1" applyBorder="1" applyAlignment="1">
      <alignment wrapText="1"/>
    </xf>
    <xf numFmtId="0" fontId="33" fillId="0" borderId="0" xfId="0" applyFont="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0" fillId="32" borderId="0" xfId="0" applyFill="1"/>
    <xf numFmtId="0" fontId="36" fillId="32" borderId="0" xfId="0" applyFont="1" applyFill="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0" fontId="1" fillId="0" borderId="0" xfId="34" applyAlignment="1">
      <alignment vertical="top"/>
    </xf>
    <xf numFmtId="0" fontId="4" fillId="0" borderId="0" xfId="34" applyFont="1" applyAlignment="1">
      <alignment horizontal="center" vertical="top"/>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4" fillId="0" borderId="10" xfId="34" applyFont="1" applyBorder="1" applyAlignment="1">
      <alignment horizontal="left" vertical="top"/>
    </xf>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Alignment="1">
      <alignment horizontal="left"/>
    </xf>
    <xf numFmtId="0" fontId="4" fillId="0" borderId="10" xfId="34" applyFont="1" applyBorder="1" applyAlignment="1">
      <alignment horizontal="left" vertical="top"/>
    </xf>
    <xf numFmtId="167" fontId="4" fillId="0" borderId="19" xfId="34" applyNumberFormat="1" applyFont="1" applyBorder="1" applyAlignment="1">
      <alignment horizontal="left" vertical="top"/>
    </xf>
    <xf numFmtId="0" fontId="1" fillId="0" borderId="0" xfId="0" applyFont="1" applyBorder="1"/>
    <xf numFmtId="0" fontId="0" fillId="0" borderId="0" xfId="0" applyBorder="1"/>
    <xf numFmtId="0" fontId="1" fillId="0" borderId="0" xfId="0" applyFont="1" applyFill="1" applyBorder="1"/>
    <xf numFmtId="0" fontId="48" fillId="0" borderId="10" xfId="0" applyFont="1" applyBorder="1"/>
    <xf numFmtId="0" fontId="0" fillId="0" borderId="0" xfId="0" applyBorder="1" applyAlignment="1">
      <alignment wrapText="1"/>
    </xf>
    <xf numFmtId="0" fontId="1" fillId="0" borderId="10" xfId="0" applyFont="1" applyFill="1" applyBorder="1"/>
    <xf numFmtId="0" fontId="1" fillId="0" borderId="19" xfId="0" applyFont="1" applyBorder="1"/>
    <xf numFmtId="0" fontId="47" fillId="0" borderId="10" xfId="0" applyFont="1" applyBorder="1"/>
    <xf numFmtId="0" fontId="1" fillId="0" borderId="0" xfId="0" applyFont="1" applyAlignment="1">
      <alignment wrapText="1"/>
    </xf>
    <xf numFmtId="0" fontId="1" fillId="0" borderId="10" xfId="46" applyBorder="1" applyAlignment="1">
      <alignment vertical="center"/>
    </xf>
    <xf numFmtId="0" fontId="1" fillId="0" borderId="10" xfId="46" applyBorder="1" applyAlignment="1">
      <alignment vertical="center" wrapText="1"/>
    </xf>
    <xf numFmtId="0" fontId="1" fillId="0" borderId="10" xfId="46" applyBorder="1"/>
    <xf numFmtId="0" fontId="0" fillId="0" borderId="33" xfId="0" applyBorder="1"/>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4" fillId="0" borderId="10" xfId="34" applyFont="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11" fillId="24" borderId="10" xfId="34" applyFont="1" applyFill="1" applyBorder="1" applyAlignment="1">
      <alignment horizontal="left" vertical="top"/>
    </xf>
    <xf numFmtId="0" fontId="32" fillId="27" borderId="10" xfId="34" applyFont="1" applyFill="1" applyBorder="1" applyAlignment="1">
      <alignment horizontal="left" vertical="top"/>
    </xf>
    <xf numFmtId="0" fontId="32" fillId="27" borderId="10" xfId="34" applyFont="1" applyFill="1" applyBorder="1" applyAlignment="1">
      <alignment horizontal="center" vertical="top"/>
    </xf>
    <xf numFmtId="0" fontId="4" fillId="0" borderId="17" xfId="34" applyFont="1" applyBorder="1" applyAlignment="1">
      <alignment horizontal="left" vertical="top"/>
    </xf>
    <xf numFmtId="0" fontId="4" fillId="0" borderId="18" xfId="34" applyFont="1" applyBorder="1" applyAlignment="1">
      <alignment horizontal="left" vertical="top"/>
    </xf>
    <xf numFmtId="0" fontId="4" fillId="0" borderId="19" xfId="34" applyFont="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1" fillId="0" borderId="18" xfId="34" applyBorder="1" applyAlignment="1">
      <alignment vertical="top"/>
    </xf>
    <xf numFmtId="0" fontId="11" fillId="24" borderId="17" xfId="34" applyFont="1" applyFill="1" applyBorder="1" applyAlignment="1">
      <alignment horizontal="left" vertical="top" wrapText="1"/>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7">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 2" xfId="46" xr:uid="{C30D80EC-220F-4C17-A2F8-BE119D60EAA1}"/>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495300</xdr:colOff>
      <xdr:row>1</xdr:row>
      <xdr:rowOff>9525</xdr:rowOff>
    </xdr:from>
    <xdr:ext cx="7334250" cy="6431483"/>
    <xdr:sp macro="" textlink="">
      <xdr:nvSpPr>
        <xdr:cNvPr id="2" name="TextBox 1">
          <a:extLst>
            <a:ext uri="{FF2B5EF4-FFF2-40B4-BE49-F238E27FC236}">
              <a16:creationId xmlns:a16="http://schemas.microsoft.com/office/drawing/2014/main" id="{CB4C7E2D-781C-48D0-B0E8-A7012566E272}"/>
            </a:ext>
          </a:extLst>
        </xdr:cNvPr>
        <xdr:cNvSpPr txBox="1"/>
      </xdr:nvSpPr>
      <xdr:spPr>
        <a:xfrm>
          <a:off x="5819775" y="180975"/>
          <a:ext cx="7334250" cy="64314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100"/>
        </a:p>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25" zoomScale="80" zoomScaleNormal="75" workbookViewId="0">
      <selection activeCell="L35" sqref="L35"/>
    </sheetView>
  </sheetViews>
  <sheetFormatPr defaultColWidth="9.140625" defaultRowHeight="12.75" x14ac:dyDescent="0.2"/>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x14ac:dyDescent="0.25">
      <c r="A1" s="1"/>
    </row>
    <row r="10" spans="1:15" ht="13.5" x14ac:dyDescent="0.25">
      <c r="A10" s="1"/>
      <c r="B10" s="1"/>
      <c r="C10" s="1"/>
      <c r="D10" s="1"/>
      <c r="E10" s="1"/>
      <c r="F10" s="1"/>
      <c r="G10" s="1"/>
      <c r="H10" s="1"/>
      <c r="I10" s="1"/>
    </row>
    <row r="11" spans="1:15" ht="13.5" x14ac:dyDescent="0.25">
      <c r="A11" s="1"/>
      <c r="B11" s="1"/>
      <c r="C11" s="1"/>
      <c r="D11" s="1"/>
      <c r="E11" s="1"/>
      <c r="F11" s="1"/>
      <c r="G11" s="1"/>
      <c r="H11" s="1"/>
      <c r="I11" s="1"/>
    </row>
    <row r="12" spans="1:15" ht="13.5" x14ac:dyDescent="0.25">
      <c r="A12" s="1"/>
      <c r="B12" s="1"/>
      <c r="C12" s="1"/>
      <c r="D12" s="1"/>
      <c r="E12" s="1"/>
      <c r="F12" s="1"/>
      <c r="G12" s="1"/>
      <c r="H12" s="1"/>
      <c r="I12" s="1"/>
    </row>
    <row r="13" spans="1:15" ht="32.25" customHeight="1" thickBot="1" x14ac:dyDescent="0.45">
      <c r="A13" s="104" t="s">
        <v>0</v>
      </c>
      <c r="B13" s="104"/>
      <c r="C13" s="104"/>
      <c r="D13" s="104"/>
      <c r="E13" s="104"/>
      <c r="F13" s="104"/>
      <c r="G13" s="104"/>
      <c r="H13" s="104"/>
      <c r="I13" s="104"/>
      <c r="J13" s="104"/>
      <c r="K13" s="104"/>
      <c r="L13" s="104"/>
      <c r="M13" s="104"/>
      <c r="N13" s="104"/>
      <c r="O13" s="104"/>
    </row>
    <row r="14" spans="1:15" ht="14.25" thickTop="1" x14ac:dyDescent="0.25">
      <c r="A14" s="1"/>
      <c r="B14" s="1"/>
      <c r="C14" s="1"/>
      <c r="D14" s="1"/>
      <c r="E14" s="1"/>
      <c r="F14" s="1"/>
      <c r="G14" s="1"/>
      <c r="H14" s="1"/>
      <c r="I14" s="1"/>
    </row>
    <row r="15" spans="1:15" ht="13.5" x14ac:dyDescent="0.25">
      <c r="A15" s="1"/>
      <c r="B15" s="1"/>
      <c r="C15" s="1"/>
      <c r="D15" s="1"/>
      <c r="E15" s="1"/>
      <c r="F15" s="1"/>
      <c r="G15" s="1"/>
      <c r="H15" s="1"/>
      <c r="I15" s="1"/>
    </row>
    <row r="16" spans="1:15" ht="13.5" customHeight="1" x14ac:dyDescent="0.25">
      <c r="A16" s="1"/>
      <c r="B16" s="1"/>
      <c r="C16" s="1"/>
      <c r="D16" s="1"/>
      <c r="E16" s="1"/>
      <c r="F16" s="1"/>
      <c r="G16" s="1"/>
      <c r="H16" s="1"/>
      <c r="I16" s="1"/>
    </row>
    <row r="17" spans="1:15" ht="14.25" customHeight="1" x14ac:dyDescent="0.25">
      <c r="A17" s="1"/>
      <c r="B17" s="1"/>
      <c r="C17" s="1"/>
      <c r="D17" s="1"/>
      <c r="E17" s="1"/>
      <c r="F17" s="1"/>
      <c r="G17" s="1"/>
      <c r="H17" s="1"/>
      <c r="I17" s="1"/>
    </row>
    <row r="18" spans="1:15" ht="13.5" x14ac:dyDescent="0.25">
      <c r="A18" s="1"/>
      <c r="B18" s="1"/>
      <c r="C18" s="1"/>
      <c r="D18" s="1"/>
      <c r="E18" s="1"/>
      <c r="F18" s="1"/>
      <c r="G18" s="1"/>
      <c r="H18" s="1"/>
      <c r="I18" s="1"/>
    </row>
    <row r="19" spans="1:15" ht="13.5" x14ac:dyDescent="0.25">
      <c r="A19" s="1"/>
      <c r="B19" s="1"/>
      <c r="C19" s="1"/>
      <c r="D19" s="1"/>
      <c r="E19" s="1"/>
      <c r="F19" s="1"/>
      <c r="G19" s="1"/>
      <c r="H19" s="1"/>
      <c r="I19" s="1"/>
    </row>
    <row r="20" spans="1:15" ht="30.75" x14ac:dyDescent="0.45">
      <c r="A20" s="105" t="s">
        <v>1</v>
      </c>
      <c r="B20" s="105"/>
      <c r="C20" s="105"/>
      <c r="D20" s="105"/>
      <c r="E20" s="105"/>
      <c r="F20" s="105"/>
      <c r="G20" s="105"/>
      <c r="H20" s="105"/>
      <c r="I20" s="105"/>
      <c r="J20" s="105"/>
      <c r="K20" s="105"/>
      <c r="L20" s="105"/>
      <c r="M20" s="105"/>
      <c r="N20" s="105"/>
      <c r="O20" s="105"/>
    </row>
    <row r="21" spans="1:15" ht="30.75" x14ac:dyDescent="0.45">
      <c r="A21" s="105" t="s">
        <v>2</v>
      </c>
      <c r="B21" s="105"/>
      <c r="C21" s="105"/>
      <c r="D21" s="105"/>
      <c r="E21" s="105"/>
      <c r="F21" s="105"/>
      <c r="G21" s="105"/>
      <c r="H21" s="105"/>
      <c r="I21" s="105"/>
      <c r="J21" s="105"/>
      <c r="K21" s="105"/>
      <c r="L21" s="105"/>
      <c r="M21" s="105"/>
      <c r="N21" s="105"/>
      <c r="O21" s="105"/>
    </row>
    <row r="22" spans="1:15" ht="13.5" x14ac:dyDescent="0.25">
      <c r="A22" s="1"/>
      <c r="B22" s="1"/>
      <c r="C22" s="1"/>
      <c r="D22" s="1"/>
      <c r="E22" s="1"/>
      <c r="F22" s="1"/>
      <c r="G22" s="1"/>
      <c r="H22" s="1"/>
      <c r="I22" s="1"/>
    </row>
    <row r="23" spans="1:15" ht="30.75" x14ac:dyDescent="0.45">
      <c r="A23" s="82"/>
      <c r="B23" s="82"/>
      <c r="C23" s="82"/>
      <c r="D23" s="82"/>
      <c r="E23" s="82"/>
      <c r="F23" s="83"/>
      <c r="G23" s="105" t="s">
        <v>3</v>
      </c>
      <c r="H23" s="108"/>
      <c r="I23" s="73" t="s">
        <v>4</v>
      </c>
      <c r="J23" s="83"/>
      <c r="L23" s="82"/>
      <c r="M23" s="82"/>
      <c r="N23" s="82"/>
      <c r="O23" s="82"/>
    </row>
    <row r="24" spans="1:15" s="6" customFormat="1" ht="27.75" customHeight="1" x14ac:dyDescent="0.45">
      <c r="A24" s="84"/>
      <c r="B24" s="84"/>
      <c r="C24" s="84"/>
      <c r="D24" s="84"/>
      <c r="F24" s="77"/>
      <c r="G24" s="105" t="s">
        <v>5</v>
      </c>
      <c r="H24" s="105"/>
      <c r="I24" s="73" t="s">
        <v>6</v>
      </c>
      <c r="J24" s="84"/>
      <c r="K24" s="84"/>
      <c r="L24" s="84"/>
      <c r="M24" s="84"/>
      <c r="N24" s="84"/>
      <c r="O24" s="84"/>
    </row>
    <row r="25" spans="1:15" ht="27.75" x14ac:dyDescent="0.4">
      <c r="F25" s="111" t="s">
        <v>7</v>
      </c>
      <c r="G25" s="111"/>
      <c r="H25" s="111"/>
      <c r="I25" s="111"/>
      <c r="J25" s="111"/>
      <c r="K25" s="111"/>
      <c r="L25" s="76" t="s">
        <v>8</v>
      </c>
    </row>
    <row r="26" spans="1:15" ht="27.75" x14ac:dyDescent="0.4">
      <c r="F26" s="112" t="s">
        <v>9</v>
      </c>
      <c r="G26" s="112"/>
      <c r="H26" s="112"/>
      <c r="I26" s="112"/>
      <c r="J26" s="109" t="s">
        <v>10</v>
      </c>
      <c r="K26" s="110"/>
    </row>
    <row r="27" spans="1:15" ht="16.5" x14ac:dyDescent="0.3">
      <c r="A27" s="107"/>
      <c r="B27" s="107"/>
      <c r="C27" s="107"/>
      <c r="D27" s="107"/>
      <c r="E27" s="107"/>
      <c r="F27" s="107"/>
      <c r="G27" s="107"/>
      <c r="H27" s="107"/>
      <c r="I27" s="107"/>
    </row>
    <row r="28" spans="1:15" ht="18" customHeight="1" x14ac:dyDescent="0.3">
      <c r="A28" s="106"/>
      <c r="B28" s="106"/>
      <c r="C28" s="106"/>
      <c r="D28" s="106"/>
      <c r="E28" s="106"/>
      <c r="F28" s="106"/>
      <c r="G28" s="106"/>
      <c r="H28" s="106"/>
      <c r="I28" s="106"/>
    </row>
    <row r="37" spans="1:9" ht="18" customHeight="1" x14ac:dyDescent="0.2"/>
    <row r="38" spans="1:9" ht="15.75" x14ac:dyDescent="0.25">
      <c r="A38" s="3" t="s">
        <v>11</v>
      </c>
      <c r="B38" s="4">
        <f ca="1">TODAY()</f>
        <v>44517</v>
      </c>
      <c r="C38" s="1"/>
      <c r="D38" s="1"/>
      <c r="E38" s="1"/>
      <c r="F38" s="1"/>
      <c r="G38" s="1"/>
      <c r="H38" s="1"/>
      <c r="I38" s="1"/>
    </row>
    <row r="39" spans="1:9" ht="15.75" x14ac:dyDescent="0.25">
      <c r="A39" s="3" t="s">
        <v>12</v>
      </c>
      <c r="B39" s="5" t="s">
        <v>13</v>
      </c>
      <c r="C39" s="1"/>
      <c r="D39" s="1"/>
      <c r="E39" s="1"/>
      <c r="F39" s="1"/>
      <c r="G39" s="1"/>
      <c r="H39" s="1"/>
      <c r="I39" s="1"/>
    </row>
    <row r="40" spans="1:9" ht="15.75" x14ac:dyDescent="0.2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tabSelected="1" topLeftCell="A13" zoomScaleNormal="100" workbookViewId="0">
      <selection activeCell="C25" sqref="C25:D25"/>
    </sheetView>
  </sheetViews>
  <sheetFormatPr defaultColWidth="9.140625" defaultRowHeight="13.5" x14ac:dyDescent="0.2"/>
  <cols>
    <col min="1" max="1" width="7.85546875" style="8" customWidth="1"/>
    <col min="2" max="2" width="22.140625" style="8" customWidth="1"/>
    <col min="3" max="3" width="6.42578125" style="8" customWidth="1"/>
    <col min="4" max="4" width="21.5703125" style="8" customWidth="1"/>
    <col min="5" max="5" width="0.140625" style="8" customWidth="1"/>
    <col min="6" max="6" width="9.140625" style="8" hidden="1" customWidth="1"/>
    <col min="7" max="7" width="19.7109375" style="8" customWidth="1"/>
    <col min="8" max="8" width="9.140625" style="8" hidden="1" customWidth="1"/>
    <col min="9" max="9" width="9.28515625" style="8" hidden="1" customWidth="1"/>
    <col min="10" max="10" width="11.140625" style="8" customWidth="1"/>
    <col min="11" max="11" width="12.42578125" style="8" customWidth="1"/>
    <col min="12" max="12" width="9.140625" style="8" hidden="1" customWidth="1"/>
    <col min="13" max="13" width="28" style="8" customWidth="1"/>
    <col min="14" max="15" width="9.140625" style="8"/>
    <col min="16" max="16" width="15" style="8" customWidth="1"/>
    <col min="17" max="17" width="37.140625" style="8" customWidth="1"/>
    <col min="18" max="24" width="9.140625" style="8"/>
    <col min="25" max="25" width="0" style="8" hidden="1" customWidth="1"/>
    <col min="26" max="16384" width="9.140625" style="8"/>
  </cols>
  <sheetData>
    <row r="1" spans="1:25" ht="16.5" x14ac:dyDescent="0.2">
      <c r="A1" s="7" t="s">
        <v>14</v>
      </c>
      <c r="Y1" s="8" t="s">
        <v>15</v>
      </c>
    </row>
    <row r="2" spans="1:25" x14ac:dyDescent="0.2">
      <c r="A2" s="9"/>
      <c r="F2" s="9"/>
      <c r="Y2" s="8" t="s">
        <v>16</v>
      </c>
    </row>
    <row r="3" spans="1:25" ht="15" x14ac:dyDescent="0.2">
      <c r="A3" s="126" t="s">
        <v>17</v>
      </c>
      <c r="B3" s="126"/>
      <c r="C3" s="126"/>
      <c r="D3" s="126" t="s">
        <v>18</v>
      </c>
      <c r="E3" s="126"/>
      <c r="F3" s="126"/>
      <c r="G3" s="126" t="s">
        <v>19</v>
      </c>
      <c r="H3" s="126"/>
      <c r="I3" s="126"/>
      <c r="J3" s="135" t="s">
        <v>20</v>
      </c>
      <c r="K3" s="136"/>
      <c r="L3" s="137"/>
      <c r="M3" s="126" t="s">
        <v>21</v>
      </c>
      <c r="N3" s="126"/>
      <c r="O3" s="126"/>
      <c r="P3" s="86" t="s">
        <v>22</v>
      </c>
      <c r="Q3" s="86" t="s">
        <v>23</v>
      </c>
      <c r="Y3" s="8" t="s">
        <v>24</v>
      </c>
    </row>
    <row r="4" spans="1:25" ht="27" x14ac:dyDescent="0.2">
      <c r="A4" s="129" t="s">
        <v>25</v>
      </c>
      <c r="B4" s="130"/>
      <c r="C4" s="131"/>
      <c r="D4" s="129" t="s">
        <v>26</v>
      </c>
      <c r="E4" s="131"/>
      <c r="F4" s="85"/>
      <c r="G4" s="116" t="s">
        <v>27</v>
      </c>
      <c r="H4" s="116"/>
      <c r="I4" s="116"/>
      <c r="J4" s="141">
        <v>1</v>
      </c>
      <c r="K4" s="142"/>
      <c r="L4" s="85"/>
      <c r="M4" s="138">
        <v>44468</v>
      </c>
      <c r="N4" s="139"/>
      <c r="O4" s="140"/>
      <c r="P4" s="87" t="s">
        <v>15</v>
      </c>
      <c r="Q4" s="10" t="s">
        <v>28</v>
      </c>
      <c r="U4" s="88"/>
      <c r="Y4" s="8" t="s">
        <v>29</v>
      </c>
    </row>
    <row r="5" spans="1:25" ht="27" x14ac:dyDescent="0.2">
      <c r="A5" s="129" t="s">
        <v>301</v>
      </c>
      <c r="B5" s="130"/>
      <c r="C5" s="131"/>
      <c r="D5" s="129" t="s">
        <v>302</v>
      </c>
      <c r="E5" s="131"/>
      <c r="F5" s="89"/>
      <c r="G5" s="116" t="s">
        <v>27</v>
      </c>
      <c r="H5" s="116"/>
      <c r="I5" s="116"/>
      <c r="J5" s="141">
        <v>1</v>
      </c>
      <c r="K5" s="142"/>
      <c r="L5" s="89"/>
      <c r="M5" s="138">
        <v>44481</v>
      </c>
      <c r="N5" s="139"/>
      <c r="O5" s="140"/>
      <c r="P5" s="90" t="s">
        <v>15</v>
      </c>
      <c r="Q5" s="10" t="s">
        <v>28</v>
      </c>
      <c r="U5" s="88"/>
    </row>
    <row r="7" spans="1:25" ht="16.5" x14ac:dyDescent="0.2">
      <c r="A7" s="7" t="s">
        <v>30</v>
      </c>
      <c r="B7" s="7"/>
      <c r="C7" s="7"/>
      <c r="D7" s="7"/>
      <c r="F7" s="9"/>
    </row>
    <row r="9" spans="1:25" ht="29.25" customHeight="1" x14ac:dyDescent="0.2">
      <c r="A9" s="132" t="s">
        <v>17</v>
      </c>
      <c r="B9" s="133"/>
      <c r="C9" s="132" t="s">
        <v>18</v>
      </c>
      <c r="D9" s="133"/>
      <c r="E9" s="132" t="s">
        <v>19</v>
      </c>
      <c r="F9" s="134"/>
      <c r="G9" s="133"/>
      <c r="H9" s="135" t="s">
        <v>20</v>
      </c>
      <c r="I9" s="134"/>
      <c r="J9" s="133"/>
      <c r="K9" s="132" t="s">
        <v>21</v>
      </c>
      <c r="L9" s="133"/>
      <c r="M9" s="132" t="s">
        <v>31</v>
      </c>
      <c r="N9" s="134"/>
      <c r="O9" s="133"/>
      <c r="P9" s="80"/>
    </row>
    <row r="10" spans="1:25" x14ac:dyDescent="0.2">
      <c r="A10" s="119"/>
      <c r="B10" s="119"/>
      <c r="C10" s="119"/>
      <c r="D10" s="119"/>
      <c r="E10" s="119"/>
      <c r="F10" s="119"/>
      <c r="G10" s="119"/>
      <c r="H10" s="119"/>
      <c r="I10" s="119"/>
      <c r="J10" s="119"/>
      <c r="K10" s="119"/>
      <c r="L10" s="119"/>
      <c r="M10" s="119"/>
      <c r="N10" s="119"/>
      <c r="O10" s="119"/>
      <c r="P10" s="81"/>
    </row>
    <row r="11" spans="1:25" x14ac:dyDescent="0.2">
      <c r="A11" s="119"/>
      <c r="B11" s="119"/>
      <c r="C11" s="119"/>
      <c r="D11" s="119"/>
      <c r="E11" s="119"/>
      <c r="F11" s="119"/>
      <c r="G11" s="119"/>
      <c r="H11" s="119"/>
      <c r="I11" s="119"/>
      <c r="J11" s="119"/>
      <c r="K11" s="119"/>
      <c r="L11" s="119"/>
      <c r="M11" s="119"/>
      <c r="N11" s="119"/>
      <c r="O11" s="119"/>
      <c r="P11" s="81"/>
    </row>
    <row r="12" spans="1:25" x14ac:dyDescent="0.2">
      <c r="A12" s="119"/>
      <c r="B12" s="119"/>
      <c r="C12" s="119"/>
      <c r="D12" s="119"/>
      <c r="E12" s="119"/>
      <c r="F12" s="119"/>
      <c r="G12" s="119"/>
      <c r="H12" s="119"/>
      <c r="I12" s="119"/>
      <c r="J12" s="119"/>
      <c r="K12" s="119"/>
      <c r="L12" s="119"/>
      <c r="M12" s="119"/>
      <c r="N12" s="119"/>
      <c r="O12" s="119"/>
      <c r="P12" s="81"/>
    </row>
    <row r="13" spans="1:25" x14ac:dyDescent="0.2">
      <c r="A13" s="119"/>
      <c r="B13" s="119"/>
      <c r="C13" s="119"/>
      <c r="D13" s="119"/>
      <c r="E13" s="119"/>
      <c r="F13" s="119"/>
      <c r="G13" s="119"/>
      <c r="H13" s="119"/>
      <c r="I13" s="119"/>
      <c r="J13" s="119"/>
      <c r="K13" s="119"/>
      <c r="L13" s="119"/>
      <c r="M13" s="119"/>
      <c r="N13" s="119"/>
      <c r="O13" s="119"/>
      <c r="P13" s="81"/>
    </row>
    <row r="14" spans="1:25" x14ac:dyDescent="0.2">
      <c r="A14" s="119"/>
      <c r="B14" s="119"/>
      <c r="C14" s="119"/>
      <c r="D14" s="119"/>
      <c r="E14" s="119"/>
      <c r="F14" s="119"/>
      <c r="G14" s="119"/>
      <c r="H14" s="119"/>
      <c r="I14" s="119"/>
      <c r="J14" s="119"/>
      <c r="K14" s="119"/>
      <c r="L14" s="119"/>
      <c r="M14" s="119"/>
      <c r="N14" s="119"/>
      <c r="O14" s="119"/>
      <c r="P14" s="81"/>
    </row>
    <row r="15" spans="1:25" x14ac:dyDescent="0.2">
      <c r="A15" s="119"/>
      <c r="B15" s="119"/>
      <c r="C15" s="119"/>
      <c r="D15" s="119"/>
      <c r="E15" s="119"/>
      <c r="F15" s="119"/>
      <c r="G15" s="119"/>
      <c r="H15" s="119"/>
      <c r="I15" s="119"/>
      <c r="J15" s="119"/>
      <c r="K15" s="119"/>
      <c r="L15" s="119"/>
      <c r="M15" s="119"/>
      <c r="N15" s="119"/>
      <c r="O15" s="119"/>
      <c r="P15" s="81"/>
    </row>
    <row r="16" spans="1:25" x14ac:dyDescent="0.2">
      <c r="A16" s="119"/>
      <c r="B16" s="119"/>
      <c r="C16" s="119"/>
      <c r="D16" s="119"/>
      <c r="E16" s="119"/>
      <c r="F16" s="119"/>
      <c r="G16" s="119"/>
      <c r="H16" s="119"/>
      <c r="I16" s="119"/>
      <c r="J16" s="119"/>
      <c r="K16" s="119"/>
      <c r="L16" s="119"/>
      <c r="M16" s="119"/>
      <c r="N16" s="119"/>
      <c r="O16" s="119"/>
      <c r="P16" s="81"/>
    </row>
    <row r="17" spans="1:16" x14ac:dyDescent="0.2">
      <c r="A17" s="119"/>
      <c r="B17" s="119"/>
      <c r="C17" s="119"/>
      <c r="D17" s="119"/>
      <c r="E17" s="119"/>
      <c r="F17" s="119"/>
      <c r="G17" s="119"/>
      <c r="H17" s="119"/>
      <c r="I17" s="119"/>
      <c r="J17" s="119"/>
      <c r="K17" s="119"/>
      <c r="L17" s="119"/>
      <c r="M17" s="119"/>
      <c r="N17" s="119"/>
      <c r="O17" s="119"/>
      <c r="P17" s="81"/>
    </row>
    <row r="20" spans="1:16" ht="15" x14ac:dyDescent="0.2">
      <c r="A20" s="128" t="s">
        <v>32</v>
      </c>
      <c r="B20" s="128"/>
      <c r="C20" s="128" t="s">
        <v>33</v>
      </c>
      <c r="D20" s="128"/>
      <c r="M20" s="8" t="s">
        <v>363</v>
      </c>
      <c r="N20" s="8">
        <v>0.125</v>
      </c>
    </row>
    <row r="21" spans="1:16" x14ac:dyDescent="0.2">
      <c r="A21" s="116" t="s">
        <v>34</v>
      </c>
      <c r="B21" s="116"/>
      <c r="C21" s="119">
        <v>0.125</v>
      </c>
      <c r="D21" s="119"/>
      <c r="M21" s="8" t="s">
        <v>364</v>
      </c>
      <c r="N21" s="8">
        <v>0.75</v>
      </c>
    </row>
    <row r="22" spans="1:16" x14ac:dyDescent="0.2">
      <c r="A22" s="116" t="s">
        <v>35</v>
      </c>
      <c r="B22" s="116"/>
      <c r="C22" s="119">
        <v>0</v>
      </c>
      <c r="D22" s="119"/>
    </row>
    <row r="23" spans="1:16" x14ac:dyDescent="0.2">
      <c r="A23" s="116" t="s">
        <v>36</v>
      </c>
      <c r="B23" s="116"/>
      <c r="C23" s="119">
        <v>0.1</v>
      </c>
      <c r="D23" s="119"/>
    </row>
    <row r="24" spans="1:16" x14ac:dyDescent="0.2">
      <c r="A24" s="116" t="s">
        <v>37</v>
      </c>
      <c r="B24" s="116"/>
      <c r="C24" s="119">
        <f>'1.0 DB Schema'!B48+'2.0 Ifb &amp; PHP'!B41+'3.0 Mapping'!B24+'4.0 Worklet &amp; workflow'!B21+'5.0 Stored Procedure'!B10+'4.1 Session Details'!B33</f>
        <v>1.5337500000000002</v>
      </c>
      <c r="D24" s="119"/>
    </row>
    <row r="25" spans="1:16" x14ac:dyDescent="0.2">
      <c r="A25" s="116" t="s">
        <v>38</v>
      </c>
      <c r="B25" s="116"/>
      <c r="C25" s="119">
        <f>SUM(N20:N21)</f>
        <v>0.875</v>
      </c>
      <c r="D25" s="119"/>
    </row>
    <row r="26" spans="1:16" x14ac:dyDescent="0.2">
      <c r="A26" s="116" t="s">
        <v>39</v>
      </c>
      <c r="B26" s="116"/>
      <c r="C26" s="117">
        <v>0.25</v>
      </c>
      <c r="D26" s="118"/>
    </row>
    <row r="27" spans="1:16" ht="15" x14ac:dyDescent="0.2">
      <c r="A27" s="127" t="s">
        <v>40</v>
      </c>
      <c r="B27" s="127"/>
      <c r="C27" s="128">
        <f>SUM(C21:E26)</f>
        <v>2.88375</v>
      </c>
      <c r="D27" s="128"/>
      <c r="G27" s="8">
        <f>C27*8</f>
        <v>23.07</v>
      </c>
    </row>
    <row r="30" spans="1:16" x14ac:dyDescent="0.2">
      <c r="B30" s="113" t="s">
        <v>41</v>
      </c>
      <c r="C30" s="114"/>
      <c r="D30" s="114"/>
      <c r="E30" s="114"/>
      <c r="F30" s="114"/>
      <c r="G30" s="114"/>
      <c r="H30" s="114"/>
      <c r="I30" s="114"/>
      <c r="J30" s="114"/>
      <c r="K30" s="114"/>
      <c r="L30" s="114"/>
      <c r="M30" s="115"/>
    </row>
    <row r="31" spans="1:16" ht="33.75" customHeight="1" x14ac:dyDescent="0.2">
      <c r="B31" s="124" t="s">
        <v>34</v>
      </c>
      <c r="C31" s="125"/>
      <c r="D31" s="120" t="s">
        <v>42</v>
      </c>
      <c r="E31" s="120"/>
      <c r="F31" s="120"/>
      <c r="G31" s="120"/>
      <c r="H31" s="120"/>
      <c r="I31" s="120"/>
      <c r="J31" s="120"/>
      <c r="K31" s="120"/>
      <c r="L31" s="120"/>
      <c r="M31" s="120"/>
    </row>
    <row r="32" spans="1:16" ht="39.75" customHeight="1" x14ac:dyDescent="0.2">
      <c r="B32" s="124" t="s">
        <v>35</v>
      </c>
      <c r="C32" s="125"/>
      <c r="D32" s="120" t="s">
        <v>43</v>
      </c>
      <c r="E32" s="120"/>
      <c r="F32" s="120"/>
      <c r="G32" s="120"/>
      <c r="H32" s="120"/>
      <c r="I32" s="120"/>
      <c r="J32" s="120"/>
      <c r="K32" s="120"/>
      <c r="L32" s="120"/>
      <c r="M32" s="120"/>
    </row>
    <row r="33" spans="2:13" ht="236.25" customHeight="1" x14ac:dyDescent="0.2">
      <c r="B33" s="124" t="s">
        <v>36</v>
      </c>
      <c r="C33" s="125"/>
      <c r="D33" s="120" t="s">
        <v>44</v>
      </c>
      <c r="E33" s="120"/>
      <c r="F33" s="120"/>
      <c r="G33" s="120"/>
      <c r="H33" s="120"/>
      <c r="I33" s="120"/>
      <c r="J33" s="120"/>
      <c r="K33" s="120"/>
      <c r="L33" s="120"/>
      <c r="M33" s="120"/>
    </row>
    <row r="34" spans="2:13" ht="15" x14ac:dyDescent="0.2">
      <c r="B34" s="124" t="s">
        <v>37</v>
      </c>
      <c r="C34" s="125"/>
      <c r="D34" s="120" t="s">
        <v>45</v>
      </c>
      <c r="E34" s="120"/>
      <c r="F34" s="120"/>
      <c r="G34" s="120"/>
      <c r="H34" s="120"/>
      <c r="I34" s="120"/>
      <c r="J34" s="120"/>
      <c r="K34" s="120"/>
      <c r="L34" s="120"/>
      <c r="M34" s="120"/>
    </row>
    <row r="35" spans="2:13" ht="52.5" customHeight="1" x14ac:dyDescent="0.2">
      <c r="B35" s="124" t="s">
        <v>38</v>
      </c>
      <c r="C35" s="125"/>
      <c r="D35" s="121" t="s">
        <v>46</v>
      </c>
      <c r="E35" s="122"/>
      <c r="F35" s="122"/>
      <c r="G35" s="122"/>
      <c r="H35" s="122"/>
      <c r="I35" s="122"/>
      <c r="J35" s="122"/>
      <c r="K35" s="122"/>
      <c r="L35" s="122"/>
      <c r="M35" s="123"/>
    </row>
    <row r="36" spans="2:13" ht="34.5" customHeight="1" x14ac:dyDescent="0.2">
      <c r="B36" s="124" t="s">
        <v>39</v>
      </c>
      <c r="C36" s="125"/>
      <c r="D36" s="120" t="s">
        <v>47</v>
      </c>
      <c r="E36" s="120"/>
      <c r="F36" s="120"/>
      <c r="G36" s="120"/>
      <c r="H36" s="120"/>
      <c r="I36" s="120"/>
      <c r="J36" s="120"/>
      <c r="K36" s="120"/>
      <c r="L36" s="120"/>
      <c r="M36" s="120"/>
    </row>
    <row r="37" spans="2:13" ht="29.25" customHeight="1" x14ac:dyDescent="0.2"/>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21"/>
  <sheetViews>
    <sheetView topLeftCell="A16" workbookViewId="0">
      <selection activeCell="C21" sqref="C21"/>
    </sheetView>
  </sheetViews>
  <sheetFormatPr defaultColWidth="11.42578125" defaultRowHeight="12.75" x14ac:dyDescent="0.2"/>
  <cols>
    <col min="1" max="1" width="4.28515625" style="32" customWidth="1"/>
    <col min="2" max="2" width="87.42578125" style="21" customWidth="1"/>
    <col min="3" max="3" width="10.7109375" style="21" customWidth="1"/>
    <col min="4" max="16384" width="11.42578125" style="21"/>
  </cols>
  <sheetData>
    <row r="1" spans="1:2" ht="13.5" thickBot="1" x14ac:dyDescent="0.25">
      <c r="A1" s="143" t="s">
        <v>48</v>
      </c>
      <c r="B1" s="143"/>
    </row>
    <row r="2" spans="1:2" x14ac:dyDescent="0.2">
      <c r="A2" s="30"/>
      <c r="B2" s="24" t="s">
        <v>49</v>
      </c>
    </row>
    <row r="3" spans="1:2" x14ac:dyDescent="0.2">
      <c r="A3" s="31"/>
      <c r="B3" s="20"/>
    </row>
    <row r="5" spans="1:2" x14ac:dyDescent="0.2">
      <c r="A5" s="30" t="s">
        <v>50</v>
      </c>
      <c r="B5" s="23" t="s">
        <v>51</v>
      </c>
    </row>
    <row r="6" spans="1:2" x14ac:dyDescent="0.2">
      <c r="A6" s="31">
        <v>1</v>
      </c>
      <c r="B6" s="20"/>
    </row>
    <row r="7" spans="1:2" x14ac:dyDescent="0.2">
      <c r="A7" s="31">
        <v>2</v>
      </c>
      <c r="B7" s="20"/>
    </row>
    <row r="8" spans="1:2" x14ac:dyDescent="0.2">
      <c r="A8" s="31">
        <v>3</v>
      </c>
      <c r="B8" s="20"/>
    </row>
    <row r="9" spans="1:2" x14ac:dyDescent="0.2">
      <c r="A9" s="31" t="s">
        <v>52</v>
      </c>
      <c r="B9" s="20"/>
    </row>
    <row r="10" spans="1:2" x14ac:dyDescent="0.2">
      <c r="A10" s="31" t="s">
        <v>53</v>
      </c>
      <c r="B10" s="20"/>
    </row>
    <row r="12" spans="1:2" x14ac:dyDescent="0.2">
      <c r="A12" s="30" t="s">
        <v>50</v>
      </c>
      <c r="B12" s="23" t="s">
        <v>54</v>
      </c>
    </row>
    <row r="13" spans="1:2" x14ac:dyDescent="0.2">
      <c r="A13" s="31">
        <v>4</v>
      </c>
      <c r="B13" s="20"/>
    </row>
    <row r="15" spans="1:2" x14ac:dyDescent="0.2">
      <c r="A15" s="30" t="s">
        <v>50</v>
      </c>
      <c r="B15" s="23" t="s">
        <v>55</v>
      </c>
    </row>
    <row r="16" spans="1:2" x14ac:dyDescent="0.2">
      <c r="A16" s="31">
        <v>5</v>
      </c>
      <c r="B16" s="20"/>
    </row>
    <row r="17" spans="1:3" ht="13.5" thickBot="1" x14ac:dyDescent="0.25"/>
    <row r="18" spans="1:3" x14ac:dyDescent="0.2">
      <c r="A18" s="33" t="s">
        <v>50</v>
      </c>
      <c r="B18" s="22" t="s">
        <v>56</v>
      </c>
    </row>
    <row r="19" spans="1:3" x14ac:dyDescent="0.2">
      <c r="A19" s="31">
        <v>6</v>
      </c>
      <c r="B19" s="25" t="s">
        <v>365</v>
      </c>
    </row>
    <row r="20" spans="1:3" ht="63.75" x14ac:dyDescent="0.2">
      <c r="A20" s="31">
        <v>7</v>
      </c>
      <c r="B20" s="25" t="s">
        <v>366</v>
      </c>
      <c r="C20" s="99" t="s">
        <v>368</v>
      </c>
    </row>
    <row r="21" spans="1:3" ht="63.75" x14ac:dyDescent="0.2">
      <c r="A21" s="31">
        <v>8</v>
      </c>
      <c r="B21" s="25" t="s">
        <v>367</v>
      </c>
      <c r="C21" s="99" t="s">
        <v>368</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topLeftCell="A13" workbookViewId="0">
      <selection activeCell="C19" sqref="C19"/>
    </sheetView>
  </sheetViews>
  <sheetFormatPr defaultRowHeight="12.75" x14ac:dyDescent="0.2"/>
  <cols>
    <col min="1" max="1" width="43.85546875" bestFit="1" customWidth="1"/>
    <col min="2" max="2" width="99.85546875" bestFit="1" customWidth="1"/>
    <col min="3" max="3" width="20.42578125" customWidth="1"/>
    <col min="4" max="4" width="25" customWidth="1"/>
    <col min="18" max="18" width="11" customWidth="1"/>
  </cols>
  <sheetData>
    <row r="1" spans="1:18" ht="13.5" thickBot="1" x14ac:dyDescent="0.25">
      <c r="A1" s="144" t="s">
        <v>57</v>
      </c>
      <c r="B1" s="145"/>
      <c r="C1" s="145"/>
      <c r="D1" s="146"/>
      <c r="M1" s="46" t="s">
        <v>58</v>
      </c>
      <c r="N1" s="47"/>
      <c r="O1" s="47"/>
      <c r="P1" s="47"/>
      <c r="Q1" s="47"/>
      <c r="R1" s="48"/>
    </row>
    <row r="2" spans="1:18" ht="13.5" thickBot="1" x14ac:dyDescent="0.25">
      <c r="C2" s="21"/>
      <c r="M2" s="49" t="s">
        <v>59</v>
      </c>
      <c r="N2" s="34"/>
      <c r="O2" s="34"/>
      <c r="P2" s="34"/>
      <c r="Q2" s="34"/>
      <c r="R2" s="50"/>
    </row>
    <row r="3" spans="1:18" x14ac:dyDescent="0.2">
      <c r="A3" s="55" t="s">
        <v>60</v>
      </c>
      <c r="B3" s="27"/>
      <c r="C3" s="27"/>
      <c r="M3" s="49" t="s">
        <v>61</v>
      </c>
      <c r="N3" s="34"/>
      <c r="O3" s="34"/>
      <c r="P3" s="34"/>
      <c r="Q3" s="34"/>
      <c r="R3" s="50"/>
    </row>
    <row r="4" spans="1:18" ht="25.5" customHeight="1" x14ac:dyDescent="0.2">
      <c r="A4" s="12" t="s">
        <v>62</v>
      </c>
      <c r="B4" s="12" t="s">
        <v>63</v>
      </c>
      <c r="C4" s="26" t="s">
        <v>22</v>
      </c>
      <c r="D4" s="26" t="s">
        <v>64</v>
      </c>
      <c r="M4" s="51" t="s">
        <v>65</v>
      </c>
      <c r="N4" s="34"/>
      <c r="O4" s="34"/>
      <c r="P4" s="34"/>
      <c r="Q4" s="34"/>
      <c r="R4" s="50"/>
    </row>
    <row r="5" spans="1:18" ht="128.25" thickBot="1" x14ac:dyDescent="0.25">
      <c r="A5" s="39" t="s">
        <v>66</v>
      </c>
      <c r="B5" s="25" t="s">
        <v>67</v>
      </c>
      <c r="C5" s="11"/>
      <c r="D5" s="11"/>
      <c r="M5" s="52"/>
      <c r="N5" s="53"/>
      <c r="O5" s="53"/>
      <c r="P5" s="53"/>
      <c r="Q5" s="53"/>
      <c r="R5" s="54"/>
    </row>
    <row r="6" spans="1:18" x14ac:dyDescent="0.2">
      <c r="A6" s="39" t="s">
        <v>68</v>
      </c>
      <c r="B6" s="39" t="s">
        <v>69</v>
      </c>
      <c r="C6" s="11"/>
      <c r="D6" s="11"/>
    </row>
    <row r="7" spans="1:18" x14ac:dyDescent="0.2">
      <c r="A7" s="39" t="s">
        <v>70</v>
      </c>
      <c r="B7" s="39" t="s">
        <v>71</v>
      </c>
      <c r="C7" s="11"/>
      <c r="D7" s="11"/>
    </row>
    <row r="8" spans="1:18" ht="89.25" x14ac:dyDescent="0.2">
      <c r="A8" s="39" t="s">
        <v>72</v>
      </c>
      <c r="B8" s="25" t="s">
        <v>73</v>
      </c>
      <c r="C8" s="11"/>
      <c r="D8" s="11"/>
    </row>
    <row r="9" spans="1:18" x14ac:dyDescent="0.2">
      <c r="A9" s="39" t="s">
        <v>74</v>
      </c>
      <c r="B9" s="39" t="s">
        <v>75</v>
      </c>
      <c r="C9" s="11"/>
      <c r="D9" s="11"/>
    </row>
    <row r="10" spans="1:18" x14ac:dyDescent="0.2">
      <c r="A10" s="39" t="s">
        <v>76</v>
      </c>
      <c r="B10" s="11"/>
      <c r="C10" s="11"/>
      <c r="D10" s="11"/>
    </row>
    <row r="11" spans="1:18" x14ac:dyDescent="0.2">
      <c r="A11" s="39" t="s">
        <v>77</v>
      </c>
      <c r="B11" s="39" t="s">
        <v>78</v>
      </c>
      <c r="C11" s="11"/>
      <c r="D11" s="11"/>
    </row>
    <row r="12" spans="1:18" x14ac:dyDescent="0.2">
      <c r="A12" s="39" t="s">
        <v>79</v>
      </c>
      <c r="B12" s="39" t="s">
        <v>80</v>
      </c>
      <c r="C12" s="11"/>
      <c r="D12" s="11"/>
    </row>
    <row r="13" spans="1:18" x14ac:dyDescent="0.2">
      <c r="A13" s="39" t="s">
        <v>81</v>
      </c>
      <c r="B13" s="39" t="s">
        <v>82</v>
      </c>
      <c r="C13" s="11"/>
      <c r="D13" s="11"/>
    </row>
    <row r="14" spans="1:18" x14ac:dyDescent="0.2">
      <c r="A14" s="39" t="s">
        <v>83</v>
      </c>
      <c r="B14" s="39" t="s">
        <v>84</v>
      </c>
      <c r="C14" s="11"/>
      <c r="D14" s="11"/>
    </row>
    <row r="15" spans="1:18" x14ac:dyDescent="0.2">
      <c r="A15" s="39" t="s">
        <v>85</v>
      </c>
      <c r="B15" s="39" t="s">
        <v>86</v>
      </c>
      <c r="C15" s="11"/>
      <c r="D15" s="11"/>
    </row>
    <row r="16" spans="1:18" x14ac:dyDescent="0.2">
      <c r="A16" s="39" t="s">
        <v>87</v>
      </c>
      <c r="B16" s="39" t="s">
        <v>88</v>
      </c>
      <c r="C16" s="11"/>
      <c r="D16" s="11"/>
    </row>
    <row r="17" spans="1:4" x14ac:dyDescent="0.2">
      <c r="A17" s="39" t="s">
        <v>89</v>
      </c>
      <c r="B17" s="39" t="s">
        <v>90</v>
      </c>
      <c r="C17" s="11"/>
      <c r="D17" s="11"/>
    </row>
    <row r="18" spans="1:4" x14ac:dyDescent="0.2">
      <c r="A18" s="39" t="s">
        <v>91</v>
      </c>
      <c r="B18" s="39" t="s">
        <v>92</v>
      </c>
      <c r="C18" s="11"/>
      <c r="D18" s="11"/>
    </row>
    <row r="19" spans="1:4" x14ac:dyDescent="0.2">
      <c r="A19" s="39" t="s">
        <v>93</v>
      </c>
      <c r="B19" s="39" t="s">
        <v>94</v>
      </c>
      <c r="C19" s="11"/>
      <c r="D19" s="11"/>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x14ac:dyDescent="0.2"/>
  <cols>
    <col min="1" max="1" width="55.28515625" customWidth="1"/>
    <col min="2" max="2" width="70.7109375" customWidth="1"/>
    <col min="3" max="3" width="26.5703125" customWidth="1"/>
  </cols>
  <sheetData>
    <row r="1" spans="1:3" x14ac:dyDescent="0.2">
      <c r="A1" s="65" t="s">
        <v>95</v>
      </c>
      <c r="B1" s="66" t="s">
        <v>96</v>
      </c>
    </row>
    <row r="2" spans="1:3" x14ac:dyDescent="0.2">
      <c r="A2" s="67" t="s">
        <v>97</v>
      </c>
      <c r="B2" s="68" t="str">
        <f>PPRD</f>
        <v>Feb, 2022</v>
      </c>
      <c r="C2" s="56"/>
    </row>
    <row r="3" spans="1:3" x14ac:dyDescent="0.2">
      <c r="A3" s="67" t="s">
        <v>98</v>
      </c>
      <c r="B3" s="69" t="str">
        <f>CRNIRN</f>
        <v xml:space="preserve">CHG213427  </v>
      </c>
      <c r="C3" s="56"/>
    </row>
    <row r="4" spans="1:3" x14ac:dyDescent="0.2">
      <c r="A4" s="67" t="s">
        <v>99</v>
      </c>
      <c r="B4" s="69" t="str">
        <f>MA</f>
        <v>CT</v>
      </c>
      <c r="C4" s="56"/>
    </row>
    <row r="5" spans="1:3" x14ac:dyDescent="0.2">
      <c r="A5" s="67" t="s">
        <v>100</v>
      </c>
      <c r="B5" s="69" t="s">
        <v>101</v>
      </c>
    </row>
    <row r="6" spans="1:3" x14ac:dyDescent="0.2">
      <c r="A6" s="67" t="s">
        <v>102</v>
      </c>
      <c r="B6" s="71" t="s">
        <v>103</v>
      </c>
    </row>
    <row r="7" spans="1:3" x14ac:dyDescent="0.2">
      <c r="A7" s="67" t="s">
        <v>104</v>
      </c>
      <c r="B7" s="72">
        <f>DevDReviewed</f>
        <v>44468</v>
      </c>
      <c r="C7" s="56"/>
    </row>
    <row r="8" spans="1:3" x14ac:dyDescent="0.2">
      <c r="A8" s="67" t="s">
        <v>105</v>
      </c>
      <c r="B8" s="71" t="str">
        <f>DevNameReviewed</f>
        <v>VikramSeeburn</v>
      </c>
      <c r="C8" s="56"/>
    </row>
    <row r="9" spans="1:3" x14ac:dyDescent="0.2">
      <c r="A9" s="67" t="s">
        <v>106</v>
      </c>
      <c r="B9" s="70">
        <f>DateReviewed</f>
        <v>44481</v>
      </c>
      <c r="C9" s="56"/>
    </row>
    <row r="10" spans="1:3" x14ac:dyDescent="0.2">
      <c r="A10" s="67" t="s">
        <v>107</v>
      </c>
      <c r="B10" s="71" t="str">
        <f>ReviewedBy</f>
        <v>RhishnaRamen</v>
      </c>
      <c r="C10" s="56"/>
    </row>
    <row r="17" spans="3:3" x14ac:dyDescent="0.2">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topLeftCell="A13" workbookViewId="0">
      <selection activeCell="B34" sqref="B34"/>
    </sheetView>
  </sheetViews>
  <sheetFormatPr defaultColWidth="9.140625" defaultRowHeight="12.75" x14ac:dyDescent="0.2"/>
  <cols>
    <col min="1" max="1" width="19.42578125" style="57" customWidth="1"/>
    <col min="2" max="2" width="42.5703125" style="57" customWidth="1"/>
    <col min="3" max="3" width="50.85546875" style="57" customWidth="1"/>
    <col min="4" max="4" width="27.42578125" style="57" customWidth="1"/>
    <col min="5" max="5" width="32.28515625" style="57" customWidth="1"/>
    <col min="6" max="16384" width="9.140625" style="57"/>
  </cols>
  <sheetData>
    <row r="1" spans="1:5" ht="13.5" thickBot="1" x14ac:dyDescent="0.25">
      <c r="A1" s="144" t="s">
        <v>108</v>
      </c>
      <c r="B1" s="145"/>
      <c r="C1" s="145"/>
      <c r="D1" s="147"/>
    </row>
    <row r="2" spans="1:5" x14ac:dyDescent="0.2">
      <c r="B2" s="12" t="s">
        <v>109</v>
      </c>
      <c r="C2" s="12" t="s">
        <v>110</v>
      </c>
      <c r="D2" s="12" t="s">
        <v>111</v>
      </c>
      <c r="E2" s="58"/>
    </row>
    <row r="3" spans="1:5" ht="38.25" x14ac:dyDescent="0.2">
      <c r="B3" s="59" t="s">
        <v>112</v>
      </c>
      <c r="C3" s="60" t="s">
        <v>113</v>
      </c>
      <c r="D3" s="61" t="str">
        <f>IF(ISBLANK('1.0 DB Schema'!B48)=FALSE,"Impacted","Not Impacted")</f>
        <v>Impacted</v>
      </c>
    </row>
    <row r="4" spans="1:5" ht="25.5" x14ac:dyDescent="0.2">
      <c r="B4" s="59" t="s">
        <v>114</v>
      </c>
      <c r="C4" s="60" t="s">
        <v>115</v>
      </c>
      <c r="D4" s="61" t="str">
        <f>IF(ISBLANK('2.0 Ifb &amp; PHP'!B41)=FALSE,"Impacted","Not Impacted")</f>
        <v>Impacted</v>
      </c>
    </row>
    <row r="5" spans="1:5" ht="38.25" x14ac:dyDescent="0.2">
      <c r="B5" s="59" t="s">
        <v>116</v>
      </c>
      <c r="C5" s="60" t="s">
        <v>117</v>
      </c>
      <c r="D5" s="61" t="str">
        <f>IF(ISBLANK('3.0 Mapping'!B24)=FALSE,"Impacted","Not Impacted")</f>
        <v>Impacted</v>
      </c>
    </row>
    <row r="6" spans="1:5" ht="25.5" x14ac:dyDescent="0.2">
      <c r="B6" s="59" t="s">
        <v>118</v>
      </c>
      <c r="C6" s="60" t="s">
        <v>119</v>
      </c>
      <c r="D6" s="61" t="str">
        <f>IF(ISBLANK('4.0 Worklet &amp; workflow'!B21)=FALSE,"Impacted","Not Impacted")</f>
        <v>Impacted</v>
      </c>
    </row>
    <row r="7" spans="1:5" ht="25.5" x14ac:dyDescent="0.2">
      <c r="B7" s="59" t="s">
        <v>120</v>
      </c>
      <c r="C7" s="60" t="s">
        <v>121</v>
      </c>
      <c r="D7" s="61" t="str">
        <f>IF(ISBLANK('5.0 Stored Procedure'!B10)=FALSE,"Impacted","Not Impacted")</f>
        <v>Not Impacted</v>
      </c>
    </row>
    <row r="8" spans="1:5" ht="25.5" x14ac:dyDescent="0.2">
      <c r="B8" s="59" t="s">
        <v>122</v>
      </c>
      <c r="C8" s="60" t="s">
        <v>123</v>
      </c>
      <c r="D8" s="61" t="str">
        <f>IF(ISBLANK('6.0 Data Update'!E5)=FALSE,"Impacted","Not Impacted")</f>
        <v>Not Impacted</v>
      </c>
    </row>
    <row r="10" spans="1:5" ht="13.5" thickBot="1" x14ac:dyDescent="0.25"/>
    <row r="11" spans="1:5" ht="13.5" thickBot="1" x14ac:dyDescent="0.25">
      <c r="B11" s="15" t="s">
        <v>124</v>
      </c>
    </row>
    <row r="12" spans="1:5" x14ac:dyDescent="0.2">
      <c r="B12" s="12" t="s">
        <v>125</v>
      </c>
      <c r="C12" s="12" t="s">
        <v>126</v>
      </c>
      <c r="D12" s="12" t="s">
        <v>127</v>
      </c>
    </row>
    <row r="13" spans="1:5" x14ac:dyDescent="0.2">
      <c r="B13" s="61" t="s">
        <v>128</v>
      </c>
      <c r="C13" s="61" t="s">
        <v>129</v>
      </c>
      <c r="D13" s="62" t="s">
        <v>130</v>
      </c>
    </row>
    <row r="14" spans="1:5" x14ac:dyDescent="0.2">
      <c r="B14" s="61" t="s">
        <v>131</v>
      </c>
      <c r="C14" s="62" t="s">
        <v>132</v>
      </c>
      <c r="D14" s="61" t="s">
        <v>133</v>
      </c>
    </row>
    <row r="15" spans="1:5" x14ac:dyDescent="0.2">
      <c r="B15" s="61" t="s">
        <v>134</v>
      </c>
      <c r="C15" s="61" t="s">
        <v>135</v>
      </c>
      <c r="D15" s="61" t="s">
        <v>136</v>
      </c>
    </row>
    <row r="16" spans="1:5" x14ac:dyDescent="0.2">
      <c r="B16" s="61" t="s">
        <v>137</v>
      </c>
      <c r="C16" s="61" t="s">
        <v>138</v>
      </c>
      <c r="D16" s="61" t="s">
        <v>139</v>
      </c>
    </row>
    <row r="17" spans="2:4" x14ac:dyDescent="0.2">
      <c r="B17" s="61" t="s">
        <v>140</v>
      </c>
      <c r="C17" s="62" t="s">
        <v>141</v>
      </c>
      <c r="D17" s="61" t="s">
        <v>142</v>
      </c>
    </row>
    <row r="18" spans="2:4" x14ac:dyDescent="0.2">
      <c r="B18" s="61" t="s">
        <v>143</v>
      </c>
      <c r="C18" s="61" t="s">
        <v>144</v>
      </c>
      <c r="D18" s="61" t="s">
        <v>145</v>
      </c>
    </row>
    <row r="19" spans="2:4" x14ac:dyDescent="0.2">
      <c r="B19" s="61" t="s">
        <v>146</v>
      </c>
      <c r="C19" s="61" t="s">
        <v>147</v>
      </c>
      <c r="D19" s="61" t="s">
        <v>148</v>
      </c>
    </row>
    <row r="20" spans="2:4" x14ac:dyDescent="0.2">
      <c r="B20" s="61" t="s">
        <v>149</v>
      </c>
      <c r="C20" s="62" t="s">
        <v>150</v>
      </c>
      <c r="D20" s="61" t="s">
        <v>151</v>
      </c>
    </row>
    <row r="21" spans="2:4" x14ac:dyDescent="0.2">
      <c r="B21" s="61" t="s">
        <v>152</v>
      </c>
      <c r="C21" s="62" t="s">
        <v>153</v>
      </c>
      <c r="D21" s="61" t="s">
        <v>154</v>
      </c>
    </row>
    <row r="22" spans="2:4" x14ac:dyDescent="0.2">
      <c r="B22" s="61" t="s">
        <v>155</v>
      </c>
      <c r="C22" s="62" t="s">
        <v>156</v>
      </c>
      <c r="D22" s="61" t="s">
        <v>157</v>
      </c>
    </row>
    <row r="23" spans="2:4" x14ac:dyDescent="0.2">
      <c r="B23" s="61" t="s">
        <v>158</v>
      </c>
      <c r="C23" s="61" t="s">
        <v>159</v>
      </c>
      <c r="D23" s="61" t="s">
        <v>160</v>
      </c>
    </row>
    <row r="24" spans="2:4" x14ac:dyDescent="0.2">
      <c r="B24" s="61" t="s">
        <v>161</v>
      </c>
      <c r="C24" s="61"/>
      <c r="D24" s="61"/>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48"/>
  <sheetViews>
    <sheetView topLeftCell="A34" workbookViewId="0">
      <selection activeCell="F33" sqref="F33:F34"/>
    </sheetView>
  </sheetViews>
  <sheetFormatPr defaultRowHeight="12.75" x14ac:dyDescent="0.2"/>
  <cols>
    <col min="1" max="1" width="31.85546875" bestFit="1" customWidth="1"/>
    <col min="2" max="2" width="25" bestFit="1" customWidth="1"/>
    <col min="3" max="3" width="41.425781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4" ht="13.5" thickBot="1" x14ac:dyDescent="0.25">
      <c r="A1" s="144" t="s">
        <v>162</v>
      </c>
      <c r="B1" s="145"/>
      <c r="C1" s="146"/>
    </row>
    <row r="2" spans="1:24" ht="15.75" thickBot="1" x14ac:dyDescent="0.3">
      <c r="E2" s="75" t="s">
        <v>163</v>
      </c>
      <c r="F2" s="34"/>
      <c r="G2" s="34"/>
      <c r="H2" s="34"/>
      <c r="I2" s="34"/>
      <c r="J2" s="34"/>
      <c r="K2" s="34"/>
      <c r="W2" s="56"/>
    </row>
    <row r="3" spans="1:24" ht="13.5" thickBot="1" x14ac:dyDescent="0.25">
      <c r="A3" s="15" t="s">
        <v>164</v>
      </c>
      <c r="B3" s="13"/>
      <c r="C3" s="13"/>
      <c r="E3" s="35" t="s">
        <v>165</v>
      </c>
      <c r="F3" s="34"/>
      <c r="G3" s="34"/>
      <c r="H3" s="34"/>
      <c r="I3" s="34"/>
      <c r="J3" s="34"/>
      <c r="K3" s="34"/>
      <c r="X3" s="56"/>
    </row>
    <row r="4" spans="1:24" x14ac:dyDescent="0.2">
      <c r="A4" s="14" t="s">
        <v>166</v>
      </c>
      <c r="B4" s="12" t="s">
        <v>167</v>
      </c>
      <c r="C4" s="12" t="s">
        <v>64</v>
      </c>
      <c r="E4" s="35" t="s">
        <v>168</v>
      </c>
      <c r="F4" s="35"/>
      <c r="G4" s="35"/>
      <c r="H4" s="35"/>
      <c r="I4" s="35"/>
      <c r="J4" s="34"/>
      <c r="K4" s="34"/>
    </row>
    <row r="5" spans="1:24" x14ac:dyDescent="0.2">
      <c r="A5" s="39" t="s">
        <v>306</v>
      </c>
      <c r="B5" s="39" t="s">
        <v>307</v>
      </c>
      <c r="C5" s="39" t="s">
        <v>308</v>
      </c>
      <c r="E5" s="35" t="s">
        <v>169</v>
      </c>
      <c r="F5" s="35"/>
      <c r="G5" s="35"/>
      <c r="H5" s="35"/>
      <c r="I5" s="35"/>
      <c r="J5" s="34"/>
      <c r="K5" s="34"/>
    </row>
    <row r="6" spans="1:24" x14ac:dyDescent="0.2">
      <c r="A6" s="39" t="s">
        <v>305</v>
      </c>
      <c r="B6" s="39" t="s">
        <v>275</v>
      </c>
      <c r="C6" s="39" t="s">
        <v>308</v>
      </c>
      <c r="E6" s="74" t="s">
        <v>170</v>
      </c>
      <c r="F6" s="34"/>
      <c r="G6" s="34"/>
      <c r="H6" s="34"/>
      <c r="I6" s="34"/>
      <c r="J6" s="34"/>
      <c r="K6" s="34"/>
      <c r="X6" s="56"/>
    </row>
    <row r="7" spans="1:24" x14ac:dyDescent="0.2">
      <c r="A7" s="39"/>
      <c r="B7" s="39"/>
      <c r="C7" s="39"/>
    </row>
    <row r="8" spans="1:24" x14ac:dyDescent="0.2">
      <c r="A8" s="39" t="s">
        <v>310</v>
      </c>
      <c r="B8" s="39" t="s">
        <v>307</v>
      </c>
      <c r="C8" s="39" t="s">
        <v>308</v>
      </c>
      <c r="X8" s="56"/>
    </row>
    <row r="9" spans="1:24" x14ac:dyDescent="0.2">
      <c r="A9" s="39" t="s">
        <v>313</v>
      </c>
      <c r="B9" s="39" t="s">
        <v>275</v>
      </c>
      <c r="C9" s="39" t="s">
        <v>308</v>
      </c>
      <c r="X9" s="56"/>
    </row>
    <row r="10" spans="1:24" x14ac:dyDescent="0.2">
      <c r="A10" s="39"/>
      <c r="B10" s="39"/>
      <c r="C10" s="39"/>
      <c r="X10" s="56"/>
    </row>
    <row r="11" spans="1:24" ht="102" x14ac:dyDescent="0.2">
      <c r="A11" s="39" t="s">
        <v>369</v>
      </c>
      <c r="B11" s="39" t="s">
        <v>307</v>
      </c>
      <c r="C11" s="25" t="s">
        <v>370</v>
      </c>
      <c r="X11" s="56"/>
    </row>
    <row r="12" spans="1:24" x14ac:dyDescent="0.2">
      <c r="A12" s="39" t="s">
        <v>317</v>
      </c>
      <c r="B12" s="39" t="s">
        <v>275</v>
      </c>
      <c r="C12" s="39" t="s">
        <v>308</v>
      </c>
      <c r="X12" s="56"/>
    </row>
    <row r="13" spans="1:24" ht="13.5" thickBot="1" x14ac:dyDescent="0.25">
      <c r="X13" s="56"/>
    </row>
    <row r="14" spans="1:24" ht="13.5" thickBot="1" x14ac:dyDescent="0.25">
      <c r="A14" s="15" t="s">
        <v>171</v>
      </c>
      <c r="X14" s="56"/>
    </row>
    <row r="15" spans="1:24" x14ac:dyDescent="0.2">
      <c r="A15" s="14" t="s">
        <v>166</v>
      </c>
      <c r="B15" s="12" t="s">
        <v>172</v>
      </c>
      <c r="C15" s="12" t="s">
        <v>173</v>
      </c>
      <c r="D15" s="12" t="s">
        <v>167</v>
      </c>
      <c r="E15" s="12" t="s">
        <v>174</v>
      </c>
      <c r="F15" s="12" t="s">
        <v>64</v>
      </c>
    </row>
    <row r="16" spans="1:24" x14ac:dyDescent="0.2">
      <c r="A16" s="39" t="s">
        <v>306</v>
      </c>
      <c r="B16" s="39" t="s">
        <v>303</v>
      </c>
      <c r="C16" s="39" t="s">
        <v>309</v>
      </c>
      <c r="D16" s="39" t="s">
        <v>307</v>
      </c>
      <c r="E16" s="39"/>
      <c r="F16" s="39"/>
    </row>
    <row r="17" spans="1:6" x14ac:dyDescent="0.2">
      <c r="A17" s="39" t="s">
        <v>306</v>
      </c>
      <c r="B17" s="39" t="s">
        <v>304</v>
      </c>
      <c r="C17" s="39" t="s">
        <v>309</v>
      </c>
      <c r="D17" s="39" t="s">
        <v>307</v>
      </c>
      <c r="E17" s="39"/>
      <c r="F17" s="39"/>
    </row>
    <row r="18" spans="1:6" x14ac:dyDescent="0.2">
      <c r="A18" s="39"/>
      <c r="B18" s="39"/>
      <c r="C18" s="39"/>
      <c r="D18" s="39"/>
      <c r="E18" s="39"/>
      <c r="F18" s="39"/>
    </row>
    <row r="19" spans="1:6" x14ac:dyDescent="0.2">
      <c r="A19" s="39" t="s">
        <v>305</v>
      </c>
      <c r="B19" s="11" t="s">
        <v>303</v>
      </c>
      <c r="C19" s="39" t="s">
        <v>309</v>
      </c>
      <c r="D19" s="39" t="s">
        <v>275</v>
      </c>
      <c r="E19" s="39"/>
      <c r="F19" s="39"/>
    </row>
    <row r="20" spans="1:6" x14ac:dyDescent="0.2">
      <c r="A20" s="39" t="s">
        <v>305</v>
      </c>
      <c r="B20" s="11" t="s">
        <v>304</v>
      </c>
      <c r="C20" s="39" t="s">
        <v>309</v>
      </c>
      <c r="D20" s="39" t="s">
        <v>275</v>
      </c>
      <c r="E20" s="11"/>
      <c r="F20" s="11"/>
    </row>
    <row r="21" spans="1:6" x14ac:dyDescent="0.2">
      <c r="A21" s="39"/>
      <c r="B21" s="11"/>
      <c r="C21" s="39"/>
      <c r="D21" s="39"/>
      <c r="E21" s="11"/>
      <c r="F21" s="11"/>
    </row>
    <row r="22" spans="1:6" x14ac:dyDescent="0.2">
      <c r="A22" s="39" t="s">
        <v>310</v>
      </c>
      <c r="B22" s="11" t="s">
        <v>311</v>
      </c>
      <c r="C22" s="39" t="s">
        <v>312</v>
      </c>
      <c r="D22" s="39" t="s">
        <v>307</v>
      </c>
      <c r="E22" s="11"/>
      <c r="F22" s="11"/>
    </row>
    <row r="23" spans="1:6" x14ac:dyDescent="0.2">
      <c r="A23" s="94" t="s">
        <v>310</v>
      </c>
      <c r="B23" s="94" t="s">
        <v>314</v>
      </c>
      <c r="C23" s="94" t="s">
        <v>309</v>
      </c>
      <c r="D23" s="94" t="s">
        <v>307</v>
      </c>
      <c r="E23" s="94"/>
      <c r="F23" s="94" t="s">
        <v>316</v>
      </c>
    </row>
    <row r="24" spans="1:6" x14ac:dyDescent="0.2">
      <c r="A24" s="94" t="s">
        <v>310</v>
      </c>
      <c r="B24" s="94" t="s">
        <v>315</v>
      </c>
      <c r="C24" s="94" t="s">
        <v>309</v>
      </c>
      <c r="D24" s="94" t="s">
        <v>307</v>
      </c>
      <c r="E24" s="94"/>
      <c r="F24" s="94" t="s">
        <v>316</v>
      </c>
    </row>
    <row r="25" spans="1:6" x14ac:dyDescent="0.2">
      <c r="A25" s="39"/>
      <c r="B25" s="11"/>
      <c r="C25" s="39"/>
      <c r="D25" s="39"/>
      <c r="E25" s="11"/>
      <c r="F25" s="11"/>
    </row>
    <row r="26" spans="1:6" x14ac:dyDescent="0.2">
      <c r="A26" s="39" t="s">
        <v>313</v>
      </c>
      <c r="B26" s="39" t="s">
        <v>311</v>
      </c>
      <c r="C26" s="39" t="s">
        <v>312</v>
      </c>
      <c r="D26" s="39" t="s">
        <v>275</v>
      </c>
      <c r="E26" s="11"/>
      <c r="F26" s="11"/>
    </row>
    <row r="27" spans="1:6" x14ac:dyDescent="0.2">
      <c r="A27" s="94" t="s">
        <v>313</v>
      </c>
      <c r="B27" s="94" t="s">
        <v>314</v>
      </c>
      <c r="C27" s="94" t="s">
        <v>309</v>
      </c>
      <c r="D27" s="94" t="s">
        <v>275</v>
      </c>
      <c r="E27" s="94"/>
      <c r="F27" s="94" t="s">
        <v>316</v>
      </c>
    </row>
    <row r="28" spans="1:6" x14ac:dyDescent="0.2">
      <c r="A28" s="94" t="s">
        <v>313</v>
      </c>
      <c r="B28" s="94" t="s">
        <v>315</v>
      </c>
      <c r="C28" s="94" t="s">
        <v>309</v>
      </c>
      <c r="D28" s="94" t="s">
        <v>275</v>
      </c>
      <c r="E28" s="94"/>
      <c r="F28" s="94" t="s">
        <v>316</v>
      </c>
    </row>
    <row r="29" spans="1:6" x14ac:dyDescent="0.2">
      <c r="A29" s="93"/>
      <c r="B29" s="92"/>
      <c r="C29" s="92"/>
      <c r="D29" s="92"/>
      <c r="E29" s="92"/>
      <c r="F29" s="92"/>
    </row>
    <row r="30" spans="1:6" x14ac:dyDescent="0.2">
      <c r="A30" s="94" t="s">
        <v>369</v>
      </c>
      <c r="B30" s="94" t="s">
        <v>314</v>
      </c>
      <c r="C30" s="94" t="s">
        <v>309</v>
      </c>
      <c r="D30" s="94" t="s">
        <v>307</v>
      </c>
      <c r="E30" s="11"/>
      <c r="F30" s="11"/>
    </row>
    <row r="31" spans="1:6" x14ac:dyDescent="0.2">
      <c r="A31" s="94" t="s">
        <v>369</v>
      </c>
      <c r="B31" s="94" t="s">
        <v>315</v>
      </c>
      <c r="C31" s="94" t="s">
        <v>309</v>
      </c>
      <c r="D31" s="94" t="s">
        <v>307</v>
      </c>
      <c r="E31" s="11"/>
      <c r="F31" s="11"/>
    </row>
    <row r="32" spans="1:6" x14ac:dyDescent="0.2">
      <c r="A32" s="94"/>
      <c r="B32" s="94"/>
      <c r="C32" s="94"/>
      <c r="D32" s="94"/>
      <c r="E32" s="11"/>
      <c r="F32" s="11"/>
    </row>
    <row r="33" spans="1:29" x14ac:dyDescent="0.2">
      <c r="A33" s="94" t="s">
        <v>317</v>
      </c>
      <c r="B33" s="94" t="s">
        <v>314</v>
      </c>
      <c r="C33" s="94" t="s">
        <v>309</v>
      </c>
      <c r="D33" s="94" t="s">
        <v>275</v>
      </c>
      <c r="E33" s="11"/>
      <c r="F33" s="94" t="s">
        <v>371</v>
      </c>
    </row>
    <row r="34" spans="1:29" x14ac:dyDescent="0.2">
      <c r="A34" s="94" t="s">
        <v>317</v>
      </c>
      <c r="B34" s="94" t="s">
        <v>315</v>
      </c>
      <c r="C34" s="94" t="s">
        <v>309</v>
      </c>
      <c r="D34" s="94" t="s">
        <v>275</v>
      </c>
      <c r="E34" s="11"/>
      <c r="F34" s="94" t="s">
        <v>371</v>
      </c>
    </row>
    <row r="35" spans="1:29" x14ac:dyDescent="0.2">
      <c r="A35" s="91"/>
      <c r="B35" s="91"/>
      <c r="C35" s="91"/>
      <c r="D35" s="92"/>
      <c r="E35" s="92"/>
      <c r="F35" s="92"/>
    </row>
    <row r="36" spans="1:29" ht="13.5" thickBot="1" x14ac:dyDescent="0.25"/>
    <row r="37" spans="1:29" ht="13.5" thickBot="1" x14ac:dyDescent="0.25">
      <c r="A37" s="15" t="s">
        <v>175</v>
      </c>
    </row>
    <row r="38" spans="1:29" x14ac:dyDescent="0.2">
      <c r="A38" s="14" t="s">
        <v>176</v>
      </c>
      <c r="B38" s="12" t="s">
        <v>177</v>
      </c>
      <c r="C38" s="12" t="s">
        <v>178</v>
      </c>
      <c r="D38" s="12" t="s">
        <v>179</v>
      </c>
      <c r="AA38" s="56"/>
    </row>
    <row r="39" spans="1:29" x14ac:dyDescent="0.2">
      <c r="A39" s="39" t="s">
        <v>161</v>
      </c>
      <c r="B39" s="39"/>
      <c r="C39" s="39"/>
      <c r="D39" s="11"/>
      <c r="AA39" s="56"/>
    </row>
    <row r="40" spans="1:29" x14ac:dyDescent="0.2">
      <c r="A40" s="39"/>
      <c r="B40" s="39"/>
      <c r="C40" s="39"/>
      <c r="D40" s="11"/>
    </row>
    <row r="41" spans="1:29" x14ac:dyDescent="0.2">
      <c r="A41" s="39"/>
      <c r="B41" s="39"/>
      <c r="C41" s="39"/>
      <c r="D41" s="11"/>
    </row>
    <row r="42" spans="1:29" ht="13.5" thickBot="1" x14ac:dyDescent="0.25">
      <c r="A42" s="56"/>
      <c r="B42" s="56"/>
      <c r="C42" s="56"/>
    </row>
    <row r="43" spans="1:29" ht="13.5" thickBot="1" x14ac:dyDescent="0.25">
      <c r="A43" s="15" t="s">
        <v>180</v>
      </c>
      <c r="B43" s="56"/>
      <c r="C43" s="56"/>
    </row>
    <row r="44" spans="1:29" x14ac:dyDescent="0.2">
      <c r="A44" s="14" t="s">
        <v>125</v>
      </c>
      <c r="B44" s="12" t="s">
        <v>181</v>
      </c>
      <c r="AC44" s="56"/>
    </row>
    <row r="45" spans="1:29" x14ac:dyDescent="0.2">
      <c r="A45" s="39" t="s">
        <v>161</v>
      </c>
      <c r="B45" s="39"/>
    </row>
    <row r="46" spans="1:29" x14ac:dyDescent="0.2">
      <c r="A46" s="39"/>
      <c r="B46" s="39"/>
    </row>
    <row r="47" spans="1:29" x14ac:dyDescent="0.2">
      <c r="A47" s="19" t="s">
        <v>32</v>
      </c>
      <c r="B47" s="19" t="s">
        <v>182</v>
      </c>
    </row>
    <row r="48" spans="1:29" x14ac:dyDescent="0.2">
      <c r="A48" s="18"/>
      <c r="B48" s="18">
        <v>0.125</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A45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K47"/>
  <sheetViews>
    <sheetView topLeftCell="A29" workbookViewId="0">
      <selection activeCell="K10" sqref="K10"/>
    </sheetView>
  </sheetViews>
  <sheetFormatPr defaultRowHeight="12.75" x14ac:dyDescent="0.2"/>
  <cols>
    <col min="1" max="1" width="28.28515625" bestFit="1" customWidth="1"/>
    <col min="2" max="2" width="36.28515625" style="21" customWidth="1"/>
    <col min="3" max="3" width="32.85546875" customWidth="1"/>
    <col min="6" max="6" width="9.140625" customWidth="1"/>
  </cols>
  <sheetData>
    <row r="1" spans="1:11" ht="13.5" thickBot="1" x14ac:dyDescent="0.25">
      <c r="A1" s="144" t="s">
        <v>183</v>
      </c>
      <c r="B1" s="145"/>
      <c r="C1" s="146"/>
    </row>
    <row r="2" spans="1:11" ht="13.5" thickBot="1" x14ac:dyDescent="0.25"/>
    <row r="3" spans="1:11" ht="13.5" thickBot="1" x14ac:dyDescent="0.25">
      <c r="A3" s="16" t="s">
        <v>184</v>
      </c>
      <c r="B3" s="27"/>
    </row>
    <row r="4" spans="1:11" x14ac:dyDescent="0.2">
      <c r="A4" s="14" t="s">
        <v>185</v>
      </c>
      <c r="B4" s="26" t="s">
        <v>64</v>
      </c>
    </row>
    <row r="5" spans="1:11" ht="25.5" x14ac:dyDescent="0.2">
      <c r="A5" s="39" t="s">
        <v>318</v>
      </c>
      <c r="B5" s="25" t="s">
        <v>321</v>
      </c>
      <c r="C5">
        <v>3.125E-2</v>
      </c>
    </row>
    <row r="6" spans="1:11" ht="25.5" x14ac:dyDescent="0.2">
      <c r="A6" s="39" t="s">
        <v>319</v>
      </c>
      <c r="B6" s="25" t="s">
        <v>321</v>
      </c>
      <c r="C6">
        <v>3.125E-2</v>
      </c>
    </row>
    <row r="7" spans="1:11" ht="25.5" x14ac:dyDescent="0.2">
      <c r="A7" s="39" t="s">
        <v>320</v>
      </c>
      <c r="B7" s="25" t="s">
        <v>321</v>
      </c>
      <c r="C7">
        <v>3.125E-2</v>
      </c>
    </row>
    <row r="8" spans="1:11" x14ac:dyDescent="0.2">
      <c r="A8" s="11"/>
      <c r="B8" s="20"/>
    </row>
    <row r="9" spans="1:11" ht="13.5" thickBot="1" x14ac:dyDescent="0.25">
      <c r="F9" t="s">
        <v>186</v>
      </c>
    </row>
    <row r="10" spans="1:11" ht="13.5" thickBot="1" x14ac:dyDescent="0.25">
      <c r="A10" s="16" t="s">
        <v>187</v>
      </c>
      <c r="B10" s="27"/>
      <c r="C10" s="13"/>
      <c r="G10" t="s">
        <v>188</v>
      </c>
      <c r="J10" s="56" t="s">
        <v>326</v>
      </c>
      <c r="K10" s="56">
        <v>0.15</v>
      </c>
    </row>
    <row r="11" spans="1:11" x14ac:dyDescent="0.2">
      <c r="A11" s="14" t="s">
        <v>189</v>
      </c>
      <c r="B11" s="26" t="s">
        <v>64</v>
      </c>
      <c r="G11" t="s">
        <v>190</v>
      </c>
    </row>
    <row r="12" spans="1:11" x14ac:dyDescent="0.2">
      <c r="A12" s="39" t="s">
        <v>191</v>
      </c>
      <c r="B12" s="39" t="s">
        <v>192</v>
      </c>
      <c r="G12" t="s">
        <v>193</v>
      </c>
    </row>
    <row r="13" spans="1:11" x14ac:dyDescent="0.2">
      <c r="A13" s="11"/>
      <c r="B13" s="20"/>
      <c r="G13" t="s">
        <v>194</v>
      </c>
    </row>
    <row r="14" spans="1:11" x14ac:dyDescent="0.2">
      <c r="A14" s="39" t="s">
        <v>324</v>
      </c>
      <c r="B14" s="25" t="s">
        <v>325</v>
      </c>
      <c r="C14">
        <v>6.25E-2</v>
      </c>
      <c r="G14" t="s">
        <v>195</v>
      </c>
    </row>
    <row r="15" spans="1:11" x14ac:dyDescent="0.2">
      <c r="A15" s="39" t="s">
        <v>322</v>
      </c>
      <c r="B15" s="25" t="s">
        <v>325</v>
      </c>
      <c r="C15">
        <v>6.25E-2</v>
      </c>
      <c r="G15" t="s">
        <v>196</v>
      </c>
    </row>
    <row r="16" spans="1:11" x14ac:dyDescent="0.2">
      <c r="A16" s="39" t="s">
        <v>323</v>
      </c>
      <c r="B16" s="25" t="s">
        <v>325</v>
      </c>
      <c r="C16">
        <v>6.25E-2</v>
      </c>
      <c r="G16" t="s">
        <v>198</v>
      </c>
    </row>
    <row r="17" spans="1:9" x14ac:dyDescent="0.2">
      <c r="A17" s="92"/>
      <c r="B17" s="95"/>
      <c r="G17" t="s">
        <v>199</v>
      </c>
    </row>
    <row r="18" spans="1:9" x14ac:dyDescent="0.2">
      <c r="A18" s="92"/>
      <c r="B18" s="95"/>
      <c r="G18" t="s">
        <v>200</v>
      </c>
    </row>
    <row r="19" spans="1:9" ht="13.5" thickBot="1" x14ac:dyDescent="0.25">
      <c r="G19" t="s">
        <v>201</v>
      </c>
    </row>
    <row r="20" spans="1:9" ht="13.5" thickBot="1" x14ac:dyDescent="0.25">
      <c r="A20" s="16" t="s">
        <v>197</v>
      </c>
      <c r="G20" t="s">
        <v>202</v>
      </c>
    </row>
    <row r="21" spans="1:9" x14ac:dyDescent="0.2">
      <c r="A21" s="14" t="s">
        <v>185</v>
      </c>
      <c r="B21" s="26" t="s">
        <v>64</v>
      </c>
      <c r="G21" t="s">
        <v>204</v>
      </c>
    </row>
    <row r="22" spans="1:9" x14ac:dyDescent="0.2">
      <c r="A22" s="11"/>
      <c r="B22" s="20"/>
      <c r="G22" s="56" t="s">
        <v>206</v>
      </c>
    </row>
    <row r="23" spans="1:9" x14ac:dyDescent="0.2">
      <c r="A23" s="11"/>
      <c r="B23" s="20"/>
    </row>
    <row r="24" spans="1:9" x14ac:dyDescent="0.2">
      <c r="A24" s="11"/>
      <c r="B24" s="20"/>
      <c r="G24" t="s">
        <v>208</v>
      </c>
      <c r="I24" s="56" t="s">
        <v>203</v>
      </c>
    </row>
    <row r="25" spans="1:9" ht="13.5" thickBot="1" x14ac:dyDescent="0.25">
      <c r="G25" t="s">
        <v>209</v>
      </c>
    </row>
    <row r="26" spans="1:9" ht="13.5" thickBot="1" x14ac:dyDescent="0.25">
      <c r="A26" s="16" t="s">
        <v>205</v>
      </c>
      <c r="G26" t="s">
        <v>210</v>
      </c>
    </row>
    <row r="27" spans="1:9" x14ac:dyDescent="0.2">
      <c r="A27" s="14" t="s">
        <v>185</v>
      </c>
      <c r="B27" s="26" t="s">
        <v>64</v>
      </c>
      <c r="F27" t="s">
        <v>207</v>
      </c>
    </row>
    <row r="28" spans="1:9" ht="38.25" x14ac:dyDescent="0.2">
      <c r="A28" s="100" t="s">
        <v>372</v>
      </c>
      <c r="B28" s="101" t="s">
        <v>374</v>
      </c>
      <c r="C28">
        <v>0.01</v>
      </c>
      <c r="G28" t="s">
        <v>211</v>
      </c>
    </row>
    <row r="29" spans="1:9" ht="38.25" x14ac:dyDescent="0.2">
      <c r="A29" s="102" t="s">
        <v>373</v>
      </c>
      <c r="B29" s="101" t="s">
        <v>374</v>
      </c>
      <c r="C29">
        <v>0.01</v>
      </c>
      <c r="G29" t="s">
        <v>213</v>
      </c>
    </row>
    <row r="30" spans="1:9" x14ac:dyDescent="0.2">
      <c r="A30" s="11"/>
      <c r="B30" s="20"/>
      <c r="G30" t="s">
        <v>214</v>
      </c>
    </row>
    <row r="31" spans="1:9" x14ac:dyDescent="0.2">
      <c r="A31" s="11"/>
      <c r="B31" s="20"/>
      <c r="G31" t="s">
        <v>215</v>
      </c>
    </row>
    <row r="32" spans="1:9" ht="13.5" thickBot="1" x14ac:dyDescent="0.25">
      <c r="G32" t="s">
        <v>216</v>
      </c>
    </row>
    <row r="33" spans="1:7" ht="13.5" thickBot="1" x14ac:dyDescent="0.25">
      <c r="A33" s="16" t="s">
        <v>212</v>
      </c>
      <c r="G33" t="s">
        <v>217</v>
      </c>
    </row>
    <row r="34" spans="1:7" x14ac:dyDescent="0.2">
      <c r="A34" s="14" t="s">
        <v>185</v>
      </c>
      <c r="B34" s="26" t="s">
        <v>64</v>
      </c>
      <c r="G34" t="s">
        <v>218</v>
      </c>
    </row>
    <row r="35" spans="1:7" x14ac:dyDescent="0.2">
      <c r="A35" s="39" t="s">
        <v>161</v>
      </c>
      <c r="B35" s="20"/>
      <c r="G35" t="s">
        <v>219</v>
      </c>
    </row>
    <row r="36" spans="1:7" x14ac:dyDescent="0.2">
      <c r="A36" s="11"/>
      <c r="B36" s="20"/>
      <c r="G36" t="s">
        <v>220</v>
      </c>
    </row>
    <row r="37" spans="1:7" x14ac:dyDescent="0.2">
      <c r="A37" s="11"/>
      <c r="B37" s="20"/>
      <c r="G37" t="s">
        <v>221</v>
      </c>
    </row>
    <row r="38" spans="1:7" x14ac:dyDescent="0.2">
      <c r="A38" s="11"/>
      <c r="B38" s="20"/>
    </row>
    <row r="40" spans="1:7" x14ac:dyDescent="0.2">
      <c r="A40" s="19" t="s">
        <v>32</v>
      </c>
      <c r="B40" s="28" t="s">
        <v>182</v>
      </c>
    </row>
    <row r="41" spans="1:7" x14ac:dyDescent="0.2">
      <c r="A41" s="18"/>
      <c r="B41" s="29">
        <f>SUM(C5:K29)</f>
        <v>0.45125000000000004</v>
      </c>
    </row>
    <row r="42" spans="1:7" x14ac:dyDescent="0.2">
      <c r="F42" t="s">
        <v>222</v>
      </c>
    </row>
    <row r="43" spans="1:7" x14ac:dyDescent="0.2">
      <c r="F43" t="s">
        <v>223</v>
      </c>
    </row>
    <row r="44" spans="1:7" x14ac:dyDescent="0.2">
      <c r="F44" t="s">
        <v>224</v>
      </c>
    </row>
    <row r="45" spans="1:7" x14ac:dyDescent="0.2">
      <c r="F45" t="s">
        <v>225</v>
      </c>
    </row>
    <row r="46" spans="1:7" x14ac:dyDescent="0.2">
      <c r="F46" t="s">
        <v>226</v>
      </c>
    </row>
    <row r="47" spans="1:7" x14ac:dyDescent="0.2">
      <c r="F47" t="s">
        <v>227</v>
      </c>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24"/>
  <sheetViews>
    <sheetView topLeftCell="A10" workbookViewId="0">
      <selection activeCell="B15" sqref="B15"/>
    </sheetView>
  </sheetViews>
  <sheetFormatPr defaultRowHeight="12.75" x14ac:dyDescent="0.2"/>
  <cols>
    <col min="1" max="1" width="39.85546875" bestFit="1" customWidth="1"/>
    <col min="2" max="2" width="52" bestFit="1" customWidth="1"/>
    <col min="3" max="3" width="67.28515625" bestFit="1" customWidth="1"/>
  </cols>
  <sheetData>
    <row r="1" spans="1:4" ht="13.5" thickBot="1" x14ac:dyDescent="0.25">
      <c r="A1" s="144" t="s">
        <v>228</v>
      </c>
      <c r="B1" s="145"/>
      <c r="C1" s="146"/>
    </row>
    <row r="3" spans="1:4" x14ac:dyDescent="0.2">
      <c r="A3" s="12" t="s">
        <v>229</v>
      </c>
      <c r="B3" s="12" t="s">
        <v>230</v>
      </c>
      <c r="C3" s="12" t="s">
        <v>64</v>
      </c>
    </row>
    <row r="4" spans="1:4" x14ac:dyDescent="0.2">
      <c r="A4" s="39" t="s">
        <v>334</v>
      </c>
      <c r="B4" s="39" t="s">
        <v>327</v>
      </c>
      <c r="C4" s="97" t="s">
        <v>308</v>
      </c>
      <c r="D4">
        <v>0.125</v>
      </c>
    </row>
    <row r="5" spans="1:4" x14ac:dyDescent="0.2">
      <c r="A5" s="39" t="s">
        <v>334</v>
      </c>
      <c r="B5" s="39" t="s">
        <v>357</v>
      </c>
      <c r="C5" s="97" t="s">
        <v>308</v>
      </c>
      <c r="D5">
        <v>6.25E-2</v>
      </c>
    </row>
    <row r="6" spans="1:4" x14ac:dyDescent="0.2">
      <c r="A6" s="39" t="s">
        <v>334</v>
      </c>
      <c r="B6" s="11" t="s">
        <v>329</v>
      </c>
      <c r="C6" s="97" t="s">
        <v>308</v>
      </c>
      <c r="D6">
        <v>6.25E-2</v>
      </c>
    </row>
    <row r="7" spans="1:4" x14ac:dyDescent="0.2">
      <c r="A7" s="39" t="s">
        <v>334</v>
      </c>
      <c r="B7" s="39" t="s">
        <v>330</v>
      </c>
      <c r="C7" s="97" t="s">
        <v>308</v>
      </c>
      <c r="D7">
        <v>0.125</v>
      </c>
    </row>
    <row r="8" spans="1:4" x14ac:dyDescent="0.2">
      <c r="A8" s="39" t="s">
        <v>334</v>
      </c>
      <c r="B8" s="39" t="s">
        <v>328</v>
      </c>
      <c r="C8" s="97" t="s">
        <v>308</v>
      </c>
      <c r="D8">
        <v>6.25E-2</v>
      </c>
    </row>
    <row r="9" spans="1:4" x14ac:dyDescent="0.2">
      <c r="A9" s="39" t="s">
        <v>334</v>
      </c>
      <c r="B9" s="39" t="s">
        <v>331</v>
      </c>
      <c r="C9" s="97" t="s">
        <v>308</v>
      </c>
      <c r="D9">
        <v>6.25E-2</v>
      </c>
    </row>
    <row r="10" spans="1:4" x14ac:dyDescent="0.2">
      <c r="A10" s="39" t="s">
        <v>334</v>
      </c>
      <c r="B10" s="96" t="s">
        <v>375</v>
      </c>
      <c r="C10" s="97" t="s">
        <v>376</v>
      </c>
      <c r="D10">
        <v>0.125</v>
      </c>
    </row>
    <row r="11" spans="1:4" x14ac:dyDescent="0.2">
      <c r="A11" s="39" t="s">
        <v>334</v>
      </c>
      <c r="B11" s="96" t="s">
        <v>332</v>
      </c>
      <c r="C11" s="97" t="s">
        <v>377</v>
      </c>
      <c r="D11">
        <v>0.01</v>
      </c>
    </row>
    <row r="12" spans="1:4" x14ac:dyDescent="0.2">
      <c r="A12" s="39" t="s">
        <v>334</v>
      </c>
      <c r="B12" s="39" t="s">
        <v>333</v>
      </c>
      <c r="C12" s="97" t="s">
        <v>308</v>
      </c>
      <c r="D12">
        <v>6.25E-2</v>
      </c>
    </row>
    <row r="13" spans="1:4" x14ac:dyDescent="0.2">
      <c r="A13" s="96" t="s">
        <v>342</v>
      </c>
      <c r="B13" s="39" t="s">
        <v>335</v>
      </c>
      <c r="C13" s="97" t="s">
        <v>343</v>
      </c>
    </row>
    <row r="14" spans="1:4" x14ac:dyDescent="0.2">
      <c r="A14" s="96" t="s">
        <v>342</v>
      </c>
      <c r="B14" s="39" t="s">
        <v>336</v>
      </c>
      <c r="C14" s="97" t="s">
        <v>343</v>
      </c>
    </row>
    <row r="15" spans="1:4" x14ac:dyDescent="0.2">
      <c r="A15" s="96" t="s">
        <v>342</v>
      </c>
      <c r="B15" s="39" t="s">
        <v>337</v>
      </c>
      <c r="C15" s="97" t="s">
        <v>343</v>
      </c>
    </row>
    <row r="16" spans="1:4" x14ac:dyDescent="0.2">
      <c r="A16" s="96" t="s">
        <v>342</v>
      </c>
      <c r="B16" s="39" t="s">
        <v>338</v>
      </c>
      <c r="C16" s="97" t="s">
        <v>343</v>
      </c>
    </row>
    <row r="17" spans="1:3" x14ac:dyDescent="0.2">
      <c r="A17" s="96" t="s">
        <v>342</v>
      </c>
      <c r="B17" s="39" t="s">
        <v>336</v>
      </c>
      <c r="C17" s="97" t="s">
        <v>343</v>
      </c>
    </row>
    <row r="18" spans="1:3" x14ac:dyDescent="0.2">
      <c r="A18" s="96" t="s">
        <v>342</v>
      </c>
      <c r="B18" s="39" t="s">
        <v>339</v>
      </c>
      <c r="C18" s="97" t="s">
        <v>343</v>
      </c>
    </row>
    <row r="19" spans="1:3" x14ac:dyDescent="0.2">
      <c r="A19" s="96" t="s">
        <v>342</v>
      </c>
      <c r="B19" s="39" t="s">
        <v>340</v>
      </c>
      <c r="C19" s="97" t="s">
        <v>343</v>
      </c>
    </row>
    <row r="20" spans="1:3" x14ac:dyDescent="0.2">
      <c r="A20" s="96" t="s">
        <v>342</v>
      </c>
      <c r="B20" s="11" t="s">
        <v>341</v>
      </c>
      <c r="C20" s="97" t="s">
        <v>343</v>
      </c>
    </row>
    <row r="23" spans="1:3" x14ac:dyDescent="0.2">
      <c r="A23" s="19" t="s">
        <v>32</v>
      </c>
      <c r="B23" s="19" t="s">
        <v>182</v>
      </c>
    </row>
    <row r="24" spans="1:3" x14ac:dyDescent="0.2">
      <c r="A24" s="18"/>
      <c r="B24" s="18">
        <f>SUM(D4:D13)</f>
        <v>0.69750000000000001</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9"/>
  <sheetViews>
    <sheetView workbookViewId="0">
      <selection activeCell="B3" sqref="B3:C3"/>
    </sheetView>
  </sheetViews>
  <sheetFormatPr defaultRowHeight="12.75" x14ac:dyDescent="0.2"/>
  <cols>
    <col min="1" max="1" width="14.42578125" bestFit="1" customWidth="1"/>
    <col min="2" max="2" width="15" bestFit="1" customWidth="1"/>
    <col min="3" max="3" width="14.7109375" bestFit="1" customWidth="1"/>
    <col min="4" max="4" width="9.7109375" bestFit="1" customWidth="1"/>
    <col min="5" max="5" width="12.7109375" bestFit="1" customWidth="1"/>
    <col min="6" max="6" width="15" bestFit="1" customWidth="1"/>
    <col min="7" max="7" width="14.42578125" bestFit="1" customWidth="1"/>
    <col min="8" max="8" width="9.7109375" bestFit="1" customWidth="1"/>
    <col min="9" max="9" width="21.140625" bestFit="1" customWidth="1"/>
    <col min="10" max="10" width="24" customWidth="1"/>
  </cols>
  <sheetData>
    <row r="1" spans="1:10" ht="13.5" thickBot="1" x14ac:dyDescent="0.25">
      <c r="A1" s="144" t="s">
        <v>231</v>
      </c>
      <c r="B1" s="145"/>
      <c r="C1" s="145"/>
      <c r="D1" s="146"/>
    </row>
    <row r="3" spans="1:10" x14ac:dyDescent="0.2">
      <c r="A3" s="12" t="s">
        <v>230</v>
      </c>
      <c r="B3" s="148" t="s">
        <v>161</v>
      </c>
      <c r="C3" s="149"/>
    </row>
    <row r="5" spans="1:10" x14ac:dyDescent="0.2">
      <c r="A5" s="12" t="s">
        <v>232</v>
      </c>
      <c r="B5" s="12" t="s">
        <v>233</v>
      </c>
      <c r="C5" s="12" t="s">
        <v>234</v>
      </c>
      <c r="D5" s="12" t="s">
        <v>235</v>
      </c>
      <c r="E5" s="12" t="s">
        <v>236</v>
      </c>
      <c r="F5" s="12" t="s">
        <v>233</v>
      </c>
      <c r="G5" s="12" t="s">
        <v>237</v>
      </c>
      <c r="H5" s="12" t="s">
        <v>235</v>
      </c>
      <c r="I5" s="12" t="s">
        <v>238</v>
      </c>
      <c r="J5" s="12" t="s">
        <v>239</v>
      </c>
    </row>
    <row r="6" spans="1:10" x14ac:dyDescent="0.2">
      <c r="A6" s="39" t="s">
        <v>161</v>
      </c>
      <c r="B6" s="11"/>
      <c r="C6" s="11"/>
      <c r="D6" s="11"/>
      <c r="E6" s="11"/>
      <c r="F6" s="11"/>
      <c r="G6" s="11"/>
      <c r="H6" s="11"/>
      <c r="I6" s="11"/>
      <c r="J6" s="11"/>
    </row>
    <row r="7" spans="1:10" x14ac:dyDescent="0.2">
      <c r="A7" s="11"/>
      <c r="B7" s="11"/>
      <c r="C7" s="11"/>
      <c r="D7" s="11"/>
      <c r="E7" s="11"/>
      <c r="F7" s="11"/>
      <c r="G7" s="11"/>
      <c r="H7" s="11"/>
      <c r="I7" s="11"/>
      <c r="J7" s="11"/>
    </row>
    <row r="8" spans="1:10" x14ac:dyDescent="0.2">
      <c r="A8" s="11"/>
      <c r="B8" s="11"/>
      <c r="C8" s="11"/>
      <c r="D8" s="20"/>
      <c r="E8" s="11"/>
      <c r="F8" s="11"/>
      <c r="G8" s="11"/>
      <c r="H8" s="20"/>
      <c r="I8" s="11"/>
      <c r="J8" s="11"/>
    </row>
    <row r="9" spans="1:10" x14ac:dyDescent="0.2">
      <c r="A9" s="11"/>
      <c r="B9" s="11"/>
      <c r="C9" s="11"/>
      <c r="D9" s="11"/>
      <c r="E9" s="11"/>
      <c r="F9" s="11"/>
      <c r="G9" s="11"/>
      <c r="H9" s="11"/>
      <c r="I9" s="11"/>
      <c r="J9" s="11"/>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1"/>
  <sheetViews>
    <sheetView topLeftCell="A4" workbookViewId="0">
      <selection activeCell="C16" sqref="C16"/>
    </sheetView>
  </sheetViews>
  <sheetFormatPr defaultRowHeight="12.75" x14ac:dyDescent="0.2"/>
  <cols>
    <col min="1" max="1" width="18.5703125" customWidth="1"/>
    <col min="2" max="2" width="30.5703125" bestFit="1" customWidth="1"/>
    <col min="3" max="3" width="24.85546875" bestFit="1" customWidth="1"/>
    <col min="4" max="4" width="31.5703125" customWidth="1"/>
    <col min="5" max="5" width="25.5703125" bestFit="1" customWidth="1"/>
    <col min="6" max="6" width="48.42578125" style="21" bestFit="1" customWidth="1"/>
  </cols>
  <sheetData>
    <row r="1" spans="1:5" ht="13.5" thickBot="1" x14ac:dyDescent="0.25">
      <c r="A1" s="144" t="s">
        <v>240</v>
      </c>
      <c r="B1" s="145"/>
      <c r="C1" s="146"/>
    </row>
    <row r="2" spans="1:5" ht="13.5" thickBot="1" x14ac:dyDescent="0.25"/>
    <row r="3" spans="1:5" ht="13.5" thickBot="1" x14ac:dyDescent="0.25">
      <c r="A3" s="144" t="s">
        <v>241</v>
      </c>
      <c r="B3" s="145"/>
      <c r="C3" s="146"/>
    </row>
    <row r="4" spans="1:5" x14ac:dyDescent="0.2">
      <c r="A4" s="14" t="s">
        <v>229</v>
      </c>
      <c r="B4" s="14" t="s">
        <v>242</v>
      </c>
      <c r="C4" s="14" t="s">
        <v>64</v>
      </c>
    </row>
    <row r="5" spans="1:5" x14ac:dyDescent="0.2">
      <c r="A5" s="39" t="s">
        <v>334</v>
      </c>
      <c r="B5" s="11" t="s">
        <v>344</v>
      </c>
      <c r="C5" s="39" t="s">
        <v>345</v>
      </c>
    </row>
    <row r="6" spans="1:5" x14ac:dyDescent="0.2">
      <c r="A6" s="39" t="s">
        <v>334</v>
      </c>
      <c r="B6" s="39" t="s">
        <v>347</v>
      </c>
      <c r="C6" s="39" t="s">
        <v>345</v>
      </c>
    </row>
    <row r="7" spans="1:5" x14ac:dyDescent="0.2">
      <c r="A7" s="98" t="s">
        <v>342</v>
      </c>
      <c r="B7" s="98" t="s">
        <v>346</v>
      </c>
      <c r="C7" s="39" t="s">
        <v>345</v>
      </c>
    </row>
    <row r="9" spans="1:5" ht="13.5" thickBot="1" x14ac:dyDescent="0.25"/>
    <row r="10" spans="1:5" ht="13.5" thickBot="1" x14ac:dyDescent="0.25">
      <c r="A10" s="144" t="s">
        <v>243</v>
      </c>
      <c r="B10" s="145"/>
      <c r="C10" s="146"/>
    </row>
    <row r="11" spans="1:5" x14ac:dyDescent="0.2">
      <c r="A11" s="14" t="s">
        <v>229</v>
      </c>
      <c r="B11" s="14" t="s">
        <v>242</v>
      </c>
      <c r="C11" s="14" t="s">
        <v>244</v>
      </c>
      <c r="D11" s="12" t="s">
        <v>23</v>
      </c>
      <c r="E11" s="13"/>
    </row>
    <row r="12" spans="1:5" x14ac:dyDescent="0.2">
      <c r="A12" s="39" t="s">
        <v>334</v>
      </c>
      <c r="B12" s="11" t="s">
        <v>344</v>
      </c>
      <c r="C12" s="39" t="s">
        <v>350</v>
      </c>
      <c r="D12" s="39" t="s">
        <v>345</v>
      </c>
    </row>
    <row r="13" spans="1:5" x14ac:dyDescent="0.2">
      <c r="A13" s="39" t="s">
        <v>334</v>
      </c>
      <c r="B13" s="39" t="s">
        <v>347</v>
      </c>
      <c r="C13" s="39" t="s">
        <v>348</v>
      </c>
      <c r="D13" s="39" t="s">
        <v>345</v>
      </c>
    </row>
    <row r="14" spans="1:5" x14ac:dyDescent="0.2">
      <c r="A14" s="39" t="s">
        <v>334</v>
      </c>
      <c r="B14" s="39" t="s">
        <v>347</v>
      </c>
      <c r="C14" s="39" t="s">
        <v>349</v>
      </c>
      <c r="D14" s="39" t="s">
        <v>345</v>
      </c>
    </row>
    <row r="15" spans="1:5" x14ac:dyDescent="0.2">
      <c r="A15" s="98" t="s">
        <v>342</v>
      </c>
      <c r="B15" s="98" t="s">
        <v>346</v>
      </c>
      <c r="C15" s="39" t="s">
        <v>351</v>
      </c>
      <c r="D15" s="39" t="s">
        <v>345</v>
      </c>
    </row>
    <row r="16" spans="1:5" x14ac:dyDescent="0.2">
      <c r="A16" s="98" t="s">
        <v>342</v>
      </c>
      <c r="B16" s="98" t="s">
        <v>346</v>
      </c>
      <c r="C16" s="39" t="s">
        <v>352</v>
      </c>
      <c r="D16" s="39" t="s">
        <v>345</v>
      </c>
    </row>
    <row r="17" spans="1:4" x14ac:dyDescent="0.2">
      <c r="A17" s="98" t="s">
        <v>342</v>
      </c>
      <c r="B17" s="98" t="s">
        <v>346</v>
      </c>
      <c r="C17" s="39" t="s">
        <v>353</v>
      </c>
      <c r="D17" s="39" t="s">
        <v>345</v>
      </c>
    </row>
    <row r="20" spans="1:4" x14ac:dyDescent="0.2">
      <c r="A20" s="19" t="s">
        <v>32</v>
      </c>
      <c r="B20" s="19" t="s">
        <v>182</v>
      </c>
    </row>
    <row r="21" spans="1:4" x14ac:dyDescent="0.2">
      <c r="A21" s="18"/>
      <c r="B21" s="18">
        <v>0</v>
      </c>
    </row>
  </sheetData>
  <mergeCells count="3">
    <mergeCell ref="A1:C1"/>
    <mergeCell ref="A10:C10"/>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33"/>
  <sheetViews>
    <sheetView topLeftCell="A16" workbookViewId="0">
      <selection activeCell="Y12" sqref="Y12"/>
    </sheetView>
  </sheetViews>
  <sheetFormatPr defaultRowHeight="12.75" x14ac:dyDescent="0.2"/>
  <cols>
    <col min="1" max="1" width="12.140625" bestFit="1" customWidth="1"/>
    <col min="2" max="2" width="15.7109375" bestFit="1" customWidth="1"/>
    <col min="3" max="3" width="40.7109375" bestFit="1" customWidth="1"/>
    <col min="4" max="4" width="38.28515625" customWidth="1"/>
    <col min="5" max="5" width="52" bestFit="1" customWidth="1"/>
    <col min="6" max="6" width="12.28515625" customWidth="1"/>
    <col min="7" max="7" width="12.85546875" bestFit="1" customWidth="1"/>
    <col min="8" max="8" width="12.140625" bestFit="1" customWidth="1"/>
    <col min="9" max="9" width="19.5703125" bestFit="1" customWidth="1"/>
    <col min="10" max="10" width="16" customWidth="1"/>
    <col min="11" max="11" width="15.28515625" customWidth="1"/>
    <col min="12" max="12" width="8.140625" bestFit="1" customWidth="1"/>
    <col min="13" max="13" width="9.140625" bestFit="1" customWidth="1"/>
    <col min="14" max="16" width="9.140625"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1" bestFit="1" customWidth="1"/>
  </cols>
  <sheetData>
    <row r="1" spans="1:25" ht="13.5" thickBot="1" x14ac:dyDescent="0.25">
      <c r="A1" s="144" t="s">
        <v>245</v>
      </c>
      <c r="B1" s="145"/>
      <c r="C1" s="146"/>
    </row>
    <row r="2" spans="1:25" x14ac:dyDescent="0.2">
      <c r="F2" s="153" t="s">
        <v>246</v>
      </c>
      <c r="G2" s="153"/>
      <c r="H2" s="153"/>
      <c r="I2" s="150" t="s">
        <v>247</v>
      </c>
      <c r="J2" s="151"/>
      <c r="K2" s="151"/>
      <c r="L2" s="150" t="s">
        <v>248</v>
      </c>
      <c r="M2" s="151"/>
      <c r="N2" s="151"/>
      <c r="O2" s="151"/>
      <c r="P2" s="151"/>
      <c r="Q2" s="152"/>
      <c r="R2" s="150" t="s">
        <v>249</v>
      </c>
      <c r="S2" s="151"/>
      <c r="T2" s="151"/>
      <c r="U2" s="152"/>
      <c r="V2" s="150" t="s">
        <v>250</v>
      </c>
      <c r="W2" s="152"/>
    </row>
    <row r="3" spans="1:25" s="44" customFormat="1" ht="34.5" x14ac:dyDescent="0.2">
      <c r="A3" s="40" t="s">
        <v>229</v>
      </c>
      <c r="B3" s="40" t="s">
        <v>242</v>
      </c>
      <c r="C3" s="40" t="s">
        <v>244</v>
      </c>
      <c r="D3" s="40" t="s">
        <v>251</v>
      </c>
      <c r="E3" s="40" t="s">
        <v>116</v>
      </c>
      <c r="F3" s="41" t="s">
        <v>252</v>
      </c>
      <c r="G3" s="41" t="s">
        <v>253</v>
      </c>
      <c r="H3" s="40" t="s">
        <v>254</v>
      </c>
      <c r="I3" s="41" t="s">
        <v>255</v>
      </c>
      <c r="J3" s="41" t="s">
        <v>256</v>
      </c>
      <c r="K3" s="41" t="s">
        <v>257</v>
      </c>
      <c r="L3" s="45" t="s">
        <v>258</v>
      </c>
      <c r="M3" s="45" t="s">
        <v>259</v>
      </c>
      <c r="N3" s="41" t="s">
        <v>260</v>
      </c>
      <c r="O3" s="41" t="s">
        <v>261</v>
      </c>
      <c r="P3" s="41" t="s">
        <v>262</v>
      </c>
      <c r="Q3" s="41" t="s">
        <v>263</v>
      </c>
      <c r="R3" s="42" t="s">
        <v>258</v>
      </c>
      <c r="S3" s="42" t="s">
        <v>259</v>
      </c>
      <c r="T3" s="42" t="s">
        <v>264</v>
      </c>
      <c r="U3" s="43" t="s">
        <v>265</v>
      </c>
      <c r="V3" s="43" t="s">
        <v>266</v>
      </c>
      <c r="W3" s="43" t="s">
        <v>267</v>
      </c>
      <c r="X3" s="41" t="s">
        <v>23</v>
      </c>
    </row>
    <row r="4" spans="1:25" x14ac:dyDescent="0.2">
      <c r="A4" s="39" t="s">
        <v>334</v>
      </c>
      <c r="B4" s="11" t="s">
        <v>344</v>
      </c>
      <c r="C4" s="39" t="s">
        <v>350</v>
      </c>
      <c r="D4" s="39" t="s">
        <v>355</v>
      </c>
      <c r="E4" s="39" t="s">
        <v>327</v>
      </c>
      <c r="F4" s="39" t="s">
        <v>161</v>
      </c>
      <c r="G4" s="39" t="s">
        <v>161</v>
      </c>
      <c r="H4" s="39" t="s">
        <v>161</v>
      </c>
      <c r="I4" s="39" t="s">
        <v>161</v>
      </c>
      <c r="J4" s="39" t="s">
        <v>161</v>
      </c>
      <c r="K4" s="39" t="s">
        <v>161</v>
      </c>
      <c r="L4" s="39" t="s">
        <v>161</v>
      </c>
      <c r="M4" s="39" t="s">
        <v>161</v>
      </c>
      <c r="N4" s="39" t="s">
        <v>161</v>
      </c>
      <c r="O4" s="39" t="s">
        <v>161</v>
      </c>
      <c r="P4" s="39" t="s">
        <v>161</v>
      </c>
      <c r="Q4" s="39" t="s">
        <v>161</v>
      </c>
      <c r="R4" s="39" t="s">
        <v>161</v>
      </c>
      <c r="S4" s="39" t="s">
        <v>161</v>
      </c>
      <c r="T4" s="39" t="s">
        <v>161</v>
      </c>
      <c r="U4" s="39" t="s">
        <v>161</v>
      </c>
      <c r="V4" s="39" t="s">
        <v>161</v>
      </c>
      <c r="W4" s="39" t="s">
        <v>161</v>
      </c>
      <c r="X4" s="25" t="s">
        <v>345</v>
      </c>
      <c r="Y4">
        <v>0.01</v>
      </c>
    </row>
    <row r="5" spans="1:25" x14ac:dyDescent="0.2">
      <c r="A5" s="39" t="s">
        <v>334</v>
      </c>
      <c r="B5" s="11" t="s">
        <v>344</v>
      </c>
      <c r="C5" s="39" t="s">
        <v>350</v>
      </c>
      <c r="D5" s="39" t="s">
        <v>356</v>
      </c>
      <c r="E5" s="39" t="s">
        <v>357</v>
      </c>
      <c r="F5" s="39" t="s">
        <v>161</v>
      </c>
      <c r="G5" s="39" t="s">
        <v>161</v>
      </c>
      <c r="H5" s="39" t="s">
        <v>161</v>
      </c>
      <c r="I5" s="39" t="s">
        <v>161</v>
      </c>
      <c r="J5" s="39" t="s">
        <v>161</v>
      </c>
      <c r="K5" s="39" t="s">
        <v>161</v>
      </c>
      <c r="L5" s="39" t="s">
        <v>161</v>
      </c>
      <c r="M5" s="39" t="s">
        <v>161</v>
      </c>
      <c r="N5" s="39" t="s">
        <v>161</v>
      </c>
      <c r="O5" s="39" t="s">
        <v>161</v>
      </c>
      <c r="P5" s="39" t="s">
        <v>161</v>
      </c>
      <c r="Q5" s="39" t="s">
        <v>161</v>
      </c>
      <c r="R5" s="39" t="s">
        <v>161</v>
      </c>
      <c r="S5" s="39" t="s">
        <v>161</v>
      </c>
      <c r="T5" s="39" t="s">
        <v>161</v>
      </c>
      <c r="U5" s="39" t="s">
        <v>161</v>
      </c>
      <c r="V5" s="39" t="s">
        <v>161</v>
      </c>
      <c r="W5" s="39" t="s">
        <v>161</v>
      </c>
      <c r="X5" s="25" t="s">
        <v>345</v>
      </c>
      <c r="Y5">
        <v>0.01</v>
      </c>
    </row>
    <row r="6" spans="1:25" x14ac:dyDescent="0.2">
      <c r="A6" s="39" t="s">
        <v>334</v>
      </c>
      <c r="B6" s="11" t="s">
        <v>344</v>
      </c>
      <c r="C6" s="39" t="s">
        <v>350</v>
      </c>
      <c r="D6" s="39" t="s">
        <v>359</v>
      </c>
      <c r="E6" s="11" t="s">
        <v>329</v>
      </c>
      <c r="F6" s="39" t="s">
        <v>161</v>
      </c>
      <c r="G6" s="39" t="s">
        <v>161</v>
      </c>
      <c r="H6" s="39" t="s">
        <v>161</v>
      </c>
      <c r="I6" s="39" t="s">
        <v>161</v>
      </c>
      <c r="J6" s="39" t="s">
        <v>161</v>
      </c>
      <c r="K6" s="39" t="s">
        <v>161</v>
      </c>
      <c r="L6" s="39" t="s">
        <v>161</v>
      </c>
      <c r="M6" s="39" t="s">
        <v>161</v>
      </c>
      <c r="N6" s="39" t="s">
        <v>161</v>
      </c>
      <c r="O6" s="39" t="s">
        <v>161</v>
      </c>
      <c r="P6" s="39" t="s">
        <v>161</v>
      </c>
      <c r="Q6" s="39" t="s">
        <v>161</v>
      </c>
      <c r="R6" s="39" t="s">
        <v>161</v>
      </c>
      <c r="S6" s="39" t="s">
        <v>161</v>
      </c>
      <c r="T6" s="39" t="s">
        <v>161</v>
      </c>
      <c r="U6" s="39" t="s">
        <v>161</v>
      </c>
      <c r="V6" s="39" t="s">
        <v>161</v>
      </c>
      <c r="W6" s="39" t="s">
        <v>161</v>
      </c>
      <c r="X6" s="25" t="s">
        <v>345</v>
      </c>
      <c r="Y6">
        <v>0.01</v>
      </c>
    </row>
    <row r="7" spans="1:25" x14ac:dyDescent="0.2">
      <c r="A7" s="39" t="s">
        <v>334</v>
      </c>
      <c r="B7" s="39" t="s">
        <v>347</v>
      </c>
      <c r="C7" s="39" t="s">
        <v>348</v>
      </c>
      <c r="D7" s="39" t="s">
        <v>360</v>
      </c>
      <c r="E7" s="39" t="s">
        <v>330</v>
      </c>
      <c r="F7" s="39" t="s">
        <v>161</v>
      </c>
      <c r="G7" s="39" t="s">
        <v>161</v>
      </c>
      <c r="H7" s="39" t="s">
        <v>161</v>
      </c>
      <c r="I7" s="39" t="s">
        <v>161</v>
      </c>
      <c r="J7" s="39" t="s">
        <v>161</v>
      </c>
      <c r="K7" s="39" t="s">
        <v>161</v>
      </c>
      <c r="L7" s="39" t="s">
        <v>161</v>
      </c>
      <c r="M7" s="39" t="s">
        <v>161</v>
      </c>
      <c r="N7" s="39" t="s">
        <v>161</v>
      </c>
      <c r="O7" s="39" t="s">
        <v>161</v>
      </c>
      <c r="P7" s="39" t="s">
        <v>161</v>
      </c>
      <c r="Q7" s="39" t="s">
        <v>161</v>
      </c>
      <c r="R7" s="39" t="s">
        <v>161</v>
      </c>
      <c r="S7" s="39" t="s">
        <v>161</v>
      </c>
      <c r="T7" s="39" t="s">
        <v>161</v>
      </c>
      <c r="U7" s="39" t="s">
        <v>161</v>
      </c>
      <c r="V7" s="39" t="s">
        <v>161</v>
      </c>
      <c r="W7" s="39" t="s">
        <v>161</v>
      </c>
      <c r="X7" s="25" t="s">
        <v>345</v>
      </c>
      <c r="Y7">
        <v>0.01</v>
      </c>
    </row>
    <row r="8" spans="1:25" x14ac:dyDescent="0.2">
      <c r="A8" s="39" t="s">
        <v>334</v>
      </c>
      <c r="B8" s="39" t="s">
        <v>347</v>
      </c>
      <c r="C8" s="39" t="s">
        <v>348</v>
      </c>
      <c r="D8" s="39" t="s">
        <v>361</v>
      </c>
      <c r="E8" s="39" t="s">
        <v>328</v>
      </c>
      <c r="F8" s="39" t="s">
        <v>161</v>
      </c>
      <c r="G8" s="39" t="s">
        <v>161</v>
      </c>
      <c r="H8" s="39" t="s">
        <v>161</v>
      </c>
      <c r="I8" s="39" t="s">
        <v>161</v>
      </c>
      <c r="J8" s="39" t="s">
        <v>161</v>
      </c>
      <c r="K8" s="39" t="s">
        <v>161</v>
      </c>
      <c r="L8" s="39" t="s">
        <v>161</v>
      </c>
      <c r="M8" s="39" t="s">
        <v>161</v>
      </c>
      <c r="N8" s="39" t="s">
        <v>161</v>
      </c>
      <c r="O8" s="39" t="s">
        <v>161</v>
      </c>
      <c r="P8" s="39" t="s">
        <v>161</v>
      </c>
      <c r="Q8" s="39" t="s">
        <v>161</v>
      </c>
      <c r="R8" s="39" t="s">
        <v>161</v>
      </c>
      <c r="S8" s="39" t="s">
        <v>161</v>
      </c>
      <c r="T8" s="39" t="s">
        <v>161</v>
      </c>
      <c r="U8" s="39" t="s">
        <v>161</v>
      </c>
      <c r="V8" s="39" t="s">
        <v>161</v>
      </c>
      <c r="W8" s="39" t="s">
        <v>161</v>
      </c>
      <c r="X8" s="25" t="s">
        <v>345</v>
      </c>
      <c r="Y8">
        <v>0.01</v>
      </c>
    </row>
    <row r="9" spans="1:25" x14ac:dyDescent="0.2">
      <c r="A9" s="39" t="s">
        <v>334</v>
      </c>
      <c r="B9" s="39" t="s">
        <v>347</v>
      </c>
      <c r="C9" s="39" t="s">
        <v>348</v>
      </c>
      <c r="D9" s="39" t="s">
        <v>362</v>
      </c>
      <c r="E9" s="39" t="s">
        <v>331</v>
      </c>
      <c r="F9" s="39" t="s">
        <v>161</v>
      </c>
      <c r="G9" s="39" t="s">
        <v>161</v>
      </c>
      <c r="H9" s="39" t="s">
        <v>161</v>
      </c>
      <c r="I9" s="39" t="s">
        <v>161</v>
      </c>
      <c r="J9" s="39" t="s">
        <v>161</v>
      </c>
      <c r="K9" s="39" t="s">
        <v>161</v>
      </c>
      <c r="L9" s="39" t="s">
        <v>161</v>
      </c>
      <c r="M9" s="39" t="s">
        <v>161</v>
      </c>
      <c r="N9" s="39" t="s">
        <v>161</v>
      </c>
      <c r="O9" s="39" t="s">
        <v>161</v>
      </c>
      <c r="P9" s="39" t="s">
        <v>161</v>
      </c>
      <c r="Q9" s="39" t="s">
        <v>161</v>
      </c>
      <c r="R9" s="39" t="s">
        <v>161</v>
      </c>
      <c r="S9" s="39" t="s">
        <v>161</v>
      </c>
      <c r="T9" s="39" t="s">
        <v>161</v>
      </c>
      <c r="U9" s="39" t="s">
        <v>161</v>
      </c>
      <c r="V9" s="39" t="s">
        <v>161</v>
      </c>
      <c r="W9" s="39" t="s">
        <v>161</v>
      </c>
      <c r="X9" s="25" t="s">
        <v>345</v>
      </c>
      <c r="Y9">
        <v>0.01</v>
      </c>
    </row>
    <row r="10" spans="1:25" x14ac:dyDescent="0.2">
      <c r="A10" s="39" t="s">
        <v>334</v>
      </c>
      <c r="B10" s="39" t="s">
        <v>347</v>
      </c>
      <c r="C10" s="39" t="s">
        <v>349</v>
      </c>
      <c r="D10" s="11" t="s">
        <v>378</v>
      </c>
      <c r="E10" s="11" t="s">
        <v>379</v>
      </c>
      <c r="F10" s="11" t="s">
        <v>380</v>
      </c>
      <c r="G10" s="11" t="s">
        <v>380</v>
      </c>
      <c r="H10" s="11" t="s">
        <v>380</v>
      </c>
      <c r="I10" s="11" t="s">
        <v>380</v>
      </c>
      <c r="J10" s="11" t="s">
        <v>381</v>
      </c>
      <c r="K10" s="11" t="s">
        <v>274</v>
      </c>
      <c r="L10" s="11" t="s">
        <v>380</v>
      </c>
      <c r="M10" s="11" t="s">
        <v>380</v>
      </c>
      <c r="N10" s="11" t="s">
        <v>380</v>
      </c>
      <c r="O10" s="11" t="s">
        <v>380</v>
      </c>
      <c r="P10" s="11" t="s">
        <v>380</v>
      </c>
      <c r="Q10" s="11" t="s">
        <v>380</v>
      </c>
      <c r="R10" s="11" t="s">
        <v>380</v>
      </c>
      <c r="S10" s="11" t="s">
        <v>380</v>
      </c>
      <c r="T10" s="11" t="s">
        <v>380</v>
      </c>
      <c r="U10" s="11" t="s">
        <v>380</v>
      </c>
      <c r="V10" s="103" t="s">
        <v>383</v>
      </c>
      <c r="W10" s="11" t="s">
        <v>380</v>
      </c>
      <c r="X10" s="25" t="s">
        <v>382</v>
      </c>
      <c r="Y10">
        <v>0.02</v>
      </c>
    </row>
    <row r="11" spans="1:25" x14ac:dyDescent="0.2">
      <c r="A11" s="39" t="s">
        <v>334</v>
      </c>
      <c r="B11" s="39" t="s">
        <v>347</v>
      </c>
      <c r="C11" s="39" t="s">
        <v>349</v>
      </c>
      <c r="D11" s="96" t="s">
        <v>384</v>
      </c>
      <c r="E11" s="96" t="s">
        <v>375</v>
      </c>
      <c r="F11" s="11" t="s">
        <v>380</v>
      </c>
      <c r="G11" s="11" t="s">
        <v>380</v>
      </c>
      <c r="H11" s="11" t="s">
        <v>380</v>
      </c>
      <c r="I11" s="11" t="s">
        <v>380</v>
      </c>
      <c r="J11" s="11" t="s">
        <v>381</v>
      </c>
      <c r="K11" s="11" t="s">
        <v>274</v>
      </c>
      <c r="L11" s="11" t="s">
        <v>380</v>
      </c>
      <c r="M11" s="11" t="s">
        <v>380</v>
      </c>
      <c r="N11" s="11" t="s">
        <v>380</v>
      </c>
      <c r="O11" s="11" t="s">
        <v>380</v>
      </c>
      <c r="P11" s="11" t="s">
        <v>380</v>
      </c>
      <c r="Q11" s="11" t="s">
        <v>380</v>
      </c>
      <c r="R11" s="11" t="s">
        <v>380</v>
      </c>
      <c r="S11" s="11" t="s">
        <v>380</v>
      </c>
      <c r="T11" s="11" t="s">
        <v>380</v>
      </c>
      <c r="U11" s="11" t="s">
        <v>380</v>
      </c>
      <c r="V11" s="11" t="s">
        <v>380</v>
      </c>
      <c r="W11" s="11" t="s">
        <v>380</v>
      </c>
      <c r="X11" s="25" t="s">
        <v>382</v>
      </c>
      <c r="Y11">
        <v>0.02</v>
      </c>
    </row>
    <row r="12" spans="1:25" x14ac:dyDescent="0.2">
      <c r="A12" s="39" t="s">
        <v>334</v>
      </c>
      <c r="B12" s="39" t="s">
        <v>347</v>
      </c>
      <c r="C12" s="39" t="s">
        <v>349</v>
      </c>
      <c r="D12" s="96" t="s">
        <v>385</v>
      </c>
      <c r="E12" s="96" t="s">
        <v>332</v>
      </c>
      <c r="F12" s="39" t="s">
        <v>161</v>
      </c>
      <c r="G12" s="39" t="s">
        <v>161</v>
      </c>
      <c r="H12" s="39" t="s">
        <v>161</v>
      </c>
      <c r="I12" s="39" t="s">
        <v>161</v>
      </c>
      <c r="J12" s="39" t="s">
        <v>161</v>
      </c>
      <c r="K12" s="39" t="s">
        <v>161</v>
      </c>
      <c r="L12" s="39" t="s">
        <v>161</v>
      </c>
      <c r="M12" s="39" t="s">
        <v>161</v>
      </c>
      <c r="N12" s="39" t="s">
        <v>161</v>
      </c>
      <c r="O12" s="39" t="s">
        <v>161</v>
      </c>
      <c r="P12" s="39" t="s">
        <v>161</v>
      </c>
      <c r="Q12" s="39" t="s">
        <v>161</v>
      </c>
      <c r="R12" s="39" t="s">
        <v>161</v>
      </c>
      <c r="S12" s="39" t="s">
        <v>161</v>
      </c>
      <c r="T12" s="39" t="s">
        <v>161</v>
      </c>
      <c r="U12" s="39" t="s">
        <v>161</v>
      </c>
      <c r="V12" s="39" t="s">
        <v>161</v>
      </c>
      <c r="W12" s="39" t="s">
        <v>161</v>
      </c>
      <c r="X12" s="96" t="s">
        <v>386</v>
      </c>
      <c r="Y12">
        <v>0.02</v>
      </c>
    </row>
    <row r="13" spans="1:25" x14ac:dyDescent="0.2">
      <c r="A13" s="39" t="s">
        <v>334</v>
      </c>
      <c r="B13" s="39" t="s">
        <v>347</v>
      </c>
      <c r="C13" s="39" t="s">
        <v>349</v>
      </c>
      <c r="D13" s="39" t="s">
        <v>354</v>
      </c>
      <c r="E13" s="39" t="s">
        <v>333</v>
      </c>
      <c r="F13" s="39" t="s">
        <v>161</v>
      </c>
      <c r="G13" s="39" t="s">
        <v>161</v>
      </c>
      <c r="H13" s="39" t="s">
        <v>161</v>
      </c>
      <c r="I13" s="39" t="s">
        <v>161</v>
      </c>
      <c r="J13" s="39" t="s">
        <v>161</v>
      </c>
      <c r="K13" s="39" t="s">
        <v>161</v>
      </c>
      <c r="L13" s="39" t="s">
        <v>161</v>
      </c>
      <c r="M13" s="39" t="s">
        <v>161</v>
      </c>
      <c r="N13" s="39" t="s">
        <v>161</v>
      </c>
      <c r="O13" s="39" t="s">
        <v>161</v>
      </c>
      <c r="P13" s="39" t="s">
        <v>161</v>
      </c>
      <c r="Q13" s="39" t="s">
        <v>161</v>
      </c>
      <c r="R13" s="39" t="s">
        <v>161</v>
      </c>
      <c r="S13" s="39" t="s">
        <v>161</v>
      </c>
      <c r="T13" s="39" t="s">
        <v>161</v>
      </c>
      <c r="U13" s="39" t="s">
        <v>161</v>
      </c>
      <c r="V13" s="39" t="s">
        <v>161</v>
      </c>
      <c r="W13" s="39" t="s">
        <v>161</v>
      </c>
      <c r="X13" s="25" t="s">
        <v>345</v>
      </c>
      <c r="Y13">
        <v>0.01</v>
      </c>
    </row>
    <row r="14" spans="1:25" x14ac:dyDescent="0.2">
      <c r="A14" s="98" t="s">
        <v>342</v>
      </c>
      <c r="B14" s="98" t="s">
        <v>346</v>
      </c>
      <c r="C14" s="39" t="s">
        <v>351</v>
      </c>
      <c r="D14" s="39" t="s">
        <v>355</v>
      </c>
      <c r="E14" s="39" t="s">
        <v>335</v>
      </c>
      <c r="F14" s="39" t="s">
        <v>161</v>
      </c>
      <c r="G14" s="39" t="s">
        <v>161</v>
      </c>
      <c r="H14" s="39" t="s">
        <v>161</v>
      </c>
      <c r="I14" s="39" t="s">
        <v>161</v>
      </c>
      <c r="J14" s="39" t="s">
        <v>161</v>
      </c>
      <c r="K14" s="39" t="s">
        <v>161</v>
      </c>
      <c r="L14" s="39" t="s">
        <v>161</v>
      </c>
      <c r="M14" s="39" t="s">
        <v>161</v>
      </c>
      <c r="N14" s="39" t="s">
        <v>161</v>
      </c>
      <c r="O14" s="39" t="s">
        <v>161</v>
      </c>
      <c r="P14" s="39" t="s">
        <v>161</v>
      </c>
      <c r="Q14" s="39" t="s">
        <v>161</v>
      </c>
      <c r="R14" s="39" t="s">
        <v>161</v>
      </c>
      <c r="S14" s="39" t="s">
        <v>161</v>
      </c>
      <c r="T14" s="39" t="s">
        <v>161</v>
      </c>
      <c r="U14" s="39" t="s">
        <v>161</v>
      </c>
      <c r="V14" s="39" t="s">
        <v>161</v>
      </c>
      <c r="W14" s="39" t="s">
        <v>161</v>
      </c>
      <c r="X14" s="25" t="s">
        <v>345</v>
      </c>
      <c r="Y14">
        <v>0.01</v>
      </c>
    </row>
    <row r="15" spans="1:25" x14ac:dyDescent="0.2">
      <c r="A15" s="98" t="s">
        <v>342</v>
      </c>
      <c r="B15" s="98" t="s">
        <v>346</v>
      </c>
      <c r="C15" s="39" t="s">
        <v>351</v>
      </c>
      <c r="D15" s="39" t="s">
        <v>356</v>
      </c>
      <c r="E15" s="39" t="s">
        <v>358</v>
      </c>
      <c r="F15" s="39" t="s">
        <v>161</v>
      </c>
      <c r="G15" s="39" t="s">
        <v>161</v>
      </c>
      <c r="H15" s="39" t="s">
        <v>161</v>
      </c>
      <c r="I15" s="39" t="s">
        <v>161</v>
      </c>
      <c r="J15" s="39" t="s">
        <v>161</v>
      </c>
      <c r="K15" s="39" t="s">
        <v>161</v>
      </c>
      <c r="L15" s="39" t="s">
        <v>161</v>
      </c>
      <c r="M15" s="39" t="s">
        <v>161</v>
      </c>
      <c r="N15" s="39" t="s">
        <v>161</v>
      </c>
      <c r="O15" s="39" t="s">
        <v>161</v>
      </c>
      <c r="P15" s="39" t="s">
        <v>161</v>
      </c>
      <c r="Q15" s="39" t="s">
        <v>161</v>
      </c>
      <c r="R15" s="39" t="s">
        <v>161</v>
      </c>
      <c r="S15" s="39" t="s">
        <v>161</v>
      </c>
      <c r="T15" s="39" t="s">
        <v>161</v>
      </c>
      <c r="U15" s="39" t="s">
        <v>161</v>
      </c>
      <c r="V15" s="39" t="s">
        <v>161</v>
      </c>
      <c r="W15" s="39" t="s">
        <v>161</v>
      </c>
      <c r="X15" s="25" t="s">
        <v>345</v>
      </c>
      <c r="Y15">
        <v>0.01</v>
      </c>
    </row>
    <row r="16" spans="1:25" x14ac:dyDescent="0.2">
      <c r="A16" s="98" t="s">
        <v>342</v>
      </c>
      <c r="B16" s="98" t="s">
        <v>346</v>
      </c>
      <c r="C16" s="39" t="s">
        <v>351</v>
      </c>
      <c r="D16" s="39" t="s">
        <v>359</v>
      </c>
      <c r="E16" s="39" t="s">
        <v>337</v>
      </c>
      <c r="F16" s="39" t="s">
        <v>161</v>
      </c>
      <c r="G16" s="39" t="s">
        <v>161</v>
      </c>
      <c r="H16" s="39" t="s">
        <v>161</v>
      </c>
      <c r="I16" s="39" t="s">
        <v>161</v>
      </c>
      <c r="J16" s="39" t="s">
        <v>161</v>
      </c>
      <c r="K16" s="39" t="s">
        <v>161</v>
      </c>
      <c r="L16" s="39" t="s">
        <v>161</v>
      </c>
      <c r="M16" s="39" t="s">
        <v>161</v>
      </c>
      <c r="N16" s="39" t="s">
        <v>161</v>
      </c>
      <c r="O16" s="39" t="s">
        <v>161</v>
      </c>
      <c r="P16" s="39" t="s">
        <v>161</v>
      </c>
      <c r="Q16" s="39" t="s">
        <v>161</v>
      </c>
      <c r="R16" s="39" t="s">
        <v>161</v>
      </c>
      <c r="S16" s="39" t="s">
        <v>161</v>
      </c>
      <c r="T16" s="39" t="s">
        <v>161</v>
      </c>
      <c r="U16" s="39" t="s">
        <v>161</v>
      </c>
      <c r="V16" s="39" t="s">
        <v>161</v>
      </c>
      <c r="W16" s="39" t="s">
        <v>161</v>
      </c>
      <c r="X16" s="25" t="s">
        <v>345</v>
      </c>
      <c r="Y16">
        <v>0.01</v>
      </c>
    </row>
    <row r="17" spans="1:25" x14ac:dyDescent="0.2">
      <c r="A17" s="98" t="s">
        <v>342</v>
      </c>
      <c r="B17" s="98" t="s">
        <v>346</v>
      </c>
      <c r="C17" s="39" t="s">
        <v>352</v>
      </c>
      <c r="D17" s="39" t="s">
        <v>360</v>
      </c>
      <c r="E17" s="39" t="s">
        <v>338</v>
      </c>
      <c r="F17" s="39" t="s">
        <v>161</v>
      </c>
      <c r="G17" s="39" t="s">
        <v>161</v>
      </c>
      <c r="H17" s="39" t="s">
        <v>161</v>
      </c>
      <c r="I17" s="39" t="s">
        <v>161</v>
      </c>
      <c r="J17" s="39" t="s">
        <v>161</v>
      </c>
      <c r="K17" s="39" t="s">
        <v>161</v>
      </c>
      <c r="L17" s="39" t="s">
        <v>161</v>
      </c>
      <c r="M17" s="39" t="s">
        <v>161</v>
      </c>
      <c r="N17" s="39" t="s">
        <v>161</v>
      </c>
      <c r="O17" s="39" t="s">
        <v>161</v>
      </c>
      <c r="P17" s="39" t="s">
        <v>161</v>
      </c>
      <c r="Q17" s="39" t="s">
        <v>161</v>
      </c>
      <c r="R17" s="39" t="s">
        <v>161</v>
      </c>
      <c r="S17" s="39" t="s">
        <v>161</v>
      </c>
      <c r="T17" s="39" t="s">
        <v>161</v>
      </c>
      <c r="U17" s="39" t="s">
        <v>161</v>
      </c>
      <c r="V17" s="39" t="s">
        <v>161</v>
      </c>
      <c r="W17" s="39" t="s">
        <v>161</v>
      </c>
      <c r="X17" s="25" t="s">
        <v>345</v>
      </c>
      <c r="Y17">
        <v>0.01</v>
      </c>
    </row>
    <row r="18" spans="1:25" x14ac:dyDescent="0.2">
      <c r="A18" s="98" t="s">
        <v>342</v>
      </c>
      <c r="B18" s="98" t="s">
        <v>346</v>
      </c>
      <c r="C18" s="39" t="s">
        <v>352</v>
      </c>
      <c r="D18" s="39" t="s">
        <v>361</v>
      </c>
      <c r="E18" s="39" t="s">
        <v>336</v>
      </c>
      <c r="F18" s="39" t="s">
        <v>161</v>
      </c>
      <c r="G18" s="39" t="s">
        <v>161</v>
      </c>
      <c r="H18" s="39" t="s">
        <v>161</v>
      </c>
      <c r="I18" s="39" t="s">
        <v>161</v>
      </c>
      <c r="J18" s="39" t="s">
        <v>161</v>
      </c>
      <c r="K18" s="39" t="s">
        <v>161</v>
      </c>
      <c r="L18" s="39" t="s">
        <v>161</v>
      </c>
      <c r="M18" s="39" t="s">
        <v>161</v>
      </c>
      <c r="N18" s="39" t="s">
        <v>161</v>
      </c>
      <c r="O18" s="39" t="s">
        <v>161</v>
      </c>
      <c r="P18" s="39" t="s">
        <v>161</v>
      </c>
      <c r="Q18" s="39" t="s">
        <v>161</v>
      </c>
      <c r="R18" s="39" t="s">
        <v>161</v>
      </c>
      <c r="S18" s="39" t="s">
        <v>161</v>
      </c>
      <c r="T18" s="39" t="s">
        <v>161</v>
      </c>
      <c r="U18" s="39" t="s">
        <v>161</v>
      </c>
      <c r="V18" s="39" t="s">
        <v>161</v>
      </c>
      <c r="W18" s="39" t="s">
        <v>161</v>
      </c>
      <c r="X18" s="25" t="s">
        <v>345</v>
      </c>
      <c r="Y18">
        <v>0.01</v>
      </c>
    </row>
    <row r="19" spans="1:25" x14ac:dyDescent="0.2">
      <c r="A19" s="98" t="s">
        <v>342</v>
      </c>
      <c r="B19" s="98" t="s">
        <v>346</v>
      </c>
      <c r="C19" s="39" t="s">
        <v>352</v>
      </c>
      <c r="D19" s="39" t="s">
        <v>362</v>
      </c>
      <c r="E19" s="39" t="s">
        <v>339</v>
      </c>
      <c r="F19" s="39" t="s">
        <v>161</v>
      </c>
      <c r="G19" s="39" t="s">
        <v>161</v>
      </c>
      <c r="H19" s="39" t="s">
        <v>161</v>
      </c>
      <c r="I19" s="39" t="s">
        <v>161</v>
      </c>
      <c r="J19" s="39" t="s">
        <v>161</v>
      </c>
      <c r="K19" s="39" t="s">
        <v>161</v>
      </c>
      <c r="L19" s="39" t="s">
        <v>161</v>
      </c>
      <c r="M19" s="39" t="s">
        <v>161</v>
      </c>
      <c r="N19" s="39" t="s">
        <v>161</v>
      </c>
      <c r="O19" s="39" t="s">
        <v>161</v>
      </c>
      <c r="P19" s="39" t="s">
        <v>161</v>
      </c>
      <c r="Q19" s="39" t="s">
        <v>161</v>
      </c>
      <c r="R19" s="39" t="s">
        <v>161</v>
      </c>
      <c r="S19" s="39" t="s">
        <v>161</v>
      </c>
      <c r="T19" s="39" t="s">
        <v>161</v>
      </c>
      <c r="U19" s="39" t="s">
        <v>161</v>
      </c>
      <c r="V19" s="39" t="s">
        <v>161</v>
      </c>
      <c r="W19" s="39" t="s">
        <v>161</v>
      </c>
      <c r="X19" s="25" t="s">
        <v>345</v>
      </c>
      <c r="Y19">
        <v>0.01</v>
      </c>
    </row>
    <row r="20" spans="1:25" x14ac:dyDescent="0.2">
      <c r="A20" s="98" t="s">
        <v>342</v>
      </c>
      <c r="B20" s="98" t="s">
        <v>346</v>
      </c>
      <c r="C20" s="39" t="s">
        <v>353</v>
      </c>
      <c r="D20" s="11" t="s">
        <v>378</v>
      </c>
      <c r="E20" s="11" t="s">
        <v>379</v>
      </c>
      <c r="F20" s="11" t="s">
        <v>380</v>
      </c>
      <c r="G20" s="11" t="s">
        <v>380</v>
      </c>
      <c r="H20" s="11" t="s">
        <v>380</v>
      </c>
      <c r="I20" s="11" t="s">
        <v>380</v>
      </c>
      <c r="J20" s="11" t="s">
        <v>381</v>
      </c>
      <c r="K20" s="11" t="s">
        <v>274</v>
      </c>
      <c r="L20" s="11" t="s">
        <v>380</v>
      </c>
      <c r="M20" s="11" t="s">
        <v>380</v>
      </c>
      <c r="N20" s="11" t="s">
        <v>380</v>
      </c>
      <c r="O20" s="11" t="s">
        <v>380</v>
      </c>
      <c r="P20" s="11" t="s">
        <v>380</v>
      </c>
      <c r="Q20" s="11" t="s">
        <v>380</v>
      </c>
      <c r="R20" s="11" t="s">
        <v>380</v>
      </c>
      <c r="S20" s="11" t="s">
        <v>380</v>
      </c>
      <c r="T20" s="11" t="s">
        <v>380</v>
      </c>
      <c r="U20" s="11" t="s">
        <v>380</v>
      </c>
      <c r="V20" s="103" t="s">
        <v>383</v>
      </c>
      <c r="W20" s="11" t="s">
        <v>380</v>
      </c>
      <c r="X20" s="25" t="s">
        <v>382</v>
      </c>
      <c r="Y20">
        <v>0.02</v>
      </c>
    </row>
    <row r="21" spans="1:25" x14ac:dyDescent="0.2">
      <c r="A21" s="98" t="s">
        <v>342</v>
      </c>
      <c r="B21" s="98" t="s">
        <v>346</v>
      </c>
      <c r="C21" s="39" t="s">
        <v>353</v>
      </c>
      <c r="D21" s="96" t="s">
        <v>384</v>
      </c>
      <c r="E21" s="96" t="s">
        <v>375</v>
      </c>
      <c r="F21" s="11" t="s">
        <v>380</v>
      </c>
      <c r="G21" s="11" t="s">
        <v>380</v>
      </c>
      <c r="H21" s="11" t="s">
        <v>380</v>
      </c>
      <c r="I21" s="11" t="s">
        <v>380</v>
      </c>
      <c r="J21" s="11" t="s">
        <v>381</v>
      </c>
      <c r="K21" s="11" t="s">
        <v>274</v>
      </c>
      <c r="L21" s="11" t="s">
        <v>380</v>
      </c>
      <c r="M21" s="11" t="s">
        <v>380</v>
      </c>
      <c r="N21" s="11" t="s">
        <v>380</v>
      </c>
      <c r="O21" s="11" t="s">
        <v>380</v>
      </c>
      <c r="P21" s="11" t="s">
        <v>380</v>
      </c>
      <c r="Q21" s="11" t="s">
        <v>380</v>
      </c>
      <c r="R21" s="11" t="s">
        <v>380</v>
      </c>
      <c r="S21" s="11" t="s">
        <v>380</v>
      </c>
      <c r="T21" s="11" t="s">
        <v>380</v>
      </c>
      <c r="U21" s="11" t="s">
        <v>380</v>
      </c>
      <c r="V21" s="11" t="s">
        <v>380</v>
      </c>
      <c r="W21" s="11" t="s">
        <v>380</v>
      </c>
      <c r="X21" s="25" t="s">
        <v>382</v>
      </c>
      <c r="Y21">
        <v>0.02</v>
      </c>
    </row>
    <row r="22" spans="1:25" x14ac:dyDescent="0.2">
      <c r="A22" s="98" t="s">
        <v>342</v>
      </c>
      <c r="B22" s="98" t="s">
        <v>346</v>
      </c>
      <c r="C22" s="39" t="s">
        <v>353</v>
      </c>
      <c r="D22" s="96" t="s">
        <v>385</v>
      </c>
      <c r="E22" s="39" t="s">
        <v>340</v>
      </c>
      <c r="F22" s="39" t="s">
        <v>161</v>
      </c>
      <c r="G22" s="39" t="s">
        <v>161</v>
      </c>
      <c r="H22" s="39" t="s">
        <v>161</v>
      </c>
      <c r="I22" s="39" t="s">
        <v>161</v>
      </c>
      <c r="J22" s="39" t="s">
        <v>161</v>
      </c>
      <c r="K22" s="39" t="s">
        <v>161</v>
      </c>
      <c r="L22" s="39" t="s">
        <v>161</v>
      </c>
      <c r="M22" s="39" t="s">
        <v>161</v>
      </c>
      <c r="N22" s="39" t="s">
        <v>161</v>
      </c>
      <c r="O22" s="39" t="s">
        <v>161</v>
      </c>
      <c r="P22" s="39" t="s">
        <v>161</v>
      </c>
      <c r="Q22" s="39" t="s">
        <v>161</v>
      </c>
      <c r="R22" s="39" t="s">
        <v>161</v>
      </c>
      <c r="S22" s="39" t="s">
        <v>161</v>
      </c>
      <c r="T22" s="39" t="s">
        <v>161</v>
      </c>
      <c r="U22" s="39" t="s">
        <v>161</v>
      </c>
      <c r="V22" s="39" t="s">
        <v>161</v>
      </c>
      <c r="W22" s="39" t="s">
        <v>161</v>
      </c>
      <c r="X22" s="96" t="s">
        <v>386</v>
      </c>
      <c r="Y22">
        <v>0.02</v>
      </c>
    </row>
    <row r="23" spans="1:25" x14ac:dyDescent="0.2">
      <c r="A23" s="98" t="s">
        <v>342</v>
      </c>
      <c r="B23" s="98" t="s">
        <v>346</v>
      </c>
      <c r="C23" s="39" t="s">
        <v>353</v>
      </c>
      <c r="D23" s="39" t="s">
        <v>354</v>
      </c>
      <c r="E23" s="11" t="s">
        <v>341</v>
      </c>
      <c r="F23" s="39" t="s">
        <v>161</v>
      </c>
      <c r="G23" s="39" t="s">
        <v>161</v>
      </c>
      <c r="H23" s="39" t="s">
        <v>161</v>
      </c>
      <c r="I23" s="39" t="s">
        <v>161</v>
      </c>
      <c r="J23" s="39" t="s">
        <v>161</v>
      </c>
      <c r="K23" s="39" t="s">
        <v>161</v>
      </c>
      <c r="L23" s="39" t="s">
        <v>161</v>
      </c>
      <c r="M23" s="39" t="s">
        <v>161</v>
      </c>
      <c r="N23" s="39" t="s">
        <v>161</v>
      </c>
      <c r="O23" s="39" t="s">
        <v>161</v>
      </c>
      <c r="P23" s="39" t="s">
        <v>161</v>
      </c>
      <c r="Q23" s="39" t="s">
        <v>161</v>
      </c>
      <c r="R23" s="39" t="s">
        <v>161</v>
      </c>
      <c r="S23" s="39" t="s">
        <v>161</v>
      </c>
      <c r="T23" s="39" t="s">
        <v>161</v>
      </c>
      <c r="U23" s="39" t="s">
        <v>161</v>
      </c>
      <c r="V23" s="39" t="s">
        <v>161</v>
      </c>
      <c r="W23" s="39" t="s">
        <v>161</v>
      </c>
      <c r="X23" s="25" t="s">
        <v>345</v>
      </c>
      <c r="Y23">
        <v>0.01</v>
      </c>
    </row>
    <row r="24" spans="1:25" x14ac:dyDescent="0.2">
      <c r="A24" s="11"/>
      <c r="B24" s="11"/>
      <c r="C24" s="11"/>
      <c r="D24" s="11"/>
      <c r="E24" s="11"/>
      <c r="F24" s="11"/>
      <c r="G24" s="11"/>
      <c r="H24" s="11"/>
      <c r="I24" s="11"/>
      <c r="J24" s="11"/>
      <c r="K24" s="11"/>
      <c r="L24" s="11"/>
      <c r="M24" s="11"/>
      <c r="N24" s="11"/>
      <c r="O24" s="11"/>
      <c r="P24" s="11"/>
      <c r="Q24" s="11"/>
      <c r="R24" s="11"/>
      <c r="S24" s="11"/>
      <c r="T24" s="11"/>
      <c r="U24" s="11"/>
      <c r="V24" s="11"/>
      <c r="W24" s="11"/>
      <c r="X24" s="20"/>
    </row>
    <row r="25" spans="1:25" x14ac:dyDescent="0.2">
      <c r="A25" s="11"/>
      <c r="B25" s="11"/>
      <c r="C25" s="11"/>
      <c r="D25" s="11"/>
      <c r="E25" s="11"/>
      <c r="F25" s="11"/>
      <c r="G25" s="11"/>
      <c r="H25" s="11"/>
      <c r="I25" s="11"/>
      <c r="J25" s="11"/>
      <c r="K25" s="11"/>
      <c r="L25" s="11"/>
      <c r="M25" s="11"/>
      <c r="N25" s="11"/>
      <c r="O25" s="11"/>
      <c r="P25" s="11"/>
      <c r="Q25" s="11"/>
      <c r="R25" s="11"/>
      <c r="S25" s="11"/>
      <c r="T25" s="11"/>
      <c r="U25" s="11"/>
      <c r="V25" s="11"/>
      <c r="W25" s="11"/>
      <c r="X25" s="20"/>
    </row>
    <row r="26" spans="1:25" x14ac:dyDescent="0.2">
      <c r="A26" s="11"/>
      <c r="B26" s="11"/>
      <c r="C26" s="11"/>
      <c r="D26" s="11"/>
      <c r="E26" s="11"/>
      <c r="F26" s="11"/>
      <c r="G26" s="11"/>
      <c r="H26" s="11"/>
      <c r="I26" s="11"/>
      <c r="J26" s="11"/>
      <c r="K26" s="11"/>
      <c r="L26" s="11"/>
      <c r="M26" s="11"/>
      <c r="N26" s="11"/>
      <c r="O26" s="11"/>
      <c r="P26" s="11"/>
      <c r="Q26" s="11"/>
      <c r="R26" s="11"/>
      <c r="S26" s="11"/>
      <c r="T26" s="11"/>
      <c r="U26" s="11"/>
      <c r="V26" s="11"/>
      <c r="W26" s="11"/>
      <c r="X26" s="20"/>
    </row>
    <row r="27" spans="1:25" x14ac:dyDescent="0.2">
      <c r="A27" s="11"/>
      <c r="B27" s="11"/>
      <c r="C27" s="11"/>
      <c r="D27" s="11"/>
      <c r="E27" s="11"/>
      <c r="F27" s="11"/>
      <c r="G27" s="11"/>
      <c r="H27" s="11"/>
      <c r="I27" s="11"/>
      <c r="J27" s="11"/>
      <c r="K27" s="11"/>
      <c r="L27" s="11"/>
      <c r="M27" s="11"/>
      <c r="N27" s="11"/>
      <c r="O27" s="11"/>
      <c r="P27" s="11"/>
      <c r="Q27" s="11"/>
      <c r="R27" s="11"/>
      <c r="S27" s="11"/>
      <c r="T27" s="11"/>
      <c r="U27" s="11"/>
      <c r="V27" s="11"/>
      <c r="W27" s="11"/>
      <c r="X27" s="20"/>
    </row>
    <row r="28" spans="1:25" x14ac:dyDescent="0.2">
      <c r="A28" s="11"/>
      <c r="B28" s="11"/>
      <c r="C28" s="11"/>
      <c r="D28" s="11"/>
      <c r="E28" s="11"/>
      <c r="F28" s="11"/>
      <c r="G28" s="11"/>
      <c r="H28" s="11"/>
      <c r="I28" s="11"/>
      <c r="J28" s="11"/>
      <c r="K28" s="11"/>
      <c r="L28" s="11"/>
      <c r="M28" s="11"/>
      <c r="N28" s="11"/>
      <c r="O28" s="11"/>
      <c r="P28" s="11"/>
      <c r="Q28" s="11"/>
      <c r="R28" s="11"/>
      <c r="S28" s="11"/>
      <c r="T28" s="11"/>
      <c r="U28" s="11"/>
      <c r="V28" s="11"/>
      <c r="W28" s="11"/>
      <c r="X28" s="20"/>
    </row>
    <row r="29" spans="1:25" x14ac:dyDescent="0.2">
      <c r="A29" s="92"/>
      <c r="B29" s="92"/>
      <c r="C29" s="92"/>
      <c r="D29" s="92"/>
      <c r="E29" s="92"/>
      <c r="F29" s="92"/>
      <c r="G29" s="92"/>
      <c r="H29" s="92"/>
      <c r="I29" s="92"/>
      <c r="J29" s="92"/>
      <c r="K29" s="92"/>
      <c r="L29" s="92"/>
      <c r="M29" s="92"/>
      <c r="N29" s="92"/>
      <c r="O29" s="92"/>
      <c r="P29" s="92"/>
      <c r="Q29" s="92"/>
      <c r="R29" s="92"/>
      <c r="S29" s="92"/>
      <c r="T29" s="92"/>
      <c r="U29" s="92"/>
      <c r="V29" s="92"/>
      <c r="W29" s="92"/>
      <c r="X29" s="95"/>
    </row>
    <row r="32" spans="1:25" x14ac:dyDescent="0.2">
      <c r="A32" s="19" t="s">
        <v>32</v>
      </c>
      <c r="B32" s="19" t="s">
        <v>182</v>
      </c>
    </row>
    <row r="33" spans="1:2" x14ac:dyDescent="0.2">
      <c r="A33" s="18"/>
      <c r="B33" s="18">
        <f>SUM(Y4:Z24)</f>
        <v>0.26000000000000006</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B10" sqref="B10"/>
    </sheetView>
  </sheetViews>
  <sheetFormatPr defaultRowHeight="12.75" x14ac:dyDescent="0.2"/>
  <cols>
    <col min="1" max="1" width="16.28515625" bestFit="1" customWidth="1"/>
    <col min="2" max="2" width="15.28515625" customWidth="1"/>
    <col min="3" max="3" width="44.5703125" bestFit="1" customWidth="1"/>
  </cols>
  <sheetData>
    <row r="1" spans="1:3" ht="13.5" thickBot="1" x14ac:dyDescent="0.25">
      <c r="A1" s="144" t="s">
        <v>120</v>
      </c>
      <c r="B1" s="145"/>
      <c r="C1" s="146"/>
    </row>
    <row r="3" spans="1:3" ht="25.5" x14ac:dyDescent="0.2">
      <c r="A3" s="26" t="s">
        <v>268</v>
      </c>
      <c r="B3" s="26" t="s">
        <v>167</v>
      </c>
      <c r="C3" s="26" t="s">
        <v>64</v>
      </c>
    </row>
    <row r="4" spans="1:3" x14ac:dyDescent="0.2">
      <c r="A4" s="39"/>
      <c r="B4" s="39"/>
      <c r="C4" s="39"/>
    </row>
    <row r="5" spans="1:3" x14ac:dyDescent="0.2">
      <c r="A5" s="11"/>
      <c r="B5" s="11"/>
      <c r="C5" s="20"/>
    </row>
    <row r="6" spans="1:3" x14ac:dyDescent="0.2">
      <c r="A6" s="11"/>
      <c r="B6" s="11"/>
      <c r="C6" s="11"/>
    </row>
    <row r="9" spans="1:3" x14ac:dyDescent="0.2">
      <c r="A9" s="19" t="s">
        <v>32</v>
      </c>
      <c r="B9" s="19" t="s">
        <v>182</v>
      </c>
    </row>
    <row r="10" spans="1:3" x14ac:dyDescent="0.2">
      <c r="A10" s="18"/>
      <c r="B10" s="18"/>
    </row>
  </sheetData>
  <mergeCells count="1">
    <mergeCell ref="A1:C1"/>
  </mergeCells>
  <phoneticPr fontId="2" type="noConversion"/>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35" sqref="E35"/>
    </sheetView>
  </sheetViews>
  <sheetFormatPr defaultRowHeight="12.75" x14ac:dyDescent="0.2"/>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8" ht="13.5" thickBot="1" x14ac:dyDescent="0.25">
      <c r="A1" s="144" t="s">
        <v>122</v>
      </c>
      <c r="B1" s="145"/>
      <c r="C1" s="145"/>
      <c r="D1" s="146"/>
    </row>
    <row r="3" spans="1:8" x14ac:dyDescent="0.2">
      <c r="A3" s="12" t="s">
        <v>269</v>
      </c>
      <c r="B3" s="12" t="s">
        <v>270</v>
      </c>
      <c r="C3" s="12" t="s">
        <v>99</v>
      </c>
      <c r="D3" s="12" t="s">
        <v>271</v>
      </c>
      <c r="E3" s="12" t="s">
        <v>272</v>
      </c>
      <c r="F3" s="12" t="s">
        <v>273</v>
      </c>
    </row>
    <row r="4" spans="1:8" x14ac:dyDescent="0.2">
      <c r="A4" s="17" t="s">
        <v>274</v>
      </c>
      <c r="B4" s="38" t="s">
        <v>275</v>
      </c>
      <c r="C4" s="39" t="s">
        <v>276</v>
      </c>
      <c r="D4" s="11" t="s">
        <v>277</v>
      </c>
      <c r="E4" s="11" t="s">
        <v>278</v>
      </c>
      <c r="F4" s="11" t="s">
        <v>279</v>
      </c>
    </row>
    <row r="5" spans="1:8" x14ac:dyDescent="0.2">
      <c r="A5" s="17" t="s">
        <v>280</v>
      </c>
      <c r="B5" s="11"/>
      <c r="C5" s="11"/>
      <c r="D5" s="11"/>
      <c r="E5" s="11"/>
      <c r="F5" s="11" t="s">
        <v>161</v>
      </c>
    </row>
    <row r="8" spans="1:8" x14ac:dyDescent="0.2">
      <c r="A8" s="12" t="s">
        <v>281</v>
      </c>
      <c r="B8" s="36" t="s">
        <v>282</v>
      </c>
      <c r="C8" s="36" t="s">
        <v>283</v>
      </c>
      <c r="D8" s="36" t="s">
        <v>284</v>
      </c>
      <c r="E8" s="36" t="s">
        <v>285</v>
      </c>
      <c r="F8" s="36" t="s">
        <v>286</v>
      </c>
      <c r="G8" s="36" t="s">
        <v>287</v>
      </c>
      <c r="H8" s="36" t="s">
        <v>288</v>
      </c>
    </row>
    <row r="9" spans="1:8" x14ac:dyDescent="0.2">
      <c r="A9" s="12" t="s">
        <v>289</v>
      </c>
      <c r="B9" s="37">
        <v>922</v>
      </c>
      <c r="C9" s="37">
        <v>24279</v>
      </c>
      <c r="D9" s="37">
        <v>0</v>
      </c>
      <c r="E9" s="37">
        <v>0</v>
      </c>
      <c r="F9" s="37">
        <v>1334</v>
      </c>
      <c r="G9" s="37">
        <v>0</v>
      </c>
      <c r="H9" s="37">
        <v>0</v>
      </c>
    </row>
    <row r="10" spans="1:8" x14ac:dyDescent="0.2">
      <c r="A10" s="12" t="s">
        <v>290</v>
      </c>
      <c r="B10" s="37"/>
      <c r="C10" s="37"/>
      <c r="D10" s="37"/>
      <c r="E10" s="37"/>
      <c r="F10" s="37"/>
      <c r="G10" s="37"/>
      <c r="H10" s="37"/>
    </row>
    <row r="11" spans="1:8" x14ac:dyDescent="0.2">
      <c r="A11" s="12" t="s">
        <v>290</v>
      </c>
      <c r="B11" s="37"/>
      <c r="C11" s="37"/>
      <c r="D11" s="37"/>
      <c r="E11" s="37"/>
      <c r="F11" s="37"/>
      <c r="G11" s="37"/>
      <c r="H11" s="37"/>
    </row>
    <row r="15" spans="1:8" x14ac:dyDescent="0.2">
      <c r="B15" s="35" t="s">
        <v>291</v>
      </c>
      <c r="C15" s="154" t="s">
        <v>292</v>
      </c>
      <c r="D15" s="154"/>
      <c r="E15" s="154"/>
      <c r="F15" s="154"/>
      <c r="G15" s="154"/>
    </row>
    <row r="16" spans="1:8" x14ac:dyDescent="0.2">
      <c r="B16" s="35" t="s">
        <v>293</v>
      </c>
      <c r="C16" s="154"/>
      <c r="D16" s="154"/>
      <c r="E16" s="154"/>
      <c r="F16" s="154"/>
      <c r="G16" s="154"/>
    </row>
    <row r="17" spans="2:7" x14ac:dyDescent="0.2">
      <c r="B17" s="35" t="s">
        <v>294</v>
      </c>
      <c r="C17" s="154"/>
      <c r="D17" s="154"/>
      <c r="E17" s="154"/>
      <c r="F17" s="154"/>
      <c r="G17" s="154"/>
    </row>
    <row r="18" spans="2:7" x14ac:dyDescent="0.2">
      <c r="B18" s="35" t="s">
        <v>295</v>
      </c>
      <c r="C18" s="154"/>
      <c r="D18" s="154"/>
      <c r="E18" s="154"/>
      <c r="F18" s="154"/>
      <c r="G18" s="154"/>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4" sqref="B4"/>
    </sheetView>
  </sheetViews>
  <sheetFormatPr defaultRowHeight="12.75" x14ac:dyDescent="0.2"/>
  <cols>
    <col min="1" max="1" width="15.140625" bestFit="1" customWidth="1"/>
    <col min="2" max="2" width="48" customWidth="1"/>
  </cols>
  <sheetData>
    <row r="1" spans="1:2" x14ac:dyDescent="0.2">
      <c r="A1" s="155" t="s">
        <v>296</v>
      </c>
      <c r="B1" s="156"/>
    </row>
    <row r="2" spans="1:2" x14ac:dyDescent="0.2">
      <c r="A2" s="63" t="s">
        <v>297</v>
      </c>
      <c r="B2" s="78" t="s">
        <v>298</v>
      </c>
    </row>
    <row r="3" spans="1:2" x14ac:dyDescent="0.2">
      <c r="A3" s="63" t="s">
        <v>299</v>
      </c>
      <c r="B3" s="78" t="s">
        <v>161</v>
      </c>
    </row>
    <row r="4" spans="1:2" ht="13.5" thickBot="1" x14ac:dyDescent="0.25">
      <c r="A4" s="64" t="s">
        <v>300</v>
      </c>
      <c r="B4" s="79" t="s">
        <v>161</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D9B784F-9486-4C16-BD56-4663ABCB41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DA038B-0D02-4A46-9984-E263D5F1CBF3}">
  <ds:schemaRefs>
    <ds:schemaRef ds:uri="http://schemas.microsoft.com/office/2006/metadata/properties"/>
    <ds:schemaRef ds:uri="http://schemas.microsoft.com/office/infopath/2007/PartnerControls"/>
    <ds:schemaRef ds:uri="6d0617fb-1757-47f7-87ee-4de08b985d90"/>
  </ds:schemaRefs>
</ds:datastoreItem>
</file>

<file path=customXml/itemProps3.xml><?xml version="1.0" encoding="utf-8"?>
<ds:datastoreItem xmlns:ds="http://schemas.openxmlformats.org/officeDocument/2006/customXml" ds:itemID="{2E3FF3FE-4DF8-45AA-836B-B794E5391AF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Ramen, Rhishna</cp:lastModifiedBy>
  <cp:revision/>
  <dcterms:created xsi:type="dcterms:W3CDTF">2009-06-01T12:18:44Z</dcterms:created>
  <dcterms:modified xsi:type="dcterms:W3CDTF">2021-11-17T12:46:55Z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