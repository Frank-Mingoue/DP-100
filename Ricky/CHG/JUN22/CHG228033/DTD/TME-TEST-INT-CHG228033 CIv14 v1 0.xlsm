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CHG228033\DTD\"/>
    </mc:Choice>
  </mc:AlternateContent>
  <xr:revisionPtr revIDLastSave="0" documentId="13_ncr:1_{FE39EAD0-7294-451A-9930-67FA44A69446}" xr6:coauthVersionLast="47" xr6:coauthVersionMax="47" xr10:uidLastSave="{00000000-0000-0000-0000-000000000000}"/>
  <bookViews>
    <workbookView xWindow="-120" yWindow="-16320" windowWidth="29040" windowHeight="15720"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2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3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<sst xmlns="http://schemas.openxmlformats.org/spreadsheetml/2006/main" count="219" uniqueCount="137">
  <si>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</si>
  <si>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</si>
  <si>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</si>
  <si>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</si>
  <si>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</si>
  <si>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</si>
  <si>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</si>
  <si>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</si>
  <si>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</si>
  <si>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</si>
  <si>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</si>
  <si>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</si>
  <si>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</si>
  <si>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</si>
  <si>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</si>
  <si>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</si>
  <si>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</si>
  <si>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</si>
  <si>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</si>
  <si>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</si>
  <si>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</si>
  <si>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</si>
  <si>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</si>
  <si>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</si>
  <si>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</si>
  <si>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</si>
  <si>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</si>
  <si>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</si>
  <si>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</si>
  <si>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</si>
  <si>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</si>
  <si>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</si>
  <si>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</si>
  <si>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</si>
  <si>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</si>
  <si>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</si>
  <si>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</si>
  <si>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</si>
  <si>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</si>
  <si>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</si>
  <si>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</si>
  <si>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</si>
  <si>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</si>
  <si>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</si>
  <si>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</si>
  <si>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</si>
  <si>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</si>
  <si>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</si>
  <si>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</si>
  <si>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</si>
  <si>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</si>
  <si>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</si>
  <si>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</si>
  <si>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</si>
  <si>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</si>
  <si>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</si>
  <si>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</si>
  <si>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</si>
  <si>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</si>
  <si>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</si>
  <si>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</si>
  <si>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</si>
  <si>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</si>
  <si>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</si>
  <si>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</si>
  <si>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</si>
  <si>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</si>
  <si>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</si>
  <si>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</si>
  <si>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</si>
  <si>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</si>
  <si>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</si>
  <si>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</si>
  <si>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</si>
  <si>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</si>
  <si>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</si>
  <si>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</si>
  <si>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</si>
  <si>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</si>
  <si>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</si>
  <si>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</si>
  <si>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CT</t>
  </si>
  <si>
    <t>RUN_EIM_PROCESS_JAVA,JTI_DWH_ETLComplete_Incremental</t>
  </si>
  <si>
    <t>FDE_INT_CONTRACT_ITEMS_PRE_GENERIC, FDE_INT_CONTRACT_ITEMS_NEW_V2</t>
  </si>
  <si>
    <t>Reset Test Data on Sales App</t>
  </si>
  <si>
    <t>Informatica Server &amp; SIEBEL_OLTP_DEV14</t>
  </si>
  <si>
    <t>Launch the update script</t>
  </si>
  <si>
    <t>Reset Error Table</t>
  </si>
  <si>
    <t>Launch Script to delete errors</t>
  </si>
  <si>
    <t>SIEBEL_OLTP_DEV14</t>
  </si>
  <si>
    <t>Informatica Server</t>
  </si>
  <si>
    <t>N/A</t>
  </si>
  <si>
    <t>FF correctly placed</t>
  </si>
  <si>
    <t>Place FF in \\10.186.26.27\Interfaces_IP14\Italy\IUNP</t>
  </si>
  <si>
    <t>Register FF</t>
  </si>
  <si>
    <t>Open Workflow Manager. Launch EIM_INTERFACE--&gt;RUN_EIM_PROCESS_GENERIC--&gt;
wrk_Pre_Etl_java
Launch Script to verify FF registration</t>
  </si>
  <si>
    <t>Informatica &amp; SIEBEL_OLAP_DEV81</t>
  </si>
  <si>
    <t>FF correctly registered</t>
  </si>
  <si>
    <t>2 record updated</t>
  </si>
  <si>
    <t>2 Record updated</t>
  </si>
  <si>
    <t>Load FF &amp; Check Errors</t>
  </si>
  <si>
    <t>Informatica &amp; SIEBEL_OLTP_DEV14</t>
  </si>
  <si>
    <t>Launch EIM_INTERFACE--&gt;RUN_EIM_PROCESS_GENERIC--&gt;
wrk_ContactItems_Interface_Generic
Launch Script to perform length, numeric and LOV check and load correct data</t>
  </si>
  <si>
    <t>Check Loaded Test Data</t>
  </si>
  <si>
    <t>Launch Script to check loaded data</t>
  </si>
  <si>
    <t>Screenshot 1</t>
  </si>
  <si>
    <t>Screenshot 2</t>
  </si>
  <si>
    <t>Check Data on Screen</t>
  </si>
  <si>
    <t>Siebel Sales Application</t>
  </si>
  <si>
    <t xml:space="preserve"> Refer to Screenshot 3,4. Fields are correctly populated</t>
  </si>
  <si>
    <t xml:space="preserve"> Refer to Screenshot 3,4 . Fields are correctly populated</t>
  </si>
  <si>
    <t>Login Sales App as 'CSTADMITA'. 
Navigate to Administration Data--&gt;Template Agreements . Query for '1-469876907' as Agreement Index.
Go to 'Contract Term' tab, check the value for Benefit Type
Go to 'Distribution' tab, check the value for 'Contract Item'</t>
  </si>
  <si>
    <t>Open Workflow Manager. Launch EC4U--&gt;JTI_DWH_ETLComplete_Incremental--&gt;
Load_EIM--&gt;
1) wrk_pre_Etl
2) wrk_ContractItems_Interface_Generic
Launch Script to perform length, numeric and LOV check and load correct data</t>
  </si>
  <si>
    <t>Y</t>
  </si>
  <si>
    <t>DELETE FROM WC_ERRORS_G WHERE FILE_NAME LIKE '%ITCI1402_20220404_10%'</t>
  </si>
  <si>
    <t>2 rows affected</t>
  </si>
  <si>
    <t>J:\General\04_RELEASE_MANAGEMENT\2022-06-Release PROD JUN22\04_Release Docs\003-Data\Data Regression</t>
  </si>
  <si>
    <t xml:space="preserve"> SELECT * FROM WC_ETL_FILES_G WHERE FILENAME LIKE '%ITCI1402_20220404_10%'</t>
  </si>
  <si>
    <t xml:space="preserve">  SELECT FIELD_NAME,FIELD_VALUE,FAILURE_DESCRIPTION,* FROM WC_ERRORS_G WHERE FILE_NAME LIKE '%ITCI1402_20220404_10%'</t>
  </si>
  <si>
    <t>Refer to Screenshot 1.
2 errors returned</t>
  </si>
  <si>
    <t>Check if X_TARGET_NUM  correctly populated</t>
  </si>
  <si>
    <t>Frank</t>
  </si>
  <si>
    <t xml:space="preserve">IF_ROW_STAT  should be IMPORTED 
</t>
  </si>
  <si>
    <t xml:space="preserve">IF_ROW_STAT  IS IMPORTED 
</t>
  </si>
  <si>
    <t>IF_ROW_STAT  IS IMPORTED 
Refer to Screenshot 2 &amp; 3</t>
  </si>
  <si>
    <t xml:space="preserve">IF_ROW_STAT  should be IMPORTED 
Refer to Screenshot 2 &amp; 3
</t>
  </si>
  <si>
    <t>2 errors returned</t>
  </si>
  <si>
    <t xml:space="preserve">CHG228033  </t>
  </si>
  <si>
    <t>SELECT * FROM PRE_EIM_AGREE_ITEM
/**CHECK EIM**/
SELECT IF_ROW_STAT,X_TARGET_NUM,*
FROM EIM_AGREE_ITEM WHERE IF_ROW_BATCH_NUM=2000
/**CHECK BASE TABLE**/
SELECT  X_TARGET_NUM, * FROM S_AGREE_ITEM WHERE ROW_ID IN ('1-7RR3CE')</t>
  </si>
  <si>
    <t>SELECT * FROM PRE_EIM_AGREE_ITEM
/**CHECK EIM**/
SELECT IF_ROW_STAT,X_TARGET_NUM,*
FROM EIM_AGREE_ITEM WHERE IF_ROW_BATCH_NUM=2000
SELECT  X_TARGET_NUM, * FROM S_AGREE_ITEM WHERE ROW_ID IN ('1-7RR3CE')</t>
  </si>
  <si>
    <t>SELECT  X_TARGET_NUM S_AGREE_ITEM WHERE ROW_ID IN ('1-7RR3CE')</t>
  </si>
  <si>
    <t>2 record RETURNED with X_TARGET_NUM null</t>
  </si>
  <si>
    <t xml:space="preserve">UPDATE S_AGREE_ITEM
SET X_TARGET_NUM = NULL
WHERE ROW_ID IN ('1-7RR3CE')
</t>
  </si>
  <si>
    <t>1 record updated</t>
  </si>
  <si>
    <t>Refer to Screenshot 1. 
2 errors returned
(1 record with lenght error
1 record with invalid number)</t>
  </si>
  <si>
    <t>TMEC: RI – Contract Enhancements V2</t>
  </si>
  <si>
    <t>S_AGREE_ITEM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</si>
</sst>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8"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10"/>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theme="6" tint="-0.249977111117893"/>
        <bgColor indexed="64"/>
      </patternFill>
    </fill>
    <fill>
      <patternFill patternType="solid">
        <fgColor rgb="FF00B0F0"/>
        <bgColor indexed="64"/>
      </patternFill>
    </fill>
    <fill>
      <patternFill patternType="solid">
        <fgColor rgb="FF99FFCC"/>
        <bgColor indexed="64"/>
      </patternFill>
    </fill>
    <fill>
      <patternFill patternType="solid">
        <fgColor theme="0"/>
        <bgColor indexed="64"/>
      </patternFill>
    </fill>
    <fill>
      <patternFill patternType="solid">
        <fgColor theme="9"/>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7">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4" fillId="0" borderId="0" applyNumberFormat="0" applyFill="0" applyBorder="0" applyAlignment="0" applyProtection="0">
      <alignment vertical="top"/>
      <protection locked="0"/>
    </xf>
    <xf numFmtId="0" fontId="45" fillId="0" borderId="0"/>
    <xf numFmtId="0" fontId="3" fillId="0" borderId="0"/>
    <xf numFmtId="0" fontId="45" fillId="0" borderId="0"/>
    <xf numFmtId="0" fontId="45"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cellStyleXfs>
  <cellXfs count="163">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4"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6" fillId="0" borderId="10" xfId="32" applyNumberFormat="1" applyFont="1" applyBorder="1" applyAlignment="1" applyProtection="1">
      <alignment horizontal="left" vertical="center" wrapText="1"/>
    </xf>
    <xf numFmtId="0" fontId="38" fillId="0" borderId="0" xfId="37" applyAlignment="1">
      <alignment horizontal="left" vertical="top"/>
    </xf>
    <xf numFmtId="0" fontId="30" fillId="26" borderId="10" xfId="37" applyFont="1" applyFill="1" applyBorder="1" applyAlignment="1">
      <alignment vertical="top" wrapText="1"/>
    </xf>
    <xf numFmtId="0" fontId="30" fillId="26" borderId="10" xfId="37" applyFont="1" applyFill="1" applyBorder="1" applyAlignment="1">
      <alignment horizontal="left" vertical="top" wrapText="1"/>
    </xf>
    <xf numFmtId="0" fontId="30" fillId="26" borderId="10" xfId="37" applyFont="1" applyFill="1" applyBorder="1"/>
    <xf numFmtId="0" fontId="30" fillId="26" borderId="10" xfId="37" applyFont="1" applyFill="1" applyBorder="1" applyAlignment="1">
      <alignment wrapText="1"/>
    </xf>
    <xf numFmtId="0" fontId="41" fillId="26" borderId="10" xfId="37" applyFont="1" applyFill="1" applyBorder="1" applyAlignment="1">
      <alignment vertical="top" wrapText="1"/>
    </xf>
    <xf numFmtId="0" fontId="0" fillId="0" borderId="0" xfId="0" applyAlignment="1">
      <alignment horizontal="center"/>
    </xf>
    <xf numFmtId="0" fontId="47" fillId="27" borderId="0" xfId="0" applyFont="1" applyFill="1"/>
    <xf numFmtId="0" fontId="47" fillId="27" borderId="0" xfId="0" applyFont="1" applyFill="1" applyAlignment="1">
      <alignment horizontal="center"/>
    </xf>
    <xf numFmtId="0" fontId="4" fillId="28" borderId="10" xfId="0" applyFont="1" applyFill="1" applyBorder="1"/>
    <xf numFmtId="0" fontId="0" fillId="28" borderId="10" xfId="0" applyFill="1" applyBorder="1" applyAlignment="1">
      <alignment horizontal="center"/>
    </xf>
    <xf numFmtId="14" fontId="0" fillId="28" borderId="10" xfId="0" applyNumberFormat="1" applyFill="1" applyBorder="1" applyAlignment="1">
      <alignment horizontal="center"/>
    </xf>
    <xf numFmtId="14" fontId="3" fillId="28" borderId="10" xfId="0" quotePrefix="1" applyNumberFormat="1" applyFont="1" applyFill="1" applyBorder="1" applyAlignment="1">
      <alignment horizontal="center"/>
    </xf>
    <xf numFmtId="0" fontId="3" fillId="28" borderId="10" xfId="0" applyFont="1" applyFill="1" applyBorder="1" applyAlignment="1">
      <alignment horizontal="center"/>
    </xf>
    <xf numFmtId="166" fontId="0" fillId="28"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 fillId="30" borderId="0" xfId="0" applyFont="1" applyFill="1"/>
    <xf numFmtId="0" fontId="4" fillId="30" borderId="0" xfId="0" applyFont="1" applyFill="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0" xfId="37"/>
    <xf numFmtId="0" fontId="3" fillId="0" borderId="0" xfId="37" applyFont="1"/>
    <xf numFmtId="0" fontId="38" fillId="0" borderId="10" xfId="37" applyFill="1" applyBorder="1" applyAlignment="1">
      <alignment wrapText="1"/>
    </xf>
    <xf numFmtId="0" fontId="30" fillId="0" borderId="10" xfId="37" applyFont="1" applyBorder="1" applyAlignment="1">
      <alignment vertical="top"/>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8" fillId="0" borderId="0" xfId="37"/>
    <xf numFmtId="0" fontId="38" fillId="0" borderId="10" xfId="37" applyBorder="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Fill="1" applyBorder="1" applyAlignment="1">
      <alignment wrapText="1"/>
    </xf>
    <xf numFmtId="0" fontId="38" fillId="0" borderId="10" xfId="37" applyFont="1" applyBorder="1" applyAlignment="1">
      <alignment horizontal="left" vertical="top" wrapText="1"/>
    </xf>
    <xf numFmtId="0" fontId="30" fillId="0" borderId="10" xfId="37" applyFont="1" applyBorder="1"/>
    <xf numFmtId="0" fontId="38" fillId="29" borderId="10" xfId="37" applyFill="1" applyBorder="1" applyAlignment="1">
      <alignment horizontal="left" vertical="top" wrapText="1"/>
    </xf>
    <xf numFmtId="0" fontId="38" fillId="0" borderId="0" xfId="37"/>
    <xf numFmtId="0" fontId="38" fillId="0" borderId="10" xfId="37" applyBorder="1"/>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Fill="1" applyBorder="1" applyAlignment="1">
      <alignment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xf numFmtId="0" fontId="38" fillId="0" borderId="0" xfId="37"/>
    <xf numFmtId="0" fontId="38" fillId="0" borderId="10" xfId="37" applyBorder="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0" fillId="0" borderId="10" xfId="37" applyFont="1" applyFill="1" applyBorder="1" applyAlignment="1">
      <alignment wrapText="1"/>
    </xf>
    <xf numFmtId="0" fontId="38" fillId="0" borderId="10" xfId="37" applyFont="1" applyFill="1" applyBorder="1" applyAlignment="1">
      <alignment vertical="top" wrapText="1"/>
    </xf>
    <xf numFmtId="0" fontId="30" fillId="0" borderId="10" xfId="37" applyFont="1" applyBorder="1"/>
    <xf numFmtId="0" fontId="38" fillId="0" borderId="0" xfId="37"/>
    <xf numFmtId="0" fontId="38" fillId="0" borderId="10" xfId="37" applyBorder="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Fill="1" applyBorder="1" applyAlignment="1">
      <alignment wrapText="1"/>
    </xf>
    <xf numFmtId="0" fontId="30" fillId="26" borderId="10" xfId="37" applyFont="1" applyFill="1" applyBorder="1" applyAlignment="1">
      <alignment horizontal="left" vertical="top" wrapText="1"/>
    </xf>
    <xf numFmtId="0" fontId="38" fillId="0" borderId="10" xfId="37" applyFont="1" applyFill="1" applyBorder="1" applyAlignment="1">
      <alignment vertical="top" wrapText="1"/>
    </xf>
    <xf numFmtId="0" fontId="30" fillId="0" borderId="10" xfId="37" applyFont="1" applyBorder="1"/>
    <xf numFmtId="0" fontId="38" fillId="29" borderId="10" xfId="37" applyFill="1" applyBorder="1" applyAlignment="1">
      <alignment horizontal="left" vertical="top" wrapText="1"/>
    </xf>
    <xf numFmtId="0" fontId="38" fillId="0" borderId="0" xfId="37"/>
    <xf numFmtId="0" fontId="34" fillId="0" borderId="10" xfId="38" applyFont="1" applyBorder="1" applyAlignment="1">
      <alignment horizontal="left" vertical="center" wrapText="1"/>
    </xf>
    <xf numFmtId="0" fontId="38" fillId="0" borderId="0" xfId="37"/>
    <xf numFmtId="0" fontId="3" fillId="0" borderId="0" xfId="37" applyFont="1"/>
    <xf numFmtId="0" fontId="38" fillId="0" borderId="10" xfId="37" applyBorder="1"/>
    <xf numFmtId="0" fontId="38" fillId="0" borderId="10" xfId="37" applyFill="1" applyBorder="1" applyAlignment="1">
      <alignment wrapText="1"/>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0" fillId="0" borderId="10" xfId="37" applyFont="1" applyBorder="1"/>
    <xf numFmtId="0" fontId="30" fillId="0" borderId="10" xfId="37" applyFont="1" applyFill="1" applyBorder="1" applyAlignment="1">
      <alignment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17" fontId="33" fillId="23" borderId="0" xfId="38" applyNumberFormat="1" applyFont="1" applyFill="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5" fillId="0" borderId="15" xfId="36" applyBorder="1"/>
    <xf numFmtId="0" fontId="38" fillId="0" borderId="12" xfId="37" applyFont="1" applyBorder="1" applyAlignment="1">
      <alignment horizontal="center" wrapText="1"/>
    </xf>
    <xf numFmtId="0" fontId="38" fillId="0" borderId="15" xfId="37" applyFont="1" applyBorder="1" applyAlignment="1">
      <alignment horizontal="center" wrapText="1"/>
    </xf>
    <xf numFmtId="0" fontId="38" fillId="0" borderId="16" xfId="37" applyFont="1" applyBorder="1" applyAlignment="1">
      <alignment horizontal="center" wrapText="1"/>
    </xf>
    <xf numFmtId="0" fontId="40" fillId="0" borderId="12" xfId="37" applyFont="1" applyBorder="1" applyAlignment="1">
      <alignment horizontal="left" wrapText="1"/>
    </xf>
    <xf numFmtId="0" fontId="40" fillId="0" borderId="15" xfId="37" applyFont="1" applyBorder="1" applyAlignment="1">
      <alignment horizontal="left" wrapText="1"/>
    </xf>
    <xf numFmtId="0" fontId="40" fillId="0" borderId="16"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7">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00000000-0005-0000-0000-000023000000}"/>
    <cellStyle name="Normal 2 4" xfId="54" xr:uid="{00000000-0005-0000-0000-000024000000}"/>
    <cellStyle name="Normal 3" xfId="35" xr:uid="{00000000-0005-0000-0000-000025000000}"/>
    <cellStyle name="Normal 3 2" xfId="36" xr:uid="{00000000-0005-0000-0000-000026000000}"/>
    <cellStyle name="Normal 3 2 2" xfId="53" xr:uid="{00000000-0005-0000-0000-000027000000}"/>
    <cellStyle name="Normal 3 2 3" xfId="56" xr:uid="{00000000-0005-0000-0000-000028000000}"/>
    <cellStyle name="Normal 3 3" xfId="52" xr:uid="{00000000-0005-0000-0000-000029000000}"/>
    <cellStyle name="Normal 3 4" xfId="55" xr:uid="{00000000-0005-0000-0000-00002A000000}"/>
    <cellStyle name="Normal 4" xfId="37" xr:uid="{00000000-0005-0000-0000-00002B000000}"/>
    <cellStyle name="Normal_Analytics_Test Script_CR_XXXX_Template" xfId="38" xr:uid="{00000000-0005-0000-0000-00002C000000}"/>
    <cellStyle name="Notiz" xfId="39" xr:uid="{00000000-0005-0000-0000-00002D000000}"/>
    <cellStyle name="Schlecht" xfId="40" xr:uid="{00000000-0005-0000-0000-00002E000000}"/>
    <cellStyle name="Standard 2" xfId="41" xr:uid="{00000000-0005-0000-0000-00002F000000}"/>
    <cellStyle name="Style 1" xfId="42" xr:uid="{00000000-0005-0000-0000-000030000000}"/>
    <cellStyle name="Überschrift" xfId="43" xr:uid="{00000000-0005-0000-0000-000031000000}"/>
    <cellStyle name="Überschrift 1" xfId="44" xr:uid="{00000000-0005-0000-0000-000032000000}"/>
    <cellStyle name="Überschrift 2" xfId="45" xr:uid="{00000000-0005-0000-0000-000033000000}"/>
    <cellStyle name="Überschrift 3" xfId="46" xr:uid="{00000000-0005-0000-0000-000034000000}"/>
    <cellStyle name="Überschrift 4" xfId="47" xr:uid="{00000000-0005-0000-0000-000035000000}"/>
    <cellStyle name="Verknüpfte Zelle" xfId="48" xr:uid="{00000000-0005-0000-0000-000036000000}"/>
    <cellStyle name="Warnender Text" xfId="49" xr:uid="{00000000-0005-0000-0000-000037000000}"/>
    <cellStyle name="Zelle überprüfen" xfId="50" xr:uid="{00000000-0005-0000-0000-000038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15</xdr:col>
      <xdr:colOff>8046</xdr:colOff>
      <xdr:row>12</xdr:row>
      <xdr:rowOff>152188</xdr:rowOff>
    </xdr:to>
    <xdr:pic>
      <xdr:nvPicPr>
        <xdr:cNvPr id="2" name="Picture 1">
          <a:extLst>
            <a:ext uri="{FF2B5EF4-FFF2-40B4-BE49-F238E27FC236}">
              <a16:creationId xmlns:a16="http://schemas.microsoft.com/office/drawing/2014/main" id="{D3DBA0FB-D7C6-486E-8685-5EB6C27ADA80}"/>
            </a:ext>
          </a:extLst>
        </xdr:cNvPr>
        <xdr:cNvPicPr>
          <a:picLocks noChangeAspect="1"/>
        </xdr:cNvPicPr>
      </xdr:nvPicPr>
      <xdr:blipFill>
        <a:blip xmlns:r="http://schemas.openxmlformats.org/officeDocument/2006/relationships" r:embed="rId1"/>
        <a:stretch>
          <a:fillRect/>
        </a:stretch>
      </xdr:blipFill>
      <xdr:spPr>
        <a:xfrm>
          <a:off x="0" y="514350"/>
          <a:ext cx="11828571" cy="1695238"/>
        </a:xfrm>
        <a:prstGeom prst="rect">
          <a:avLst/>
        </a:prstGeom>
      </xdr:spPr>
    </xdr:pic>
    <xdr:clientData/>
  </xdr:twoCellAnchor>
  <xdr:twoCellAnchor editAs="oneCell">
    <xdr:from>
      <xdr:col>0</xdr:col>
      <xdr:colOff>0</xdr:colOff>
      <xdr:row>17</xdr:row>
      <xdr:rowOff>47625</xdr:rowOff>
    </xdr:from>
    <xdr:to>
      <xdr:col>15</xdr:col>
      <xdr:colOff>303284</xdr:colOff>
      <xdr:row>31</xdr:row>
      <xdr:rowOff>73991</xdr:rowOff>
    </xdr:to>
    <xdr:pic>
      <xdr:nvPicPr>
        <xdr:cNvPr id="3" name="Picture 2">
          <a:extLst>
            <a:ext uri="{FF2B5EF4-FFF2-40B4-BE49-F238E27FC236}">
              <a16:creationId xmlns:a16="http://schemas.microsoft.com/office/drawing/2014/main" id="{4EC881D8-EFFB-4E1A-B177-96E5ED61E8EA}"/>
            </a:ext>
          </a:extLst>
        </xdr:cNvPr>
        <xdr:cNvPicPr>
          <a:picLocks noChangeAspect="1"/>
        </xdr:cNvPicPr>
      </xdr:nvPicPr>
      <xdr:blipFill>
        <a:blip xmlns:r="http://schemas.openxmlformats.org/officeDocument/2006/relationships" r:embed="rId2"/>
        <a:stretch>
          <a:fillRect/>
        </a:stretch>
      </xdr:blipFill>
      <xdr:spPr>
        <a:xfrm>
          <a:off x="0" y="2962275"/>
          <a:ext cx="12123809" cy="2426666"/>
        </a:xfrm>
        <a:prstGeom prst="rect">
          <a:avLst/>
        </a:prstGeom>
      </xdr:spPr>
    </xdr:pic>
    <xdr:clientData/>
  </xdr:twoCellAnchor>
  <xdr:twoCellAnchor editAs="oneCell">
    <xdr:from>
      <xdr:col>0</xdr:col>
      <xdr:colOff>0</xdr:colOff>
      <xdr:row>41</xdr:row>
      <xdr:rowOff>0</xdr:rowOff>
    </xdr:from>
    <xdr:to>
      <xdr:col>14</xdr:col>
      <xdr:colOff>341458</xdr:colOff>
      <xdr:row>49</xdr:row>
      <xdr:rowOff>56971</xdr:rowOff>
    </xdr:to>
    <xdr:pic>
      <xdr:nvPicPr>
        <xdr:cNvPr id="4" name="Picture 3">
          <a:extLst>
            <a:ext uri="{FF2B5EF4-FFF2-40B4-BE49-F238E27FC236}">
              <a16:creationId xmlns:a16="http://schemas.microsoft.com/office/drawing/2014/main" id="{37D2364D-F2E7-4B36-A818-2CC21AE1754B}"/>
            </a:ext>
          </a:extLst>
        </xdr:cNvPr>
        <xdr:cNvPicPr>
          <a:picLocks noChangeAspect="1"/>
        </xdr:cNvPicPr>
      </xdr:nvPicPr>
      <xdr:blipFill>
        <a:blip xmlns:r="http://schemas.openxmlformats.org/officeDocument/2006/relationships" r:embed="rId3"/>
        <a:stretch>
          <a:fillRect/>
        </a:stretch>
      </xdr:blipFill>
      <xdr:spPr>
        <a:xfrm>
          <a:off x="0" y="7029450"/>
          <a:ext cx="11533333" cy="14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8" zoomScale="66" workbookViewId="0">
      <selection activeCell="N42" sqref="N42"/>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140" t="s">
        <v>2</v>
      </c>
      <c r="B13" s="140"/>
      <c r="C13" s="140"/>
      <c r="D13" s="140"/>
      <c r="E13" s="140"/>
      <c r="F13" s="140"/>
      <c r="G13" s="140"/>
      <c r="H13" s="140"/>
      <c r="I13" s="140"/>
      <c r="J13" s="140"/>
      <c r="K13" s="140"/>
      <c r="L13" s="140"/>
      <c r="M13" s="140"/>
      <c r="N13" s="140"/>
      <c r="O13" s="140"/>
      <c r="P13" s="140"/>
      <c r="Q13" s="140"/>
      <c r="R13" s="140"/>
      <c r="S13" s="140"/>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141" t="s">
        <v>17</v>
      </c>
      <c r="B18" s="141"/>
      <c r="C18" s="141"/>
      <c r="D18" s="141"/>
      <c r="E18" s="141"/>
      <c r="F18" s="141"/>
      <c r="G18" s="141"/>
      <c r="H18" s="141"/>
      <c r="I18" s="141"/>
      <c r="J18" s="141"/>
      <c r="K18" s="141"/>
      <c r="L18" s="141"/>
      <c r="M18" s="141"/>
      <c r="N18" s="141"/>
      <c r="O18" s="141"/>
      <c r="P18" s="141"/>
      <c r="Q18" s="141"/>
      <c r="R18" s="141"/>
      <c r="S18" s="141"/>
    </row>
    <row r="19" spans="1:19" s="15" customFormat="1" ht="40.65" customHeight="1" x14ac:dyDescent="0.25">
      <c r="A19" s="142" t="s">
        <v>1</v>
      </c>
      <c r="B19" s="142"/>
      <c r="C19" s="142"/>
      <c r="D19" s="142"/>
      <c r="E19" s="142"/>
      <c r="F19" s="142"/>
      <c r="G19" s="142"/>
      <c r="H19" s="142"/>
      <c r="I19" s="142"/>
      <c r="J19" s="142"/>
      <c r="K19" s="142"/>
      <c r="L19" s="142"/>
      <c r="M19" s="142"/>
      <c r="N19" s="142"/>
      <c r="O19" s="142"/>
      <c r="P19" s="142"/>
      <c r="Q19" s="142"/>
      <c r="R19" s="142"/>
      <c r="S19" s="142"/>
    </row>
    <row r="20" spans="1:19" s="15" customFormat="1" ht="13.8" x14ac:dyDescent="0.25">
      <c r="A20" s="16"/>
      <c r="B20" s="16"/>
      <c r="C20" s="16"/>
      <c r="D20" s="16"/>
      <c r="E20" s="16"/>
      <c r="F20" s="16"/>
      <c r="G20" s="16"/>
      <c r="H20" s="16"/>
      <c r="I20" s="16"/>
      <c r="J20" s="16"/>
    </row>
    <row r="21" spans="1:19" s="15" customFormat="1" ht="58.65" customHeight="1" x14ac:dyDescent="0.25">
      <c r="A21" s="143" t="s">
        <v>73</v>
      </c>
      <c r="B21" s="143"/>
      <c r="C21" s="143"/>
      <c r="D21" s="143"/>
      <c r="E21" s="143"/>
      <c r="F21" s="143"/>
      <c r="G21" s="143"/>
      <c r="H21" s="143"/>
      <c r="I21" s="143"/>
      <c r="J21" s="6"/>
      <c r="K21" s="144" t="s">
        <v>127</v>
      </c>
      <c r="L21" s="144"/>
      <c r="M21" s="144"/>
      <c r="N21" s="144"/>
      <c r="O21" s="144"/>
      <c r="P21" s="144"/>
      <c r="Q21" s="144"/>
      <c r="R21" s="144"/>
      <c r="S21" s="144"/>
    </row>
    <row r="22" spans="1:19" s="15" customFormat="1" ht="13.8" x14ac:dyDescent="0.25">
      <c r="A22" s="16"/>
      <c r="B22" s="16"/>
      <c r="C22" s="16"/>
      <c r="D22" s="16"/>
      <c r="E22" s="16"/>
      <c r="F22" s="16"/>
      <c r="G22" s="16"/>
      <c r="H22" s="16"/>
      <c r="I22" s="16"/>
      <c r="J22" s="16"/>
    </row>
    <row r="23" spans="1:19" s="15" customFormat="1" ht="70.2" customHeight="1" x14ac:dyDescent="0.25">
      <c r="A23" s="147" t="s">
        <v>18</v>
      </c>
      <c r="B23" s="147"/>
      <c r="C23" s="147"/>
      <c r="D23" s="147"/>
      <c r="E23" s="147"/>
      <c r="F23" s="147"/>
      <c r="G23" s="147"/>
      <c r="H23" s="147"/>
      <c r="I23" s="147"/>
      <c r="J23" s="7"/>
      <c r="K23" s="148" t="s">
        <v>135</v>
      </c>
      <c r="L23" s="148"/>
      <c r="M23" s="148"/>
      <c r="N23" s="148"/>
      <c r="O23" s="148"/>
      <c r="P23" s="148"/>
      <c r="Q23" s="148"/>
      <c r="R23" s="148"/>
      <c r="S23" s="148"/>
    </row>
    <row r="24" spans="1:19" s="15" customFormat="1" ht="13.8" x14ac:dyDescent="0.25">
      <c r="A24" s="16"/>
      <c r="B24" s="16"/>
      <c r="C24" s="16"/>
      <c r="D24" s="16"/>
      <c r="E24" s="16"/>
      <c r="F24" s="16"/>
      <c r="G24" s="16"/>
      <c r="H24" s="16"/>
      <c r="I24" s="16"/>
      <c r="J24" s="16"/>
    </row>
    <row r="25" spans="1:19" s="15" customFormat="1" ht="70.2" customHeight="1" x14ac:dyDescent="0.25">
      <c r="A25" s="149" t="s">
        <v>3</v>
      </c>
      <c r="B25" s="149"/>
      <c r="C25" s="149"/>
      <c r="D25" s="149"/>
      <c r="E25" s="149"/>
      <c r="F25" s="149"/>
      <c r="G25" s="149"/>
      <c r="H25" s="149"/>
      <c r="I25" s="149"/>
      <c r="J25" s="7"/>
      <c r="K25" s="150" t="s">
        <v>81</v>
      </c>
      <c r="L25" s="150"/>
      <c r="M25" s="150"/>
      <c r="N25" s="150"/>
      <c r="O25" s="150"/>
      <c r="P25" s="150"/>
      <c r="Q25" s="150"/>
      <c r="R25" s="150"/>
      <c r="S25" s="150"/>
    </row>
    <row r="26" spans="1:19" s="15" customFormat="1" ht="13.8" x14ac:dyDescent="0.25">
      <c r="A26" s="16"/>
      <c r="B26" s="16"/>
      <c r="C26" s="16"/>
      <c r="D26" s="16"/>
      <c r="E26" s="16"/>
      <c r="F26" s="16"/>
      <c r="G26" s="16"/>
      <c r="H26" s="16"/>
      <c r="I26" s="16"/>
      <c r="J26" s="16"/>
    </row>
    <row r="27" spans="1:19" ht="27" customHeight="1" x14ac:dyDescent="0.25">
      <c r="A27" s="145" t="s">
        <v>13</v>
      </c>
      <c r="B27" s="145"/>
      <c r="C27" s="145"/>
      <c r="D27" s="145"/>
      <c r="E27" s="145"/>
      <c r="F27" s="145"/>
      <c r="G27" s="145"/>
      <c r="H27" s="145"/>
      <c r="I27" s="145"/>
      <c r="K27" s="146" t="s">
        <v>19</v>
      </c>
      <c r="L27" s="146"/>
      <c r="M27" s="146"/>
      <c r="N27" s="146"/>
      <c r="O27" s="146"/>
      <c r="P27" s="146"/>
      <c r="Q27" s="146"/>
      <c r="R27" s="146"/>
      <c r="S27" s="146"/>
    </row>
    <row r="28" spans="1:19" ht="27" customHeight="1" x14ac:dyDescent="0.25">
      <c r="A28" s="145"/>
      <c r="B28" s="145"/>
      <c r="C28" s="145"/>
      <c r="D28" s="145"/>
      <c r="E28" s="145"/>
      <c r="F28" s="145"/>
      <c r="G28" s="145"/>
      <c r="H28" s="145"/>
      <c r="I28" s="145"/>
      <c r="K28" s="146"/>
      <c r="L28" s="146"/>
      <c r="M28" s="146"/>
      <c r="N28" s="146"/>
      <c r="O28" s="17"/>
      <c r="P28" s="17"/>
      <c r="Q28" s="17"/>
      <c r="R28" s="17"/>
      <c r="S28" s="17"/>
    </row>
    <row r="29" spans="1:19" ht="27" customHeight="1" x14ac:dyDescent="0.25">
      <c r="A29" s="145"/>
      <c r="B29" s="145"/>
      <c r="C29" s="145"/>
      <c r="D29" s="145"/>
      <c r="E29" s="145"/>
      <c r="F29" s="145"/>
      <c r="G29" s="145"/>
      <c r="H29" s="145"/>
      <c r="I29" s="145"/>
      <c r="K29" s="146"/>
      <c r="L29" s="146"/>
      <c r="M29" s="146"/>
      <c r="N29" s="146"/>
      <c r="O29" s="146"/>
      <c r="P29" s="146"/>
      <c r="Q29" s="146"/>
      <c r="R29" s="146"/>
      <c r="S29" s="146"/>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44656</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6" workbookViewId="0">
      <selection activeCell="H14" sqref="H14"/>
    </sheetView>
  </sheetViews>
  <sheetFormatPr defaultColWidth="8" defaultRowHeight="13.2" x14ac:dyDescent="0.25"/>
  <cols>
    <col min="1" max="1" width="54.109375" style="2" customWidth="1"/>
    <col min="2" max="2" width="86.44140625" style="48" customWidth="1"/>
    <col min="3" max="3" width="25.109375" style="2" bestFit="1" customWidth="1"/>
    <col min="4" max="16384" width="8" style="2"/>
  </cols>
  <sheetData>
    <row r="1" spans="1:3" hidden="1" x14ac:dyDescent="0.25">
      <c r="A1" s="1" t="s">
        <v>5</v>
      </c>
    </row>
    <row r="2" spans="1:3" hidden="1" x14ac:dyDescent="0.25">
      <c r="A2" s="3" t="s">
        <v>20</v>
      </c>
      <c r="B2" s="49" t="s">
        <v>6</v>
      </c>
    </row>
    <row r="3" spans="1:3" hidden="1" x14ac:dyDescent="0.25">
      <c r="A3" s="3" t="s">
        <v>20</v>
      </c>
      <c r="B3" s="49" t="s">
        <v>6</v>
      </c>
    </row>
    <row r="4" spans="1:3" hidden="1" x14ac:dyDescent="0.25">
      <c r="A4" s="3" t="s">
        <v>21</v>
      </c>
      <c r="B4" s="49" t="s">
        <v>7</v>
      </c>
    </row>
    <row r="5" spans="1:3" hidden="1" x14ac:dyDescent="0.25">
      <c r="A5" s="3" t="s">
        <v>22</v>
      </c>
      <c r="B5" s="49" t="s">
        <v>7</v>
      </c>
    </row>
    <row r="6" spans="1:3" x14ac:dyDescent="0.25">
      <c r="A6" s="5"/>
      <c r="B6" s="50"/>
      <c r="C6" s="4"/>
    </row>
    <row r="7" spans="1:3" x14ac:dyDescent="0.25">
      <c r="A7" s="29"/>
      <c r="B7" s="50"/>
      <c r="C7" s="4"/>
    </row>
    <row r="8" spans="1:3" ht="28.2" x14ac:dyDescent="0.25">
      <c r="A8" s="151" t="s">
        <v>1</v>
      </c>
      <c r="B8" s="151"/>
      <c r="C8" s="28" t="s">
        <v>8</v>
      </c>
    </row>
    <row r="9" spans="1:3" x14ac:dyDescent="0.25">
      <c r="A9" s="4"/>
      <c r="B9" s="50"/>
      <c r="C9" s="4"/>
    </row>
    <row r="10" spans="1:3" x14ac:dyDescent="0.25">
      <c r="A10" s="5" t="s">
        <v>9</v>
      </c>
      <c r="B10" s="152" t="s">
        <v>10</v>
      </c>
      <c r="C10" s="152"/>
    </row>
    <row r="11" spans="1:3" x14ac:dyDescent="0.25">
      <c r="A11" s="24" t="s">
        <v>11</v>
      </c>
      <c r="B11" s="139">
        <v>44713</v>
      </c>
      <c r="C11" s="21"/>
    </row>
    <row r="12" spans="1:3" x14ac:dyDescent="0.25">
      <c r="A12" s="29"/>
      <c r="B12" s="50"/>
      <c r="C12" s="4"/>
    </row>
    <row r="13" spans="1:3" x14ac:dyDescent="0.25">
      <c r="A13" s="29"/>
      <c r="B13" s="50"/>
      <c r="C13" s="4"/>
    </row>
    <row r="14" spans="1:3" ht="19.649999999999999" customHeight="1" x14ac:dyDescent="0.25">
      <c r="A14" s="25" t="str">
        <f>CONCATENATE("To be Performed by Tester : ",'Test Cycle 1'!H2)</f>
        <v>To be Performed by Tester : Frank</v>
      </c>
      <c r="B14" s="51"/>
      <c r="C14" s="4"/>
    </row>
    <row r="15" spans="1:3" ht="21.9" customHeight="1" x14ac:dyDescent="0.3">
      <c r="A15" s="30" t="s">
        <v>23</v>
      </c>
      <c r="B15" s="153"/>
      <c r="C15" s="154"/>
    </row>
    <row r="16" spans="1:3" ht="39.75" customHeight="1" x14ac:dyDescent="0.25">
      <c r="A16" s="27" t="s">
        <v>24</v>
      </c>
      <c r="B16" s="27" t="s">
        <v>12</v>
      </c>
      <c r="C16" s="22" t="s">
        <v>25</v>
      </c>
    </row>
    <row r="17" spans="1:3" x14ac:dyDescent="0.25">
      <c r="A17" s="23" t="s">
        <v>26</v>
      </c>
      <c r="B17" s="52"/>
      <c r="C17" s="125" t="s">
        <v>113</v>
      </c>
    </row>
    <row r="18" spans="1:3" x14ac:dyDescent="0.25">
      <c r="A18" s="23" t="s">
        <v>27</v>
      </c>
      <c r="B18" s="52"/>
      <c r="C18" s="125" t="s">
        <v>113</v>
      </c>
    </row>
    <row r="19" spans="1:3" x14ac:dyDescent="0.25">
      <c r="A19" s="23" t="s">
        <v>28</v>
      </c>
      <c r="B19" s="52"/>
      <c r="C19" s="125" t="s">
        <v>91</v>
      </c>
    </row>
    <row r="20" spans="1:3" x14ac:dyDescent="0.25">
      <c r="A20" s="23" t="s">
        <v>75</v>
      </c>
      <c r="B20" s="53"/>
      <c r="C20" s="125" t="s">
        <v>113</v>
      </c>
    </row>
    <row r="21" spans="1:3" x14ac:dyDescent="0.25">
      <c r="A21" s="23" t="s">
        <v>76</v>
      </c>
      <c r="B21" s="52"/>
      <c r="C21" s="125" t="s">
        <v>91</v>
      </c>
    </row>
    <row r="22" spans="1:3" x14ac:dyDescent="0.25">
      <c r="A22" s="23" t="s">
        <v>78</v>
      </c>
      <c r="B22" s="52"/>
      <c r="C22" s="125" t="s">
        <v>113</v>
      </c>
    </row>
    <row r="23" spans="1:3" x14ac:dyDescent="0.25">
      <c r="A23" s="23" t="s">
        <v>77</v>
      </c>
      <c r="B23" s="57"/>
      <c r="C23" s="125" t="s">
        <v>113</v>
      </c>
    </row>
    <row r="24" spans="1:3" x14ac:dyDescent="0.25">
      <c r="A24" s="23" t="s">
        <v>29</v>
      </c>
      <c r="B24" s="52"/>
      <c r="C24" s="125" t="s">
        <v>91</v>
      </c>
    </row>
    <row r="25" spans="1:3" x14ac:dyDescent="0.25">
      <c r="A25" s="23" t="s">
        <v>30</v>
      </c>
      <c r="B25" s="52"/>
      <c r="C25" s="125" t="s">
        <v>113</v>
      </c>
    </row>
    <row r="26" spans="1:3" ht="26.4" x14ac:dyDescent="0.25">
      <c r="A26" s="23" t="s">
        <v>31</v>
      </c>
      <c r="B26" s="26"/>
      <c r="C26" s="125" t="s">
        <v>113</v>
      </c>
    </row>
    <row r="27" spans="1:3" x14ac:dyDescent="0.25">
      <c r="A27" s="23" t="s">
        <v>54</v>
      </c>
      <c r="B27" s="26"/>
      <c r="C27" s="125" t="s">
        <v>113</v>
      </c>
    </row>
    <row r="28" spans="1:3" x14ac:dyDescent="0.25">
      <c r="A28" s="23" t="s">
        <v>79</v>
      </c>
      <c r="B28" s="52"/>
      <c r="C28" s="125" t="s">
        <v>113</v>
      </c>
    </row>
    <row r="29" spans="1:3" x14ac:dyDescent="0.25">
      <c r="A29" s="23" t="s">
        <v>80</v>
      </c>
      <c r="B29" s="52"/>
      <c r="C29" s="125" t="s">
        <v>91</v>
      </c>
    </row>
    <row r="30" spans="1:3" x14ac:dyDescent="0.25">
      <c r="A30" s="42"/>
      <c r="B30" s="54"/>
      <c r="C30" s="43"/>
    </row>
    <row r="31" spans="1:3" x14ac:dyDescent="0.25">
      <c r="A31" s="44"/>
      <c r="B31" s="55"/>
      <c r="C31" s="44"/>
    </row>
    <row r="32" spans="1:3" x14ac:dyDescent="0.25">
      <c r="A32" s="41" t="str">
        <f>CONCATENATE("To be Performed by Reviewer : ",'Test Cycle 1'!H3)</f>
        <v xml:space="preserve">To be Performed by Reviewer : </v>
      </c>
      <c r="B32" s="51"/>
      <c r="C32" s="4"/>
    </row>
    <row r="33" spans="1:3" ht="14.4" x14ac:dyDescent="0.3">
      <c r="A33" s="30" t="s">
        <v>23</v>
      </c>
      <c r="B33" s="153"/>
      <c r="C33" s="154"/>
    </row>
    <row r="34" spans="1:3" ht="26.4" x14ac:dyDescent="0.25">
      <c r="A34" s="27" t="s">
        <v>24</v>
      </c>
      <c r="B34" s="27"/>
      <c r="C34" s="22" t="s">
        <v>25</v>
      </c>
    </row>
    <row r="35" spans="1:3" x14ac:dyDescent="0.25">
      <c r="A35" s="23" t="s">
        <v>32</v>
      </c>
      <c r="B35" s="52"/>
      <c r="C35" s="26"/>
    </row>
    <row r="36" spans="1:3" x14ac:dyDescent="0.25">
      <c r="A36" s="23" t="s">
        <v>33</v>
      </c>
      <c r="B36" s="52"/>
      <c r="C36" s="26"/>
    </row>
    <row r="37" spans="1:3" x14ac:dyDescent="0.25">
      <c r="A37" s="23" t="s">
        <v>74</v>
      </c>
      <c r="B37" s="52"/>
      <c r="C37" s="26"/>
    </row>
    <row r="38" spans="1:3" x14ac:dyDescent="0.25">
      <c r="A38" s="23" t="s">
        <v>34</v>
      </c>
      <c r="B38" s="52"/>
      <c r="C38" s="26"/>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D37"/>
  <sheetViews>
    <sheetView tabSelected="1" zoomScale="80" zoomScaleNormal="80" workbookViewId="0">
      <selection activeCell="C8" sqref="C8"/>
    </sheetView>
  </sheetViews>
  <sheetFormatPr defaultColWidth="9.109375" defaultRowHeight="14.4" x14ac:dyDescent="0.3"/>
  <cols>
    <col min="1" max="1" width="22.88671875" style="32" customWidth="1"/>
    <col min="2" max="2" width="37.109375" style="32" customWidth="1"/>
    <col min="3" max="3" width="54.33203125" style="32" customWidth="1"/>
    <col min="4" max="4" width="23.44140625" style="32" bestFit="1" customWidth="1"/>
    <col min="5" max="5" width="41.44140625" style="58" customWidth="1"/>
    <col min="6" max="6" width="36.88671875" style="32" customWidth="1"/>
    <col min="7" max="7" width="39.44140625" style="32" customWidth="1"/>
    <col min="8" max="8" width="36.88671875" style="32" customWidth="1"/>
    <col min="9" max="9" width="25" style="32" customWidth="1"/>
    <col min="10" max="10" width="23.44140625" style="32" customWidth="1"/>
    <col min="11" max="11" width="32" style="32" customWidth="1"/>
    <col min="12" max="12" width="30.88671875" style="32" customWidth="1"/>
    <col min="13" max="22" width="9.109375" style="31"/>
    <col min="23" max="23" width="17.109375" style="31" bestFit="1" customWidth="1"/>
    <col min="24" max="24" width="9.109375" style="31"/>
    <col min="25" max="25" width="14.33203125" style="31" bestFit="1" customWidth="1"/>
    <col min="26" max="48" width="9.109375" style="31"/>
    <col min="49" max="49" width="9" style="31" customWidth="1"/>
    <col min="50" max="52" width="9.109375" style="31" hidden="1" customWidth="1"/>
    <col min="53" max="53" width="27.6640625" style="31" customWidth="1"/>
    <col min="54" max="16384" width="9.109375" style="31"/>
  </cols>
  <sheetData>
    <row r="1" spans="1:56" s="32" customFormat="1" x14ac:dyDescent="0.3">
      <c r="A1" s="34" t="s">
        <v>43</v>
      </c>
      <c r="B1" s="155" t="s">
        <v>83</v>
      </c>
      <c r="C1" s="156"/>
      <c r="D1" s="157"/>
      <c r="E1" s="74" t="s">
        <v>44</v>
      </c>
      <c r="F1" s="35" t="s">
        <v>136</v>
      </c>
      <c r="G1" s="36"/>
      <c r="H1" s="36"/>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3" t="s">
        <v>35</v>
      </c>
      <c r="BB1" s="33" t="s">
        <v>35</v>
      </c>
      <c r="BC1" s="32" t="s">
        <v>36</v>
      </c>
    </row>
    <row r="2" spans="1:56" s="32" customFormat="1" ht="14.4" customHeight="1" x14ac:dyDescent="0.3">
      <c r="A2" s="34" t="s">
        <v>46</v>
      </c>
      <c r="B2" s="155" t="s">
        <v>82</v>
      </c>
      <c r="C2" s="156"/>
      <c r="D2" s="157"/>
      <c r="E2" s="74" t="s">
        <v>47</v>
      </c>
      <c r="F2" s="37">
        <v>44655</v>
      </c>
      <c r="G2" s="34" t="s">
        <v>48</v>
      </c>
      <c r="H2" s="40" t="s">
        <v>121</v>
      </c>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3" t="s">
        <v>37</v>
      </c>
      <c r="BB2" s="33" t="s">
        <v>37</v>
      </c>
      <c r="BC2" s="32" t="s">
        <v>38</v>
      </c>
    </row>
    <row r="3" spans="1:56" s="32" customFormat="1" ht="26.25" customHeight="1" x14ac:dyDescent="0.3">
      <c r="A3" s="34" t="s">
        <v>50</v>
      </c>
      <c r="B3" s="158" t="s">
        <v>37</v>
      </c>
      <c r="C3" s="159"/>
      <c r="D3" s="160"/>
      <c r="E3" s="74" t="s">
        <v>51</v>
      </c>
      <c r="F3" s="38"/>
      <c r="G3" s="34" t="s">
        <v>52</v>
      </c>
      <c r="H3" s="35"/>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3" t="s">
        <v>39</v>
      </c>
      <c r="BB3" s="33" t="s">
        <v>40</v>
      </c>
      <c r="BC3" s="32" t="s">
        <v>15</v>
      </c>
    </row>
    <row r="4" spans="1:56" s="32" customFormat="1" ht="19.649999999999999" customHeight="1" x14ac:dyDescent="0.3">
      <c r="A4" s="34" t="s">
        <v>53</v>
      </c>
      <c r="B4" s="161" t="s">
        <v>120</v>
      </c>
      <c r="C4" s="162"/>
      <c r="D4" s="162"/>
      <c r="E4" s="162"/>
      <c r="F4" s="162"/>
      <c r="G4" s="162"/>
      <c r="H4" s="162"/>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3" t="s">
        <v>41</v>
      </c>
      <c r="BB4" s="33" t="s">
        <v>15</v>
      </c>
      <c r="BC4" s="32" t="s">
        <v>16</v>
      </c>
    </row>
    <row r="5" spans="1:56" s="32" customFormat="1" x14ac:dyDescent="0.3">
      <c r="A5" s="73" t="s">
        <v>65</v>
      </c>
      <c r="B5" s="73" t="s">
        <v>66</v>
      </c>
      <c r="C5" s="73" t="s">
        <v>67</v>
      </c>
      <c r="D5" s="73" t="s">
        <v>68</v>
      </c>
      <c r="E5" s="73" t="s">
        <v>69</v>
      </c>
      <c r="F5" s="73" t="s">
        <v>70</v>
      </c>
      <c r="G5" s="73" t="s">
        <v>71</v>
      </c>
      <c r="H5" s="73" t="s">
        <v>72</v>
      </c>
      <c r="I5" s="73" t="s">
        <v>63</v>
      </c>
      <c r="J5" s="73" t="s">
        <v>64</v>
      </c>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3" t="s">
        <v>42</v>
      </c>
      <c r="AZ5" s="33" t="s">
        <v>16</v>
      </c>
    </row>
    <row r="6" spans="1:56" s="32" customFormat="1" ht="55.2" x14ac:dyDescent="0.3">
      <c r="A6" s="45">
        <v>1</v>
      </c>
      <c r="B6" s="81" t="s">
        <v>84</v>
      </c>
      <c r="C6" s="79" t="s">
        <v>86</v>
      </c>
      <c r="D6" s="79" t="s">
        <v>85</v>
      </c>
      <c r="E6" s="101" t="s">
        <v>132</v>
      </c>
      <c r="F6" s="80" t="s">
        <v>133</v>
      </c>
      <c r="G6" s="80" t="s">
        <v>130</v>
      </c>
      <c r="H6" s="132" t="s">
        <v>131</v>
      </c>
      <c r="I6" s="36"/>
      <c r="J6" s="39"/>
      <c r="AY6" s="33" t="s">
        <v>45</v>
      </c>
    </row>
    <row r="7" spans="1:56" s="32" customFormat="1" ht="43.2" x14ac:dyDescent="0.3">
      <c r="A7" s="85">
        <v>2</v>
      </c>
      <c r="B7" s="86" t="s">
        <v>87</v>
      </c>
      <c r="C7" s="87" t="s">
        <v>88</v>
      </c>
      <c r="D7" s="88" t="s">
        <v>89</v>
      </c>
      <c r="E7" s="104" t="s">
        <v>114</v>
      </c>
      <c r="F7" s="87" t="s">
        <v>115</v>
      </c>
      <c r="G7" s="87" t="s">
        <v>114</v>
      </c>
      <c r="H7" s="87" t="s">
        <v>115</v>
      </c>
      <c r="I7" s="128"/>
      <c r="J7" s="84"/>
      <c r="K7" s="82"/>
      <c r="L7" s="82"/>
      <c r="M7" s="82"/>
      <c r="N7" s="82"/>
      <c r="O7" s="82"/>
      <c r="P7" s="82"/>
      <c r="Q7" s="82"/>
      <c r="R7" s="82"/>
      <c r="S7" s="82"/>
      <c r="T7" s="82"/>
      <c r="U7" s="82"/>
      <c r="V7" s="82"/>
      <c r="W7" s="82"/>
      <c r="X7" s="82"/>
      <c r="Y7" s="82"/>
      <c r="Z7" s="82"/>
      <c r="AA7" s="82"/>
      <c r="AB7" s="82"/>
      <c r="AC7" s="82"/>
      <c r="AD7" s="82"/>
      <c r="AE7" s="82"/>
      <c r="AF7" s="82"/>
      <c r="AG7" s="82"/>
      <c r="AH7" s="82"/>
      <c r="AI7" s="82"/>
      <c r="AJ7" s="82"/>
      <c r="AK7" s="82"/>
      <c r="AL7" s="82"/>
      <c r="AM7" s="82"/>
      <c r="AN7" s="82"/>
      <c r="AO7" s="82"/>
      <c r="AP7" s="82"/>
      <c r="AQ7" s="82"/>
      <c r="AR7" s="82"/>
      <c r="AS7" s="82"/>
      <c r="AT7" s="82"/>
      <c r="AU7" s="82"/>
      <c r="AV7" s="82"/>
      <c r="AW7" s="82"/>
      <c r="AX7" s="82"/>
      <c r="AY7" s="83" t="s">
        <v>49</v>
      </c>
      <c r="AZ7" s="82"/>
      <c r="BA7" s="82"/>
      <c r="BB7" s="82"/>
      <c r="BC7" s="82"/>
      <c r="BD7" s="82"/>
    </row>
    <row r="8" spans="1:56" s="32" customFormat="1" ht="43.2" x14ac:dyDescent="0.3">
      <c r="A8" s="91">
        <v>3</v>
      </c>
      <c r="B8" s="94" t="s">
        <v>93</v>
      </c>
      <c r="C8" s="96" t="s">
        <v>116</v>
      </c>
      <c r="D8" s="91" t="s">
        <v>90</v>
      </c>
      <c r="E8" s="101" t="s">
        <v>91</v>
      </c>
      <c r="F8" s="91" t="s">
        <v>92</v>
      </c>
      <c r="G8" s="92" t="s">
        <v>91</v>
      </c>
      <c r="H8" s="91" t="s">
        <v>92</v>
      </c>
      <c r="I8" s="128"/>
      <c r="J8" s="93"/>
      <c r="K8" s="90"/>
      <c r="L8" s="93"/>
      <c r="M8" s="95"/>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row>
    <row r="9" spans="1:56" s="32" customFormat="1" ht="57.6" x14ac:dyDescent="0.3">
      <c r="A9" s="99">
        <v>4</v>
      </c>
      <c r="B9" s="103" t="s">
        <v>94</v>
      </c>
      <c r="C9" s="105" t="s">
        <v>95</v>
      </c>
      <c r="D9" s="100" t="s">
        <v>96</v>
      </c>
      <c r="E9" s="101" t="s">
        <v>117</v>
      </c>
      <c r="F9" s="100" t="s">
        <v>97</v>
      </c>
      <c r="G9" s="101" t="s">
        <v>117</v>
      </c>
      <c r="H9" s="100" t="s">
        <v>97</v>
      </c>
      <c r="I9" s="128"/>
      <c r="J9" s="102"/>
      <c r="K9" s="98"/>
      <c r="L9" s="102"/>
      <c r="M9" s="106"/>
      <c r="N9" s="97"/>
      <c r="O9" s="97"/>
      <c r="P9" s="97"/>
      <c r="Q9" s="97"/>
      <c r="R9" s="97"/>
      <c r="S9" s="97"/>
      <c r="T9" s="97"/>
      <c r="U9" s="97"/>
      <c r="V9" s="97"/>
      <c r="W9" s="97"/>
      <c r="X9" s="97"/>
      <c r="Y9" s="97"/>
      <c r="Z9" s="97"/>
      <c r="AA9" s="97"/>
      <c r="AB9" s="97"/>
      <c r="AC9" s="97"/>
      <c r="AD9" s="97"/>
      <c r="AE9" s="97"/>
      <c r="AF9" s="97"/>
      <c r="AG9" s="97"/>
      <c r="AH9" s="97"/>
      <c r="AI9" s="97"/>
      <c r="AJ9" s="97"/>
      <c r="AK9" s="97"/>
      <c r="AL9" s="97"/>
      <c r="AM9" s="97"/>
      <c r="AN9" s="97"/>
      <c r="AO9" s="97"/>
      <c r="AP9" s="97"/>
      <c r="AQ9" s="97"/>
      <c r="AR9" s="97"/>
      <c r="AS9" s="97"/>
      <c r="AT9" s="97"/>
      <c r="AU9" s="97"/>
      <c r="AV9" s="97"/>
      <c r="AW9" s="97"/>
      <c r="AX9" s="97"/>
      <c r="AY9" s="97"/>
      <c r="AZ9" s="97"/>
      <c r="BA9" s="97"/>
      <c r="BB9" s="97"/>
      <c r="BC9" s="97"/>
      <c r="BD9" s="97"/>
    </row>
    <row r="10" spans="1:56" s="32" customFormat="1" ht="82.8" x14ac:dyDescent="0.3">
      <c r="A10" s="111">
        <v>5</v>
      </c>
      <c r="B10" s="113" t="s">
        <v>100</v>
      </c>
      <c r="C10" s="109" t="s">
        <v>102</v>
      </c>
      <c r="D10" s="109" t="s">
        <v>101</v>
      </c>
      <c r="E10" s="110" t="s">
        <v>118</v>
      </c>
      <c r="F10" s="110" t="s">
        <v>134</v>
      </c>
      <c r="G10" s="110" t="s">
        <v>118</v>
      </c>
      <c r="H10" s="110" t="s">
        <v>119</v>
      </c>
      <c r="I10" s="128"/>
      <c r="J10" s="112"/>
      <c r="K10" s="108"/>
      <c r="L10" s="112"/>
      <c r="M10" s="114"/>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row>
    <row r="11" spans="1:56" s="32" customFormat="1" ht="151.80000000000001" x14ac:dyDescent="0.3">
      <c r="A11" s="117">
        <v>6</v>
      </c>
      <c r="B11" s="121" t="s">
        <v>103</v>
      </c>
      <c r="C11" s="117" t="s">
        <v>104</v>
      </c>
      <c r="D11" s="117" t="s">
        <v>89</v>
      </c>
      <c r="E11" s="118" t="s">
        <v>128</v>
      </c>
      <c r="F11" s="118" t="s">
        <v>125</v>
      </c>
      <c r="G11" s="118" t="s">
        <v>129</v>
      </c>
      <c r="H11" s="118" t="s">
        <v>124</v>
      </c>
      <c r="I11" s="128" t="s">
        <v>15</v>
      </c>
      <c r="J11" s="119"/>
      <c r="K11" s="116" t="s">
        <v>15</v>
      </c>
      <c r="L11" s="119"/>
      <c r="M11" s="122"/>
      <c r="N11" s="115"/>
      <c r="O11" s="115"/>
      <c r="P11" s="115"/>
      <c r="Q11" s="115"/>
      <c r="R11" s="115"/>
      <c r="S11" s="115"/>
      <c r="T11" s="115"/>
      <c r="U11" s="115"/>
      <c r="V11" s="115"/>
      <c r="W11" s="115"/>
      <c r="X11" s="115"/>
      <c r="Y11" s="115"/>
      <c r="Z11" s="115"/>
      <c r="AA11" s="115"/>
      <c r="AB11" s="115"/>
      <c r="AC11" s="115"/>
      <c r="AD11" s="115"/>
      <c r="AE11" s="115"/>
      <c r="AF11" s="115"/>
      <c r="AG11" s="115"/>
      <c r="AH11" s="115"/>
      <c r="AI11" s="115"/>
      <c r="AJ11" s="115"/>
      <c r="AK11" s="115"/>
      <c r="AL11" s="115"/>
      <c r="AM11" s="115"/>
      <c r="AN11" s="115"/>
      <c r="AO11" s="115"/>
      <c r="AP11" s="115"/>
      <c r="AQ11" s="115"/>
      <c r="AR11" s="115"/>
      <c r="AS11" s="115"/>
      <c r="AT11" s="115"/>
      <c r="AU11" s="115"/>
      <c r="AV11" s="115"/>
      <c r="AW11" s="115"/>
      <c r="AX11" s="115"/>
      <c r="AY11" s="115"/>
      <c r="AZ11" s="115"/>
      <c r="BA11" s="115"/>
      <c r="BB11" s="115"/>
      <c r="BC11" s="115"/>
      <c r="BD11" s="115"/>
    </row>
    <row r="12" spans="1:56" s="32" customFormat="1" ht="69" x14ac:dyDescent="0.3">
      <c r="A12" s="130">
        <v>7</v>
      </c>
      <c r="B12" s="136" t="s">
        <v>107</v>
      </c>
      <c r="C12" s="131" t="s">
        <v>111</v>
      </c>
      <c r="D12" s="131" t="s">
        <v>108</v>
      </c>
      <c r="E12" s="132" t="s">
        <v>91</v>
      </c>
      <c r="F12" s="132" t="s">
        <v>109</v>
      </c>
      <c r="G12" s="132" t="s">
        <v>91</v>
      </c>
      <c r="H12" s="132" t="s">
        <v>110</v>
      </c>
      <c r="I12" s="128" t="s">
        <v>15</v>
      </c>
      <c r="J12" s="135"/>
      <c r="K12" s="128"/>
      <c r="L12" s="135"/>
      <c r="M12" s="134"/>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row>
    <row r="13" spans="1:56" s="126" customFormat="1" ht="55.2" x14ac:dyDescent="0.3">
      <c r="A13" s="130">
        <v>8</v>
      </c>
      <c r="B13" s="136" t="s">
        <v>84</v>
      </c>
      <c r="C13" s="131" t="s">
        <v>86</v>
      </c>
      <c r="D13" s="131" t="s">
        <v>85</v>
      </c>
      <c r="E13" s="132" t="s">
        <v>132</v>
      </c>
      <c r="F13" s="132" t="s">
        <v>98</v>
      </c>
      <c r="G13" s="132" t="s">
        <v>130</v>
      </c>
      <c r="H13" s="131" t="s">
        <v>99</v>
      </c>
      <c r="I13" s="128" t="s">
        <v>15</v>
      </c>
      <c r="J13" s="129"/>
      <c r="AY13" s="127" t="s">
        <v>45</v>
      </c>
    </row>
    <row r="14" spans="1:56" s="126" customFormat="1" ht="43.2" x14ac:dyDescent="0.3">
      <c r="A14" s="133">
        <v>9</v>
      </c>
      <c r="B14" s="136" t="s">
        <v>87</v>
      </c>
      <c r="C14" s="137" t="s">
        <v>88</v>
      </c>
      <c r="D14" s="138" t="s">
        <v>89</v>
      </c>
      <c r="E14" s="137" t="s">
        <v>114</v>
      </c>
      <c r="F14" s="137" t="s">
        <v>115</v>
      </c>
      <c r="G14" s="137" t="s">
        <v>114</v>
      </c>
      <c r="H14" s="137" t="s">
        <v>115</v>
      </c>
      <c r="I14" s="128" t="s">
        <v>15</v>
      </c>
      <c r="J14" s="129"/>
      <c r="AY14" s="127" t="s">
        <v>49</v>
      </c>
    </row>
    <row r="15" spans="1:56" s="126" customFormat="1" ht="43.2" x14ac:dyDescent="0.3">
      <c r="A15" s="131">
        <v>10</v>
      </c>
      <c r="B15" s="137" t="s">
        <v>93</v>
      </c>
      <c r="C15" s="123"/>
      <c r="D15" s="131" t="s">
        <v>90</v>
      </c>
      <c r="E15" s="132" t="s">
        <v>91</v>
      </c>
      <c r="F15" s="131" t="s">
        <v>92</v>
      </c>
      <c r="G15" s="132" t="s">
        <v>91</v>
      </c>
      <c r="H15" s="131" t="s">
        <v>92</v>
      </c>
      <c r="I15" s="128" t="s">
        <v>15</v>
      </c>
      <c r="J15" s="135"/>
      <c r="K15" s="128"/>
      <c r="L15" s="135"/>
      <c r="M15" s="134"/>
    </row>
    <row r="16" spans="1:56" s="126" customFormat="1" ht="111.6" customHeight="1" x14ac:dyDescent="0.3">
      <c r="A16" s="133">
        <v>11</v>
      </c>
      <c r="B16" s="136" t="s">
        <v>100</v>
      </c>
      <c r="C16" s="131" t="s">
        <v>112</v>
      </c>
      <c r="D16" s="131" t="s">
        <v>101</v>
      </c>
      <c r="E16" s="132" t="s">
        <v>117</v>
      </c>
      <c r="F16" s="132" t="s">
        <v>126</v>
      </c>
      <c r="G16" s="132" t="s">
        <v>117</v>
      </c>
      <c r="H16" s="132" t="s">
        <v>126</v>
      </c>
      <c r="I16" s="128" t="s">
        <v>15</v>
      </c>
      <c r="J16" s="135"/>
      <c r="K16" s="128"/>
      <c r="L16" s="135"/>
      <c r="M16" s="134"/>
    </row>
    <row r="17" spans="1:13" s="126" customFormat="1" ht="69" x14ac:dyDescent="0.3">
      <c r="A17" s="131">
        <v>12</v>
      </c>
      <c r="B17" s="136" t="s">
        <v>103</v>
      </c>
      <c r="C17" s="131" t="s">
        <v>104</v>
      </c>
      <c r="D17" s="131" t="s">
        <v>89</v>
      </c>
      <c r="E17" s="132" t="s">
        <v>118</v>
      </c>
      <c r="F17" s="132" t="s">
        <v>122</v>
      </c>
      <c r="G17" s="132" t="s">
        <v>118</v>
      </c>
      <c r="H17" s="132" t="s">
        <v>123</v>
      </c>
      <c r="I17" s="128"/>
      <c r="J17" s="135"/>
      <c r="K17" s="128" t="s">
        <v>15</v>
      </c>
      <c r="L17" s="135"/>
      <c r="M17" s="134"/>
    </row>
    <row r="18" spans="1:13" s="126" customFormat="1" ht="151.80000000000001" x14ac:dyDescent="0.3">
      <c r="A18" s="130">
        <v>13</v>
      </c>
      <c r="B18" s="136" t="s">
        <v>107</v>
      </c>
      <c r="C18" s="131" t="s">
        <v>111</v>
      </c>
      <c r="D18" s="131" t="s">
        <v>108</v>
      </c>
      <c r="E18" s="132" t="s">
        <v>128</v>
      </c>
      <c r="F18" s="132" t="s">
        <v>109</v>
      </c>
      <c r="G18" s="132" t="s">
        <v>129</v>
      </c>
      <c r="H18" s="132" t="s">
        <v>110</v>
      </c>
      <c r="I18" s="128"/>
      <c r="J18" s="135"/>
      <c r="K18" s="128"/>
      <c r="L18" s="135"/>
      <c r="M18" s="134"/>
    </row>
    <row r="19" spans="1:13" s="32" customFormat="1" x14ac:dyDescent="0.3">
      <c r="A19" s="59"/>
      <c r="B19" s="59"/>
      <c r="C19" s="59"/>
      <c r="D19" s="59"/>
      <c r="E19" s="60"/>
      <c r="F19" s="63"/>
      <c r="G19" s="120"/>
      <c r="H19" s="59"/>
      <c r="I19" s="61"/>
      <c r="J19" s="62"/>
    </row>
    <row r="20" spans="1:13" s="32" customFormat="1" x14ac:dyDescent="0.3">
      <c r="A20" s="46">
        <v>11</v>
      </c>
      <c r="B20" s="46"/>
      <c r="C20" s="46"/>
      <c r="D20" s="46"/>
      <c r="E20" s="47"/>
      <c r="F20" s="46"/>
      <c r="G20" s="118"/>
      <c r="H20" s="46"/>
      <c r="I20" s="36"/>
      <c r="J20" s="56"/>
    </row>
    <row r="21" spans="1:13" s="32" customFormat="1" ht="23.25" customHeight="1" x14ac:dyDescent="0.3">
      <c r="A21" s="46">
        <v>12</v>
      </c>
      <c r="B21" s="46"/>
      <c r="C21" s="46"/>
      <c r="D21" s="46"/>
      <c r="E21" s="47"/>
      <c r="F21" s="46"/>
      <c r="G21" s="118"/>
      <c r="H21" s="46"/>
      <c r="I21" s="36"/>
      <c r="J21" s="56"/>
    </row>
    <row r="22" spans="1:13" s="32" customFormat="1" ht="30" customHeight="1" x14ac:dyDescent="0.3">
      <c r="A22" s="46">
        <v>13</v>
      </c>
      <c r="B22" s="46"/>
      <c r="C22" s="46"/>
      <c r="D22" s="46"/>
      <c r="E22" s="47"/>
      <c r="F22" s="46"/>
      <c r="G22" s="118"/>
      <c r="H22" s="46"/>
      <c r="I22" s="36"/>
      <c r="J22" s="56"/>
    </row>
    <row r="23" spans="1:13" s="32" customFormat="1" ht="19.5" customHeight="1" x14ac:dyDescent="0.3">
      <c r="A23" s="59"/>
      <c r="B23" s="59"/>
      <c r="C23" s="59"/>
      <c r="D23" s="59"/>
      <c r="E23" s="60"/>
      <c r="F23" s="63"/>
      <c r="G23" s="120"/>
      <c r="H23" s="59"/>
      <c r="I23" s="61"/>
      <c r="J23" s="62"/>
    </row>
    <row r="24" spans="1:13" s="32" customFormat="1" x14ac:dyDescent="0.3">
      <c r="A24" s="46">
        <v>14</v>
      </c>
      <c r="B24" s="46"/>
      <c r="C24" s="46"/>
      <c r="D24" s="46"/>
      <c r="E24" s="47"/>
      <c r="F24" s="46"/>
      <c r="G24" s="118"/>
      <c r="H24" s="46"/>
      <c r="I24" s="36"/>
      <c r="J24" s="56"/>
    </row>
    <row r="25" spans="1:13" s="32" customFormat="1" ht="30.75" customHeight="1" x14ac:dyDescent="0.3">
      <c r="A25" s="46">
        <v>15</v>
      </c>
      <c r="B25" s="46"/>
      <c r="C25" s="46"/>
      <c r="D25" s="46"/>
      <c r="E25" s="47"/>
      <c r="F25" s="46"/>
      <c r="G25" s="118"/>
      <c r="H25" s="46"/>
      <c r="I25" s="36"/>
      <c r="J25" s="56"/>
    </row>
    <row r="26" spans="1:13" s="32" customFormat="1" ht="29.25" customHeight="1" x14ac:dyDescent="0.3">
      <c r="A26" s="46">
        <v>16</v>
      </c>
      <c r="B26" s="46"/>
      <c r="C26" s="46"/>
      <c r="D26" s="46"/>
      <c r="E26" s="47"/>
      <c r="F26" s="46"/>
      <c r="G26" s="118"/>
      <c r="H26" s="46"/>
      <c r="I26" s="36"/>
      <c r="J26" s="56"/>
    </row>
    <row r="27" spans="1:13" s="32" customFormat="1" ht="28.5" customHeight="1" x14ac:dyDescent="0.3">
      <c r="A27" s="46">
        <v>17</v>
      </c>
      <c r="B27" s="46"/>
      <c r="C27" s="46"/>
      <c r="D27" s="46"/>
      <c r="E27" s="47"/>
      <c r="F27" s="46"/>
      <c r="G27" s="118"/>
      <c r="H27" s="46"/>
      <c r="I27" s="36"/>
      <c r="J27" s="56"/>
    </row>
    <row r="28" spans="1:13" s="32" customFormat="1" x14ac:dyDescent="0.3">
      <c r="A28" s="59"/>
      <c r="B28" s="59"/>
      <c r="C28" s="59"/>
      <c r="D28" s="59"/>
      <c r="E28" s="60"/>
      <c r="F28" s="63"/>
      <c r="G28" s="120"/>
      <c r="H28" s="59"/>
      <c r="I28" s="61"/>
      <c r="J28" s="62"/>
    </row>
    <row r="29" spans="1:13" s="32" customFormat="1" ht="18.75" customHeight="1" x14ac:dyDescent="0.3">
      <c r="A29" s="45">
        <v>18</v>
      </c>
      <c r="B29" s="46"/>
      <c r="C29" s="46"/>
      <c r="D29" s="46"/>
      <c r="E29" s="47"/>
      <c r="F29" s="46"/>
      <c r="G29" s="47"/>
      <c r="H29" s="46"/>
      <c r="I29" s="36"/>
      <c r="J29" s="36"/>
    </row>
    <row r="30" spans="1:13" s="32" customFormat="1" ht="24.75" customHeight="1" x14ac:dyDescent="0.3">
      <c r="A30" s="46">
        <v>19</v>
      </c>
      <c r="B30" s="46"/>
      <c r="C30" s="46"/>
      <c r="D30" s="46"/>
      <c r="E30" s="47"/>
      <c r="F30" s="46"/>
      <c r="G30" s="47"/>
      <c r="H30" s="46"/>
      <c r="I30" s="36"/>
      <c r="J30" s="56"/>
    </row>
    <row r="31" spans="1:13" s="32" customFormat="1" ht="23.25" customHeight="1" x14ac:dyDescent="0.3">
      <c r="A31" s="46">
        <v>20</v>
      </c>
      <c r="B31" s="46"/>
      <c r="C31" s="46"/>
      <c r="D31" s="46"/>
      <c r="E31" s="47"/>
      <c r="F31" s="46"/>
      <c r="G31" s="47"/>
      <c r="H31" s="46"/>
      <c r="I31" s="36"/>
      <c r="J31" s="56"/>
    </row>
    <row r="32" spans="1:13" s="32" customFormat="1" ht="25.5" customHeight="1" x14ac:dyDescent="0.3">
      <c r="A32" s="46">
        <v>21</v>
      </c>
      <c r="B32" s="46"/>
      <c r="C32" s="46"/>
      <c r="D32" s="46"/>
      <c r="E32" s="47"/>
      <c r="F32" s="46"/>
      <c r="G32" s="47"/>
      <c r="H32" s="46"/>
      <c r="I32" s="36"/>
      <c r="J32" s="56"/>
    </row>
    <row r="33" spans="5:5" s="32" customFormat="1" x14ac:dyDescent="0.3">
      <c r="E33" s="58"/>
    </row>
    <row r="35" spans="5:5" s="32" customFormat="1" x14ac:dyDescent="0.3">
      <c r="E35" s="58"/>
    </row>
    <row r="36" spans="5:5" s="32" customFormat="1" ht="111.75" customHeight="1" x14ac:dyDescent="0.3">
      <c r="E36" s="58"/>
    </row>
    <row r="37" spans="5:5" s="32" customFormat="1" ht="111.75" customHeight="1" x14ac:dyDescent="0.3">
      <c r="E37" s="58"/>
    </row>
  </sheetData>
  <mergeCells count="4">
    <mergeCell ref="B1:D1"/>
    <mergeCell ref="B2:D2"/>
    <mergeCell ref="B3:D3"/>
    <mergeCell ref="B4:H4"/>
  </mergeCells>
  <dataValidations count="2">
    <dataValidation type="list" allowBlank="1" showInputMessage="1" showErrorMessage="1" sqref="I20:I22 I29:I32 I24:I27 I6:I18" xr:uid="{00000000-0002-0000-0200-000000000000}">
      <formula1>$BB$1:$BB$5</formula1>
    </dataValidation>
    <dataValidation type="list" allowBlank="1" showInputMessage="1" showErrorMessage="1" sqref="B3:D3" xr:uid="{00000000-0002-0000-0200-000001000000}">
      <formula1>$BA$1:$BA$8</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4" customWidth="1"/>
    <col min="3" max="3" width="24.44140625" customWidth="1"/>
  </cols>
  <sheetData>
    <row r="1" spans="1:2" x14ac:dyDescent="0.25">
      <c r="A1" s="65" t="s">
        <v>61</v>
      </c>
      <c r="B1" s="66" t="s">
        <v>0</v>
      </c>
    </row>
    <row r="2" spans="1:2" outlineLevel="1" x14ac:dyDescent="0.25">
      <c r="A2" s="67" t="s">
        <v>55</v>
      </c>
      <c r="B2" s="72">
        <f>PPRD</f>
        <v>44713</v>
      </c>
    </row>
    <row r="3" spans="1:2" x14ac:dyDescent="0.25">
      <c r="A3" s="67" t="s">
        <v>58</v>
      </c>
      <c r="B3" s="68" t="str">
        <f>CRN</f>
        <v xml:space="preserve">CHG228033  </v>
      </c>
    </row>
    <row r="4" spans="1:2" x14ac:dyDescent="0.25">
      <c r="A4" s="67" t="s">
        <v>59</v>
      </c>
      <c r="B4" s="68" t="str">
        <f>MA</f>
        <v>CT</v>
      </c>
    </row>
    <row r="5" spans="1:2" x14ac:dyDescent="0.25">
      <c r="A5" s="67" t="s">
        <v>60</v>
      </c>
      <c r="B5" s="68" t="str">
        <f>Area</f>
        <v>Data</v>
      </c>
    </row>
    <row r="6" spans="1:2" x14ac:dyDescent="0.25">
      <c r="A6" s="67" t="s">
        <v>44</v>
      </c>
      <c r="B6" s="68" t="str">
        <f>Entity</f>
        <v>S_AGREE_ITEM</v>
      </c>
    </row>
    <row r="7" spans="1:2" x14ac:dyDescent="0.25">
      <c r="A7" s="67" t="s">
        <v>56</v>
      </c>
      <c r="B7" s="69">
        <f>DTested</f>
        <v>44655</v>
      </c>
    </row>
    <row r="8" spans="1:2" x14ac:dyDescent="0.25">
      <c r="A8" s="67" t="s">
        <v>57</v>
      </c>
      <c r="B8" s="70">
        <f>DReviewed</f>
        <v>0</v>
      </c>
    </row>
    <row r="9" spans="1:2" x14ac:dyDescent="0.25">
      <c r="A9" s="67" t="s">
        <v>48</v>
      </c>
      <c r="B9" s="68" t="str">
        <f>TestedBy</f>
        <v>Frank</v>
      </c>
    </row>
    <row r="10" spans="1:2" x14ac:dyDescent="0.25">
      <c r="A10" s="67" t="s">
        <v>52</v>
      </c>
      <c r="B10" s="68">
        <f>ReviewedBy</f>
        <v>0</v>
      </c>
    </row>
    <row r="12" spans="1:2" x14ac:dyDescent="0.25">
      <c r="A12" s="67" t="s">
        <v>62</v>
      </c>
      <c r="B12" s="71"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31" workbookViewId="0">
      <selection activeCell="A42" sqref="A42"/>
    </sheetView>
  </sheetViews>
  <sheetFormatPr defaultColWidth="9.109375" defaultRowHeight="13.2" x14ac:dyDescent="0.25"/>
  <cols>
    <col min="1" max="1" width="44" style="76" bestFit="1" customWidth="1"/>
    <col min="2" max="16384" width="9.109375" style="76"/>
  </cols>
  <sheetData>
    <row r="1" spans="1:1" x14ac:dyDescent="0.25">
      <c r="A1" s="78" t="s">
        <v>105</v>
      </c>
    </row>
    <row r="16" spans="1:1" x14ac:dyDescent="0.25">
      <c r="A16" s="78" t="s">
        <v>106</v>
      </c>
    </row>
    <row r="30" spans="1:1" x14ac:dyDescent="0.25">
      <c r="A30" s="75"/>
    </row>
    <row r="40" spans="1:1" x14ac:dyDescent="0.25">
      <c r="A40" s="78"/>
    </row>
    <row r="54" spans="1:1" x14ac:dyDescent="0.25">
      <c r="A54" s="77"/>
    </row>
    <row r="55" spans="1:1" x14ac:dyDescent="0.25">
      <c r="A55" s="75"/>
    </row>
    <row r="70" spans="1:1" x14ac:dyDescent="0.25">
      <c r="A70" s="75"/>
    </row>
    <row r="105" spans="1:1" x14ac:dyDescent="0.25">
      <c r="A105" s="75"/>
    </row>
    <row r="146" spans="1:1" x14ac:dyDescent="0.25">
      <c r="A146" s="75"/>
    </row>
    <row r="185" spans="1:1" x14ac:dyDescent="0.25">
      <c r="A185" s="75"/>
    </row>
    <row r="220" spans="1:1" x14ac:dyDescent="0.25">
      <c r="A220" s="75"/>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2022-04-05T16:24:04Z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