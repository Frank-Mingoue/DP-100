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Cross\C_CHG213427\03_Build\"/>
    </mc:Choice>
  </mc:AlternateContent>
  <xr:revisionPtr revIDLastSave="0" documentId="13_ncr:1_{5E231A45-3C1D-4B91-AC70-CE090FB633BB}" xr6:coauthVersionLast="46" xr6:coauthVersionMax="46" xr10:uidLastSave="{00000000-0000-0000-0000-000000000000}"/>
  <bookViews>
    <workbookView xWindow="-108" yWindow="-108" windowWidth="23256" windowHeight="12720" tabRatio="926" activeTab="2" xr2:uid="{00000000-000D-0000-FFFF-FFFF00000000}"/>
  </bookViews>
  <sheets>
    <sheet name="Cover" sheetId="20" r:id="rId1"/>
    <sheet name="Version Control" sheetId="23" r:id="rId2"/>
    <sheet name="Test Cycle 1" sheetId="24" r:id="rId3"/>
    <sheet name="AppConfig" sheetId="26" state="hidden" r:id="rId4"/>
    <sheet name="Screenshots" sheetId="28" r:id="rId5"/>
    <sheet name="Reviewer Screenshot" sheetId="25" r:id="rId6"/>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699509EE-BAB4-44F7-86B5-45BDAAABB1FA}">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6" authorId="1" shapeId="0" xr:uid="{7AF2F4BE-BBB7-444B-8ACE-791D00700621}">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6" authorId="0" shapeId="0" xr:uid="{FD4E62EF-46B4-4FA3-8976-33C23ABBF036}">
      <text>
        <r>
          <rPr>
            <b/>
            <sz val="8"/>
            <color indexed="81"/>
            <rFont val="Tahoma"/>
            <family val="2"/>
          </rPr>
          <t>bruneau.melier:</t>
        </r>
        <r>
          <rPr>
            <sz val="8"/>
            <color indexed="81"/>
            <rFont val="Tahoma"/>
            <family val="2"/>
          </rPr>
          <t xml:space="preserve">
give a summary of the purpose of the test step </t>
        </r>
      </text>
    </comment>
    <comment ref="C6" authorId="0" shapeId="0" xr:uid="{AF6F0C9B-DB4D-4E6E-B152-1BCEDA869168}">
      <text>
        <r>
          <rPr>
            <b/>
            <sz val="8"/>
            <color indexed="81"/>
            <rFont val="Tahoma"/>
            <family val="2"/>
          </rPr>
          <t>bruneau.melier:</t>
        </r>
        <r>
          <rPr>
            <sz val="8"/>
            <color indexed="81"/>
            <rFont val="Tahoma"/>
            <family val="2"/>
          </rPr>
          <t xml:space="preserve">
give a detailed description of the purpose of the test step </t>
        </r>
      </text>
    </comment>
    <comment ref="D6" authorId="0" shapeId="0" xr:uid="{1234E3B2-578C-446F-873D-16C104CFB3C1}">
      <text>
        <r>
          <rPr>
            <b/>
            <sz val="8"/>
            <color indexed="81"/>
            <rFont val="Tahoma"/>
            <family val="2"/>
          </rPr>
          <t>bruneau.melier:</t>
        </r>
        <r>
          <rPr>
            <sz val="8"/>
            <color indexed="81"/>
            <rFont val="Tahoma"/>
            <family val="2"/>
          </rPr>
          <t xml:space="preserve">
Instructions provided to the users using the test script for executing the steps </t>
        </r>
      </text>
    </comment>
    <comment ref="E6" authorId="0" shapeId="0" xr:uid="{5150888B-197C-41BF-A29F-BF94ED0501D4}">
      <text>
        <r>
          <rPr>
            <b/>
            <sz val="8"/>
            <color indexed="81"/>
            <rFont val="Tahoma"/>
            <family val="2"/>
          </rPr>
          <t>bruneau.melier:</t>
        </r>
        <r>
          <rPr>
            <sz val="8"/>
            <color indexed="81"/>
            <rFont val="Tahoma"/>
            <family val="2"/>
          </rPr>
          <t xml:space="preserve">
SQL script (if any) to be used for executing the step</t>
        </r>
      </text>
    </comment>
    <comment ref="F6" authorId="0" shapeId="0" xr:uid="{DBB72A71-E626-448C-AE34-B9B9FBECB5C8}">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6" authorId="0" shapeId="0" xr:uid="{39958186-35B8-4635-9F9A-8577C4CC9BC4}">
      <text>
        <r>
          <rPr>
            <b/>
            <sz val="8"/>
            <color indexed="81"/>
            <rFont val="Tahoma"/>
            <family val="2"/>
          </rPr>
          <t>bruneau.melier:</t>
        </r>
        <r>
          <rPr>
            <sz val="8"/>
            <color indexed="81"/>
            <rFont val="Tahoma"/>
            <family val="2"/>
          </rPr>
          <t xml:space="preserve">
SQL script (if any) to be used for checking the results of the step executed </t>
        </r>
      </text>
    </comment>
    <comment ref="H6" authorId="0" shapeId="0" xr:uid="{EF46E3CE-0E6E-4366-9854-192872916749}">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6" authorId="0" shapeId="0" xr:uid="{E3EE35A5-1A3F-4D31-9B1E-B99A6644CB22}">
      <text>
        <r>
          <rPr>
            <b/>
            <sz val="8"/>
            <color indexed="81"/>
            <rFont val="Tahoma"/>
            <family val="2"/>
          </rPr>
          <t>bruneau.melier:</t>
        </r>
        <r>
          <rPr>
            <sz val="8"/>
            <color indexed="81"/>
            <rFont val="Tahoma"/>
            <family val="2"/>
          </rPr>
          <t xml:space="preserve">
Takes the value of Not Executed, WIP, Passed or Failed</t>
        </r>
      </text>
    </comment>
    <comment ref="J6" authorId="0" shapeId="0" xr:uid="{4123DE73-EC2A-4F1C-87CD-53FED1D7EC5E}">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<sst xmlns="http://schemas.openxmlformats.org/spreadsheetml/2006/main" count="200" uniqueCount="137">
  <si>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</si>
  <si>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</si>
  <si>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</si>
  <si>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</si>
  <si>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</si>
  <si>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</si>
  <si>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</si>
  <si>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</si>
  <si>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</si>
  <si>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</si>
  <si>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</si>
  <si>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</si>
  <si>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</si>
  <si>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</si>
  <si>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</si>
  <si>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</si>
  <si>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</si>
  <si>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</si>
  <si>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</si>
  <si>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</si>
  <si>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</si>
  <si>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</si>
  <si>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</si>
  <si>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</si>
  <si>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</si>
  <si>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</si>
  <si>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</si>
  <si>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</si>
  <si>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</si>
  <si>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</si>
  <si>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</si>
  <si>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</si>
  <si>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</si>
  <si>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</si>
  <si>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</si>
  <si>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</si>
  <si>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</si>
  <si>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</si>
  <si>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</si>
  <si>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</si>
  <si>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</si>
  <si>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</si>
  <si>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Mapping</t>
  </si>
  <si>
    <t>Entity</t>
  </si>
  <si>
    <t>Workflow</t>
  </si>
  <si>
    <t>Date tested</t>
  </si>
  <si>
    <t>Tested By</t>
  </si>
  <si>
    <t xml:space="preserve">Test Script Status </t>
  </si>
  <si>
    <t>Date reviewed</t>
  </si>
  <si>
    <t>Reviewed By</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</si>
  <si>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</si>
  <si>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</si>
  <si>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</si>
  <si>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</si>
  <si>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</si>
  <si>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</si>
  <si>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</si>
  <si>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</si>
  <si>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</si>
  <si>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</si>
  <si>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</si>
  <si>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</si>
  <si>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</si>
  <si>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</si>
  <si>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</si>
  <si>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</si>
  <si>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</si>
  <si>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</si>
  <si>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</si>
  <si>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</si>
  <si>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</si>
  <si>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</si>
  <si>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</si>
  <si>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</si>
  <si>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</si>
  <si>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</si>
  <si>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 xml:space="preserve">Test Case completed </t>
  </si>
  <si>
    <t>Send Email for columns creation</t>
  </si>
  <si>
    <t>N</t>
  </si>
  <si>
    <t>Y</t>
  </si>
  <si>
    <t>Feb , 2022</t>
  </si>
  <si>
    <t>Screenshot 1</t>
  </si>
  <si>
    <t>Screenshot 2</t>
  </si>
  <si>
    <t>Screenshot 3</t>
  </si>
  <si>
    <t>Reset test data</t>
  </si>
  <si>
    <t>OLTP</t>
  </si>
  <si>
    <t>n/a</t>
  </si>
  <si>
    <t xml:space="preserve">Register Flat File </t>
  </si>
  <si>
    <t>INFA</t>
  </si>
  <si>
    <t>Worklet should succeed</t>
  </si>
  <si>
    <t>Check File Registration</t>
  </si>
  <si>
    <t xml:space="preserve">OLAP </t>
  </si>
  <si>
    <t>File should be registered with current date</t>
  </si>
  <si>
    <t>Verify EIM status</t>
  </si>
  <si>
    <t>OTLP</t>
  </si>
  <si>
    <t>Verify if Base Table is correctly updated</t>
  </si>
  <si>
    <t>Verify data on Sales Application</t>
  </si>
  <si>
    <t>Sales Application</t>
  </si>
  <si>
    <t>Archieve Flat File</t>
  </si>
  <si>
    <t>Run worklet: wrk_Run_Post_Batch_Java</t>
  </si>
  <si>
    <t>Transfer the “Copied” field information from OLTP to OLAP and  set it  to 'N' if the value is NULL/ CV load updating table CX_TMP_INI_PRD</t>
  </si>
  <si>
    <t xml:space="preserve">CHG213427 </t>
  </si>
  <si>
    <t>TMEC: RI - Enhancements on Contracts &amp; Contract Terms</t>
  </si>
  <si>
    <t>CT</t>
  </si>
  <si>
    <t>TME - HLFD Interface Contract New In OLTP Version 6.0.docx</t>
  </si>
  <si>
    <t>CHG213427  Detail Functional and Technical Design Data Part v4.xlsm</t>
  </si>
  <si>
    <t>TESTING CH INTERFACE LOAD</t>
  </si>
  <si>
    <t>FDE_INT_CONTRACT_NEW_PRE_GENERIC, FDE_INT_CONTRACT_NEW, FDE_INT_CONTRACT_NEW_V2</t>
  </si>
  <si>
    <t>wrk_Contract_CH_Interface_Generic</t>
  </si>
  <si>
    <t>S_DOC_AGREE</t>
  </si>
  <si>
    <t xml:space="preserve"> Jhanvi [CH]</t>
  </si>
  <si>
    <t>Place CH Flat File in iunp for load</t>
  </si>
  <si>
    <t xml:space="preserve">Place below file in following  path: \\10.186.26.22\Interfaces_IP14\Russia\IUNP </t>
  </si>
  <si>
    <t xml:space="preserve">SELECT *
FROM WC_ETL_FILES_G(NOLOCK)
WHERE FILENAME LIKE '%RUCH0622_20211119_10.txt%'; </t>
  </si>
  <si>
    <t>Execute CH loader</t>
  </si>
  <si>
    <t>Run worklet: wrk_Contract_CH_Interface_Generic</t>
  </si>
  <si>
    <t>SELECT IF_ROW_BATCH_NUM, IF_ROW_STAT, COUNT(1) , CREATED
FROM EIM_AGREEMENT (NOLOCK)
WHERE IF_ROW_BATCH_NUM BETWEEN 108000 and 108999  
GROUP BY IF_ROW_BATCH_NUM, IF_ROW_STAT , CREATED
ORDER BY 4 DESC
SELECT IF_ROW_BATCH_NUM, IF_ROW_STAT, COUNT(1) , CREATED
FROM EIM_AGREE_LS (NOLOCK)
WHERE IF_ROW_BATCH_NUM BETWEEN 108000 and 108999  
GROUP BY IF_ROW_BATCH_NUM, IF_ROW_STAT, CREATED
ORDER BY 4 DESC
SELECT IF_ROW_BATCH_NUM, IF_ROW_STAT, COUNT(1) , CREATED
FROM EIM_PAYMENT (NOLOCK)
WHERE IF_ROW_BATCH_NUM BETWEEN 208000 and 308999  
GROUP BY IF_ROW_BATCH_NUM, IF_ROW_STAT, CREATED
ORDER BY 1
SELECT IF_ROW_BATCH_NUM, IF_ROW_STAT, COUNT(1) , CREATED
FROM EIM_ACCNT_UT (NOLOCK)
WHERE IF_ROW_BATCH_NUM BETWEEN 108000 and 108999 
GROUP BY IF_ROW_BATCH_NUM, IF_ROW_STAT, CREATED
ORDER BY 4 DESC</t>
  </si>
  <si>
    <t>Verify errors encountered [validate records]</t>
  </si>
  <si>
    <t xml:space="preserve">
SELECT COUNT(1) as TOTAL,COUNT(DISTINCT LINE_NUMBER), FIELD_NAME, 
FAILURE_DESCRIPTION, FILE_NAME, MAPPING_NAME, FIELD_VALUE, ERROR_TYPE, LINE_NUMBER
FROM dbo.WC_ERRORS_G 
WHERE FILE_NAME LIKE '%RUCH%'
GROUP BY FIELD_NAME, FAILURE_DESCRIPTION, MAPPING_NAME, ERROR_TYPE, FIELD_VALUE,FILE_NAME, LINE_NUMBER
ORDER BY FILE_NAME,MAPPING_NAME,FIELD_NAME, FAILURE_DESCRIPTION,  ERROR_TYPE desc</t>
  </si>
  <si>
    <t>Export Errors</t>
  </si>
  <si>
    <t>Run worklet: wrk_Export_Errors</t>
  </si>
  <si>
    <t>Worklet succeeded</t>
  </si>
  <si>
    <t>File is registered with current date</t>
  </si>
  <si>
    <t>Nullify columns X_TOTAL_AMT_LIMIT_NUM and X_TOTAL_PTS_LIMIT_NUM</t>
  </si>
  <si>
    <t xml:space="preserve">Open workflow Manager
Open EIM_INTERFACE  folder
Open workflow: RUN_EIM_PROCESS_GENERIC
Run worklet : wrk_Pre_Etl_java  </t>
  </si>
  <si>
    <t xml:space="preserve">1 record should be returned [The field does not contain a valid number]
</t>
  </si>
  <si>
    <r>
      <t xml:space="preserve">1 record is returned [The field does not contain a valid number]
</t>
    </r>
    <r>
      <rPr>
        <b/>
        <sz val="10"/>
        <color rgb="FF00B050"/>
        <rFont val="Book Antiqua"/>
        <family val="1"/>
      </rPr>
      <t>Screenshot 2</t>
    </r>
  </si>
  <si>
    <t xml:space="preserve">Records should be populated as per flat file values specified
</t>
  </si>
  <si>
    <r>
      <t xml:space="preserve">Records are populated as per flat file values specified
</t>
    </r>
    <r>
      <rPr>
        <b/>
        <sz val="10"/>
        <color rgb="FF00B050"/>
        <rFont val="Book Antiqua"/>
        <family val="1"/>
      </rPr>
      <t>Screenshot 3</t>
    </r>
  </si>
  <si>
    <t>Screenshot 4</t>
  </si>
  <si>
    <t>UPDATE S_DOC_AGREE
SET X_TOTAL_AMT_LIMIT_NUM=NULL, 
X_TOTAL_PTS_LIMIT_NUM=NULL
where NAME IN ('1-125637322','1-70418801','1-448638693')</t>
  </si>
  <si>
    <t>3 records should be  updated.
X_TOTAL_AMT_LIMIT_NUM and X_TOTAL_PTS_LIMIT_NUM  should be set to NULL</t>
  </si>
  <si>
    <t>3 records are updated.
X_TOTAL_AMT_LIMIT_NUM and X_TOTAL_PTS_LIMIT_NUM are set to NULL</t>
  </si>
  <si>
    <t>Below EIM statuses should be obtained:
EIM_AGREEMENT : DUP_RECORD_EXISTS (3 records)
EIM_AGREE_LS: DUP_RECORD_EXISTS (3 records)
EIM_PAYMENT:  DUP_RECORD_EXISTS (6 records)
EIM_ACCNT_UT:  DUP_RECORD_EXISTS (3 records)</t>
  </si>
  <si>
    <r>
      <t>Below EIM statuses are obtained:
EIM_AGREEMENT : DUP_RECORD_EXISTS (3 records)
EIM_AGREE_LS: DUP_RECORD_EXISTS (3 records)
EIM_PAYMENT:  DUP_RECORD_EXISTS (6 records)
EIM_ACCNT_UT:  DUP_RECORD_EXISTS (3 records)</t>
    </r>
    <r>
      <rPr>
        <b/>
        <sz val="12"/>
        <color rgb="FF00B050"/>
        <rFont val="Book Antiqua"/>
        <family val="1"/>
      </rPr>
      <t>Screenshot 1</t>
    </r>
  </si>
  <si>
    <t xml:space="preserve">
SELECT X_NAME,NAME,X_TOTAL_AMT_LIMIT_NUM,X_TOTAL_PTS_LIMIT_NUM
FROM S_DOC_AGREE(NOLOCK)
WHERE NAME IN ('1-125637322','1-70418801','1-448638693')</t>
  </si>
  <si>
    <t>Login as CSTADMRU
Go to Screen 'Adminstraion - Data -&gt; Template Agreements' ;
Query Agreement Index ='1-448638693'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</si>
</sst>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52"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b/>
      <sz val="12"/>
      <color indexed="9"/>
      <name val="Book Antiqua"/>
      <family val="1"/>
    </font>
    <font>
      <sz val="12"/>
      <name val="Arial"/>
      <family val="2"/>
    </font>
    <font>
      <b/>
      <sz val="12"/>
      <name val="Arial"/>
      <family val="2"/>
    </font>
    <font>
      <sz val="16"/>
      <name val="Book Antiqua"/>
      <family val="1"/>
    </font>
    <font>
      <b/>
      <sz val="10"/>
      <color rgb="FF00B050"/>
      <name val="Book Antiqua"/>
      <family val="1"/>
    </font>
    <font>
      <b/>
      <sz val="12"/>
      <color rgb="FF00B050"/>
      <name val="Book Antiqua"/>
      <family val="1"/>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theme="0"/>
        <bgColor indexed="64"/>
      </patternFill>
    </fill>
    <fill>
      <patternFill patternType="solid">
        <fgColor theme="3" tint="0.59999389629810485"/>
        <bgColor indexed="64"/>
      </patternFill>
    </fill>
    <fill>
      <patternFill patternType="solid">
        <fgColor rgb="FF92D050"/>
        <bgColor indexed="64"/>
      </patternFill>
    </fill>
  </fills>
  <borders count="17">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60">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2" fillId="0" borderId="0" applyNumberFormat="0" applyFill="0" applyBorder="0" applyAlignment="0" applyProtection="0">
      <alignment vertical="top"/>
      <protection locked="0"/>
    </xf>
    <xf numFmtId="0" fontId="43" fillId="0" borderId="0"/>
    <xf numFmtId="0" fontId="3" fillId="0" borderId="0"/>
    <xf numFmtId="0" fontId="43" fillId="0" borderId="0"/>
    <xf numFmtId="0" fontId="43"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104">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33" fillId="23" borderId="0" xfId="38" applyFont="1" applyFill="1" applyAlignment="1">
      <alignment vertical="center" wrapText="1"/>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2"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15" fontId="44" fillId="0" borderId="10" xfId="32" applyNumberFormat="1" applyFont="1" applyBorder="1" applyAlignment="1" applyProtection="1">
      <alignment horizontal="left" vertical="center" wrapText="1"/>
    </xf>
    <xf numFmtId="0" fontId="0" fillId="0" borderId="0" xfId="0" applyAlignment="1">
      <alignment horizontal="center"/>
    </xf>
    <xf numFmtId="0" fontId="45" fillId="26" borderId="0" xfId="0" applyFont="1" applyFill="1"/>
    <xf numFmtId="0" fontId="45" fillId="26" borderId="0" xfId="0" applyFont="1" applyFill="1" applyAlignment="1">
      <alignment horizontal="center"/>
    </xf>
    <xf numFmtId="0" fontId="4"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3" fillId="27" borderId="10" xfId="0" quotePrefix="1" applyNumberFormat="1" applyFont="1" applyFill="1" applyBorder="1" applyAlignment="1">
      <alignment horizontal="center"/>
    </xf>
    <xf numFmtId="0" fontId="3" fillId="27" borderId="10" xfId="0" applyFont="1" applyFill="1" applyBorder="1" applyAlignment="1">
      <alignment horizontal="center"/>
    </xf>
    <xf numFmtId="166" fontId="0" fillId="27" borderId="10" xfId="0" applyNumberFormat="1" applyFill="1" applyBorder="1" applyAlignment="1">
      <alignment horizontal="center"/>
    </xf>
    <xf numFmtId="0" fontId="4" fillId="0" borderId="0" xfId="0" applyFont="1" applyFill="1"/>
    <xf numFmtId="0" fontId="0" fillId="0" borderId="0" xfId="0" applyFill="1"/>
    <xf numFmtId="0" fontId="46" fillId="25" borderId="10" xfId="37" applyFont="1" applyFill="1" applyBorder="1" applyAlignment="1">
      <alignment horizontal="right" wrapText="1"/>
    </xf>
    <xf numFmtId="0" fontId="46" fillId="25" borderId="10" xfId="37" applyFont="1" applyFill="1" applyBorder="1" applyAlignment="1">
      <alignment horizontal="right" vertical="top" wrapText="1"/>
    </xf>
    <xf numFmtId="0" fontId="32" fillId="0" borderId="10" xfId="37" applyFont="1" applyBorder="1" applyAlignment="1">
      <alignment wrapText="1"/>
    </xf>
    <xf numFmtId="0" fontId="32" fillId="0" borderId="10" xfId="37" applyFont="1" applyBorder="1"/>
    <xf numFmtId="0" fontId="32" fillId="0" borderId="0" xfId="37" applyFont="1"/>
    <xf numFmtId="0" fontId="32" fillId="0" borderId="0" xfId="37" applyFont="1" applyBorder="1"/>
    <xf numFmtId="0" fontId="47" fillId="0" borderId="0" xfId="37" applyFont="1"/>
    <xf numFmtId="14" fontId="32" fillId="0" borderId="10" xfId="37" applyNumberFormat="1" applyFont="1" applyBorder="1" applyAlignment="1">
      <alignment horizontal="right" wrapText="1"/>
    </xf>
    <xf numFmtId="14" fontId="32" fillId="0" borderId="10" xfId="37" applyNumberFormat="1" applyFont="1" applyBorder="1" applyAlignment="1">
      <alignment wrapText="1"/>
    </xf>
    <xf numFmtId="49" fontId="48" fillId="24" borderId="10" xfId="37" applyNumberFormat="1" applyFont="1" applyFill="1" applyBorder="1" applyAlignment="1">
      <alignment horizontal="center" vertical="top"/>
    </xf>
    <xf numFmtId="0" fontId="32" fillId="0" borderId="0" xfId="37" applyFont="1" applyAlignment="1">
      <alignment horizontal="left" vertical="top"/>
    </xf>
    <xf numFmtId="0" fontId="4" fillId="28" borderId="0" xfId="0" applyFont="1" applyFill="1"/>
    <xf numFmtId="0" fontId="32" fillId="0" borderId="10" xfId="37" applyFont="1" applyBorder="1" applyAlignment="1">
      <alignment vertical="center"/>
    </xf>
    <xf numFmtId="0" fontId="32" fillId="0" borderId="10" xfId="37" applyFont="1" applyBorder="1" applyAlignment="1">
      <alignment vertical="center" wrapText="1"/>
    </xf>
    <xf numFmtId="0" fontId="32" fillId="0" borderId="10" xfId="37" applyFont="1" applyFill="1" applyBorder="1" applyAlignment="1">
      <alignment vertical="center" wrapText="1"/>
    </xf>
    <xf numFmtId="0" fontId="32" fillId="0" borderId="0" xfId="37" applyFont="1" applyAlignment="1">
      <alignment vertical="center"/>
    </xf>
    <xf numFmtId="0" fontId="32" fillId="0" borderId="10" xfId="37" applyFont="1" applyFill="1" applyBorder="1" applyAlignment="1">
      <alignment vertical="center"/>
    </xf>
    <xf numFmtId="0" fontId="32" fillId="0" borderId="0" xfId="37" applyFont="1" applyBorder="1" applyAlignment="1">
      <alignment vertical="center"/>
    </xf>
    <xf numFmtId="0" fontId="4" fillId="30" borderId="0" xfId="0" applyFont="1" applyFill="1"/>
    <xf numFmtId="0" fontId="38" fillId="0" borderId="0" xfId="37"/>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8" fillId="0" borderId="10" xfId="34" applyFont="1" applyBorder="1" applyAlignment="1">
      <alignment horizontal="left" vertical="top" wrapText="1"/>
    </xf>
    <xf numFmtId="0" fontId="51" fillId="0" borderId="10" xfId="37" applyFont="1" applyBorder="1" applyAlignment="1">
      <alignment vertical="center" wrapText="1"/>
    </xf>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3" fillId="0" borderId="15" xfId="36" applyBorder="1"/>
    <xf numFmtId="0" fontId="29" fillId="29" borderId="12" xfId="37" applyFont="1" applyFill="1" applyBorder="1" applyAlignment="1">
      <alignment horizontal="center" vertical="center"/>
    </xf>
    <xf numFmtId="0" fontId="29" fillId="29" borderId="15" xfId="37" applyFont="1" applyFill="1" applyBorder="1" applyAlignment="1">
      <alignment horizontal="center" vertical="center"/>
    </xf>
    <xf numFmtId="0" fontId="29" fillId="29" borderId="16" xfId="37" applyFont="1" applyFill="1" applyBorder="1" applyAlignment="1">
      <alignment horizontal="center" vertical="center"/>
    </xf>
    <xf numFmtId="0" fontId="32" fillId="0" borderId="10" xfId="37" applyFont="1" applyBorder="1" applyAlignment="1">
      <alignment horizontal="center" wrapText="1"/>
    </xf>
    <xf numFmtId="0" fontId="39" fillId="0" borderId="10" xfId="37" applyFont="1" applyBorder="1" applyAlignment="1">
      <alignment horizontal="left" wrapText="1"/>
    </xf>
    <xf numFmtId="0" fontId="49" fillId="0" borderId="10" xfId="37" applyFont="1" applyBorder="1" applyAlignment="1">
      <alignment horizontal="left" wrapText="1"/>
    </xf>
  </cellXfs>
  <cellStyles count="60">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7" xr:uid="{AE14372D-9198-45A3-AC46-B4CF9D4489A3}"/>
    <cellStyle name="Normal 2 4" xfId="54" xr:uid="{33C83F39-03EA-40BD-AF36-BED0444DF036}"/>
    <cellStyle name="Normal 2 5" xfId="51" xr:uid="{15AC252B-97A0-4DC1-9080-35EA75D8EF7D}"/>
    <cellStyle name="Normal 3" xfId="35" xr:uid="{00000000-0005-0000-0000-000023000000}"/>
    <cellStyle name="Normal 3 2" xfId="36" xr:uid="{00000000-0005-0000-0000-000024000000}"/>
    <cellStyle name="Normal 3 2 2" xfId="59" xr:uid="{785A3F71-B939-46AA-A03E-85EDD20FB15D}"/>
    <cellStyle name="Normal 3 2 3" xfId="56" xr:uid="{DDEE0790-2037-48F7-933C-C830131DEAD6}"/>
    <cellStyle name="Normal 3 2 4" xfId="53" xr:uid="{7C586766-68A4-48E1-BCE7-2D46007C1F1F}"/>
    <cellStyle name="Normal 3 3" xfId="58" xr:uid="{531F0420-9F6B-47DC-9AC4-0D09E0E12D4A}"/>
    <cellStyle name="Normal 3 4" xfId="55" xr:uid="{5462AB61-6F12-4893-9959-08D889CDA1FE}"/>
    <cellStyle name="Normal 3 5" xfId="52" xr:uid="{E009374B-5F4F-4901-B5E0-AB3AC30BF9E3}"/>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22860</xdr:colOff>
      <xdr:row>39</xdr:row>
      <xdr:rowOff>152400</xdr:rowOff>
    </xdr:from>
    <xdr:to>
      <xdr:col>13</xdr:col>
      <xdr:colOff>232426</xdr:colOff>
      <xdr:row>47</xdr:row>
      <xdr:rowOff>114300</xdr:rowOff>
    </xdr:to>
    <xdr:pic>
      <xdr:nvPicPr>
        <xdr:cNvPr id="3" name="Picture 2">
          <a:extLst>
            <a:ext uri="{FF2B5EF4-FFF2-40B4-BE49-F238E27FC236}">
              <a16:creationId xmlns:a16="http://schemas.microsoft.com/office/drawing/2014/main" id="{5834803F-CF9D-417B-8EF2-4DD42ED0FFE8}"/>
            </a:ext>
          </a:extLst>
        </xdr:cNvPr>
        <xdr:cNvPicPr>
          <a:picLocks noChangeAspect="1"/>
        </xdr:cNvPicPr>
      </xdr:nvPicPr>
      <xdr:blipFill>
        <a:blip xmlns:r="http://schemas.openxmlformats.org/officeDocument/2006/relationships" r:embed="rId1"/>
        <a:stretch>
          <a:fillRect/>
        </a:stretch>
      </xdr:blipFill>
      <xdr:spPr>
        <a:xfrm>
          <a:off x="22860" y="6690360"/>
          <a:ext cx="8385826" cy="1303020"/>
        </a:xfrm>
        <a:prstGeom prst="rect">
          <a:avLst/>
        </a:prstGeom>
      </xdr:spPr>
    </xdr:pic>
    <xdr:clientData/>
  </xdr:twoCellAnchor>
  <xdr:twoCellAnchor editAs="oneCell">
    <xdr:from>
      <xdr:col>0</xdr:col>
      <xdr:colOff>0</xdr:colOff>
      <xdr:row>2</xdr:row>
      <xdr:rowOff>0</xdr:rowOff>
    </xdr:from>
    <xdr:to>
      <xdr:col>7</xdr:col>
      <xdr:colOff>0</xdr:colOff>
      <xdr:row>34</xdr:row>
      <xdr:rowOff>615</xdr:rowOff>
    </xdr:to>
    <xdr:pic>
      <xdr:nvPicPr>
        <xdr:cNvPr id="7" name="Picture 6">
          <a:extLst>
            <a:ext uri="{FF2B5EF4-FFF2-40B4-BE49-F238E27FC236}">
              <a16:creationId xmlns:a16="http://schemas.microsoft.com/office/drawing/2014/main" id="{A141ABEC-04E6-4397-944D-628D8572576D}"/>
            </a:ext>
          </a:extLst>
        </xdr:cNvPr>
        <xdr:cNvPicPr>
          <a:picLocks noChangeAspect="1"/>
        </xdr:cNvPicPr>
      </xdr:nvPicPr>
      <xdr:blipFill>
        <a:blip xmlns:r="http://schemas.openxmlformats.org/officeDocument/2006/relationships" r:embed="rId2"/>
        <a:stretch>
          <a:fillRect/>
        </a:stretch>
      </xdr:blipFill>
      <xdr:spPr>
        <a:xfrm>
          <a:off x="0" y="335280"/>
          <a:ext cx="4518660" cy="5365095"/>
        </a:xfrm>
        <a:prstGeom prst="rect">
          <a:avLst/>
        </a:prstGeom>
      </xdr:spPr>
    </xdr:pic>
    <xdr:clientData/>
  </xdr:twoCellAnchor>
  <xdr:twoCellAnchor editAs="oneCell">
    <xdr:from>
      <xdr:col>0</xdr:col>
      <xdr:colOff>60960</xdr:colOff>
      <xdr:row>62</xdr:row>
      <xdr:rowOff>83820</xdr:rowOff>
    </xdr:from>
    <xdr:to>
      <xdr:col>12</xdr:col>
      <xdr:colOff>350520</xdr:colOff>
      <xdr:row>70</xdr:row>
      <xdr:rowOff>138817</xdr:rowOff>
    </xdr:to>
    <xdr:pic>
      <xdr:nvPicPr>
        <xdr:cNvPr id="8" name="Picture 7">
          <a:extLst>
            <a:ext uri="{FF2B5EF4-FFF2-40B4-BE49-F238E27FC236}">
              <a16:creationId xmlns:a16="http://schemas.microsoft.com/office/drawing/2014/main" id="{287F3D9F-2CEA-45A8-A24F-702183FD8719}"/>
            </a:ext>
          </a:extLst>
        </xdr:cNvPr>
        <xdr:cNvPicPr>
          <a:picLocks noChangeAspect="1"/>
        </xdr:cNvPicPr>
      </xdr:nvPicPr>
      <xdr:blipFill>
        <a:blip xmlns:r="http://schemas.openxmlformats.org/officeDocument/2006/relationships" r:embed="rId3"/>
        <a:stretch>
          <a:fillRect/>
        </a:stretch>
      </xdr:blipFill>
      <xdr:spPr>
        <a:xfrm>
          <a:off x="60960" y="10477500"/>
          <a:ext cx="7856220" cy="1396117"/>
        </a:xfrm>
        <a:prstGeom prst="rect">
          <a:avLst/>
        </a:prstGeom>
      </xdr:spPr>
    </xdr:pic>
    <xdr:clientData/>
  </xdr:twoCellAnchor>
  <xdr:twoCellAnchor editAs="oneCell">
    <xdr:from>
      <xdr:col>0</xdr:col>
      <xdr:colOff>114300</xdr:colOff>
      <xdr:row>51</xdr:row>
      <xdr:rowOff>160020</xdr:rowOff>
    </xdr:from>
    <xdr:to>
      <xdr:col>10</xdr:col>
      <xdr:colOff>548640</xdr:colOff>
      <xdr:row>61</xdr:row>
      <xdr:rowOff>21931</xdr:rowOff>
    </xdr:to>
    <xdr:pic>
      <xdr:nvPicPr>
        <xdr:cNvPr id="9" name="Picture 8">
          <a:extLst>
            <a:ext uri="{FF2B5EF4-FFF2-40B4-BE49-F238E27FC236}">
              <a16:creationId xmlns:a16="http://schemas.microsoft.com/office/drawing/2014/main" id="{0F668F37-80E1-4A45-88F6-2C5836902EEA}"/>
            </a:ext>
          </a:extLst>
        </xdr:cNvPr>
        <xdr:cNvPicPr>
          <a:picLocks noChangeAspect="1"/>
        </xdr:cNvPicPr>
      </xdr:nvPicPr>
      <xdr:blipFill>
        <a:blip xmlns:r="http://schemas.openxmlformats.org/officeDocument/2006/relationships" r:embed="rId4"/>
        <a:stretch>
          <a:fillRect/>
        </a:stretch>
      </xdr:blipFill>
      <xdr:spPr>
        <a:xfrm>
          <a:off x="114300" y="8709660"/>
          <a:ext cx="6781800" cy="1538311"/>
        </a:xfrm>
        <a:prstGeom prst="rect">
          <a:avLst/>
        </a:prstGeom>
      </xdr:spPr>
    </xdr:pic>
    <xdr:clientData/>
  </xdr:twoCellAnchor>
  <xdr:twoCellAnchor editAs="oneCell">
    <xdr:from>
      <xdr:col>0</xdr:col>
      <xdr:colOff>0</xdr:colOff>
      <xdr:row>74</xdr:row>
      <xdr:rowOff>0</xdr:rowOff>
    </xdr:from>
    <xdr:to>
      <xdr:col>15</xdr:col>
      <xdr:colOff>425230</xdr:colOff>
      <xdr:row>103</xdr:row>
      <xdr:rowOff>7620</xdr:rowOff>
    </xdr:to>
    <xdr:pic>
      <xdr:nvPicPr>
        <xdr:cNvPr id="2" name="Picture 1">
          <a:extLst>
            <a:ext uri="{FF2B5EF4-FFF2-40B4-BE49-F238E27FC236}">
              <a16:creationId xmlns:a16="http://schemas.microsoft.com/office/drawing/2014/main" id="{E8620427-7C60-4134-878C-6B39D180CFE1}"/>
            </a:ext>
          </a:extLst>
        </xdr:cNvPr>
        <xdr:cNvPicPr>
          <a:picLocks noChangeAspect="1"/>
        </xdr:cNvPicPr>
      </xdr:nvPicPr>
      <xdr:blipFill>
        <a:blip xmlns:r="http://schemas.openxmlformats.org/officeDocument/2006/relationships" r:embed="rId5"/>
        <a:stretch>
          <a:fillRect/>
        </a:stretch>
      </xdr:blipFill>
      <xdr:spPr>
        <a:xfrm>
          <a:off x="0" y="12405360"/>
          <a:ext cx="9820690" cy="486918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zoomScale="66" workbookViewId="0">
      <selection activeCell="A13" sqref="A13:S13"/>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89" t="s">
        <v>2</v>
      </c>
      <c r="B13" s="89"/>
      <c r="C13" s="89"/>
      <c r="D13" s="89"/>
      <c r="E13" s="89"/>
      <c r="F13" s="89"/>
      <c r="G13" s="89"/>
      <c r="H13" s="89"/>
      <c r="I13" s="89"/>
      <c r="J13" s="89"/>
      <c r="K13" s="89"/>
      <c r="L13" s="89"/>
      <c r="M13" s="89"/>
      <c r="N13" s="89"/>
      <c r="O13" s="89"/>
      <c r="P13" s="89"/>
      <c r="Q13" s="89"/>
      <c r="R13" s="89"/>
      <c r="S13" s="89"/>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90" t="s">
        <v>17</v>
      </c>
      <c r="B18" s="90"/>
      <c r="C18" s="90"/>
      <c r="D18" s="90"/>
      <c r="E18" s="90"/>
      <c r="F18" s="90"/>
      <c r="G18" s="90"/>
      <c r="H18" s="90"/>
      <c r="I18" s="90"/>
      <c r="J18" s="90"/>
      <c r="K18" s="90"/>
      <c r="L18" s="90"/>
      <c r="M18" s="90"/>
      <c r="N18" s="90"/>
      <c r="O18" s="90"/>
      <c r="P18" s="90"/>
      <c r="Q18" s="90"/>
      <c r="R18" s="90"/>
      <c r="S18" s="90"/>
    </row>
    <row r="19" spans="1:19" s="15" customFormat="1" ht="40.65" customHeight="1" x14ac:dyDescent="0.25">
      <c r="A19" s="91" t="s">
        <v>1</v>
      </c>
      <c r="B19" s="91"/>
      <c r="C19" s="91"/>
      <c r="D19" s="91"/>
      <c r="E19" s="91"/>
      <c r="F19" s="91"/>
      <c r="G19" s="91"/>
      <c r="H19" s="91"/>
      <c r="I19" s="91"/>
      <c r="J19" s="91"/>
      <c r="K19" s="91"/>
      <c r="L19" s="91"/>
      <c r="M19" s="91"/>
      <c r="N19" s="91"/>
      <c r="O19" s="91"/>
      <c r="P19" s="91"/>
      <c r="Q19" s="91"/>
      <c r="R19" s="91"/>
      <c r="S19" s="91"/>
    </row>
    <row r="20" spans="1:19" s="15" customFormat="1" ht="13.8" x14ac:dyDescent="0.25">
      <c r="A20" s="16"/>
      <c r="B20" s="16"/>
      <c r="C20" s="16"/>
      <c r="D20" s="16"/>
      <c r="E20" s="16"/>
      <c r="F20" s="16"/>
      <c r="G20" s="16"/>
      <c r="H20" s="16"/>
      <c r="I20" s="16"/>
      <c r="J20" s="16"/>
    </row>
    <row r="21" spans="1:19" s="15" customFormat="1" ht="58.65" customHeight="1" x14ac:dyDescent="0.25">
      <c r="A21" s="92" t="s">
        <v>70</v>
      </c>
      <c r="B21" s="92"/>
      <c r="C21" s="92"/>
      <c r="D21" s="92"/>
      <c r="E21" s="92"/>
      <c r="F21" s="92"/>
      <c r="G21" s="92"/>
      <c r="H21" s="92"/>
      <c r="I21" s="92"/>
      <c r="J21" s="6"/>
      <c r="K21" s="93" t="s">
        <v>101</v>
      </c>
      <c r="L21" s="93"/>
      <c r="M21" s="93"/>
      <c r="N21" s="93"/>
      <c r="O21" s="93"/>
      <c r="P21" s="93"/>
      <c r="Q21" s="93"/>
      <c r="R21" s="93"/>
      <c r="S21" s="93"/>
    </row>
    <row r="22" spans="1:19" s="15" customFormat="1" ht="13.8" x14ac:dyDescent="0.25">
      <c r="A22" s="16"/>
      <c r="B22" s="16"/>
      <c r="C22" s="16"/>
      <c r="D22" s="16"/>
      <c r="E22" s="16"/>
      <c r="F22" s="16"/>
      <c r="G22" s="16"/>
      <c r="H22" s="16"/>
      <c r="I22" s="16"/>
      <c r="J22" s="16"/>
    </row>
    <row r="23" spans="1:19" s="15" customFormat="1" ht="70.2" customHeight="1" x14ac:dyDescent="0.25">
      <c r="A23" s="85" t="s">
        <v>18</v>
      </c>
      <c r="B23" s="85"/>
      <c r="C23" s="85"/>
      <c r="D23" s="85"/>
      <c r="E23" s="85"/>
      <c r="F23" s="85"/>
      <c r="G23" s="85"/>
      <c r="H23" s="85"/>
      <c r="I23" s="85"/>
      <c r="J23" s="7"/>
      <c r="K23" s="86" t="s">
        <v>102</v>
      </c>
      <c r="L23" s="86"/>
      <c r="M23" s="86"/>
      <c r="N23" s="86"/>
      <c r="O23" s="86"/>
      <c r="P23" s="86"/>
      <c r="Q23" s="86"/>
      <c r="R23" s="86"/>
      <c r="S23" s="86"/>
    </row>
    <row r="24" spans="1:19" s="15" customFormat="1" ht="13.8" x14ac:dyDescent="0.25">
      <c r="A24" s="16"/>
      <c r="B24" s="16"/>
      <c r="C24" s="16"/>
      <c r="D24" s="16"/>
      <c r="E24" s="16"/>
      <c r="F24" s="16"/>
      <c r="G24" s="16"/>
      <c r="H24" s="16"/>
      <c r="I24" s="16"/>
      <c r="J24" s="16"/>
    </row>
    <row r="25" spans="1:19" s="15" customFormat="1" ht="70.2" customHeight="1" x14ac:dyDescent="0.25">
      <c r="A25" s="87" t="s">
        <v>3</v>
      </c>
      <c r="B25" s="87"/>
      <c r="C25" s="87"/>
      <c r="D25" s="87"/>
      <c r="E25" s="87"/>
      <c r="F25" s="87"/>
      <c r="G25" s="87"/>
      <c r="H25" s="87"/>
      <c r="I25" s="87"/>
      <c r="J25" s="7"/>
      <c r="K25" s="88" t="s">
        <v>103</v>
      </c>
      <c r="L25" s="88"/>
      <c r="M25" s="88"/>
      <c r="N25" s="88"/>
      <c r="O25" s="88"/>
      <c r="P25" s="88"/>
      <c r="Q25" s="88"/>
      <c r="R25" s="88"/>
      <c r="S25" s="88"/>
    </row>
    <row r="26" spans="1:19" s="15" customFormat="1" ht="13.8" x14ac:dyDescent="0.25">
      <c r="A26" s="16"/>
      <c r="B26" s="16"/>
      <c r="C26" s="16"/>
      <c r="D26" s="16"/>
      <c r="E26" s="16"/>
      <c r="F26" s="16"/>
      <c r="G26" s="16"/>
      <c r="H26" s="16"/>
      <c r="I26" s="16"/>
      <c r="J26" s="16"/>
    </row>
    <row r="27" spans="1:19" ht="27" customHeight="1" x14ac:dyDescent="0.25">
      <c r="A27" s="83" t="s">
        <v>13</v>
      </c>
      <c r="B27" s="83"/>
      <c r="C27" s="83"/>
      <c r="D27" s="83"/>
      <c r="E27" s="83"/>
      <c r="F27" s="83"/>
      <c r="G27" s="83"/>
      <c r="H27" s="83"/>
      <c r="I27" s="83"/>
      <c r="K27" s="84" t="s">
        <v>19</v>
      </c>
      <c r="L27" s="84"/>
      <c r="M27" s="84"/>
      <c r="N27" s="84"/>
      <c r="O27" s="84"/>
      <c r="P27" s="84"/>
      <c r="Q27" s="84"/>
      <c r="R27" s="84"/>
      <c r="S27" s="84"/>
    </row>
    <row r="28" spans="1:19" ht="27" customHeight="1" x14ac:dyDescent="0.25">
      <c r="A28" s="83"/>
      <c r="B28" s="83"/>
      <c r="C28" s="83"/>
      <c r="D28" s="83"/>
      <c r="E28" s="83"/>
      <c r="F28" s="83"/>
      <c r="G28" s="83"/>
      <c r="H28" s="83"/>
      <c r="I28" s="83"/>
      <c r="K28" s="84"/>
      <c r="L28" s="84"/>
      <c r="M28" s="84"/>
      <c r="N28" s="84"/>
      <c r="O28" s="17"/>
      <c r="P28" s="17"/>
      <c r="Q28" s="17"/>
      <c r="R28" s="17"/>
      <c r="S28" s="17"/>
    </row>
    <row r="29" spans="1:19" ht="27" customHeight="1" x14ac:dyDescent="0.25">
      <c r="A29" s="83"/>
      <c r="B29" s="83"/>
      <c r="C29" s="83"/>
      <c r="D29" s="83"/>
      <c r="E29" s="83"/>
      <c r="F29" s="83"/>
      <c r="G29" s="83"/>
      <c r="H29" s="83"/>
      <c r="I29" s="83"/>
      <c r="K29" s="84"/>
      <c r="L29" s="84"/>
      <c r="M29" s="84"/>
      <c r="N29" s="84"/>
      <c r="O29" s="84"/>
      <c r="P29" s="84"/>
      <c r="Q29" s="84"/>
      <c r="R29" s="84"/>
      <c r="S29" s="84"/>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44530</v>
      </c>
      <c r="D37" s="16"/>
      <c r="E37" s="16"/>
      <c r="F37" s="16"/>
      <c r="G37" s="16"/>
      <c r="H37" s="16"/>
      <c r="I37" s="16"/>
      <c r="J37" s="16"/>
    </row>
  </sheetData>
  <mergeCells count="15">
    <mergeCell ref="A13:S13"/>
    <mergeCell ref="A18:S18"/>
    <mergeCell ref="A19:S19"/>
    <mergeCell ref="A21:I21"/>
    <mergeCell ref="K21:S21"/>
    <mergeCell ref="A28:I28"/>
    <mergeCell ref="K28:N28"/>
    <mergeCell ref="A29:I29"/>
    <mergeCell ref="K29:S29"/>
    <mergeCell ref="A23:I23"/>
    <mergeCell ref="K23:S23"/>
    <mergeCell ref="A25:I25"/>
    <mergeCell ref="K25:S25"/>
    <mergeCell ref="A27:I27"/>
    <mergeCell ref="K27:S27"/>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12" workbookViewId="0">
      <selection activeCell="C27" sqref="C27"/>
    </sheetView>
  </sheetViews>
  <sheetFormatPr defaultColWidth="8" defaultRowHeight="13.2" x14ac:dyDescent="0.25"/>
  <cols>
    <col min="1" max="1" width="61" style="2" bestFit="1" customWidth="1"/>
    <col min="2" max="2" width="86.44140625" style="36" customWidth="1"/>
    <col min="3" max="3" width="25.109375" style="2" bestFit="1" customWidth="1"/>
    <col min="4" max="16384" width="8" style="2"/>
  </cols>
  <sheetData>
    <row r="1" spans="1:3" hidden="1" x14ac:dyDescent="0.25">
      <c r="A1" s="1" t="s">
        <v>5</v>
      </c>
    </row>
    <row r="2" spans="1:3" hidden="1" x14ac:dyDescent="0.25">
      <c r="A2" s="3" t="s">
        <v>20</v>
      </c>
      <c r="B2" s="37" t="s">
        <v>6</v>
      </c>
    </row>
    <row r="3" spans="1:3" hidden="1" x14ac:dyDescent="0.25">
      <c r="A3" s="3" t="s">
        <v>20</v>
      </c>
      <c r="B3" s="37" t="s">
        <v>6</v>
      </c>
    </row>
    <row r="4" spans="1:3" hidden="1" x14ac:dyDescent="0.25">
      <c r="A4" s="3" t="s">
        <v>21</v>
      </c>
      <c r="B4" s="37" t="s">
        <v>7</v>
      </c>
    </row>
    <row r="5" spans="1:3" hidden="1" x14ac:dyDescent="0.25">
      <c r="A5" s="3" t="s">
        <v>22</v>
      </c>
      <c r="B5" s="37" t="s">
        <v>7</v>
      </c>
    </row>
    <row r="6" spans="1:3" x14ac:dyDescent="0.25">
      <c r="A6" s="5"/>
      <c r="B6" s="38"/>
      <c r="C6" s="4"/>
    </row>
    <row r="7" spans="1:3" x14ac:dyDescent="0.25">
      <c r="A7" s="30"/>
      <c r="B7" s="38"/>
      <c r="C7" s="4"/>
    </row>
    <row r="8" spans="1:3" ht="28.2" x14ac:dyDescent="0.25">
      <c r="A8" s="94" t="s">
        <v>1</v>
      </c>
      <c r="B8" s="94"/>
      <c r="C8" s="29" t="s">
        <v>8</v>
      </c>
    </row>
    <row r="9" spans="1:3" x14ac:dyDescent="0.25">
      <c r="A9" s="4"/>
      <c r="B9" s="38"/>
      <c r="C9" s="4"/>
    </row>
    <row r="10" spans="1:3" x14ac:dyDescent="0.25">
      <c r="A10" s="5" t="s">
        <v>9</v>
      </c>
      <c r="B10" s="95" t="s">
        <v>10</v>
      </c>
      <c r="C10" s="95"/>
    </row>
    <row r="11" spans="1:3" x14ac:dyDescent="0.25">
      <c r="A11" s="25" t="s">
        <v>11</v>
      </c>
      <c r="B11" s="21" t="s">
        <v>80</v>
      </c>
      <c r="C11" s="22"/>
    </row>
    <row r="12" spans="1:3" x14ac:dyDescent="0.25">
      <c r="A12" s="30"/>
      <c r="B12" s="38"/>
      <c r="C12" s="4"/>
    </row>
    <row r="13" spans="1:3" x14ac:dyDescent="0.25">
      <c r="A13" s="30"/>
      <c r="B13" s="38"/>
      <c r="C13" s="4"/>
    </row>
    <row r="14" spans="1:3" ht="19.649999999999999" customHeight="1" x14ac:dyDescent="0.25">
      <c r="A14" s="26" t="str">
        <f>CONCATENATE("To be Performed by Tester : ",'Test Cycle 1'!H2)</f>
        <v>To be Performed by Tester :  Jhanvi [CH]</v>
      </c>
      <c r="B14" s="39"/>
      <c r="C14" s="4"/>
    </row>
    <row r="15" spans="1:3" ht="21.9" customHeight="1" x14ac:dyDescent="0.3">
      <c r="A15" s="31" t="s">
        <v>23</v>
      </c>
      <c r="B15" s="96"/>
      <c r="C15" s="97"/>
    </row>
    <row r="16" spans="1:3" ht="39.75" customHeight="1" x14ac:dyDescent="0.25">
      <c r="A16" s="28" t="s">
        <v>24</v>
      </c>
      <c r="B16" s="28" t="s">
        <v>12</v>
      </c>
      <c r="C16" s="23" t="s">
        <v>25</v>
      </c>
    </row>
    <row r="17" spans="1:3" x14ac:dyDescent="0.25">
      <c r="A17" s="24" t="s">
        <v>26</v>
      </c>
      <c r="B17" s="40" t="s">
        <v>104</v>
      </c>
      <c r="C17" s="27" t="s">
        <v>79</v>
      </c>
    </row>
    <row r="18" spans="1:3" x14ac:dyDescent="0.25">
      <c r="A18" s="24" t="s">
        <v>27</v>
      </c>
      <c r="B18" s="40" t="s">
        <v>105</v>
      </c>
      <c r="C18" s="27" t="s">
        <v>79</v>
      </c>
    </row>
    <row r="19" spans="1:3" x14ac:dyDescent="0.25">
      <c r="A19" s="24" t="s">
        <v>28</v>
      </c>
      <c r="B19" s="40"/>
      <c r="C19" s="27" t="s">
        <v>78</v>
      </c>
    </row>
    <row r="20" spans="1:3" x14ac:dyDescent="0.25">
      <c r="A20" s="24" t="s">
        <v>72</v>
      </c>
      <c r="B20" s="41"/>
      <c r="C20" s="27" t="s">
        <v>79</v>
      </c>
    </row>
    <row r="21" spans="1:3" x14ac:dyDescent="0.25">
      <c r="A21" s="24" t="s">
        <v>73</v>
      </c>
      <c r="B21" s="40"/>
      <c r="C21" s="27" t="s">
        <v>78</v>
      </c>
    </row>
    <row r="22" spans="1:3" x14ac:dyDescent="0.25">
      <c r="A22" s="24" t="s">
        <v>75</v>
      </c>
      <c r="B22" s="40"/>
      <c r="C22" s="27" t="s">
        <v>79</v>
      </c>
    </row>
    <row r="23" spans="1:3" x14ac:dyDescent="0.25">
      <c r="A23" s="24" t="s">
        <v>74</v>
      </c>
      <c r="B23" s="44"/>
      <c r="C23" s="27" t="s">
        <v>78</v>
      </c>
    </row>
    <row r="24" spans="1:3" x14ac:dyDescent="0.25">
      <c r="A24" s="24" t="s">
        <v>29</v>
      </c>
      <c r="B24" s="40"/>
      <c r="C24" s="27" t="s">
        <v>78</v>
      </c>
    </row>
    <row r="25" spans="1:3" x14ac:dyDescent="0.25">
      <c r="A25" s="24" t="s">
        <v>30</v>
      </c>
      <c r="B25" s="40"/>
      <c r="C25" s="27" t="s">
        <v>79</v>
      </c>
    </row>
    <row r="26" spans="1:3" x14ac:dyDescent="0.25">
      <c r="A26" s="24" t="s">
        <v>31</v>
      </c>
      <c r="B26" s="27"/>
      <c r="C26" s="27" t="s">
        <v>79</v>
      </c>
    </row>
    <row r="27" spans="1:3" x14ac:dyDescent="0.25">
      <c r="A27" s="24" t="s">
        <v>51</v>
      </c>
      <c r="B27" s="27"/>
      <c r="C27" s="27" t="s">
        <v>79</v>
      </c>
    </row>
    <row r="28" spans="1:3" x14ac:dyDescent="0.25">
      <c r="A28" s="24" t="s">
        <v>76</v>
      </c>
      <c r="B28" s="40"/>
      <c r="C28" s="27" t="s">
        <v>79</v>
      </c>
    </row>
    <row r="29" spans="1:3" x14ac:dyDescent="0.25">
      <c r="A29" s="24" t="s">
        <v>77</v>
      </c>
      <c r="B29" s="40"/>
      <c r="C29" s="27" t="s">
        <v>78</v>
      </c>
    </row>
    <row r="30" spans="1:3" x14ac:dyDescent="0.25">
      <c r="A30" s="33"/>
      <c r="B30" s="42"/>
      <c r="C30" s="34"/>
    </row>
    <row r="31" spans="1:3" x14ac:dyDescent="0.25">
      <c r="A31" s="35"/>
      <c r="B31" s="43"/>
      <c r="C31" s="35"/>
    </row>
    <row r="32" spans="1:3" x14ac:dyDescent="0.25">
      <c r="A32" s="32" t="str">
        <f>CONCATENATE("To be Performed by Reviewer : ",'Test Cycle 1'!H3)</f>
        <v xml:space="preserve">To be Performed by Reviewer : </v>
      </c>
      <c r="B32" s="39"/>
      <c r="C32" s="4"/>
    </row>
    <row r="33" spans="1:3" ht="14.4" x14ac:dyDescent="0.3">
      <c r="A33" s="31" t="s">
        <v>23</v>
      </c>
      <c r="B33" s="96"/>
      <c r="C33" s="97"/>
    </row>
    <row r="34" spans="1:3" ht="26.4" x14ac:dyDescent="0.25">
      <c r="A34" s="28" t="s">
        <v>24</v>
      </c>
      <c r="B34" s="28"/>
      <c r="C34" s="23" t="s">
        <v>25</v>
      </c>
    </row>
    <row r="35" spans="1:3" x14ac:dyDescent="0.25">
      <c r="A35" s="24" t="s">
        <v>32</v>
      </c>
      <c r="B35" s="40"/>
      <c r="C35" s="27" t="s">
        <v>78</v>
      </c>
    </row>
    <row r="36" spans="1:3" x14ac:dyDescent="0.25">
      <c r="A36" s="24" t="s">
        <v>33</v>
      </c>
      <c r="B36" s="40"/>
      <c r="C36" s="27" t="s">
        <v>78</v>
      </c>
    </row>
    <row r="37" spans="1:3" x14ac:dyDescent="0.25">
      <c r="A37" s="24" t="s">
        <v>71</v>
      </c>
      <c r="B37" s="40"/>
      <c r="C37" s="27" t="s">
        <v>78</v>
      </c>
    </row>
    <row r="38" spans="1:3" x14ac:dyDescent="0.25">
      <c r="A38" s="24" t="s">
        <v>34</v>
      </c>
      <c r="B38" s="40"/>
      <c r="C38" s="27" t="s">
        <v>78</v>
      </c>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1"/>
  <sheetViews>
    <sheetView tabSelected="1" topLeftCell="C13" zoomScale="60" zoomScaleNormal="60" workbookViewId="0">
      <selection activeCell="C16" sqref="C16"/>
    </sheetView>
  </sheetViews>
  <sheetFormatPr defaultColWidth="9.109375" defaultRowHeight="15.6" x14ac:dyDescent="0.3"/>
  <cols>
    <col min="1" max="1" width="22.88671875" style="60" customWidth="1"/>
    <col min="2" max="2" width="37.109375" style="60" customWidth="1"/>
    <col min="3" max="3" width="54.33203125" style="60" customWidth="1"/>
    <col min="4" max="4" width="23.44140625" style="60" bestFit="1" customWidth="1"/>
    <col min="5" max="5" width="68.5546875" style="66" customWidth="1"/>
    <col min="6" max="6" width="53.21875" style="60" customWidth="1"/>
    <col min="7" max="7" width="71.109375" style="60" customWidth="1"/>
    <col min="8" max="8" width="52.109375" style="60" customWidth="1"/>
    <col min="9" max="9" width="25" style="60" customWidth="1"/>
    <col min="10" max="10" width="23.44140625" style="60" customWidth="1"/>
    <col min="11" max="11" width="32" style="60" customWidth="1"/>
    <col min="12" max="12" width="30.88671875" style="60" customWidth="1"/>
    <col min="13" max="22" width="9.109375" style="61"/>
    <col min="23" max="23" width="17.109375" style="61" bestFit="1" customWidth="1"/>
    <col min="24" max="24" width="9.109375" style="61"/>
    <col min="25" max="25" width="14.33203125" style="61" bestFit="1" customWidth="1"/>
    <col min="26" max="48" width="9.109375" style="61"/>
    <col min="49" max="49" width="9" style="61" customWidth="1"/>
    <col min="50" max="52" width="9.109375" style="61" hidden="1" customWidth="1"/>
    <col min="53" max="53" width="27.6640625" style="61" customWidth="1"/>
    <col min="54" max="16384" width="9.109375" style="61"/>
  </cols>
  <sheetData>
    <row r="1" spans="1:55" s="60" customFormat="1" ht="24.6" customHeight="1" x14ac:dyDescent="0.3">
      <c r="A1" s="56" t="s">
        <v>42</v>
      </c>
      <c r="B1" s="101" t="s">
        <v>107</v>
      </c>
      <c r="C1" s="101"/>
      <c r="D1" s="101"/>
      <c r="E1" s="57" t="s">
        <v>43</v>
      </c>
      <c r="F1" s="58" t="s">
        <v>109</v>
      </c>
      <c r="G1" s="59"/>
      <c r="H1" s="59"/>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c r="AU1" s="61"/>
      <c r="AV1" s="61"/>
      <c r="AW1" s="61"/>
      <c r="AX1" s="61"/>
      <c r="AY1" s="61"/>
      <c r="AZ1" s="61"/>
      <c r="BA1" s="62" t="s">
        <v>35</v>
      </c>
      <c r="BB1" s="62" t="s">
        <v>35</v>
      </c>
      <c r="BC1" s="60" t="s">
        <v>36</v>
      </c>
    </row>
    <row r="2" spans="1:55" s="60" customFormat="1" ht="19.2" customHeight="1" x14ac:dyDescent="0.3">
      <c r="A2" s="56" t="s">
        <v>44</v>
      </c>
      <c r="B2" s="101" t="s">
        <v>108</v>
      </c>
      <c r="C2" s="101"/>
      <c r="D2" s="101"/>
      <c r="E2" s="57" t="s">
        <v>45</v>
      </c>
      <c r="F2" s="63">
        <v>44519</v>
      </c>
      <c r="G2" s="56" t="s">
        <v>46</v>
      </c>
      <c r="H2" s="58" t="s">
        <v>110</v>
      </c>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c r="AU2" s="61"/>
      <c r="AV2" s="61"/>
      <c r="AW2" s="61"/>
      <c r="AX2" s="61"/>
      <c r="AY2" s="61"/>
      <c r="AZ2" s="61"/>
      <c r="BA2" s="62" t="s">
        <v>37</v>
      </c>
      <c r="BB2" s="62" t="s">
        <v>37</v>
      </c>
      <c r="BC2" s="60" t="s">
        <v>38</v>
      </c>
    </row>
    <row r="3" spans="1:55" s="60" customFormat="1" ht="33" customHeight="1" x14ac:dyDescent="0.3">
      <c r="A3" s="56" t="s">
        <v>47</v>
      </c>
      <c r="B3" s="102"/>
      <c r="C3" s="102"/>
      <c r="D3" s="102"/>
      <c r="E3" s="57" t="s">
        <v>48</v>
      </c>
      <c r="F3" s="64"/>
      <c r="G3" s="56" t="s">
        <v>49</v>
      </c>
      <c r="H3" s="58"/>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2" t="s">
        <v>39</v>
      </c>
      <c r="BB3" s="62" t="s">
        <v>40</v>
      </c>
      <c r="BC3" s="60" t="s">
        <v>15</v>
      </c>
    </row>
    <row r="4" spans="1:55" s="60" customFormat="1" ht="27" customHeight="1" x14ac:dyDescent="0.4">
      <c r="A4" s="56" t="s">
        <v>50</v>
      </c>
      <c r="B4" s="103" t="s">
        <v>100</v>
      </c>
      <c r="C4" s="103"/>
      <c r="D4" s="103"/>
      <c r="E4" s="103"/>
      <c r="F4" s="103"/>
      <c r="G4" s="103"/>
      <c r="H4" s="103"/>
      <c r="M4" s="61"/>
      <c r="N4" s="61"/>
      <c r="O4" s="61"/>
      <c r="P4" s="61"/>
      <c r="Q4" s="61"/>
      <c r="R4" s="61"/>
      <c r="S4" s="61"/>
      <c r="T4" s="61"/>
      <c r="U4" s="61"/>
      <c r="V4" s="61"/>
      <c r="W4" s="61"/>
      <c r="X4" s="61"/>
      <c r="Y4" s="61"/>
      <c r="Z4" s="61"/>
      <c r="AA4" s="61"/>
      <c r="AB4" s="61"/>
      <c r="AC4" s="61"/>
      <c r="AD4" s="61"/>
      <c r="AE4" s="61"/>
      <c r="AF4" s="61"/>
      <c r="AG4" s="61"/>
      <c r="AH4" s="61"/>
      <c r="AI4" s="61"/>
      <c r="AJ4" s="61"/>
      <c r="AK4" s="61"/>
      <c r="AL4" s="61"/>
      <c r="AM4" s="61"/>
      <c r="AN4" s="61"/>
      <c r="AO4" s="61"/>
      <c r="AP4" s="61"/>
      <c r="AQ4" s="61"/>
      <c r="AR4" s="61"/>
      <c r="AS4" s="61"/>
      <c r="AT4" s="61"/>
      <c r="AU4" s="61"/>
      <c r="AV4" s="61"/>
      <c r="AW4" s="61"/>
      <c r="AX4" s="61"/>
      <c r="AY4" s="61"/>
      <c r="AZ4" s="61"/>
      <c r="BA4" s="62" t="s">
        <v>41</v>
      </c>
      <c r="BB4" s="62" t="s">
        <v>15</v>
      </c>
      <c r="BC4" s="60" t="s">
        <v>16</v>
      </c>
    </row>
    <row r="5" spans="1:55" s="71" customFormat="1" ht="25.2" x14ac:dyDescent="0.25">
      <c r="A5" s="98" t="s">
        <v>106</v>
      </c>
      <c r="B5" s="99"/>
      <c r="C5" s="99"/>
      <c r="D5" s="99"/>
      <c r="E5" s="99"/>
      <c r="F5" s="99"/>
      <c r="G5" s="99"/>
      <c r="H5" s="99"/>
      <c r="I5" s="99"/>
      <c r="J5" s="100"/>
      <c r="U5" s="73"/>
    </row>
    <row r="6" spans="1:55" s="71" customFormat="1" x14ac:dyDescent="0.25">
      <c r="A6" s="65" t="s">
        <v>62</v>
      </c>
      <c r="B6" s="65" t="s">
        <v>63</v>
      </c>
      <c r="C6" s="65" t="s">
        <v>64</v>
      </c>
      <c r="D6" s="65" t="s">
        <v>65</v>
      </c>
      <c r="E6" s="65" t="s">
        <v>66</v>
      </c>
      <c r="F6" s="65" t="s">
        <v>67</v>
      </c>
      <c r="G6" s="65" t="s">
        <v>68</v>
      </c>
      <c r="H6" s="65" t="s">
        <v>69</v>
      </c>
      <c r="I6" s="65" t="s">
        <v>60</v>
      </c>
      <c r="J6" s="65" t="s">
        <v>61</v>
      </c>
      <c r="U6" s="73"/>
    </row>
    <row r="7" spans="1:55" s="71" customFormat="1" ht="69" customHeight="1" x14ac:dyDescent="0.25">
      <c r="A7" s="69">
        <v>1</v>
      </c>
      <c r="B7" s="76" t="s">
        <v>84</v>
      </c>
      <c r="C7" s="81" t="s">
        <v>123</v>
      </c>
      <c r="D7" s="76" t="s">
        <v>85</v>
      </c>
      <c r="E7" s="77" t="s">
        <v>130</v>
      </c>
      <c r="F7" s="81" t="s">
        <v>131</v>
      </c>
      <c r="G7" s="77" t="s">
        <v>135</v>
      </c>
      <c r="H7" s="69" t="s">
        <v>132</v>
      </c>
      <c r="I7" s="68"/>
      <c r="J7" s="70"/>
    </row>
    <row r="8" spans="1:55" s="71" customFormat="1" ht="135.75" customHeight="1" x14ac:dyDescent="0.25">
      <c r="A8" s="72">
        <v>2</v>
      </c>
      <c r="B8" s="78" t="s">
        <v>111</v>
      </c>
      <c r="C8" s="79" t="s">
        <v>112</v>
      </c>
      <c r="D8" s="80" t="s">
        <v>86</v>
      </c>
      <c r="E8" s="80" t="s">
        <v>86</v>
      </c>
      <c r="F8" s="80" t="s">
        <v>86</v>
      </c>
      <c r="G8" s="80" t="s">
        <v>86</v>
      </c>
      <c r="H8" s="80" t="s">
        <v>86</v>
      </c>
      <c r="I8" s="68"/>
      <c r="J8" s="70"/>
    </row>
    <row r="9" spans="1:55" s="71" customFormat="1" ht="111.6" customHeight="1" x14ac:dyDescent="0.25">
      <c r="A9" s="68">
        <v>3</v>
      </c>
      <c r="B9" s="80" t="s">
        <v>87</v>
      </c>
      <c r="C9" s="80" t="s">
        <v>124</v>
      </c>
      <c r="D9" s="76" t="s">
        <v>88</v>
      </c>
      <c r="E9" s="80" t="s">
        <v>86</v>
      </c>
      <c r="F9" s="76" t="s">
        <v>89</v>
      </c>
      <c r="G9" s="77" t="s">
        <v>86</v>
      </c>
      <c r="H9" s="69" t="s">
        <v>121</v>
      </c>
      <c r="I9" s="68"/>
      <c r="J9" s="70"/>
      <c r="U9" s="73"/>
    </row>
    <row r="10" spans="1:55" s="71" customFormat="1" ht="41.4" x14ac:dyDescent="0.3">
      <c r="A10" s="69">
        <v>4</v>
      </c>
      <c r="B10" s="78" t="s">
        <v>90</v>
      </c>
      <c r="C10" s="80" t="s">
        <v>86</v>
      </c>
      <c r="D10" s="75" t="s">
        <v>91</v>
      </c>
      <c r="E10" s="77" t="s">
        <v>113</v>
      </c>
      <c r="F10" s="76" t="s">
        <v>92</v>
      </c>
      <c r="G10" s="77" t="s">
        <v>113</v>
      </c>
      <c r="H10" s="76" t="s">
        <v>122</v>
      </c>
      <c r="I10" s="68"/>
      <c r="J10" s="70"/>
    </row>
    <row r="11" spans="1:55" s="71" customFormat="1" x14ac:dyDescent="0.25">
      <c r="A11" s="72">
        <v>5</v>
      </c>
      <c r="B11" s="78" t="s">
        <v>114</v>
      </c>
      <c r="C11" s="76" t="s">
        <v>115</v>
      </c>
      <c r="D11" s="76" t="s">
        <v>88</v>
      </c>
      <c r="E11" s="80" t="s">
        <v>86</v>
      </c>
      <c r="F11" s="76" t="s">
        <v>89</v>
      </c>
      <c r="G11" s="77" t="s">
        <v>86</v>
      </c>
      <c r="H11" s="69" t="s">
        <v>121</v>
      </c>
      <c r="I11" s="68"/>
      <c r="J11" s="70"/>
    </row>
    <row r="12" spans="1:55" s="71" customFormat="1" ht="347.4" customHeight="1" x14ac:dyDescent="0.25">
      <c r="A12" s="68">
        <v>6</v>
      </c>
      <c r="B12" s="78" t="s">
        <v>93</v>
      </c>
      <c r="C12" s="80" t="s">
        <v>86</v>
      </c>
      <c r="D12" s="76" t="s">
        <v>94</v>
      </c>
      <c r="E12" s="77" t="s">
        <v>116</v>
      </c>
      <c r="F12" s="77" t="s">
        <v>133</v>
      </c>
      <c r="G12" s="77" t="s">
        <v>116</v>
      </c>
      <c r="H12" s="77" t="s">
        <v>134</v>
      </c>
      <c r="I12" s="68"/>
      <c r="J12" s="70"/>
    </row>
    <row r="13" spans="1:55" s="71" customFormat="1" ht="347.4" customHeight="1" x14ac:dyDescent="0.25">
      <c r="A13" s="68">
        <v>7</v>
      </c>
      <c r="B13" s="78" t="s">
        <v>117</v>
      </c>
      <c r="C13" s="80" t="s">
        <v>86</v>
      </c>
      <c r="D13" s="76" t="s">
        <v>94</v>
      </c>
      <c r="E13" s="77" t="s">
        <v>118</v>
      </c>
      <c r="F13" s="77" t="s">
        <v>125</v>
      </c>
      <c r="G13" s="77" t="s">
        <v>118</v>
      </c>
      <c r="H13" s="77" t="s">
        <v>126</v>
      </c>
      <c r="I13" s="68"/>
      <c r="J13" s="70"/>
    </row>
    <row r="14" spans="1:55" s="71" customFormat="1" ht="190.8" customHeight="1" x14ac:dyDescent="0.25">
      <c r="A14" s="69">
        <v>8</v>
      </c>
      <c r="B14" s="78" t="s">
        <v>95</v>
      </c>
      <c r="C14" s="80" t="s">
        <v>86</v>
      </c>
      <c r="D14" s="76" t="s">
        <v>94</v>
      </c>
      <c r="E14" s="77" t="s">
        <v>135</v>
      </c>
      <c r="F14" s="77" t="s">
        <v>127</v>
      </c>
      <c r="G14" s="77" t="s">
        <v>135</v>
      </c>
      <c r="H14" s="77" t="s">
        <v>128</v>
      </c>
      <c r="I14" s="68"/>
      <c r="J14" s="70"/>
    </row>
    <row r="15" spans="1:55" s="71" customFormat="1" ht="30" customHeight="1" x14ac:dyDescent="0.25">
      <c r="A15" s="69">
        <v>9</v>
      </c>
      <c r="B15" s="78" t="s">
        <v>96</v>
      </c>
      <c r="C15" s="76" t="s">
        <v>136</v>
      </c>
      <c r="D15" s="76" t="s">
        <v>97</v>
      </c>
      <c r="E15" s="80" t="s">
        <v>86</v>
      </c>
      <c r="F15" s="80"/>
      <c r="G15" s="80" t="s">
        <v>86</v>
      </c>
      <c r="H15" s="82" t="s">
        <v>129</v>
      </c>
      <c r="I15" s="68"/>
      <c r="J15" s="70"/>
    </row>
    <row r="16" spans="1:55" s="71" customFormat="1" ht="30" customHeight="1" x14ac:dyDescent="0.25">
      <c r="A16" s="69">
        <v>10</v>
      </c>
      <c r="B16" s="78" t="s">
        <v>119</v>
      </c>
      <c r="C16" s="76" t="s">
        <v>120</v>
      </c>
      <c r="D16" s="76" t="s">
        <v>88</v>
      </c>
      <c r="E16" s="80" t="s">
        <v>86</v>
      </c>
      <c r="F16" s="76" t="s">
        <v>89</v>
      </c>
      <c r="G16" s="77" t="s">
        <v>86</v>
      </c>
      <c r="H16" s="69" t="s">
        <v>121</v>
      </c>
      <c r="I16" s="68"/>
      <c r="J16" s="70"/>
    </row>
    <row r="17" spans="1:10" s="60" customFormat="1" x14ac:dyDescent="0.3">
      <c r="A17" s="69">
        <v>11</v>
      </c>
      <c r="B17" s="78" t="s">
        <v>98</v>
      </c>
      <c r="C17" s="76" t="s">
        <v>99</v>
      </c>
      <c r="D17" s="76" t="s">
        <v>88</v>
      </c>
      <c r="E17" s="80" t="s">
        <v>86</v>
      </c>
      <c r="F17" s="76" t="s">
        <v>89</v>
      </c>
      <c r="G17" s="77" t="s">
        <v>86</v>
      </c>
      <c r="H17" s="69" t="s">
        <v>121</v>
      </c>
      <c r="I17" s="68"/>
      <c r="J17" s="70"/>
    </row>
    <row r="19" spans="1:10" s="60" customFormat="1" x14ac:dyDescent="0.3">
      <c r="E19" s="66"/>
    </row>
    <row r="20" spans="1:10" s="60" customFormat="1" ht="111.75" customHeight="1" x14ac:dyDescent="0.3">
      <c r="E20" s="66"/>
    </row>
    <row r="21" spans="1:10" s="60" customFormat="1" ht="111.75" customHeight="1" x14ac:dyDescent="0.3">
      <c r="E21" s="66"/>
    </row>
  </sheetData>
  <mergeCells count="5">
    <mergeCell ref="A5:J5"/>
    <mergeCell ref="B1:D1"/>
    <mergeCell ref="B2:D2"/>
    <mergeCell ref="B3:D3"/>
    <mergeCell ref="B4:H4"/>
  </mergeCells>
  <dataValidations count="2">
    <dataValidation type="list" allowBlank="1" showInputMessage="1" showErrorMessage="1" sqref="I7:I17" xr:uid="{00000000-0002-0000-0200-000001000000}">
      <formula1>$BB$1:$BB$4</formula1>
    </dataValidation>
    <dataValidation type="list" allowBlank="1" showInputMessage="1" showErrorMessage="1" sqref="B3:D3" xr:uid="{00000000-0002-0000-0200-000000000000}">
      <formula1>$BA$1:$BA$4</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45" customWidth="1"/>
    <col min="3" max="3" width="24.44140625" customWidth="1"/>
  </cols>
  <sheetData>
    <row r="1" spans="1:2" x14ac:dyDescent="0.25">
      <c r="A1" s="46" t="s">
        <v>58</v>
      </c>
      <c r="B1" s="47" t="s">
        <v>0</v>
      </c>
    </row>
    <row r="2" spans="1:2" outlineLevel="1" x14ac:dyDescent="0.25">
      <c r="A2" s="48" t="s">
        <v>52</v>
      </c>
      <c r="B2" s="53" t="str">
        <f>PPRD</f>
        <v>Feb , 2022</v>
      </c>
    </row>
    <row r="3" spans="1:2" x14ac:dyDescent="0.25">
      <c r="A3" s="48" t="s">
        <v>55</v>
      </c>
      <c r="B3" s="49" t="str">
        <f>CRN</f>
        <v xml:space="preserve">CHG213427 </v>
      </c>
    </row>
    <row r="4" spans="1:2" x14ac:dyDescent="0.25">
      <c r="A4" s="48" t="s">
        <v>56</v>
      </c>
      <c r="B4" s="49" t="str">
        <f>MA</f>
        <v>CT</v>
      </c>
    </row>
    <row r="5" spans="1:2" x14ac:dyDescent="0.25">
      <c r="A5" s="48" t="s">
        <v>57</v>
      </c>
      <c r="B5" s="49" t="str">
        <f>Area</f>
        <v>Data</v>
      </c>
    </row>
    <row r="6" spans="1:2" x14ac:dyDescent="0.25">
      <c r="A6" s="48" t="s">
        <v>43</v>
      </c>
      <c r="B6" s="49" t="str">
        <f>Entity</f>
        <v>S_DOC_AGREE</v>
      </c>
    </row>
    <row r="7" spans="1:2" x14ac:dyDescent="0.25">
      <c r="A7" s="48" t="s">
        <v>53</v>
      </c>
      <c r="B7" s="50">
        <f>DTested</f>
        <v>44519</v>
      </c>
    </row>
    <row r="8" spans="1:2" x14ac:dyDescent="0.25">
      <c r="A8" s="48" t="s">
        <v>54</v>
      </c>
      <c r="B8" s="51">
        <f>DReviewed</f>
        <v>0</v>
      </c>
    </row>
    <row r="9" spans="1:2" x14ac:dyDescent="0.25">
      <c r="A9" s="48" t="s">
        <v>46</v>
      </c>
      <c r="B9" s="49" t="str">
        <f>TestedBy</f>
        <v xml:space="preserve"> Jhanvi [CH]</v>
      </c>
    </row>
    <row r="10" spans="1:2" x14ac:dyDescent="0.25">
      <c r="A10" s="48" t="s">
        <v>49</v>
      </c>
      <c r="B10" s="49">
        <f>ReviewedBy</f>
        <v>0</v>
      </c>
    </row>
    <row r="12" spans="1:2" x14ac:dyDescent="0.25">
      <c r="A12" s="48" t="s">
        <v>59</v>
      </c>
      <c r="B12" s="52"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E9FE2-BBF0-4CFD-A4EF-A68E7E8E5BF3}">
  <dimension ref="A1:A73"/>
  <sheetViews>
    <sheetView topLeftCell="A49" workbookViewId="0">
      <selection activeCell="Q65" sqref="Q65"/>
    </sheetView>
  </sheetViews>
  <sheetFormatPr defaultRowHeight="13.2" x14ac:dyDescent="0.25"/>
  <cols>
    <col min="1" max="1" width="12.5546875" bestFit="1" customWidth="1"/>
  </cols>
  <sheetData>
    <row r="1" spans="1:1" x14ac:dyDescent="0.25">
      <c r="A1" s="74" t="s">
        <v>81</v>
      </c>
    </row>
    <row r="39" spans="1:1" x14ac:dyDescent="0.25">
      <c r="A39" s="74" t="s">
        <v>82</v>
      </c>
    </row>
    <row r="51" spans="1:1" x14ac:dyDescent="0.25">
      <c r="A51" s="74" t="s">
        <v>83</v>
      </c>
    </row>
    <row r="73" spans="1:1" x14ac:dyDescent="0.25">
      <c r="A73" s="74" t="s">
        <v>129</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2"/>
  <sheetViews>
    <sheetView workbookViewId="0"/>
  </sheetViews>
  <sheetFormatPr defaultColWidth="9.109375" defaultRowHeight="13.2" x14ac:dyDescent="0.25"/>
  <cols>
    <col min="1" max="1" width="44" style="55" bestFit="1" customWidth="1"/>
    <col min="2" max="16384" width="9.109375" style="55"/>
  </cols>
  <sheetData>
    <row r="1" spans="1:1" x14ac:dyDescent="0.25">
      <c r="A1" s="67"/>
    </row>
    <row r="4" spans="1:1" x14ac:dyDescent="0.25">
      <c r="A4" s="54"/>
    </row>
    <row r="14" spans="1:1" x14ac:dyDescent="0.25">
      <c r="A14" s="54"/>
    </row>
    <row r="30" spans="1:1" x14ac:dyDescent="0.25">
      <c r="A30" s="54"/>
    </row>
    <row r="34" spans="1:1" x14ac:dyDescent="0.25">
      <c r="A34" s="54"/>
    </row>
    <row r="51" spans="1:1" x14ac:dyDescent="0.25">
      <c r="A51" s="67"/>
    </row>
    <row r="54" spans="1:1" x14ac:dyDescent="0.25">
      <c r="A54" s="54"/>
    </row>
    <row r="57" spans="1:1" x14ac:dyDescent="0.25">
      <c r="A57" s="54"/>
    </row>
    <row r="66" spans="1:1" x14ac:dyDescent="0.25">
      <c r="A66" s="54"/>
    </row>
    <row r="72" spans="1:1" x14ac:dyDescent="0.25">
      <c r="A72" s="54"/>
    </row>
    <row r="85" spans="1:1" x14ac:dyDescent="0.25">
      <c r="A85" s="54"/>
    </row>
    <row r="107" spans="1:1" x14ac:dyDescent="0.25">
      <c r="A107" s="54"/>
    </row>
    <row r="148" spans="1:1" x14ac:dyDescent="0.25">
      <c r="A148" s="54"/>
    </row>
    <row r="187" spans="1:1" x14ac:dyDescent="0.25">
      <c r="A187" s="54"/>
    </row>
    <row r="222" spans="1:1" x14ac:dyDescent="0.25">
      <c r="A222" s="54"/>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Cover</vt:lpstr>
      <vt:lpstr>Version Control</vt:lpstr>
      <vt:lpstr>Test Cycle 1</vt:lpstr>
      <vt:lpstr>AppConfig</vt:lpstr>
      <vt:lpstr>Screenshots</vt:lpstr>
      <vt:lpstr>Reviewer 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Jeetun, J.</cp:lastModifiedBy>
  <cp:lastPrinted>2013-10-17T06:50:38Z</cp:lastPrinted>
  <dcterms:created xsi:type="dcterms:W3CDTF">2006-03-30T08:28:02Z</dcterms:created>
  <dcterms:modified xsi:type="dcterms:W3CDTF">2021-11-30T04:33:23Z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