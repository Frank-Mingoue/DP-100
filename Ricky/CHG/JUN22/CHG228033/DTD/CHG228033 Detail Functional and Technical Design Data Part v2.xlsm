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94D4E6F1-E9B0-4033-948A-C25A2C0FC2A6}" xr6:coauthVersionLast="47" xr6:coauthVersionMax="47" xr10:uidLastSave="{00000000-0000-0000-0000-000000000000}"/>
  <bookViews>
    <workbookView xWindow="24" yWindow="120" windowWidth="23016" windowHeight="12216" tabRatio="893" firstSheet="1" activeTab="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7" i="12" l="1"/>
  <c r="G26" i="12"/>
  <c r="D13" i="3"/>
  <c r="B56" i="16" l="1"/>
  <c r="C25" i="12" l="1"/>
  <c r="B22" i="3"/>
  <c r="B41" i="8"/>
  <c r="B38" i="7" l="1"/>
  <c r="B8" i="21"/>
  <c r="B3" i="21"/>
  <c r="B9" i="21"/>
  <c r="B10" i="21"/>
  <c r="C17" i="21"/>
  <c r="C24" i="12" l="1"/>
  <c r="D8" i="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<sst xmlns="http://schemas.openxmlformats.org/spreadsheetml/2006/main" count="1650" uniqueCount="452">
  <si>
    <t>Trade Marketing Excellence Programme</t>
  </si>
  <si>
    <t>DATA</t>
  </si>
  <si>
    <t>Technical Design Mapping, Workflow &amp; Stored Procedure</t>
  </si>
  <si>
    <t>CHG/INC:</t>
  </si>
  <si>
    <t>CHG228033</t>
  </si>
  <si>
    <t xml:space="preserve">        Title:</t>
  </si>
  <si>
    <t xml:space="preserve"> TMEC: RI – Contract Enhancements V1</t>
  </si>
  <si>
    <t>Planned Prod Release Date:</t>
  </si>
  <si>
    <t>JUN,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</si>
  <si>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</si>
  <si>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</si>
  <si>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</si>
  <si>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</si>
  <si>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</si>
  <si>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</si>
  <si>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</si>
  <si>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</si>
  <si>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</si>
  <si>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</si>
  <si>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</si>
  <si>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</si>
  <si>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</si>
  <si>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</si>
  <si>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</si>
  <si>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</si>
  <si>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Mingoué</t>
  </si>
  <si>
    <t>Frank</t>
  </si>
  <si>
    <t>Developer</t>
  </si>
  <si>
    <t>Created based on CHG228033</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</si>
  <si>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</si>
  <si>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</si>
  <si>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</si>
  <si>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</si>
  <si>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</si>
  <si>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</si>
  <si>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</si>
  <si>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</si>
  <si>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</si>
  <si>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</si>
  <si>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</si>
  <si>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</si>
  <si>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</si>
  <si>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</si>
  <si>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</si>
  <si>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</si>
  <si>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</si>
  <si>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</si>
  <si>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</si>
  <si>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</si>
  <si>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</si>
  <si>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</si>
  <si>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</si>
  <si>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</si>
  <si>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</si>
  <si>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</si>
  <si>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</si>
  <si>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</si>
  <si>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 HLFD Interface Contract New In OLTP Version 7.0</t>
  </si>
  <si>
    <t>TME Phase 2 - HLFD Interface Contract Items Version 14.0</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</si>
  <si>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</si>
  <si>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</si>
  <si>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</si>
  <si>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</si>
  <si>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</si>
  <si>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</si>
  <si>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</si>
  <si>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</si>
  <si>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</si>
  <si>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</si>
  <si>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</si>
  <si>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</si>
  <si>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</si>
  <si>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</si>
  <si>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</si>
  <si>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</si>
  <si>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</si>
  <si>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</si>
  <si>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</si>
  <si>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</si>
  <si>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</si>
  <si>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</si>
  <si>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</si>
  <si>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</si>
  <si>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</si>
  <si>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</si>
  <si>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</si>
  <si>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</si>
  <si>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</si>
  <si>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</si>
  <si>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</si>
  <si>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</si>
  <si>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</si>
  <si>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</si>
  <si>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</si>
  <si>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</si>
  <si>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</si>
  <si>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</si>
  <si>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</si>
  <si>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</si>
  <si>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</si>
  <si>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</si>
  <si>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</si>
  <si>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</si>
  <si>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</si>
  <si>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</si>
  <si>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</si>
  <si>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</si>
  <si>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</si>
  <si>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</si>
  <si>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</si>
  <si>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</si>
  <si>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</si>
  <si>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</si>
  <si>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</si>
  <si>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</si>
  <si>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</si>
  <si>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</si>
  <si>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</si>
  <si>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</si>
  <si>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</si>
  <si>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</si>
  <si>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</si>
  <si>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</si>
  <si>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</si>
  <si>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</si>
  <si>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</si>
  <si>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</si>
  <si>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</si>
  <si>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</si>
  <si>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</si>
  <si>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</si>
  <si>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</si>
  <si>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</si>
  <si>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</si>
  <si>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</si>
  <si>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</si>
  <si>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</si>
  <si>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</si>
  <si>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</si>
  <si>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</si>
  <si>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</si>
  <si>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</si>
  <si>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</si>
  <si>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</si>
  <si>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</si>
  <si>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</si>
  <si>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</si>
  <si>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</si>
  <si>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</si>
  <si>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</si>
  <si>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</si>
  <si>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</si>
  <si>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</si>
  <si>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</si>
  <si>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</si>
  <si>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</si>
  <si>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</si>
  <si>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</si>
  <si>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</si>
  <si>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</si>
  <si>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</si>
  <si>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</si>
  <si>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</si>
  <si>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</si>
  <si>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</si>
  <si>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</si>
  <si>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</si>
  <si>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</si>
  <si>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</si>
  <si>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</si>
  <si>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</si>
  <si>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PRE_CONTRACTITEMS_GENERIC</t>
  </si>
  <si>
    <t>Informatica Definition</t>
  </si>
  <si>
    <t>Add new fields</t>
  </si>
  <si>
    <t>Vardecimal compression should be applied for OLAP</t>
  </si>
  <si>
    <t>PRE_EIM_AGREE_ITEM</t>
  </si>
  <si>
    <t>OLTP</t>
  </si>
  <si>
    <t>EIM_AGREE_ITEM</t>
  </si>
  <si>
    <t>When populating WC_FF_ENTITY_DETAILS, populate COUNTRY with value from WC_FF_COUNTRY_LANG_ID</t>
  </si>
  <si>
    <t>PRE_CONTRACT_NEW_TXT_GENERIC</t>
  </si>
  <si>
    <t>PRE_EIM_AGREEMENT_NEW</t>
  </si>
  <si>
    <t>Columns</t>
  </si>
  <si>
    <t>Column Name</t>
  </si>
  <si>
    <t>Data Type</t>
  </si>
  <si>
    <t>Default column value</t>
  </si>
  <si>
    <t>NSTRING(500)</t>
  </si>
  <si>
    <t>NUMERIC(22,7)</t>
  </si>
  <si>
    <t>NVARCHAR(30)</t>
  </si>
  <si>
    <t>Index</t>
  </si>
  <si>
    <t>Index Name</t>
  </si>
  <si>
    <t>Type of Index</t>
  </si>
  <si>
    <t>Columns on which index need to be applied</t>
  </si>
  <si>
    <t>Included</t>
  </si>
  <si>
    <t>CCSI Impact(MSSQL Only)</t>
  </si>
  <si>
    <t>Impacted Merge table</t>
  </si>
  <si>
    <t>Mandays</t>
  </si>
  <si>
    <t>IFB &amp; PHP</t>
  </si>
  <si>
    <t>PHP/Java</t>
  </si>
  <si>
    <t>File Name</t>
  </si>
  <si>
    <t>WC_FF_ENTITY_DATA</t>
  </si>
  <si>
    <t>Add entitties CHv6 &amp; CIv14</t>
  </si>
  <si>
    <t>WC_FF_ENTITY_DETAILS</t>
  </si>
  <si>
    <t>WC_FF_ENTITY_PARAM</t>
  </si>
  <si>
    <t>IFBs</t>
  </si>
  <si>
    <t>Ifb Name</t>
  </si>
  <si>
    <t>IFA_XXX_CH_Contract.ifb</t>
  </si>
  <si>
    <t>Modify to add new columns</t>
  </si>
  <si>
    <t>IFA_XXX_CI_Contract_Items.ifb</t>
  </si>
  <si>
    <t>Parameter Files</t>
  </si>
  <si>
    <t>Configuration File (*.ini)</t>
  </si>
  <si>
    <t>Bat Files</t>
  </si>
  <si>
    <t xml:space="preserve">Mapping </t>
  </si>
  <si>
    <t>Folder Name</t>
  </si>
  <si>
    <t>Mapping Name</t>
  </si>
  <si>
    <t>EIM_INTERFACE</t>
  </si>
  <si>
    <t>FDE_INT_CONTRACT_NEW_PRE_GENERIC</t>
  </si>
  <si>
    <t>New columns</t>
  </si>
  <si>
    <t>FDE_INT_CONTRACT_NEW</t>
  </si>
  <si>
    <t>FDE_INT_CONTRACT_NEW_V2</t>
  </si>
  <si>
    <t>FDE_INT_CONTRACT_ITEMS_PRE_GENERIC</t>
  </si>
  <si>
    <t>FDE_INT_CONTRACT_ITEMS_NEW</t>
  </si>
  <si>
    <t>FDE_INT_CONTRACT_ITEMS_NEW_V2</t>
  </si>
  <si>
    <t>EC4U</t>
  </si>
  <si>
    <t>Shortcut_to_FDE_INT_CONTRACT_NEW_PRE_GENERIC</t>
  </si>
  <si>
    <t>Impacted</t>
  </si>
  <si>
    <t>Shortcut_to_FDE_INT_CONTRACT_ITEMS_NEW</t>
  </si>
  <si>
    <t>Shortcut_to_FDE_INT_CONTRACT_NEW_V2</t>
  </si>
  <si>
    <t>Shortcut_to_FDE_INT_CONTRACT_ITEMS_PRE_GENERIC</t>
  </si>
  <si>
    <t>Shortcut_to_FDE_INT_CONTRACT_ITEMS_NEW_V2</t>
  </si>
  <si>
    <t>FDE_INT_PAYMENT_EXPORT_V5_KZ</t>
  </si>
  <si>
    <t>Shortcut_to_FDE_INT_PAYMENT_EXPORT_V5_KZ</t>
  </si>
  <si>
    <t>FDE_INT_PAYMENT_EFT_EXPORT_V7</t>
  </si>
  <si>
    <t>Mapping Details</t>
  </si>
  <si>
    <t>Source Table</t>
  </si>
  <si>
    <t>Source Column</t>
  </si>
  <si>
    <t>Datatype</t>
  </si>
  <si>
    <t>Target Table</t>
  </si>
  <si>
    <t>Instance Name</t>
  </si>
  <si>
    <t>Target Column</t>
  </si>
  <si>
    <t>Functional
Summary</t>
  </si>
  <si>
    <t>Transformations</t>
  </si>
  <si>
    <t>EIM_AGREEMENT</t>
  </si>
  <si>
    <t>CX_AGR_PL_ITEM</t>
  </si>
  <si>
    <t>X_PAID_TYPE_CD</t>
  </si>
  <si>
    <t>PAYMENT_EXPORT_V5_TXT</t>
  </si>
  <si>
    <t xml:space="preserve">Unmap and remove field </t>
  </si>
  <si>
    <t>S_SRC_PAYMENT</t>
  </si>
  <si>
    <t>PAY_STAT_CD</t>
  </si>
  <si>
    <t>map field</t>
  </si>
  <si>
    <t>X_PAY_PERC_NUM</t>
  </si>
  <si>
    <t>X_EXP_PAY_DT</t>
  </si>
  <si>
    <t>DATETIME</t>
  </si>
  <si>
    <t>X_OBSERVATION_DT</t>
  </si>
  <si>
    <t>ACTL_PAY_DT</t>
  </si>
  <si>
    <t>map field to target</t>
  </si>
  <si>
    <t>X_ACT_AMT</t>
  </si>
  <si>
    <t>PAY_AMT</t>
  </si>
  <si>
    <t>Session , worklet &amp; workflow</t>
  </si>
  <si>
    <t>Workflow</t>
  </si>
  <si>
    <t>Worflow Name</t>
  </si>
  <si>
    <t>RUN_EIM_PROCESS_GENERIC</t>
  </si>
  <si>
    <t>To Validate</t>
  </si>
  <si>
    <t>RUN_EIM_PROCESS_JAVA</t>
  </si>
  <si>
    <t>JTI_DWH_ETLComplete_Incremental</t>
  </si>
  <si>
    <t>Worklet</t>
  </si>
  <si>
    <t>Worklet Name</t>
  </si>
  <si>
    <t>wrk_Contract_CH_Interface_Generic</t>
  </si>
  <si>
    <t>wrk_ContractItems_Interface_Generic</t>
  </si>
  <si>
    <t>wrk_ContractIncentives_Interface</t>
  </si>
  <si>
    <t>Load_EIM.wrk_Contract_CH_Interface_Generic</t>
  </si>
  <si>
    <t>Load_EIM.wrk_ContractItems_Interface_Generic</t>
  </si>
  <si>
    <t>Load_EIM.wrk_ContractIncentives_Interface</t>
  </si>
  <si>
    <t>JTI_DWH_ETLComplete_Incremental
JTI_OLTP_EIM</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</si>
  <si>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</si>
  <si>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</si>
  <si>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</si>
  <si>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</si>
  <si>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</si>
  <si>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</si>
  <si>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</si>
  <si>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</si>
  <si>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</si>
  <si>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</si>
  <si>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</si>
  <si>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</si>
  <si>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</si>
  <si>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</si>
  <si>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</si>
  <si>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</si>
  <si>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</si>
  <si>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</si>
  <si>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</si>
  <si>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</si>
  <si>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</si>
  <si>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</si>
  <si>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</si>
  <si>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s_FDE_INT_CONTRACT_NEW_PRE_GENERIC</t>
  </si>
  <si>
    <t>s_FDE_INT_CONTRACT_NEW</t>
  </si>
  <si>
    <t>s_FDE_INT_CONTRACT_NEW_V2</t>
  </si>
  <si>
    <t>s_FDE_INT_CONTRACT_ITEMS_PRE_GENERIC</t>
  </si>
  <si>
    <t>s_FDE_INT_CONTRACT_ITEM</t>
  </si>
  <si>
    <t>s_FDE_INT_CONTRACT_ITEM_V2</t>
  </si>
  <si>
    <t>Shortcut_to_FDE_INT_CONTRACT_NEW</t>
  </si>
  <si>
    <t>Pre_Insert</t>
  </si>
  <si>
    <t>DummyMap</t>
  </si>
  <si>
    <t>NA</t>
  </si>
  <si>
    <t>- Validate</t>
  </si>
  <si>
    <t>Rename_KZ</t>
  </si>
  <si>
    <t>Shortcut_to_DummyMap</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</si>
  <si>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</si>
  <si>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</si>
  <si>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</si>
  <si>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</si>
  <si>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</si>
  <si>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</si>
  <si>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</si>
  <si>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</si>
  <si>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</si>
  <si>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</si>
  <si>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</si>
  <si>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</si>
  <si>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</si>
  <si>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</si>
  <si>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</si>
  <si>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</si>
  <si>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</si>
  <si>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</si>
  <si>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</si>
  <si>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</si>
  <si>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</si>
  <si>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</si>
  <si>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</si>
  <si>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</si>
  <si>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</si>
  <si>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Length Check</t>
  </si>
  <si>
    <t>Length &amp; Numeric Check</t>
  </si>
  <si>
    <t>Tranfer field</t>
  </si>
  <si>
    <t>PAYMENT_ETF_V7</t>
  </si>
  <si>
    <t>PAYMENT_ETF_TAB_V7</t>
  </si>
  <si>
    <t>X_TMEC_CREATED_DT</t>
  </si>
  <si>
    <t>X_TMEC_CREATED_BY_ID</t>
  </si>
  <si>
    <t>JTI MOBILE _CREATED_DATE</t>
  </si>
  <si>
    <t>JTI MOBILE _CREATED _BY</t>
  </si>
  <si>
    <t>X_PAY_AMOUNT_NUM</t>
  </si>
  <si>
    <t>TME Phase 2 - HLFD Interface Payment - Outbound Version 5.0</t>
  </si>
  <si>
    <t>TME Phase 2 - HLFD Interface Payment Electronic Fund - Outbound Version 7.0</t>
  </si>
  <si>
    <t>s_FDE_INT_PAYMENT_EXPORT_V5_KZ</t>
  </si>
  <si>
    <t>$PMSourceFileDir\Scripts\renamefile.bat "$$STAGINGPATH\\KZPM0501.TXT" "$$INTERFACESPATH\\Kazakhstan\\OUNP" "KZ" "PM" "04" "01" "10"</t>
  </si>
  <si>
    <t>INSERT INTO WC_ETL_FILES_G SELECT ETL_PROC_WID,'KZPM0501.TXT',0,0,GETDATE(),GETDATE(),NULL FROM W_PARAM_G</t>
  </si>
  <si>
    <t>To Modify</t>
  </si>
  <si>
    <t>Foreign Key Check</t>
  </si>
  <si>
    <t>NVARCHAR(100)</t>
  </si>
  <si>
    <t>Modify HLFD to cater for final coolumns and types</t>
  </si>
  <si>
    <t>Testing Effort</t>
  </si>
  <si>
    <t>CH</t>
  </si>
  <si>
    <t>CI</t>
  </si>
  <si>
    <t>PM</t>
  </si>
  <si>
    <t>Seeburn</t>
  </si>
  <si>
    <t>Vikram</t>
  </si>
  <si>
    <t>Reviewer</t>
  </si>
  <si>
    <t>Reviewed</t>
  </si>
  <si>
    <t>2/30/2022</t>
  </si>
  <si>
    <t>X_LEGAL_ENTITY_NAME</t>
  </si>
  <si>
    <t>Create a shortcut of FDE_INT_PAYMENT_EXPORT_V5_KZ</t>
  </si>
  <si>
    <t>RUN_OUTBOUND_PM_KZ_V5</t>
  </si>
  <si>
    <t>RUN_OUTBOUND_PM_KZ_V4</t>
  </si>
  <si>
    <t xml:space="preserve">Rename RUN_OUTBOUND_PM_KZ to RUN_OUTBOUND_PM_KZ_V4 </t>
  </si>
  <si>
    <t>To create</t>
  </si>
  <si>
    <t>wrk_Payment_Outbound_KZ_V5</t>
  </si>
  <si>
    <t xml:space="preserve">wrk_Payment_Outbound_KZ_V5 </t>
  </si>
  <si>
    <t xml:space="preserve">wrk_Payment_Outbound_KZ_V4 </t>
  </si>
  <si>
    <t>rename wrk_Payment_Outbound_KZ to wrk_Payment_Outbound_KZ_V5</t>
  </si>
  <si>
    <t>1.Copy  wrk_Payment_Outbound_KZ_V4 and rename to wrk_Payment_Outbound_KZ_V5
2.Modify</t>
  </si>
  <si>
    <t xml:space="preserve">Load_EIM -&gt; wrk_Payment_Outbound_KZ_V5 </t>
  </si>
  <si>
    <t>RUN_OUTBOUND_PE_BE_V7</t>
  </si>
  <si>
    <t>RUN_OUTBOUND_PE_CA_V7</t>
  </si>
  <si>
    <t>RUN_OUTBOUND_PE_UK_V7</t>
  </si>
  <si>
    <t>wrk_Payment_Electronic_FundTransfer_Outbound_BE_V7</t>
  </si>
  <si>
    <t>wrk_Payment_Electronic_FundTransfer_Outbound_CA_V7</t>
  </si>
  <si>
    <t>wrk_Payment_Electronic_FundTransfer_Outbound_UK_V7</t>
  </si>
  <si>
    <t>1.Copy  wwrk_Payment_Electronic_FundTransfer_Outbound_BE and rename to wwrk_Payment_Electronic_FundTransfer_Outbound_BE_V7
2.Modify</t>
  </si>
  <si>
    <t>1.Copy  wwrk_Payment_Electronic_FundTransfer_Outbound_CA and rename to wwrk_Payment_Electronic_FundTransfer_Outbound_CA_V7
2.Modify</t>
  </si>
  <si>
    <t>1.Copy  wwrk_Payment_Electronic_FundTransfer_Outbound_UK and rename to wwrk_Payment_Electronic_FundTransfer_Outbound_UK_V7
2.Modify</t>
  </si>
  <si>
    <t xml:space="preserve">Copy FDE_INT_PAYMENT_EFT_EXPORT_V6 and rename it to FDE_INT_PAYMENT_EFT_EXPORT_V7 &amp; add new columns
</t>
  </si>
  <si>
    <t>1.Copy  wrk_Payment_Outbound_KZ_V4 and rename to wrk_Payment_Outbound_KZ_V5
2.Modify
3.Disable the worklet</t>
  </si>
  <si>
    <t xml:space="preserve">New Session </t>
  </si>
  <si>
    <t>update sql statement change file version from 01  to 06</t>
  </si>
  <si>
    <t>Y</t>
  </si>
  <si>
    <t xml:space="preserve">N </t>
  </si>
  <si>
    <t>$PMSourceFileDir\Parameters\OutboundInterfaces_MarketBusinessRules.txt</t>
  </si>
  <si>
    <t>Restart</t>
  </si>
  <si>
    <t>$$SQL_CA_OVR1
$$SQL_CA_JOIN1
$$BUSINESSRULE</t>
  </si>
  <si>
    <t>Rename_flatfile_CA</t>
  </si>
  <si>
    <t>Rename_flatfile_CA_Collection</t>
  </si>
  <si>
    <t>Post_Update</t>
  </si>
  <si>
    <t xml:space="preserve">Load_EIM -&gt; wrk_Payment_Outbound_KZ_V5  </t>
  </si>
  <si>
    <t>INSERT INTO WC_ETL_FILES_G SELECT ETL_PROC_WID,'CAPE0702.txt',0,0,GETDATE(),GETDATE(),NULL FROM W_PARAM_G;
INSERT INTO WC_ETL_FILES_G SELECT ETL_PROC_WID,'CAPE0703.txt',0,0,GETDATE(),GETDATE(),NULL FROM W_PARAM_G;</t>
  </si>
  <si>
    <t>s_FDE_INT_PAYMENT_EFT_EXPORT_PRE</t>
  </si>
  <si>
    <t>FDE_INT_PAYMENT_EFT_EXPORT_PRE</t>
  </si>
  <si>
    <t>s_Delete_EIM_PAYMENT</t>
  </si>
  <si>
    <t>DUMMY_BATCH</t>
  </si>
  <si>
    <t>DELETE FROM EIM_PAYMENT WHERE IF_ROW_BATCH_NUM BETWEEN 989113000 AND 989113999
DELETE FROM EIM_PAYMENT WHERE IF_ROW_BATCH_NUM BETWEEN 989213000 AND 989213999</t>
  </si>
  <si>
    <t>s_Check_JTI_STOP_PE_INTERFACE</t>
  </si>
  <si>
    <t>s_FDE_INT_PAYMENT_EFT_EXPORT_V7_CA</t>
  </si>
  <si>
    <t>SELECT TOP 1 1
FROM S_LST_OF_VAL VAL (NOLOCK)
INNER JOIN S_ORG_EXT ORG_BU (NOLOCK) ON ORG_BU.ROW_ID = VAL.BU_ID
WHERE TYPE ='JTI_STOP_PE_INTERFACE'
AND VAL ='TRUE'
AND VAL.ACTIVE_FLG ='Y'
AND ORG_BU.LOC ='CA'</t>
  </si>
  <si>
    <t xml:space="preserve">Create new session and configure  
&gt; Set $Source and $Target
&gt; All source and targets should be : $Source
&gt; Output file Directory  and Reject file Directory 
&gt; Pre-session variable assignment
&gt; Post-session on success variable assignment
----------------------------------------------
---PAYMENT_ETF_V7
Output Filename : CAPE0702.txt
Reject Filename : CAPE0702.bad
----------------------------------------------
---PAYMENT_ETF_TAB_V7
Output Filename : CAPE0703.txt
Reject Filename : CAPE0703.bad
</t>
  </si>
  <si>
    <t xml:space="preserve">Create new session and configure  
&gt; Set $Source and $Target
&gt; All source and targets should be : $Source
&gt; Output file Directory  and Reject file Directory 
&gt; Pre-session variable assignment
&gt; Post-session on success variable assignment
----------------------------------------------
---PAYMENT_ETF_V7
Output Filename : CAPE0701.txt
Reject Filename : CAPE0701.bad
----------------------------------------------
---PAYMENT_ETF_TAB_V7
Output Filename : CAPE0702.txt
Reject Filename : CAPE0702.bad
</t>
  </si>
  <si>
    <t>$PMSourceFileDir\Scripts\renamefile.bat "$$STAGINGPATH\\CAPE0702.txt" "$$INTERFACESPATH\\Canada\\OUNP\\Payment\\OUNP" "$$COUNTRY_CODE" "$$ENTITY" "$$VERSION" "$$SYSTEM_ID" "$$GROUP_NUMBER"</t>
  </si>
  <si>
    <t>$PMSourceFileDir\Scripts\renamefile.bat "$$STAGINGPATH\\CAPE0703.txt" "$$INTERFACESPATH\\Canada\\OUNP\\Payment\\OUNP" "$$COUNTRY_CODE" "$$ENTITY" "$$VERSION" "$$SYSTEM_ID" "$$GROUP_NUMBER"</t>
  </si>
  <si>
    <t>SELECT TOP 1 1
FROM S_LST_OF_VAL VAL (NOLOCK)
INNER JOIN S_ORG_EXT ORG_BU (NOLOCK) ON ORG_BU.ROW_ID = VAL.BU_ID
WHERE TYPE ='JTI_STOP_PE_COLLECTION'
AND VAL ='TRUE'
AND VAL.ACTIVE_FLG ='Y'
AND ORG_BU.LOC ='CA'</t>
  </si>
  <si>
    <t>EIM_PROCESS_CA_PE</t>
  </si>
  <si>
    <t>$PMSourceFileDir\Scripts\run-EIM-process_perf.bat "IFA_ENC_PE_PaymentEFTOutbound.ifb" "ENU"</t>
  </si>
  <si>
    <t>s_TMECAEncoderACH</t>
  </si>
  <si>
    <t xml:space="preserve">1. $PMSourceFileDir\Export\Script\Call_TMECAEncoderACH.bat
2.$PMSourceFileDir\Export\Script\Remove_PE_XML.bat CAPE01_List.txt Canada
</t>
  </si>
  <si>
    <t>DELETE FROM WC_ETL_FILES_G WHERE FILENAME='CAPE0702.txt';
DELETE FROM WC_ETL_FILES_G WHERE FILENAME='CAPE0703.txt';
UPDATE WC_ETL_FILES_G SET LOAD_END_TIME=GETDATE() WHERE LOAD_END_TIME IS NULL AND FILENAME LIKE 'CAPE07%';</t>
  </si>
  <si>
    <t>s_FDE_INT_PAYMENT_COLLECTION_EXPORT_V7_CA</t>
  </si>
  <si>
    <t>INSERT INTO WC_ETL_FILES_G SELECT ETL_PROC_WID,'UKPE0702.txt',0,0,GETDATE(),GETDATE(),NULL FROM W_PARAM_G</t>
  </si>
  <si>
    <t>s_FDE_INT_PAYMENT_EFT_EXPORT_V7_UK</t>
  </si>
  <si>
    <t xml:space="preserve">Create new session and configure </t>
  </si>
  <si>
    <t>DELETE FROM EIM_PAYMENT WHERE IF_ROW_BATCH_NUM BETWEEN 989125000 AND 989125999
DELETE FROM EIM_PAYMENT WHERE IF_ROW_BATCH_NUM BETWEEN 989225000 AND 989225999</t>
  </si>
  <si>
    <t>SELECT DISTINCT
CHEQUE.X_PAYMENT_REQ_NUM_EFT,
CHEQUE.PAYMENT_NUM,
PAY.PAY_AMT,
PAY.ROW_ID,
PAY.REASON_CD,
ISNULL(ORG_CHEQUE.NAME,ISNULL(ORG.NAME,AGREE_ACNT.NAME)) AS NAME,
PAY.PAY_STAT_CD,
PAY.X_EXPORT_STATUS_CD,
PAY.X_APPROVAL_STATUS_CD,
CHEQUE.X_EXPORT_STATUS_CD,
BUD.NAME,
CHEQUE.PAYMENT_REQ_NUM,
CHEQUE.PAY_TYPE_CD,
CHEQUE.PAY_STAT_CD,
CHEQUE_CON.LAST_NAME,
CHEQUE_CON.FST_NAME,
CHEQUE.X_PAYMENT_DEL_METHOD_CD,
CHEQUE.X_PAY_ADDR_TEXT,
S_ADDR_PER.ADDR,
S_ADDR_PER.ADDR_LINE_2, -- added as per defect 689
S_ADDR_PER.ADDR_LINE_4, -- added as per defect 689
S_ADDR_PER.ZIPCODE, -- added as per defect 689
S_ADDR_PER.X_STATE, -- added as per defect 689
S_ADDR_PER.COUNTRY, -- added as per defect 689
S_ADDR_PER.CITY, -- added as per defect 689
S_ADDR_PER.ADDR_TYPE_CD, -- added as per defect 689
CHEQUE.X_PAY_FAX_PH_TEXT,
APPRV.LOGIN AS APPROVER,
SEC_APPRV.LOGIN AS SEC_APPROVER,
PAY.X_APPROVAL_DT,
APPRV_BY.LOGIN AS APPROVER_BY,
PAY.X_BANK_PAYMENT_NUMBER_TEXT,
PAY.X_BANK_PAYMENT_DATE_DT,
PAY.X_BANK_PAYMENT_STATUS_TEXT,
S_DOC_AGREE.AGREE_NUM,
S_DOC_AGREE.NAME,
S_CONTACT.PERSON_UID,
S_PTY_PAY_PRFL.X_GIFT_CARD_NUM,
CXBK.X_BANK_NAME_TEXT,
CXBK.X_BANK_NUMBER_TEXT,
AC_C.X_TRANSIT_NUM,
AC_C.X_LAST_NAME_BA_TEXT,
AC_C.X_FIRST_NAME_BA_TEXT,
ISNULL(CHEQUE.ACCNT_ID,ISNULL (PAY.ACCNT_ID,S_DOC_AGREE.TARGET_OU_ID)) AS ACCNT_ID,
S_BU.NAME AS COUNTRY_NAME,
S_ORG_EXT.LOC AS COUNTRY_CODE,
PAY.PAYMENT_REQ_NUM,
PAY.TYPE_CD,
CHEQUE.TYPE_CD,
CHEQUE.ROW_ID,
CHEQUE_CON.FST_NAME, -- added as per defect 689
CHEQUE_CON.LAST_NAME, -- added as per defect 689
CHEQUE_CON.PER_TITLE, -- added as per defect 689
CHEQUE_CON.CON_CD, -- added as per defect 689
CHEQUE_CON.X_LANGUAGE_CD, -- CHEQUE_LANG.NAME removed as per CHG062324
CHEQUE.X_SIGNATURE_DT, -- added as per defect 689
CHEQUE_SIGN.FST_NAME, -- added as per defect 689
CHEQUE_SIGN.LAST_NAME, -- added as per defect 689
CHEQUE_SIGN.PER_TITLE, -- added as per defect 689
CHEQUE_SIGN.CON_CD, -- added as per defect 689
CHEQUE_SIGN.X_LANGUAGE_CD,  -- CHEQUE_SIGN_LANG.NAME removed as per CHG062324
CHEQUE.ACTL_PAY_DT, -- added as per defect 689
S_USER.LOGIN, -- added as per defect 689
CHEQUE_CREATED.FST_NAME, -- added as per defect 689
CHEQUE_CREATED.LAST_NAME, -- added as per defect 689
-------------CHG062329-------------
CHEQUE.X_VAT_REGN_NUM,
BL_ADR.ADDR,
BL_ADR.ADDR_LINE_2,
BL_ADR.ADDR_LINE_4,
BL_ADR.ZIPCODE,
BL_ADR.CITY,
BL_ADR.X_STATE,
BL_ADR.COUNTRY,
-------------CHG069435-------------
AC_ADDR.ADDR,
AC_ADDR.ADDR_LINE_2,
AC_ADDR.ZIPCODE,
AC_ADDR.CITY,
INV_CONTACT.FST_NAME,
INV_CONTACT.LAST_NAME,
INV_CONTACT.X_LANGUAGE_CD,
INV_CONTACT.PER_TITLE,
CHEQUE.X_PAY_DEL_STAT_CD, --added as per CHG078383
ORG_CHEQUE.ALIAS_NAME, --added as per CHG078383
PAY.X_CONTRACT_PAY_METHOD_CD--added as per CHG099099
FROM S_SRC_PAYMENT PAY (NOLOCK)
INNER JOIN S_BU (NOLOCK) ON S_BU.ROW_ID = PAY.X_BU_ID
INNER JOIN S_ORG_EXT (NOLOCK) ON S_BU.ROW_ID = S_ORG_EXT.ROW_ID
LEFT OUTER JOIN S_SRC_PAYMENT CHEQUE (NOLOCK) ON PAY.PAR_PAYMENT_ID= CHEQUE.ROW_ID
LEFT OUTER JOIN S_ORG_EXT ORG_CHEQUE (NOLOCK) ON ORG_CHEQUE.ROW_ID = CHEQUE.ACCNT_ID
LEFT OUTER JOIN S_ORG_EXT ORG (NOLOCK) ON ORG.ROW_ID = PAY.ACCNT_ID
LEFT OUTER JOIN S_MDF BUD (NOLOCK) ON BUD.ROW_ID = PAY.X_AGREE_BUDGET_ID
LEFT OUTER JOIN S_USER APPRV (NOLOCK) ON APPRV.ROW_ID = PAY.X_APPROVER_ID
LEFT OUTER JOIN S_USER SEC_APPRV (NOLOCK) ON SEC_APPRV.ROW_ID = PAY.X_SECONDARY_APPROVER_ID
LEFT OUTER JOIN S_USER APPRV_BY (NOLOCK) ON APPRV_BY.ROW_ID = PAY.X_APPROVED_BY_ID
LEFT OUTER JOIN S_PTY_PAY_PRFL PAY_PRFL (NOLOCK) ON PAY_PRFL.BANK_ACCT_ID = PAY.ACCNT_ID
LEFT OUTER JOIN S_ADDR_PER (NOLOCK) ON CHEQUE.BANK_ADDR_ID = S_ADDR_PER.ROW_ID
LEFT OUTER JOIN S_CONTACT CHEQUE_CON (NOLOCK) ON CHEQUE.CON_ID = CHEQUE_CON.ROW_ID
LEFT OUTER JOIN S_CONTACT (NOLOCK) ON PAY.CON_ID = S_CONTACT.ROW_ID
LEFT OUTER JOIN S_PTY_PAY_PRFL (NOLOCK) ON S_CONTACT.PR_PER_PAY_PRFL_ID = S_PTY_PAY_PRFL.ROW_ID
LEFT OUTER JOIN S_DOC_AGREE (NOLOCK) ON PAY.CONTRACT_ID = S_DOC_AGREE.ROW_ID
LEFT OUTER JOIN S_ORG_EXT AGREE_ACNT (NOLOCK) ON S_DOC_AGREE.TARGET_OU_ID = AGREE_ACNT.ROW_ID
LEFT OUTER JOIN S_ORG_EXT_X AC_C (NOLOCK) ON CHEQUE.ACCNT_ID = AC_C.PAR_ROW_ID
LEFT OUTER JOIN S_ORG_EXT_X AC_P (NOLOCK) ON PAY.ACCNT_ID = ORG.PAR_ROW_ID
--LEFT OUTER JOIN S_LANG CHEQUE_LANG ON CHEQUE_CON.PREF_LANG_ID = CHEQUE_LANG.LANG_CD --commented as per CHG062324
LEFT OUTER JOIN S_CONTACT CHEQUE_SIGN (NOLOCK) ON CHEQUE.X_SIGNED_BY_ID = CHEQUE_SIGN.ROW_ID
--LEFT OUTER JOIN S_LANG CHEQUE_SIGN_LANG ON CHEQUE_SIGN.PREF_LANG_ID = CHEQUE_SIGN_LANG.LANG_CD --commented as per CHG062324
LEFT OUTER JOIN S_CONTACT CHEQUE_CREATED (NOLOCK) ON CHEQUE.CREATED_BY = CHEQUE_CREATED.ROW_ID
LEFT OUTER JOIN S_USER S_USER (NOLOCK) ON CHEQUE.CREATED_BY = S_USER.ROW_ID
LEFT OUTER JOIN S_ADDR_PER BL_ADR (NOLOCK) ON CHEQUE.ADDR_ORG_ID = BL_ADR.ROW_ID --CHG062329
LEFT OUTER JOIN CX_BANK_ADMIN CXBK (NOLOCK) ON CXBK.ROW_ID=AC_C.X_BANK_ID --Defect498
LEFT OUTER JOIN S_ADDR_PER AC_ADDR (NOLOCK)ON AC_ADDR.ROW_ID = ORG_CHEQUE.PR_ADDR_ID --CHG069435
LEFT OUTER JOIN S_CONTACT INV_CONTACT (NOLOCK) ON CHEQUE.X_INVOICE_CON_ID = INV_CONTACT.ROW_ID --CHG069435
$$BUSINESSRULE</t>
  </si>
  <si>
    <t>EIM_PROCESS_UK_PE</t>
  </si>
  <si>
    <t>$PMSourceFileDir\Scripts\run-EIM-process_perf.bat "IFA_ENG_PE_PaymentEFTOutbound.ifb" "ENU"</t>
  </si>
  <si>
    <t>Rename_flatfile_UK</t>
  </si>
  <si>
    <t>$PMSourceFileDir\Scripts\renamefile.bat "$$STAGINGPATH\\UKPE0702.txt" "$$INTERFACESPATH\\United_Kingdom\\OUNP" "$$COUNTRY_CODE" "$$ENTITY" "$$VERSION" "$$SYSTEM_ID" "$$GROUP_NUMBER"</t>
  </si>
  <si>
    <t>UPDATE WC_ETL_FILES_G SET LOAD_END_TIME=GETDATE() WHERE LOAD_END_TIME IS NULL AND FILENAME LIKE 'UKPE07%'</t>
  </si>
  <si>
    <t>s_FDE_INT_PAYMENT_EFT_EXPORT_V7_BE</t>
  </si>
  <si>
    <t>INSERT INTO WC_ETL_FILES_G SELECT ETL_PROC_WID,'BEPE0702.txt',0,0,GETDATE(),GETDATE(),NULL FROM W_PARAM_G</t>
  </si>
  <si>
    <t>UPDATE WC_ETL_FILES_G SET LOAD_END_TIME=GETDATE() WHERE LOAD_END_TIME IS NULL AND FILENAME LIKE 'BEPE07%'</t>
  </si>
  <si>
    <t>$PMSourceFileDir\Scripts\renamefile.bat "$$STAGINGPATH\\BEPE0702.txt" "$$INTERFACESPATH\\United_Kingdom\\OUNP" "$$COUNTRY_CODE" "$$ENTITY" "$$VERSION" "$$SYSTEM_ID" "$$GROUP_NUMBER"</t>
  </si>
  <si>
    <t>PM EC4U+EIM_INTERFACE</t>
  </si>
  <si>
    <t>PE (BE, CA and UK)</t>
  </si>
  <si>
    <t>X_TARGET_NUM</t>
  </si>
  <si>
    <t>X_PLAN_AMT_NUM</t>
  </si>
  <si>
    <t>Modify the SQ_S_SRC_PAYMENT to:
   SELECT DISTINCT
CHEQUE.X_PAYMENT_REQ_NUM_EFT,
CHEQUE.PAYMENT_NUM,
PAY.PAY_AMT,
PAY.ROW_ID,
PAY.REASON_CD,
ISNULL(ORG_CHEQUE.NAME,ISNULL(ORG.NAME,AGREE_ACNT.NAME)) AS NAME,
PAY.PAY_STAT_CD,
PAY.X_EXPORT_STATUS_CD,
PAY.X_APPROVAL_STATUS_CD,
CHEQUE.X_EXPORT_STATUS_CD,
BUD.NAME,
CHEQUE.PAYMENT_REQ_NUM,
CHEQUE.PAY_TYPE_CD,
CHEQUE.PAY_STAT_CD,
CHEQUE_CON.LAST_NAME,
CHEQUE_CON.FST_NAME,
CHEQUE.X_PAYMENT_DEL_METHOD_CD,
CHEQUE.X_PAY_ADDR_TEXT,
S_ADDR_PER.ADDR,
S_ADDR_PER.ADDR_LINE_2, -- added as per defect 689
S_ADDR_PER.ADDR_LINE_4, -- added as per defect 689
S_ADDR_PER.ZIPCODE, -- added as per defect 689
S_ADDR_PER.X_STATE, -- added as per defect 689
S_ADDR_PER.COUNTRY, -- added as per defect 689
S_ADDR_PER.CITY, -- added as per defect 689
S_ADDR_PER.ADDR_TYPE_CD, -- added as per defect 689
CHEQUE.X_PAY_FAX_PH_TEXT,
APPRV.LOGIN AS APPROVER,
SEC_APPRV.LOGIN AS SEC_APPROVER,
PAY.X_APPROVAL_DT,
APPRV_BY.LOGIN AS APPROVER_BY,
PAY.X_BANK_PAYMENT_NUMBER_TEXT,
PAY.X_BANK_PAYMENT_DATE_DT,
PAY.X_BANK_PAYMENT_STATUS_TEXT,
S_DOC_AGREE.AGREE_NUM,
S_DOC_AGREE.NAME,
S_CONTACT.PERSON_UID,
S_PTY_PAY_PRFL.X_GIFT_CARD_NUM,
CXBK.X_BANK_NAME_TEXT,
CXBK.X_BANK_NUMBER_TEXT,
AC_C.X_TRANSIT_NUM,
AC_C.X_LAST_NAME_BA_TEXT,
AC_C.X_FIRST_NAME_BA_TEXT,
ISNULL(CHEQUE.ACCNT_ID,ISNULL (PAY.ACCNT_ID,S_DOC_AGREE.TARGET_OU_ID)) AS ACCNT_ID,
S_BU.NAME AS COUNTRY_NAME,
S_ORG_EXT.LOC AS COUNTRY_CODE,
PAY.PAYMENT_REQ_NUM,
PAY.TYPE_CD,
CHEQUE.TYPE_CD,
CHEQUE.ROW_ID,
CHEQUE_CON.FST_NAME, -- added as per defect 689
CHEQUE_CON.LAST_NAME, -- added as per defect 689
CHEQUE_CON.PER_TITLE, -- added as per defect 689
CHEQUE_CON.CON_CD, -- added as per defect 689
CHEQUE_CON.X_LANGUAGE_CD, -- CHEQUE_LANG.NAME removed as per CHG062324
CHEQUE.X_SIGNATURE_DT, -- added as per defect 689
CHEQUE_SIGN.FST_NAME, -- added as per defect 689
CHEQUE_SIGN.LAST_NAME, -- added as per defect 689
CHEQUE_SIGN.PER_TITLE, -- added as per defect 689
CHEQUE_SIGN.CON_CD, -- added as per defect 689
CHEQUE_SIGN.X_LANGUAGE_CD,  -- CHEQUE_SIGN_LANG.NAME removed as per CHG062324
CHEQUE.ACTL_PAY_DT, -- added as per defect 689
S_USER.LOGIN, -- added as per defect 689
CHEQUE_CREATED.FST_NAME, -- added as per defect 689
CHEQUE_CREATED.LAST_NAME, -- added as per defect 689
-------------CHG062329-------------
CHEQUE.X_VAT_REGN_NUM,
BL_ADR.ADDR,
BL_ADR.ADDR_LINE_2,
BL_ADR.ADDR_LINE_4,
BL_ADR.ZIPCODE,
BL_ADR.CITY,
BL_ADR.X_STATE,
BL_ADR.COUNTRY,
-------------CHG069435-------------
AC_ADDR.ADDR,
AC_ADDR.ADDR_LINE_2,
AC_ADDR.ZIPCODE,
AC_ADDR.CITY,
INV_CONTACT.FST_NAME,
INV_CONTACT.LAST_NAME,
INV_CONTACT.X_LANGUAGE_CD,
INV_CONTACT.PER_TITLE,
CHEQUE.X_PAY_DEL_STAT_CD, --added as per CHG078383
ORG_CHEQUE.ALIAS_NAME, --added as per CHG078383
PAY.X_CONTRACT_PAY_METHOD_CD,--added as per CHG099099
---CHG131815---
 S_ORDER.ORDER_NUM,
 S_ORDER.X_SUB_TYPE,
 ---CHG228033---
 PAY.X_TMEC_CREATED_DT AS MOBILE_CREATED_DATE,
 MOB_CREATED_BY.LOGIN AS MOBILE_CREATED_BY
FROM S_SRC_PAYMENT PAY (NOLOCK)
INNER JOIN S_BU (NOLOCK) ON S_BU.ROW_ID = PAY.X_BU_ID
INNER JOIN S_ORG_EXT (NOLOCK) ON S_BU.ROW_ID = S_ORG_EXT.ROW_ID
LEFT OUTER JOIN S_SRC_PAYMENT CHEQUE (NOLOCK) ON PAY.PAR_PAYMENT_ID= CHEQUE.ROW_ID
LEFT OUTER JOIN S_ORG_EXT ORG_CHEQUE (NOLOCK) ON ORG_CHEQUE.ROW_ID = CHEQUE.ACCNT_ID
LEFT OUTER JOIN S_ORG_EXT ORG (NOLOCK) ON ORG.ROW_ID = PAY.ACCNT_ID
LEFT OUTER JOIN S_MDF BUD (NOLOCK) ON BUD.ROW_ID = PAY.X_AGREE_BUDGET_ID
LEFT OUTER JOIN S_USER APPRV (NOLOCK) ON APPRV.ROW_ID = PAY.X_APPROVER_ID
LEFT OUTER JOIN S_USER SEC_APPRV (NOLOCK) ON SEC_APPRV.ROW_ID = PAY.X_SECONDARY_APPROVER_ID
LEFT OUTER JOIN S_USER APPRV_BY (NOLOCK) ON APPRV_BY.ROW_ID = PAY.X_APPROVED_BY_ID
LEFT OUTER JOIN S_PTY_PAY_PRFL PAY_PRFL (NOLOCK) ON PAY_PRFL.BANK_ACCT_ID = PAY.ACCNT_ID
LEFT OUTER JOIN S_ADDR_PER (NOLOCK) ON CHEQUE.BANK_ADDR_ID = S_ADDR_PER.ROW_ID
LEFT OUTER JOIN S_CONTACT CHEQUE_CON (NOLOCK) ON CHEQUE.CON_ID = CHEQUE_CON.ROW_ID
LEFT OUTER JOIN S_CONTACT (NOLOCK) ON PAY.CON_ID = S_CONTACT.ROW_ID
LEFT OUTER JOIN S_PTY_PAY_PRFL (NOLOCK) ON S_CONTACT.PR_PER_PAY_PRFL_ID = S_PTY_PAY_PRFL.ROW_ID
LEFT OUTER JOIN S_DOC_AGREE (NOLOCK) ON PAY.CONTRACT_ID = S_DOC_AGREE.ROW_ID
LEFT OUTER JOIN S_ORG_EXT AGREE_ACNT (NOLOCK) ON S_DOC_AGREE.TARGET_OU_ID = AGREE_ACNT.ROW_ID
LEFT OUTER JOIN S_ORG_EXT_X AC_C (NOLOCK) ON CHEQUE.ACCNT_ID = AC_C.PAR_ROW_ID
LEFT OUTER JOIN S_ORG_EXT_X AC_P (NOLOCK) ON PAY.ACCNT_ID = ORG.PAR_ROW_ID
--LEFT OUTER JOIN S_LANG CHEQUE_LANG ON CHEQUE_CON.PREF_LANG_ID = CHEQUE_LANG.LANG_CD --commented as per CHG062324
LEFT OUTER JOIN S_CONTACT CHEQUE_SIGN (NOLOCK) ON CHEQUE.X_SIGNED_BY_ID = CHEQUE_SIGN.ROW_ID
--LEFT OUTER JOIN S_LANG CHEQUE_SIGN_LANG ON CHEQUE_SIGN.PREF_LANG_ID = CHEQUE_SIGN_LANG.LANG_CD --commented as per CHG062324
LEFT OUTER JOIN S_CONTACT CHEQUE_CREATED (NOLOCK) ON CHEQUE.CREATED_BY = CHEQUE_CREATED.ROW_ID
LEFT OUTER JOIN S_USER S_USER (NOLOCK) ON CHEQUE.CREATED_BY = S_USER.ROW_ID
LEFT OUTER JOIN S_ADDR_PER BL_ADR (NOLOCK) ON CHEQUE.ADDR_ORG_ID = BL_ADR.ROW_ID --CHG062329
LEFT OUTER JOIN CX_BANK_ADMIN CXBK (NOLOCK) ON CXBK.ROW_ID=AC_C.X_BANK_ID --Defect498
LEFT OUTER JOIN S_ADDR_PER AC_ADDR (NOLOCK)ON AC_ADDR.ROW_ID = ORG_CHEQUE.PR_ADDR_ID --CHG069435
LEFT OUTER JOIN S_CONTACT INV_CONTACT (NOLOCK) ON CHEQUE.X_INVOICE_CON_ID = INV_CONTACT.ROW_ID --CHG069435
LEFT OUTER JOIN S_USER MOB_CREATED_BY (NOLOCK) ON MOB_CREATED_BY.ROW_ID = PAY.X_TMEC_CREATED_BY_ID
$$BUSINESSRULE</t>
  </si>
  <si>
    <t>Modify the SQ_PRE_EIM_AGREEMENT_NEW to: 
SELECT
ITM_LN_NUM	,
ITM_AGREE_REVNUM	,
PRE_EIM_AGREE_ITEM.ITM_DISCNT_AMT,
ITM_LN_NUM2	,
ITM_QTY_REQ	,
ITM_UNIT_PRI	,
ROOT_AGRITMLN_NUM2	,
ROOT_AGRITMREV_NUM	,
ROOT_AGRITM_LN_NUM	,
ITM_AGREE_ACC_BU	,
ITM_AGREE_ACC_NAME	,
ITM_AGREE_BU	,
ITM_AGREE_NAME	,
ITM_INTEGRATION_ID	,
ITM_PROD_BU	,
ROOT_AGRITMACCNAME	,
ROOT_AGRITM_ACC_BU	,
ROOT_AGRITM_BU	,
ROOT_AGRITM_NAME	,
IT_XMERCHINVLOC_BU	,
IT_XMERCHINVLOCNAM	,
PRE_EIM_AGREE_ITEM.ITM_TYPE_BU,
PRE_EIM_AGREE_ITEM.ITM_TYPE_CODE,
PRE_EIM_AGREE_ITEM.ITM_SUB_TYPE_BU,
PRE_EIM_AGREE_ITEM.ITM_SUB_TYPE_CODE,
PRE_EIM_AGREE_ITEM.ITM_BRAND_BU,
PRE_EIM_AGREE_ITEM.ITM_BRAND_CODE,
PRE_EIM_AGREE_ITEM.X_DESC_TEXT,
E_LINE_NUMBER	,
E_FILE_NAME	,
E_FILE_DATE	,
LANG_ID	,
E_EXTRACTION_DATA	,
DUPLICATE_FLG	,
ASSET_NUM, 
EXCLUDE_COMPLIANCE,
SHELF_NUM,
TYPE,
X_DISTR_CONT_FLG,
ITM_EFF_START_DT,
ITM_EFF_END_DT,
NB_OF_POINTS,
X_MIN_ORDER,
X_MAX_ORDER,
AGREE_ITM_CURCY_CD,
AGREE_ITM_EXCH_DT,
X_RATE_UNIT_PRICE_NUM,
X_BONUS_A_NUM,
X_BONUS_B_NUM,
X_ROTATION_START_DT,
X_ROTATION_END_DT,
X_SIS_CONTRACT_FLG,
X_READONLY_FLG,
X_BENEFIT_TYPE_CD,
X_CONTRACTITEMLN_NUM,
X_CONTRACTITEMLN_NUM2,
X_TARGET_NUM
FROM PRE_EIM_AGREE_ITEM
WHERE SUBSTRING(E_FILE_NAME,5,2) &gt;='06'</t>
  </si>
  <si>
    <t>Modify the SQ_S_DOC_AGREE to: 
SELECT 
AGREE_NUM, 
TMPL.NAME, 
ACC.NAME  AS ACCOUNT_NAME, 
ITM.X_PAYMENT_SEQ_NUM,--X_PAYMENT_SEQ_NUM, --CHG228033
SSP.PAY_STAT_CD,--X_PAID_TYPE_CD, --CHG228033
--X_PAY_PERC_NUM, --CHG228033
--X_EXP_PAY_DT, --CHG228033
SSP.ACTL_PAY_DT, -- X_OBSERVATION_DT, --CHG228033
SSP.PAY_AMT, --X_ACT_AMT, --CHG228033
LAST_NAME, 
FST_NAME, 
CASE WHEN D.CON_PER_ID IS NULL	THEN 'N' ELSE 'Y' END AS PR_CONTACT_FLG, --ACC.PR_CON_ID changed as per CHG229045 
X_GIFT_CARD_NUM, --'Dummy',
C.X_ATTRIB_3,
D.NAME    AGR_NAME, 
/*B.NAME    TARGET_ACCNT_BU, 
ACC.LOC   TARGET_ACCNT_LOC, 
ACC.NAME  TARGET_ACCNT_NAME, 
D.REV_NUM AGR_REV_NUM, 
B1.NAME   AGR_BU, 
ITM.TYPE  TYPE, 
ITM.NAME,
ITM.ROW_ID,*/ --CHG228033
CON_X.ATTRIB_38, --C.X_ATTRIB_2 changed as per INC2226195 
--ITM.X_PAY_AMOUNT_NUM, --CHG090663 --removed as per CHG228033
ISNULL(SSP.X_PLAN_AMT_NUM, ITM.X_PAY_AMOUNT_NUM) X_PLAN_AMT_NUM, --CHG228033
--CHG161158
C.CELL_PH_NUM,
C.X_ATTRIB_14_CD,
CON_X.ATTRIB_37,
SSP.ROW_ID,----CHG228033
SSP.PAYMENT_REQ_NUM, ----CHG228033
SSP.TYPE_CD ----CHG228033
FROM  S_DOC_AGREE D 
LEFT OUTER JOIN S_ORG_EXT ACC ON D.TARGET_OU_ID = ACC.PAR_ROW_ID 
LEFT OUTER JOIN S_PAYMENT_PLAN TMPL ON D.X_PAYMENT_PLAN_TEMP_ID = TMPL.ROW_ID 
--LEFT OUTER JOIN CX_AGR_PL_ITEM ITM ON ITM.PAR_ROW_ID = D.ROW_ID --removed as per CHG228033
LEFT OUTER JOIN S_SRC_PAYMENT SSP ON SSP.CONTRACT_ID = D.ROW_ID --CHG228033
LEFT OUTER JOIN CX_AGR_PL_ITEM ITM ON ITM.ROW_ID = SSP.X_PAY_PLAN_ID --CHG228033
--LEFT OUTER JOIN S_CONTACT C ON ACC.PR_CON_ID = C.ROW_ID 
LEFT OUTER JOIN S_CONTACT C ON D.CON_PER_ID = C.ROW_ID --CHG229045
LEFT OUTER JOIN S_CONTACT_X CON_X ON C.ROW_ID = CON_X.ROW_ID --INC2226195
LEFT OUTER JOIN S_BU B ON B.ROW_ID = ACC.BU_ID
LEFT OUTER JOIN S_BU B1 ON B1.ROW_ID=D.BU_ID
--LEFT OUTER JOIN S_PER_PAY_PRFL PPP ON PPP.ROW_ID = C.PR_PER_PAY_PRFL_ID
LEFT OUTER JOIN S_PTY_PAY_PRFL PRFL   ON PRFL.ROW_ID = C.PR_PER_PAY_PRFL_ID
WHERE SSP.PAY_STAT_CD = 'To be Paid' --ITM.X_PAID_TYPE_CD='To be Paid' --CHG228033
AND B.NAME ='Kazakhstan, KZ'</t>
  </si>
  <si>
    <t>AGR_X_LEGAL_LE_BI</t>
  </si>
  <si>
    <t>AGR_XLEGALLELEGALN</t>
  </si>
  <si>
    <t>IFA_KZA_PM_PaymentOutbound_v5.ifb</t>
  </si>
  <si>
    <t>Create to update S_SRC_PAYMENT.PAY_STAT_CD</t>
  </si>
  <si>
    <t xml:space="preserve">1.Copy and Rename FDE_INT_PAYMENT_EXPORT_V4_KZ to FDE_INT_PAYMENT_EXPORT_V5_KZ &amp; add new columns
2. Replace Columns: X_PAID_TYPE_CD, X_OBSERVATION_DT, X_ACT_AMT, X_PAY_AMOUNT_NUM by columns PAY_STAT_CD, ACTL_PAY_DT, PAY_AMT, X_PLAN_AMT_NUM
3.Remove Columns :  X_PAY_PERC_NUM, X_EXP_PAY_DT
4. Remove the following CX_AGR_PL_ITEM  columns from the SQ_S_DOC_AGREE :
B.NAME    TARGET_ACCNT_BU, 
ACC.LOC   TARGET_ACCNT_LOC, 
ACC.NAME  TARGET_ACCNT_NAME, 
D.REV_NUM AGR_REV_NUM, 
B1.NAME   AGR_BU, 
ITM.TYPE  TYPE, 
ITM.NAME,
ITM.ROW_ID
5.. remove the EIM_AGREEMENT target and add the EIM_PAYMENT TARGET
6.Add the following S_SRC_PAYMENTS rows and map to EIM_PAYMENT target :
ROW_ID
PAYMENT_REQ_NUM
TYPE_CD 
</t>
  </si>
  <si>
    <t>JTI_MOBILE_CREATED_DT</t>
  </si>
  <si>
    <t>JTI_MOBILE_CREATED_BY</t>
  </si>
  <si>
    <t>RUN_OUTBOUND_PE_BE</t>
  </si>
  <si>
    <t>RUN_OUTBOUND_PE_CA</t>
  </si>
  <si>
    <t>RUN_OUTBOUND_PE_UK</t>
  </si>
  <si>
    <t>To rename to RUN_OUTBOUND_PE_BE_V4</t>
  </si>
  <si>
    <t>To rename to RUN_OUTBOUND_PE_CA_V6</t>
  </si>
  <si>
    <t>To rename to RUN_OUTBOUND_PE_UK_V5</t>
  </si>
  <si>
    <t>EIM_Process_KZ</t>
  </si>
  <si>
    <t>$PMSourceFileDir\Scripts\run-EIM-process_perf.bat "IFA_KZA_PM_PaymentOutbound_v5.ifb" "ENU"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</si>
</sst>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6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3" tint="0.39997558519241921"/>
      <name val="Book Antiqua"/>
      <family val="1"/>
    </font>
    <font>
      <sz val="10"/>
      <color theme="1"/>
      <name val="Arial"/>
      <family val="2"/>
    </font>
    <font>
      <sz val="10"/>
      <color theme="4"/>
      <name val="Arial"/>
      <family val="2"/>
    </font>
    <font>
      <sz val="10"/>
      <name val="Tahoma"/>
      <family val="2"/>
    </font>
    <font>
      <sz val="11"/>
      <color rgb="FF444444"/>
      <name val="Calibri"/>
      <family val="2"/>
      <charset val="1"/>
    </font>
    <font>
      <sz val="8"/>
      <name val="Arial"/>
      <family val="2"/>
    </font>
    <font>
      <b/>
      <sz val="8"/>
      <name val="Tahoma"/>
      <family val="2"/>
    </font>
    <font>
      <sz val="8"/>
      <color theme="4"/>
      <name val="Arial"/>
      <family val="2"/>
    </font>
    <font>
      <sz val="8"/>
      <name val="Arial"/>
      <family val="2"/>
      <charset val="1"/>
    </font>
    <font>
      <sz val="8"/>
      <color rgb="FF444444"/>
      <name val="Calibri"/>
      <family val="2"/>
      <charset val="1"/>
    </font>
    <font>
      <sz val="8"/>
      <color rgb="FF000000"/>
      <name val="Arial"/>
      <family val="2"/>
      <charset val="1"/>
    </font>
    <font>
      <sz val="8"/>
      <color rgb="FF4472C4"/>
      <name val="Arial"/>
      <family val="2"/>
    </font>
    <font>
      <sz val="8"/>
      <color rgb="FF4472C4"/>
      <name val="Arial"/>
      <family val="2"/>
    </font>
    <font>
      <sz val="8"/>
      <color rgb="FF000000"/>
      <name val="Arial"/>
      <family val="2"/>
    </font>
    <font>
      <sz val="8"/>
      <name val="Arial"/>
      <family val="2"/>
    </font>
    <font>
      <sz val="10"/>
      <color rgb="FF4F81BD"/>
      <name val="Calibri"/>
      <family val="2"/>
    </font>
    <font>
      <sz val="8"/>
      <name val="Tahoma"/>
      <family val="2"/>
    </font>
    <font>
      <sz val="8"/>
      <name val="Arial"/>
      <family val="2"/>
    </font>
    <font>
      <sz val="9"/>
      <name val="Tahoma"/>
      <family val="2"/>
    </font>
    <font>
      <sz val="10"/>
      <color rgb="FF000000"/>
      <name val="Calibri"/>
      <family val="2"/>
      <scheme val="minor"/>
    </font>
    <font>
      <sz val="8"/>
      <name val="Calibri"/>
      <family val="2"/>
      <charset val="1"/>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rgb="FF000000"/>
      </patternFill>
    </fill>
    <fill>
      <patternFill patternType="solid">
        <fgColor rgb="FFFFFF00"/>
        <bgColor indexed="64"/>
      </patternFill>
    </fill>
  </fills>
  <borders count="41">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bottom/>
      <diagonal/>
    </border>
    <border>
      <left/>
      <right style="thin">
        <color rgb="FF000000"/>
      </right>
      <top/>
      <bottom style="thin">
        <color rgb="FF000000"/>
      </bottom>
      <diagonal/>
    </border>
  </borders>
  <cellStyleXfs count="49">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xf numFmtId="0" fontId="1" fillId="22" borderId="4" applyNumberFormat="0" applyFont="0" applyAlignment="0" applyProtection="0"/>
    <xf numFmtId="0" fontId="1" fillId="0" borderId="0"/>
  </cellStyleXfs>
  <cellXfs count="269">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1" fillId="0" borderId="0" xfId="0" applyFont="1" applyAlignment="1">
      <alignment wrapText="1"/>
    </xf>
    <xf numFmtId="0" fontId="49" fillId="0" borderId="10" xfId="0" applyFont="1" applyBorder="1"/>
    <xf numFmtId="0" fontId="1" fillId="0" borderId="19" xfId="0" applyFont="1" applyBorder="1"/>
    <xf numFmtId="0" fontId="48" fillId="0" borderId="10" xfId="0" applyFont="1" applyBorder="1"/>
    <xf numFmtId="0" fontId="50" fillId="0" borderId="10" xfId="0" applyFont="1" applyBorder="1"/>
    <xf numFmtId="0" fontId="1" fillId="35" borderId="10" xfId="0" applyFont="1" applyFill="1" applyBorder="1"/>
    <xf numFmtId="0" fontId="1" fillId="35" borderId="19" xfId="0" applyFont="1" applyFill="1" applyBorder="1"/>
    <xf numFmtId="0" fontId="50" fillId="0" borderId="33" xfId="0" applyFont="1" applyBorder="1"/>
    <xf numFmtId="0" fontId="51" fillId="0" borderId="33" xfId="0" applyFont="1" applyBorder="1"/>
    <xf numFmtId="0" fontId="50" fillId="0" borderId="33" xfId="0" applyFont="1" applyBorder="1" applyAlignment="1">
      <alignment wrapText="1"/>
    </xf>
    <xf numFmtId="0" fontId="50" fillId="35" borderId="0" xfId="0" applyFont="1" applyFill="1"/>
    <xf numFmtId="0" fontId="1" fillId="35" borderId="0" xfId="0" applyFont="1" applyFill="1"/>
    <xf numFmtId="0" fontId="52" fillId="0" borderId="0" xfId="0" applyFont="1"/>
    <xf numFmtId="0" fontId="2" fillId="0" borderId="33" xfId="0" applyFont="1" applyBorder="1" applyAlignment="1">
      <alignment vertical="top" wrapText="1"/>
    </xf>
    <xf numFmtId="0" fontId="52" fillId="0" borderId="33" xfId="0" applyFont="1" applyBorder="1"/>
    <xf numFmtId="0" fontId="53" fillId="26" borderId="10" xfId="0" applyFont="1" applyFill="1" applyBorder="1"/>
    <xf numFmtId="0" fontId="2" fillId="0" borderId="34" xfId="0" applyFont="1" applyBorder="1"/>
    <xf numFmtId="0" fontId="54" fillId="0" borderId="34" xfId="0" applyFont="1" applyBorder="1"/>
    <xf numFmtId="0" fontId="52" fillId="0" borderId="34" xfId="0" applyFont="1" applyBorder="1"/>
    <xf numFmtId="0" fontId="55" fillId="0" borderId="33" xfId="0" applyFont="1" applyBorder="1"/>
    <xf numFmtId="0" fontId="2" fillId="0" borderId="33" xfId="0" applyFont="1" applyBorder="1"/>
    <xf numFmtId="0" fontId="56" fillId="0" borderId="33" xfId="0" applyFont="1" applyBorder="1"/>
    <xf numFmtId="0" fontId="57" fillId="0" borderId="33" xfId="0" applyFont="1" applyBorder="1"/>
    <xf numFmtId="0" fontId="2" fillId="0" borderId="10" xfId="0" applyFont="1" applyBorder="1"/>
    <xf numFmtId="0" fontId="54" fillId="0" borderId="10" xfId="0" applyFont="1" applyBorder="1"/>
    <xf numFmtId="0" fontId="2" fillId="0" borderId="10" xfId="0" applyFont="1" applyBorder="1" applyAlignment="1">
      <alignment wrapText="1"/>
    </xf>
    <xf numFmtId="0" fontId="52" fillId="0" borderId="10" xfId="0" applyFont="1" applyBorder="1"/>
    <xf numFmtId="0" fontId="57" fillId="0" borderId="0" xfId="0" applyFont="1"/>
    <xf numFmtId="0" fontId="56" fillId="0" borderId="0" xfId="0" applyFont="1"/>
    <xf numFmtId="0" fontId="58" fillId="0" borderId="33" xfId="0" applyFont="1" applyBorder="1"/>
    <xf numFmtId="0" fontId="60" fillId="0" borderId="33" xfId="0" applyFont="1" applyBorder="1"/>
    <xf numFmtId="0" fontId="0" fillId="0" borderId="19" xfId="0" applyBorder="1"/>
    <xf numFmtId="0" fontId="1" fillId="0" borderId="11" xfId="0" applyFont="1" applyBorder="1"/>
    <xf numFmtId="0" fontId="0" fillId="0" borderId="35" xfId="0" applyBorder="1"/>
    <xf numFmtId="0" fontId="1" fillId="0" borderId="19" xfId="0" quotePrefix="1" applyFont="1" applyBorder="1" applyAlignment="1">
      <alignment wrapText="1"/>
    </xf>
    <xf numFmtId="0" fontId="0" fillId="0" borderId="11" xfId="0" applyBorder="1"/>
    <xf numFmtId="0" fontId="48" fillId="0" borderId="0" xfId="0" applyFont="1"/>
    <xf numFmtId="0" fontId="1" fillId="0" borderId="35" xfId="0" quotePrefix="1" applyFont="1" applyBorder="1" applyAlignment="1">
      <alignment vertical="top" wrapText="1"/>
    </xf>
    <xf numFmtId="0" fontId="1" fillId="0" borderId="0" xfId="0" applyFont="1" applyBorder="1"/>
    <xf numFmtId="0" fontId="50" fillId="0" borderId="0" xfId="0" applyFont="1" applyBorder="1" applyAlignment="1">
      <alignment wrapText="1"/>
    </xf>
    <xf numFmtId="0" fontId="50" fillId="0" borderId="10" xfId="0" applyFont="1" applyBorder="1" applyAlignment="1">
      <alignment wrapText="1"/>
    </xf>
    <xf numFmtId="0" fontId="59" fillId="0" borderId="36" xfId="0" applyFont="1" applyBorder="1"/>
    <xf numFmtId="0" fontId="62" fillId="0" borderId="0" xfId="0" applyFont="1"/>
    <xf numFmtId="0" fontId="63" fillId="32" borderId="34" xfId="0" applyFont="1" applyFill="1" applyBorder="1"/>
    <xf numFmtId="0" fontId="1" fillId="32" borderId="0" xfId="0" applyFont="1" applyFill="1"/>
    <xf numFmtId="0" fontId="63" fillId="32" borderId="0" xfId="0" applyFont="1" applyFill="1" applyBorder="1"/>
    <xf numFmtId="0" fontId="59" fillId="0" borderId="37" xfId="0" applyFont="1" applyBorder="1"/>
    <xf numFmtId="0" fontId="2" fillId="0" borderId="11" xfId="0" applyFont="1" applyBorder="1"/>
    <xf numFmtId="0" fontId="58" fillId="0" borderId="38" xfId="0" applyFont="1" applyBorder="1"/>
    <xf numFmtId="0" fontId="63" fillId="32" borderId="10" xfId="0" applyFont="1" applyFill="1" applyBorder="1"/>
    <xf numFmtId="0" fontId="2" fillId="0" borderId="10" xfId="0" applyFont="1" applyBorder="1" applyAlignment="1">
      <alignment vertical="top" wrapText="1"/>
    </xf>
    <xf numFmtId="0" fontId="61" fillId="0" borderId="33" xfId="0" applyFont="1" applyBorder="1"/>
    <xf numFmtId="0" fontId="1" fillId="0" borderId="35" xfId="0" applyFont="1" applyBorder="1"/>
    <xf numFmtId="0" fontId="2" fillId="0" borderId="0" xfId="0" applyFont="1"/>
    <xf numFmtId="0" fontId="0" fillId="0" borderId="0" xfId="0" applyFill="1"/>
    <xf numFmtId="0" fontId="0" fillId="0" borderId="0" xfId="0" applyBorder="1"/>
    <xf numFmtId="0" fontId="0" fillId="36" borderId="0" xfId="0" applyFill="1"/>
    <xf numFmtId="0" fontId="0" fillId="36" borderId="0" xfId="0" applyFill="1" applyBorder="1"/>
    <xf numFmtId="0" fontId="1" fillId="36" borderId="0" xfId="0" applyFont="1" applyFill="1" applyBorder="1"/>
    <xf numFmtId="0" fontId="50" fillId="36" borderId="0" xfId="0" applyFont="1" applyFill="1" applyBorder="1" applyAlignment="1">
      <alignment wrapText="1"/>
    </xf>
    <xf numFmtId="0" fontId="48" fillId="36" borderId="10" xfId="0" applyFont="1" applyFill="1" applyBorder="1"/>
    <xf numFmtId="0" fontId="48" fillId="36" borderId="19" xfId="0" applyFont="1" applyFill="1" applyBorder="1"/>
    <xf numFmtId="0" fontId="1" fillId="36" borderId="19" xfId="0" applyFont="1" applyFill="1" applyBorder="1"/>
    <xf numFmtId="0" fontId="1" fillId="36" borderId="10" xfId="0" applyFont="1" applyFill="1" applyBorder="1"/>
    <xf numFmtId="0" fontId="0" fillId="0" borderId="19" xfId="0" applyBorder="1" applyAlignment="1">
      <alignment wrapText="1"/>
    </xf>
    <xf numFmtId="0" fontId="50" fillId="32" borderId="10" xfId="0" applyFont="1" applyFill="1" applyBorder="1" applyAlignment="1">
      <alignment wrapText="1"/>
    </xf>
    <xf numFmtId="0" fontId="0" fillId="32" borderId="35" xfId="0" applyFill="1" applyBorder="1"/>
    <xf numFmtId="0" fontId="1" fillId="32" borderId="10" xfId="0" applyFont="1" applyFill="1" applyBorder="1" applyAlignment="1">
      <alignment wrapText="1"/>
    </xf>
    <xf numFmtId="0" fontId="0" fillId="0" borderId="10" xfId="0" applyBorder="1" applyAlignment="1"/>
    <xf numFmtId="0" fontId="65" fillId="32" borderId="10" xfId="0" applyFont="1" applyFill="1" applyBorder="1" applyAlignment="1">
      <alignment vertical="top"/>
    </xf>
    <xf numFmtId="0" fontId="50" fillId="0" borderId="35" xfId="0" applyFont="1" applyBorder="1" applyAlignment="1"/>
    <xf numFmtId="0" fontId="1" fillId="0" borderId="35" xfId="0" applyFont="1" applyBorder="1" applyAlignment="1"/>
    <xf numFmtId="0" fontId="0" fillId="0" borderId="0" xfId="0" applyFill="1" applyBorder="1" applyAlignment="1"/>
    <xf numFmtId="0" fontId="0" fillId="0" borderId="39" xfId="0" applyFill="1" applyBorder="1"/>
    <xf numFmtId="0" fontId="0" fillId="0" borderId="39" xfId="0" applyFill="1" applyBorder="1" applyAlignment="1"/>
    <xf numFmtId="0" fontId="0" fillId="0" borderId="0" xfId="0"/>
    <xf numFmtId="0" fontId="0" fillId="0" borderId="0" xfId="0" applyAlignment="1">
      <alignment wrapText="1"/>
    </xf>
    <xf numFmtId="0" fontId="1" fillId="0" borderId="0" xfId="0" applyFont="1"/>
    <xf numFmtId="0" fontId="0" fillId="0" borderId="10" xfId="0" applyBorder="1"/>
    <xf numFmtId="0" fontId="1" fillId="0" borderId="10" xfId="0" applyFont="1" applyBorder="1" applyAlignment="1">
      <alignment wrapText="1"/>
    </xf>
    <xf numFmtId="0" fontId="1" fillId="0" borderId="10" xfId="0" applyFont="1" applyBorder="1"/>
    <xf numFmtId="0" fontId="1" fillId="0" borderId="39" xfId="0" applyFont="1" applyFill="1" applyBorder="1"/>
    <xf numFmtId="0" fontId="0" fillId="0" borderId="0" xfId="0" applyAlignment="1"/>
    <xf numFmtId="0" fontId="1" fillId="32" borderId="10" xfId="0" applyFont="1" applyFill="1" applyBorder="1" applyAlignment="1"/>
    <xf numFmtId="0" fontId="1" fillId="0" borderId="10" xfId="0" applyFont="1" applyBorder="1" applyAlignment="1">
      <alignment horizontal="left" vertical="top"/>
    </xf>
    <xf numFmtId="0" fontId="0" fillId="0" borderId="0" xfId="0"/>
    <xf numFmtId="0" fontId="0" fillId="0" borderId="10" xfId="0" applyBorder="1"/>
    <xf numFmtId="0" fontId="1" fillId="0" borderId="10" xfId="0" applyFont="1" applyBorder="1" applyAlignment="1">
      <alignment wrapText="1"/>
    </xf>
    <xf numFmtId="0" fontId="1" fillId="0" borderId="10" xfId="0" applyFont="1" applyBorder="1"/>
    <xf numFmtId="0" fontId="0" fillId="0" borderId="0" xfId="0"/>
    <xf numFmtId="0" fontId="4" fillId="0" borderId="0" xfId="34" applyFont="1" applyAlignment="1">
      <alignment vertical="top"/>
    </xf>
    <xf numFmtId="0" fontId="0" fillId="0" borderId="10" xfId="0" applyBorder="1"/>
    <xf numFmtId="0" fontId="0" fillId="0" borderId="0" xfId="0" applyAlignment="1">
      <alignment wrapText="1"/>
    </xf>
    <xf numFmtId="0" fontId="1" fillId="0" borderId="10" xfId="0" applyFont="1" applyBorder="1" applyAlignment="1">
      <alignment wrapText="1"/>
    </xf>
    <xf numFmtId="0" fontId="1" fillId="0" borderId="10" xfId="0" applyFont="1" applyBorder="1"/>
    <xf numFmtId="0" fontId="1" fillId="32" borderId="10" xfId="0" applyFont="1" applyFill="1" applyBorder="1"/>
    <xf numFmtId="0" fontId="1" fillId="0" borderId="39" xfId="0" applyFont="1" applyFill="1" applyBorder="1"/>
    <xf numFmtId="0" fontId="0" fillId="0" borderId="0" xfId="0" applyAlignment="1"/>
    <xf numFmtId="0" fontId="1" fillId="0" borderId="34" xfId="0" applyFont="1" applyBorder="1"/>
    <xf numFmtId="0" fontId="1" fillId="0" borderId="10" xfId="0" applyFont="1" applyFill="1" applyBorder="1"/>
    <xf numFmtId="0" fontId="1" fillId="0" borderId="10" xfId="0" applyFont="1" applyBorder="1" applyAlignment="1">
      <alignment horizontal="left" vertical="top" wrapText="1"/>
    </xf>
    <xf numFmtId="0" fontId="53" fillId="32" borderId="10" xfId="0" applyFont="1" applyFill="1" applyBorder="1"/>
    <xf numFmtId="0" fontId="66" fillId="37" borderId="40" xfId="0" applyFont="1" applyFill="1" applyBorder="1" applyAlignment="1">
      <alignment wrapText="1"/>
    </xf>
    <xf numFmtId="0" fontId="2" fillId="38" borderId="34" xfId="0" applyFont="1" applyFill="1" applyBorder="1" applyAlignment="1">
      <alignment vertical="top" wrapText="1"/>
    </xf>
    <xf numFmtId="0" fontId="67" fillId="0" borderId="33" xfId="0" applyFont="1" applyBorder="1"/>
    <xf numFmtId="0" fontId="55" fillId="38" borderId="33" xfId="0" applyFont="1" applyFill="1" applyBorder="1"/>
    <xf numFmtId="0" fontId="1" fillId="38" borderId="10" xfId="0" applyFont="1" applyFill="1" applyBorder="1"/>
    <xf numFmtId="0" fontId="1" fillId="38" borderId="10" xfId="0" applyFont="1" applyFill="1" applyBorder="1" applyAlignment="1">
      <alignment wrapText="1"/>
    </xf>
    <xf numFmtId="0" fontId="34" fillId="38" borderId="10" xfId="0" applyFont="1" applyFill="1" applyBorder="1" applyAlignment="1">
      <alignment vertical="top" wrapText="1"/>
    </xf>
    <xf numFmtId="0" fontId="1" fillId="0" borderId="37" xfId="0" applyFont="1" applyBorder="1"/>
    <xf numFmtId="0" fontId="1" fillId="0" borderId="36" xfId="0" applyFont="1" applyBorder="1"/>
    <xf numFmtId="0" fontId="63" fillId="38" borderId="10" xfId="0" applyFont="1" applyFill="1" applyBorder="1" applyAlignment="1">
      <alignment wrapText="1"/>
    </xf>
    <xf numFmtId="0" fontId="2" fillId="38" borderId="10" xfId="0" applyFont="1" applyFill="1" applyBorder="1"/>
    <xf numFmtId="0" fontId="0" fillId="38" borderId="10" xfId="0" applyFill="1" applyBorder="1"/>
    <xf numFmtId="0" fontId="1" fillId="38" borderId="19" xfId="0" applyFont="1" applyFill="1" applyBorder="1"/>
    <xf numFmtId="0" fontId="0" fillId="38" borderId="11" xfId="0" applyFill="1" applyBorder="1"/>
    <xf numFmtId="0" fontId="0" fillId="38" borderId="19" xfId="0" applyFill="1" applyBorder="1"/>
    <xf numFmtId="0" fontId="1" fillId="38" borderId="35" xfId="0" applyFont="1" applyFill="1" applyBorder="1"/>
    <xf numFmtId="0" fontId="0" fillId="38" borderId="35" xfId="0" applyFill="1" applyBorder="1"/>
    <xf numFmtId="0" fontId="1" fillId="38" borderId="35" xfId="0" quotePrefix="1" applyFont="1" applyFill="1" applyBorder="1" applyAlignment="1">
      <alignment vertical="top" wrapText="1"/>
    </xf>
    <xf numFmtId="0" fontId="0" fillId="38" borderId="0" xfId="0" applyFill="1"/>
    <xf numFmtId="0" fontId="4" fillId="38" borderId="0" xfId="34" applyFont="1" applyFill="1" applyAlignment="1">
      <alignment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7" fillId="0" borderId="10"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2" fillId="28" borderId="17" xfId="0" applyFont="1" applyFill="1" applyBorder="1" applyAlignment="1">
      <alignment horizontal="center"/>
    </xf>
    <xf numFmtId="0" fontId="2" fillId="28" borderId="19" xfId="0" applyFont="1" applyFill="1" applyBorder="1" applyAlignment="1">
      <alignment horizontal="center"/>
    </xf>
    <xf numFmtId="0" fontId="53" fillId="25" borderId="20" xfId="0" applyFont="1" applyFill="1" applyBorder="1" applyAlignment="1">
      <alignment horizontal="left"/>
    </xf>
    <xf numFmtId="0" fontId="53" fillId="25" borderId="21" xfId="0" applyFont="1" applyFill="1" applyBorder="1" applyAlignment="1">
      <alignment horizontal="left"/>
    </xf>
    <xf numFmtId="0" fontId="53" fillId="25" borderId="22" xfId="0" applyFont="1" applyFill="1" applyBorder="1" applyAlignment="1">
      <alignment horizontal="left"/>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9">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EC79D184-A424-4046-8177-17F485B11E5E}"/>
    <cellStyle name="Normal_Sales DetailedTD_CR_XXXX_Template" xfId="34" xr:uid="{00000000-0005-0000-0000-000022000000}"/>
    <cellStyle name="Notiz" xfId="35" xr:uid="{00000000-0005-0000-0000-000023000000}"/>
    <cellStyle name="Notiz 2" xfId="47" xr:uid="{CC3A55E1-204F-41E7-8871-B4F282869049}"/>
    <cellStyle name="Schlecht" xfId="36" xr:uid="{00000000-0005-0000-0000-000024000000}"/>
    <cellStyle name="Standard 2" xfId="37" xr:uid="{00000000-0005-0000-0000-000025000000}"/>
    <cellStyle name="Standard 2 2" xfId="48" xr:uid="{FC3A3236-9BDF-4606-9870-20F24B0FA498}"/>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5" zoomScale="80" zoomScaleNormal="75" workbookViewId="0">
      <selection activeCell="I39" sqref="I39"/>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212" t="s">
        <v>0</v>
      </c>
      <c r="B13" s="212"/>
      <c r="C13" s="212"/>
      <c r="D13" s="212"/>
      <c r="E13" s="212"/>
      <c r="F13" s="212"/>
      <c r="G13" s="212"/>
      <c r="H13" s="212"/>
      <c r="I13" s="212"/>
      <c r="J13" s="212"/>
      <c r="K13" s="212"/>
      <c r="L13" s="212"/>
      <c r="M13" s="212"/>
      <c r="N13" s="212"/>
      <c r="O13" s="212"/>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213" t="s">
        <v>1</v>
      </c>
      <c r="B20" s="213"/>
      <c r="C20" s="213"/>
      <c r="D20" s="213"/>
      <c r="E20" s="213"/>
      <c r="F20" s="213"/>
      <c r="G20" s="213"/>
      <c r="H20" s="213"/>
      <c r="I20" s="213"/>
      <c r="J20" s="213"/>
      <c r="K20" s="213"/>
      <c r="L20" s="213"/>
      <c r="M20" s="213"/>
      <c r="N20" s="213"/>
      <c r="O20" s="213"/>
    </row>
    <row r="21" spans="1:15" ht="30.6" x14ac:dyDescent="0.55000000000000004">
      <c r="A21" s="213" t="s">
        <v>2</v>
      </c>
      <c r="B21" s="213"/>
      <c r="C21" s="213"/>
      <c r="D21" s="213"/>
      <c r="E21" s="213"/>
      <c r="F21" s="213"/>
      <c r="G21" s="213"/>
      <c r="H21" s="213"/>
      <c r="I21" s="213"/>
      <c r="J21" s="213"/>
      <c r="K21" s="213"/>
      <c r="L21" s="213"/>
      <c r="M21" s="213"/>
      <c r="N21" s="213"/>
      <c r="O21" s="213"/>
    </row>
    <row r="22" spans="1:15" ht="13.8" x14ac:dyDescent="0.3">
      <c r="A22" s="1"/>
      <c r="B22" s="1"/>
      <c r="C22" s="1"/>
      <c r="D22" s="1"/>
      <c r="E22" s="1"/>
      <c r="F22" s="1"/>
      <c r="G22" s="1"/>
      <c r="H22" s="1"/>
      <c r="I22" s="1"/>
    </row>
    <row r="23" spans="1:15" ht="30.6" x14ac:dyDescent="0.55000000000000004">
      <c r="A23" s="81"/>
      <c r="B23" s="81"/>
      <c r="C23" s="81"/>
      <c r="D23" s="81"/>
      <c r="E23" s="81"/>
      <c r="F23" s="82"/>
      <c r="G23" s="213" t="s">
        <v>3</v>
      </c>
      <c r="H23" s="216"/>
      <c r="I23" s="73" t="s">
        <v>4</v>
      </c>
      <c r="J23" s="82"/>
      <c r="L23" s="81"/>
      <c r="M23" s="81"/>
      <c r="N23" s="81"/>
      <c r="O23" s="81"/>
    </row>
    <row r="24" spans="1:15" s="6" customFormat="1" ht="27.75" customHeight="1" x14ac:dyDescent="0.55000000000000004">
      <c r="A24" s="83"/>
      <c r="B24" s="83"/>
      <c r="C24" s="83"/>
      <c r="D24" s="83"/>
      <c r="F24" s="77"/>
      <c r="G24" s="213" t="s">
        <v>5</v>
      </c>
      <c r="H24" s="213"/>
      <c r="I24" s="73" t="s">
        <v>6</v>
      </c>
      <c r="J24" s="83"/>
      <c r="K24" s="83"/>
      <c r="L24" s="83"/>
      <c r="M24" s="83"/>
      <c r="N24" s="83"/>
      <c r="O24" s="83"/>
    </row>
    <row r="25" spans="1:15" ht="28.2" x14ac:dyDescent="0.5">
      <c r="F25" s="219" t="s">
        <v>7</v>
      </c>
      <c r="G25" s="219"/>
      <c r="H25" s="219"/>
      <c r="I25" s="219"/>
      <c r="J25" s="219"/>
      <c r="K25" s="219"/>
      <c r="L25" s="76" t="s">
        <v>8</v>
      </c>
    </row>
    <row r="26" spans="1:15" ht="28.2" x14ac:dyDescent="0.5">
      <c r="F26" s="220" t="s">
        <v>9</v>
      </c>
      <c r="G26" s="220"/>
      <c r="H26" s="220"/>
      <c r="I26" s="220"/>
      <c r="J26" s="217" t="s">
        <v>10</v>
      </c>
      <c r="K26" s="218"/>
    </row>
    <row r="27" spans="1:15" ht="15.6" x14ac:dyDescent="0.3">
      <c r="A27" s="215"/>
      <c r="B27" s="215"/>
      <c r="C27" s="215"/>
      <c r="D27" s="215"/>
      <c r="E27" s="215"/>
      <c r="F27" s="215"/>
      <c r="G27" s="215"/>
      <c r="H27" s="215"/>
      <c r="I27" s="215"/>
    </row>
    <row r="28" spans="1:15" ht="18" customHeight="1" x14ac:dyDescent="0.35">
      <c r="A28" s="214"/>
      <c r="B28" s="214"/>
      <c r="C28" s="214"/>
      <c r="D28" s="214"/>
      <c r="E28" s="214"/>
      <c r="F28" s="214"/>
      <c r="G28" s="214"/>
      <c r="H28" s="214"/>
      <c r="I28" s="214"/>
    </row>
    <row r="37" spans="1:9" ht="18" customHeight="1" x14ac:dyDescent="0.25"/>
    <row r="38" spans="1:9" ht="15.6" x14ac:dyDescent="0.3">
      <c r="A38" s="3" t="s">
        <v>11</v>
      </c>
      <c r="B38" s="4">
        <f ca="1">TODAY()</f>
        <v>44662</v>
      </c>
      <c r="C38" s="1"/>
      <c r="D38" s="1"/>
      <c r="E38" s="1"/>
      <c r="F38" s="1"/>
      <c r="G38" s="1"/>
      <c r="H38" s="1"/>
      <c r="I38" s="1"/>
    </row>
    <row r="39" spans="1:9" ht="15.6" x14ac:dyDescent="0.3">
      <c r="A39" s="3" t="s">
        <v>12</v>
      </c>
      <c r="B39" s="5" t="s">
        <v>13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abSelected="1" topLeftCell="A20" zoomScaleNormal="100" workbookViewId="0">
      <selection activeCell="J28" sqref="J28"/>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14</v>
      </c>
      <c r="Y1" s="8" t="s">
        <v>15</v>
      </c>
    </row>
    <row r="2" spans="1:25" x14ac:dyDescent="0.25">
      <c r="A2" s="9"/>
      <c r="F2" s="9"/>
      <c r="Y2" s="8" t="s">
        <v>16</v>
      </c>
    </row>
    <row r="3" spans="1:25" x14ac:dyDescent="0.25">
      <c r="A3" s="233" t="s">
        <v>17</v>
      </c>
      <c r="B3" s="233"/>
      <c r="C3" s="233"/>
      <c r="D3" s="233" t="s">
        <v>18</v>
      </c>
      <c r="E3" s="233"/>
      <c r="F3" s="233"/>
      <c r="G3" s="233" t="s">
        <v>19</v>
      </c>
      <c r="H3" s="233"/>
      <c r="I3" s="233"/>
      <c r="J3" s="227" t="s">
        <v>20</v>
      </c>
      <c r="K3" s="231"/>
      <c r="L3" s="232"/>
      <c r="M3" s="233" t="s">
        <v>21</v>
      </c>
      <c r="N3" s="233"/>
      <c r="O3" s="233"/>
      <c r="P3" s="85" t="s">
        <v>22</v>
      </c>
      <c r="Q3" s="85" t="s">
        <v>23</v>
      </c>
      <c r="Y3" s="8" t="s">
        <v>24</v>
      </c>
    </row>
    <row r="4" spans="1:25" x14ac:dyDescent="0.25">
      <c r="A4" s="224" t="s">
        <v>25</v>
      </c>
      <c r="B4" s="225"/>
      <c r="C4" s="226"/>
      <c r="D4" s="224" t="s">
        <v>26</v>
      </c>
      <c r="E4" s="226"/>
      <c r="F4" s="84"/>
      <c r="G4" s="222" t="s">
        <v>27</v>
      </c>
      <c r="H4" s="222"/>
      <c r="I4" s="222"/>
      <c r="J4" s="237">
        <v>1</v>
      </c>
      <c r="K4" s="238"/>
      <c r="L4" s="84"/>
      <c r="M4" s="234">
        <v>44615</v>
      </c>
      <c r="N4" s="235"/>
      <c r="O4" s="236"/>
      <c r="P4" s="86" t="s">
        <v>15</v>
      </c>
      <c r="Q4" s="10" t="s">
        <v>28</v>
      </c>
      <c r="U4" s="87"/>
      <c r="Y4" s="8" t="s">
        <v>29</v>
      </c>
    </row>
    <row r="5" spans="1:25" x14ac:dyDescent="0.25">
      <c r="A5" s="224" t="s">
        <v>357</v>
      </c>
      <c r="B5" s="225"/>
      <c r="C5" s="226"/>
      <c r="D5" s="224" t="s">
        <v>358</v>
      </c>
      <c r="E5" s="226"/>
      <c r="F5" s="84"/>
      <c r="G5" s="222" t="s">
        <v>359</v>
      </c>
      <c r="H5" s="222"/>
      <c r="I5" s="222"/>
      <c r="J5" s="237">
        <v>1</v>
      </c>
      <c r="K5" s="238"/>
      <c r="L5" s="84"/>
      <c r="M5" s="234" t="s">
        <v>361</v>
      </c>
      <c r="N5" s="235"/>
      <c r="O5" s="236"/>
      <c r="P5" s="86"/>
      <c r="Q5" s="10" t="s">
        <v>360</v>
      </c>
      <c r="U5" s="87"/>
    </row>
    <row r="7" spans="1:25" ht="15.6" x14ac:dyDescent="0.25">
      <c r="A7" s="7" t="s">
        <v>30</v>
      </c>
      <c r="B7" s="7"/>
      <c r="C7" s="7"/>
      <c r="D7" s="7"/>
      <c r="F7" s="9"/>
    </row>
    <row r="9" spans="1:25" ht="29.25" customHeight="1" x14ac:dyDescent="0.25">
      <c r="A9" s="230" t="s">
        <v>17</v>
      </c>
      <c r="B9" s="229"/>
      <c r="C9" s="230" t="s">
        <v>18</v>
      </c>
      <c r="D9" s="229"/>
      <c r="E9" s="230" t="s">
        <v>19</v>
      </c>
      <c r="F9" s="228"/>
      <c r="G9" s="229"/>
      <c r="H9" s="227" t="s">
        <v>20</v>
      </c>
      <c r="I9" s="228"/>
      <c r="J9" s="229"/>
      <c r="K9" s="230" t="s">
        <v>21</v>
      </c>
      <c r="L9" s="229"/>
      <c r="M9" s="230" t="s">
        <v>31</v>
      </c>
      <c r="N9" s="228"/>
      <c r="O9" s="229"/>
      <c r="P9" s="79"/>
    </row>
    <row r="10" spans="1:25" x14ac:dyDescent="0.25">
      <c r="A10" s="223"/>
      <c r="B10" s="223"/>
      <c r="C10" s="223"/>
      <c r="D10" s="223"/>
      <c r="E10" s="223"/>
      <c r="F10" s="223"/>
      <c r="G10" s="223"/>
      <c r="H10" s="223"/>
      <c r="I10" s="223"/>
      <c r="J10" s="223"/>
      <c r="K10" s="223"/>
      <c r="L10" s="223"/>
      <c r="M10" s="223"/>
      <c r="N10" s="223"/>
      <c r="O10" s="223"/>
      <c r="P10" s="80"/>
    </row>
    <row r="11" spans="1:25" x14ac:dyDescent="0.25">
      <c r="A11" s="223"/>
      <c r="B11" s="223"/>
      <c r="C11" s="223"/>
      <c r="D11" s="223"/>
      <c r="E11" s="223"/>
      <c r="F11" s="223"/>
      <c r="G11" s="223"/>
      <c r="H11" s="223"/>
      <c r="I11" s="223"/>
      <c r="J11" s="223"/>
      <c r="K11" s="223"/>
      <c r="L11" s="223"/>
      <c r="M11" s="223"/>
      <c r="N11" s="223"/>
      <c r="O11" s="223"/>
      <c r="P11" s="80"/>
    </row>
    <row r="12" spans="1:25" x14ac:dyDescent="0.25">
      <c r="A12" s="223"/>
      <c r="B12" s="223"/>
      <c r="C12" s="223"/>
      <c r="D12" s="223"/>
      <c r="E12" s="223"/>
      <c r="F12" s="223"/>
      <c r="G12" s="223"/>
      <c r="H12" s="223"/>
      <c r="I12" s="223"/>
      <c r="J12" s="223"/>
      <c r="K12" s="223"/>
      <c r="L12" s="223"/>
      <c r="M12" s="223"/>
      <c r="N12" s="223"/>
      <c r="O12" s="223"/>
      <c r="P12" s="80"/>
    </row>
    <row r="13" spans="1:25" x14ac:dyDescent="0.25">
      <c r="A13" s="223"/>
      <c r="B13" s="223"/>
      <c r="C13" s="223"/>
      <c r="D13" s="223"/>
      <c r="E13" s="223"/>
      <c r="F13" s="223"/>
      <c r="G13" s="223"/>
      <c r="H13" s="223"/>
      <c r="I13" s="223"/>
      <c r="J13" s="223"/>
      <c r="K13" s="223"/>
      <c r="L13" s="223"/>
      <c r="M13" s="223"/>
      <c r="N13" s="223"/>
      <c r="O13" s="223"/>
      <c r="P13" s="80"/>
    </row>
    <row r="14" spans="1:25" x14ac:dyDescent="0.25">
      <c r="A14" s="223"/>
      <c r="B14" s="223"/>
      <c r="C14" s="223"/>
      <c r="D14" s="223"/>
      <c r="E14" s="223"/>
      <c r="F14" s="223"/>
      <c r="G14" s="223"/>
      <c r="H14" s="223"/>
      <c r="I14" s="223"/>
      <c r="J14" s="223"/>
      <c r="K14" s="223"/>
      <c r="L14" s="223"/>
      <c r="M14" s="223"/>
      <c r="N14" s="223"/>
      <c r="O14" s="223"/>
      <c r="P14" s="80"/>
    </row>
    <row r="15" spans="1:25" x14ac:dyDescent="0.25">
      <c r="A15" s="223"/>
      <c r="B15" s="223"/>
      <c r="C15" s="223"/>
      <c r="D15" s="223"/>
      <c r="E15" s="223"/>
      <c r="F15" s="223"/>
      <c r="G15" s="223"/>
      <c r="H15" s="223"/>
      <c r="I15" s="223"/>
      <c r="J15" s="223"/>
      <c r="K15" s="223"/>
      <c r="L15" s="223"/>
      <c r="M15" s="223"/>
      <c r="N15" s="223"/>
      <c r="O15" s="223"/>
      <c r="P15" s="80"/>
    </row>
    <row r="16" spans="1:25" x14ac:dyDescent="0.25">
      <c r="A16" s="223"/>
      <c r="B16" s="223"/>
      <c r="C16" s="223"/>
      <c r="D16" s="223"/>
      <c r="E16" s="223"/>
      <c r="F16" s="223"/>
      <c r="G16" s="223"/>
      <c r="H16" s="223"/>
      <c r="I16" s="223"/>
      <c r="J16" s="223"/>
      <c r="K16" s="223"/>
      <c r="L16" s="223"/>
      <c r="M16" s="223"/>
      <c r="N16" s="223"/>
      <c r="O16" s="223"/>
      <c r="P16" s="80"/>
    </row>
    <row r="17" spans="1:16" x14ac:dyDescent="0.25">
      <c r="A17" s="223"/>
      <c r="B17" s="223"/>
      <c r="C17" s="223"/>
      <c r="D17" s="223"/>
      <c r="E17" s="223"/>
      <c r="F17" s="223"/>
      <c r="G17" s="223"/>
      <c r="H17" s="223"/>
      <c r="I17" s="223"/>
      <c r="J17" s="223"/>
      <c r="K17" s="223"/>
      <c r="L17" s="223"/>
      <c r="M17" s="223"/>
      <c r="N17" s="223"/>
      <c r="O17" s="223"/>
      <c r="P17" s="80"/>
    </row>
    <row r="20" spans="1:16" x14ac:dyDescent="0.25">
      <c r="A20" s="221" t="s">
        <v>32</v>
      </c>
      <c r="B20" s="221"/>
      <c r="C20" s="221" t="s">
        <v>33</v>
      </c>
      <c r="D20" s="221"/>
    </row>
    <row r="21" spans="1:16" x14ac:dyDescent="0.25">
      <c r="A21" s="222" t="s">
        <v>34</v>
      </c>
      <c r="B21" s="222"/>
      <c r="C21" s="223">
        <v>0.15</v>
      </c>
      <c r="D21" s="223"/>
      <c r="G21" s="8" t="s">
        <v>352</v>
      </c>
    </row>
    <row r="22" spans="1:16" x14ac:dyDescent="0.25">
      <c r="A22" s="222" t="s">
        <v>35</v>
      </c>
      <c r="B22" s="222"/>
      <c r="C22" s="223">
        <v>0</v>
      </c>
      <c r="D22" s="223"/>
      <c r="M22" s="8" t="s">
        <v>353</v>
      </c>
      <c r="N22" s="8" t="s">
        <v>354</v>
      </c>
      <c r="P22" s="8">
        <v>0.3</v>
      </c>
    </row>
    <row r="23" spans="1:16" x14ac:dyDescent="0.25">
      <c r="A23" s="222" t="s">
        <v>36</v>
      </c>
      <c r="B23" s="222"/>
      <c r="C23" s="223">
        <v>0.1</v>
      </c>
      <c r="D23" s="223"/>
      <c r="N23" s="8" t="s">
        <v>355</v>
      </c>
      <c r="P23" s="8">
        <v>0.25</v>
      </c>
    </row>
    <row r="24" spans="1:16" x14ac:dyDescent="0.25">
      <c r="A24" s="222" t="s">
        <v>37</v>
      </c>
      <c r="B24" s="222"/>
      <c r="C24" s="223">
        <f>'1.0 DB Schema'!B41+'2.0 Ifb &amp; PHP'!B38+'3.0 Mapping'!B22+'4.1 Session Details'!B56</f>
        <v>1.3925000000000001</v>
      </c>
      <c r="D24" s="223"/>
      <c r="N24" s="211" t="s">
        <v>356</v>
      </c>
      <c r="O24" s="211"/>
      <c r="P24" s="211">
        <v>0.35</v>
      </c>
    </row>
    <row r="25" spans="1:16" x14ac:dyDescent="0.25">
      <c r="A25" s="222" t="s">
        <v>38</v>
      </c>
      <c r="B25" s="222"/>
      <c r="C25" s="251">
        <f>SUM(P22:P25)</f>
        <v>1.4</v>
      </c>
      <c r="D25" s="251"/>
      <c r="N25" s="167" t="s">
        <v>431</v>
      </c>
      <c r="P25" s="180">
        <v>0.5</v>
      </c>
    </row>
    <row r="26" spans="1:16" x14ac:dyDescent="0.25">
      <c r="A26" s="222" t="s">
        <v>39</v>
      </c>
      <c r="B26" s="222"/>
      <c r="C26" s="249">
        <v>0.375</v>
      </c>
      <c r="D26" s="250"/>
      <c r="G26" s="89">
        <f>C26*8</f>
        <v>3</v>
      </c>
    </row>
    <row r="27" spans="1:16" x14ac:dyDescent="0.25">
      <c r="A27" s="239" t="s">
        <v>40</v>
      </c>
      <c r="B27" s="239"/>
      <c r="C27" s="221">
        <f>SUM(C21:E26)</f>
        <v>3.4175</v>
      </c>
      <c r="D27" s="221"/>
      <c r="G27" s="89">
        <f>C27*8</f>
        <v>27.34</v>
      </c>
      <c r="J27" s="89">
        <f>G27-2.7</f>
        <v>24.64</v>
      </c>
    </row>
    <row r="30" spans="1:16" x14ac:dyDescent="0.25">
      <c r="B30" s="246" t="s">
        <v>41</v>
      </c>
      <c r="C30" s="247"/>
      <c r="D30" s="247"/>
      <c r="E30" s="247"/>
      <c r="F30" s="247"/>
      <c r="G30" s="247"/>
      <c r="H30" s="247"/>
      <c r="I30" s="247"/>
      <c r="J30" s="247"/>
      <c r="K30" s="247"/>
      <c r="L30" s="247"/>
      <c r="M30" s="248"/>
    </row>
    <row r="31" spans="1:16" ht="33.75" customHeight="1" x14ac:dyDescent="0.25">
      <c r="B31" s="244" t="s">
        <v>34</v>
      </c>
      <c r="C31" s="245"/>
      <c r="D31" s="243" t="s">
        <v>42</v>
      </c>
      <c r="E31" s="243"/>
      <c r="F31" s="243"/>
      <c r="G31" s="243"/>
      <c r="H31" s="243"/>
      <c r="I31" s="243"/>
      <c r="J31" s="243"/>
      <c r="K31" s="243"/>
      <c r="L31" s="243"/>
      <c r="M31" s="243"/>
    </row>
    <row r="32" spans="1:16" ht="39.75" customHeight="1" x14ac:dyDescent="0.25">
      <c r="B32" s="244" t="s">
        <v>35</v>
      </c>
      <c r="C32" s="245"/>
      <c r="D32" s="243" t="s">
        <v>43</v>
      </c>
      <c r="E32" s="243"/>
      <c r="F32" s="243"/>
      <c r="G32" s="243"/>
      <c r="H32" s="243"/>
      <c r="I32" s="243"/>
      <c r="J32" s="243"/>
      <c r="K32" s="243"/>
      <c r="L32" s="243"/>
      <c r="M32" s="243"/>
    </row>
    <row r="33" spans="2:13" ht="236.25" customHeight="1" x14ac:dyDescent="0.25">
      <c r="B33" s="244" t="s">
        <v>36</v>
      </c>
      <c r="C33" s="245"/>
      <c r="D33" s="243" t="s">
        <v>44</v>
      </c>
      <c r="E33" s="243"/>
      <c r="F33" s="243"/>
      <c r="G33" s="243"/>
      <c r="H33" s="243"/>
      <c r="I33" s="243"/>
      <c r="J33" s="243"/>
      <c r="K33" s="243"/>
      <c r="L33" s="243"/>
      <c r="M33" s="243"/>
    </row>
    <row r="34" spans="2:13" x14ac:dyDescent="0.25">
      <c r="B34" s="244" t="s">
        <v>37</v>
      </c>
      <c r="C34" s="245"/>
      <c r="D34" s="243" t="s">
        <v>45</v>
      </c>
      <c r="E34" s="243"/>
      <c r="F34" s="243"/>
      <c r="G34" s="243"/>
      <c r="H34" s="243"/>
      <c r="I34" s="243"/>
      <c r="J34" s="243"/>
      <c r="K34" s="243"/>
      <c r="L34" s="243"/>
      <c r="M34" s="243"/>
    </row>
    <row r="35" spans="2:13" ht="52.5" customHeight="1" x14ac:dyDescent="0.25">
      <c r="B35" s="244" t="s">
        <v>38</v>
      </c>
      <c r="C35" s="245"/>
      <c r="D35" s="240" t="s">
        <v>46</v>
      </c>
      <c r="E35" s="241"/>
      <c r="F35" s="241"/>
      <c r="G35" s="241"/>
      <c r="H35" s="241"/>
      <c r="I35" s="241"/>
      <c r="J35" s="241"/>
      <c r="K35" s="241"/>
      <c r="L35" s="241"/>
      <c r="M35" s="242"/>
    </row>
    <row r="36" spans="2:13" ht="34.5" customHeight="1" x14ac:dyDescent="0.25">
      <c r="B36" s="244" t="s">
        <v>39</v>
      </c>
      <c r="C36" s="245"/>
      <c r="D36" s="243" t="s">
        <v>47</v>
      </c>
      <c r="E36" s="243"/>
      <c r="F36" s="243"/>
      <c r="G36" s="243"/>
      <c r="H36" s="243"/>
      <c r="I36" s="243"/>
      <c r="J36" s="243"/>
      <c r="K36" s="243"/>
      <c r="L36" s="243"/>
      <c r="M36" s="243"/>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6F545D06-369A-44C7-BA01-BA2317EBFB71}">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2"/>
  <sheetViews>
    <sheetView topLeftCell="B1" workbookViewId="0">
      <selection activeCell="D23" sqref="D23"/>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252" t="s">
        <v>48</v>
      </c>
      <c r="B1" s="252"/>
    </row>
    <row r="2" spans="1:2" x14ac:dyDescent="0.25">
      <c r="A2" s="30"/>
      <c r="B2" s="24" t="s">
        <v>49</v>
      </c>
    </row>
    <row r="3" spans="1:2" x14ac:dyDescent="0.25">
      <c r="A3" s="31"/>
      <c r="B3" s="20"/>
    </row>
    <row r="5" spans="1:2" x14ac:dyDescent="0.25">
      <c r="A5" s="30" t="s">
        <v>50</v>
      </c>
      <c r="B5" s="23" t="s">
        <v>51</v>
      </c>
    </row>
    <row r="6" spans="1:2" x14ac:dyDescent="0.25">
      <c r="A6" s="31">
        <v>1</v>
      </c>
      <c r="B6" s="20"/>
    </row>
    <row r="7" spans="1:2" x14ac:dyDescent="0.25">
      <c r="A7" s="31">
        <v>2</v>
      </c>
      <c r="B7" s="20"/>
    </row>
    <row r="8" spans="1:2" x14ac:dyDescent="0.25">
      <c r="A8" s="31">
        <v>3</v>
      </c>
      <c r="B8" s="20"/>
    </row>
    <row r="9" spans="1:2" x14ac:dyDescent="0.25">
      <c r="A9" s="31" t="s">
        <v>52</v>
      </c>
      <c r="B9" s="20"/>
    </row>
    <row r="10" spans="1:2" x14ac:dyDescent="0.25">
      <c r="A10" s="31" t="s">
        <v>53</v>
      </c>
      <c r="B10" s="20"/>
    </row>
    <row r="12" spans="1:2" x14ac:dyDescent="0.25">
      <c r="A12" s="30" t="s">
        <v>50</v>
      </c>
      <c r="B12" s="23" t="s">
        <v>54</v>
      </c>
    </row>
    <row r="13" spans="1:2" x14ac:dyDescent="0.25">
      <c r="A13" s="31">
        <v>4</v>
      </c>
      <c r="B13" s="20"/>
    </row>
    <row r="15" spans="1:2" x14ac:dyDescent="0.25">
      <c r="A15" s="30" t="s">
        <v>50</v>
      </c>
      <c r="B15" s="23" t="s">
        <v>55</v>
      </c>
    </row>
    <row r="16" spans="1:2" x14ac:dyDescent="0.25">
      <c r="A16" s="31">
        <v>5</v>
      </c>
      <c r="B16" s="20"/>
    </row>
    <row r="17" spans="1:2" ht="13.8" thickBot="1" x14ac:dyDescent="0.3"/>
    <row r="18" spans="1:2" x14ac:dyDescent="0.25">
      <c r="A18" s="33" t="s">
        <v>50</v>
      </c>
      <c r="B18" s="22" t="s">
        <v>56</v>
      </c>
    </row>
    <row r="19" spans="1:2" x14ac:dyDescent="0.25">
      <c r="A19" s="31">
        <v>6</v>
      </c>
      <c r="B19" s="25" t="s">
        <v>57</v>
      </c>
    </row>
    <row r="20" spans="1:2" x14ac:dyDescent="0.25">
      <c r="A20" s="31">
        <v>7</v>
      </c>
      <c r="B20" s="25" t="s">
        <v>58</v>
      </c>
    </row>
    <row r="21" spans="1:2" x14ac:dyDescent="0.25">
      <c r="A21" s="31">
        <v>7</v>
      </c>
      <c r="B21" s="25" t="s">
        <v>344</v>
      </c>
    </row>
    <row r="22" spans="1:2" x14ac:dyDescent="0.25">
      <c r="A22" s="31">
        <v>7</v>
      </c>
      <c r="B22" s="25" t="s">
        <v>345</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B29" sqref="B2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253" t="s">
        <v>59</v>
      </c>
      <c r="B1" s="254"/>
      <c r="C1" s="254"/>
      <c r="D1" s="255"/>
      <c r="M1" s="46" t="s">
        <v>60</v>
      </c>
      <c r="N1" s="47"/>
      <c r="O1" s="47"/>
      <c r="P1" s="47"/>
      <c r="Q1" s="47"/>
      <c r="R1" s="48"/>
    </row>
    <row r="2" spans="1:18" ht="13.8" thickBot="1" x14ac:dyDescent="0.3">
      <c r="C2" s="21"/>
      <c r="M2" s="49" t="s">
        <v>61</v>
      </c>
      <c r="N2" s="34"/>
      <c r="O2" s="34"/>
      <c r="P2" s="34"/>
      <c r="Q2" s="34"/>
      <c r="R2" s="50"/>
    </row>
    <row r="3" spans="1:18" x14ac:dyDescent="0.25">
      <c r="A3" s="55" t="s">
        <v>62</v>
      </c>
      <c r="B3" s="27"/>
      <c r="C3" s="27"/>
      <c r="M3" s="49" t="s">
        <v>63</v>
      </c>
      <c r="N3" s="34"/>
      <c r="O3" s="34"/>
      <c r="P3" s="34"/>
      <c r="Q3" s="34"/>
      <c r="R3" s="50"/>
    </row>
    <row r="4" spans="1:18" ht="25.5" customHeight="1" x14ac:dyDescent="0.25">
      <c r="A4" s="12" t="s">
        <v>64</v>
      </c>
      <c r="B4" s="12" t="s">
        <v>65</v>
      </c>
      <c r="C4" s="26" t="s">
        <v>22</v>
      </c>
      <c r="D4" s="26" t="s">
        <v>66</v>
      </c>
      <c r="M4" s="51" t="s">
        <v>67</v>
      </c>
      <c r="N4" s="34"/>
      <c r="O4" s="34"/>
      <c r="P4" s="34"/>
      <c r="Q4" s="34"/>
      <c r="R4" s="50"/>
    </row>
    <row r="5" spans="1:18" ht="132.6" thickBot="1" x14ac:dyDescent="0.3">
      <c r="A5" s="39" t="s">
        <v>68</v>
      </c>
      <c r="B5" s="25" t="s">
        <v>69</v>
      </c>
      <c r="C5" s="11"/>
      <c r="D5" s="11"/>
      <c r="M5" s="52"/>
      <c r="N5" s="53"/>
      <c r="O5" s="53"/>
      <c r="P5" s="53"/>
      <c r="Q5" s="53"/>
      <c r="R5" s="54"/>
    </row>
    <row r="6" spans="1:18" x14ac:dyDescent="0.25">
      <c r="A6" s="39" t="s">
        <v>70</v>
      </c>
      <c r="B6" s="39" t="s">
        <v>71</v>
      </c>
      <c r="C6" s="11"/>
      <c r="D6" s="11"/>
    </row>
    <row r="7" spans="1:18" x14ac:dyDescent="0.25">
      <c r="A7" s="39" t="s">
        <v>72</v>
      </c>
      <c r="B7" s="39" t="s">
        <v>73</v>
      </c>
      <c r="C7" s="11"/>
      <c r="D7" s="11"/>
    </row>
    <row r="8" spans="1:18" ht="92.4" x14ac:dyDescent="0.25">
      <c r="A8" s="39" t="s">
        <v>74</v>
      </c>
      <c r="B8" s="25" t="s">
        <v>75</v>
      </c>
      <c r="C8" s="11"/>
      <c r="D8" s="11"/>
    </row>
    <row r="9" spans="1:18" x14ac:dyDescent="0.25">
      <c r="A9" s="39" t="s">
        <v>76</v>
      </c>
      <c r="B9" s="39" t="s">
        <v>77</v>
      </c>
      <c r="C9" s="11"/>
      <c r="D9" s="11"/>
    </row>
    <row r="10" spans="1:18" x14ac:dyDescent="0.25">
      <c r="A10" s="39" t="s">
        <v>78</v>
      </c>
      <c r="B10" s="11"/>
      <c r="C10" s="11"/>
      <c r="D10" s="11"/>
    </row>
    <row r="11" spans="1:18" x14ac:dyDescent="0.25">
      <c r="A11" s="39" t="s">
        <v>79</v>
      </c>
      <c r="B11" s="39" t="s">
        <v>80</v>
      </c>
      <c r="C11" s="11"/>
      <c r="D11" s="11"/>
    </row>
    <row r="12" spans="1:18" x14ac:dyDescent="0.25">
      <c r="A12" s="39" t="s">
        <v>81</v>
      </c>
      <c r="B12" s="39" t="s">
        <v>82</v>
      </c>
      <c r="C12" s="11"/>
      <c r="D12" s="11"/>
    </row>
    <row r="13" spans="1:18" x14ac:dyDescent="0.25">
      <c r="A13" s="39" t="s">
        <v>83</v>
      </c>
      <c r="B13" s="39" t="s">
        <v>84</v>
      </c>
      <c r="C13" s="11"/>
      <c r="D13" s="11"/>
    </row>
    <row r="14" spans="1:18" x14ac:dyDescent="0.25">
      <c r="A14" s="39" t="s">
        <v>85</v>
      </c>
      <c r="B14" s="39" t="s">
        <v>86</v>
      </c>
      <c r="C14" s="11"/>
      <c r="D14" s="11"/>
    </row>
    <row r="15" spans="1:18" x14ac:dyDescent="0.25">
      <c r="A15" s="39" t="s">
        <v>87</v>
      </c>
      <c r="B15" s="39" t="s">
        <v>88</v>
      </c>
      <c r="C15" s="11"/>
      <c r="D15" s="11"/>
    </row>
    <row r="16" spans="1:18" x14ac:dyDescent="0.25">
      <c r="A16" s="39" t="s">
        <v>89</v>
      </c>
      <c r="B16" s="39" t="s">
        <v>90</v>
      </c>
      <c r="C16" s="11"/>
      <c r="D16" s="11"/>
    </row>
    <row r="17" spans="1:4" x14ac:dyDescent="0.25">
      <c r="A17" s="39" t="s">
        <v>91</v>
      </c>
      <c r="B17" s="39" t="s">
        <v>92</v>
      </c>
      <c r="C17" s="11"/>
      <c r="D17" s="11"/>
    </row>
    <row r="18" spans="1:4" x14ac:dyDescent="0.25">
      <c r="A18" s="39" t="s">
        <v>93</v>
      </c>
      <c r="B18" s="39" t="s">
        <v>94</v>
      </c>
      <c r="C18" s="11"/>
      <c r="D18" s="11"/>
    </row>
    <row r="19" spans="1:4" x14ac:dyDescent="0.25">
      <c r="A19" s="39" t="s">
        <v>95</v>
      </c>
      <c r="B19" s="39" t="s">
        <v>96</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97</v>
      </c>
      <c r="B1" s="66" t="s">
        <v>98</v>
      </c>
    </row>
    <row r="2" spans="1:3" x14ac:dyDescent="0.25">
      <c r="A2" s="67" t="s">
        <v>99</v>
      </c>
      <c r="B2" s="68" t="str">
        <f>PPRD</f>
        <v>JUN, 2022</v>
      </c>
      <c r="C2" s="56"/>
    </row>
    <row r="3" spans="1:3" x14ac:dyDescent="0.25">
      <c r="A3" s="67" t="s">
        <v>100</v>
      </c>
      <c r="B3" s="69" t="str">
        <f>CRNIRN</f>
        <v>CHG228033</v>
      </c>
      <c r="C3" s="56"/>
    </row>
    <row r="4" spans="1:3" x14ac:dyDescent="0.25">
      <c r="A4" s="67" t="s">
        <v>101</v>
      </c>
      <c r="B4" s="69" t="str">
        <f>MA</f>
        <v>CT</v>
      </c>
      <c r="C4" s="56"/>
    </row>
    <row r="5" spans="1:3" x14ac:dyDescent="0.25">
      <c r="A5" s="67" t="s">
        <v>102</v>
      </c>
      <c r="B5" s="69" t="s">
        <v>103</v>
      </c>
    </row>
    <row r="6" spans="1:3" x14ac:dyDescent="0.25">
      <c r="A6" s="67" t="s">
        <v>104</v>
      </c>
      <c r="B6" s="71" t="s">
        <v>105</v>
      </c>
    </row>
    <row r="7" spans="1:3" x14ac:dyDescent="0.25">
      <c r="A7" s="67" t="s">
        <v>106</v>
      </c>
      <c r="B7" s="72">
        <f>DevDReviewed</f>
        <v>44615</v>
      </c>
      <c r="C7" s="56"/>
    </row>
    <row r="8" spans="1:3" x14ac:dyDescent="0.25">
      <c r="A8" s="67" t="s">
        <v>107</v>
      </c>
      <c r="B8" s="71" t="str">
        <f>DevNameReviewed</f>
        <v>FrankMingoué</v>
      </c>
      <c r="C8" s="56"/>
    </row>
    <row r="9" spans="1:3" x14ac:dyDescent="0.25">
      <c r="A9" s="67" t="s">
        <v>108</v>
      </c>
      <c r="B9" s="70" t="str">
        <f>DateReviewed</f>
        <v>2/30/2022</v>
      </c>
      <c r="C9" s="56"/>
    </row>
    <row r="10" spans="1:3" x14ac:dyDescent="0.25">
      <c r="A10" s="67" t="s">
        <v>109</v>
      </c>
      <c r="B10" s="71" t="str">
        <f>ReviewedBy</f>
        <v>VikramSeeburn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13"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253" t="s">
        <v>110</v>
      </c>
      <c r="B1" s="254"/>
      <c r="C1" s="254"/>
      <c r="D1" s="256"/>
    </row>
    <row r="2" spans="1:5" x14ac:dyDescent="0.25">
      <c r="B2" s="12" t="s">
        <v>111</v>
      </c>
      <c r="C2" s="12" t="s">
        <v>112</v>
      </c>
      <c r="D2" s="12" t="s">
        <v>113</v>
      </c>
      <c r="E2" s="58"/>
    </row>
    <row r="3" spans="1:5" ht="39.6" x14ac:dyDescent="0.25">
      <c r="B3" s="59" t="s">
        <v>114</v>
      </c>
      <c r="C3" s="60" t="s">
        <v>115</v>
      </c>
      <c r="D3" s="61" t="str">
        <f>IF(ISBLANK('1.0 DB Schema'!B41)=FALSE,"Impacted","Not Impacted")</f>
        <v>Impacted</v>
      </c>
    </row>
    <row r="4" spans="1:5" ht="26.4" x14ac:dyDescent="0.25">
      <c r="B4" s="59" t="s">
        <v>116</v>
      </c>
      <c r="C4" s="60" t="s">
        <v>117</v>
      </c>
      <c r="D4" s="61" t="str">
        <f>IF(ISBLANK('2.0 Ifb &amp; PHP'!B38)=FALSE,"Impacted","Not Impacted")</f>
        <v>Impacted</v>
      </c>
    </row>
    <row r="5" spans="1:5" ht="39.6" x14ac:dyDescent="0.25">
      <c r="B5" s="59" t="s">
        <v>118</v>
      </c>
      <c r="C5" s="60" t="s">
        <v>119</v>
      </c>
      <c r="D5" s="61" t="str">
        <f>IF(ISBLANK('3.0 Mapping'!B22)=FALSE,"Impacted","Not Impacted")</f>
        <v>Impacted</v>
      </c>
    </row>
    <row r="6" spans="1:5" ht="26.4" x14ac:dyDescent="0.25">
      <c r="B6" s="59" t="s">
        <v>120</v>
      </c>
      <c r="C6" s="60" t="s">
        <v>121</v>
      </c>
      <c r="D6" s="61" t="str">
        <f>IF(ISBLANK('4.0 Worklet &amp; workflow'!B40)=FALSE,"Impacted","Not Impacted")</f>
        <v>Impacted</v>
      </c>
    </row>
    <row r="7" spans="1:5" ht="26.4" x14ac:dyDescent="0.25">
      <c r="B7" s="59" t="s">
        <v>122</v>
      </c>
      <c r="C7" s="60" t="s">
        <v>123</v>
      </c>
      <c r="D7" s="61" t="str">
        <f>IF(ISBLANK('5.0 Stored Procedure'!B10)=FALSE,"Impacted","Not Impacted")</f>
        <v>Not Impacted</v>
      </c>
    </row>
    <row r="8" spans="1:5" ht="26.4" x14ac:dyDescent="0.25">
      <c r="B8" s="59" t="s">
        <v>124</v>
      </c>
      <c r="C8" s="60" t="s">
        <v>125</v>
      </c>
      <c r="D8" s="61" t="str">
        <f>IF(ISBLANK('6.0 Data Update'!E5)=FALSE,"Impacted","Not Impacted")</f>
        <v>Not Impacted</v>
      </c>
    </row>
    <row r="10" spans="1:5" ht="13.8" thickBot="1" x14ac:dyDescent="0.3"/>
    <row r="11" spans="1:5" ht="13.8" thickBot="1" x14ac:dyDescent="0.3">
      <c r="B11" s="15" t="s">
        <v>126</v>
      </c>
    </row>
    <row r="12" spans="1:5" x14ac:dyDescent="0.25">
      <c r="B12" s="12" t="s">
        <v>127</v>
      </c>
      <c r="C12" s="12" t="s">
        <v>128</v>
      </c>
      <c r="D12" s="12" t="s">
        <v>129</v>
      </c>
    </row>
    <row r="13" spans="1:5" x14ac:dyDescent="0.25">
      <c r="B13" s="61" t="s">
        <v>130</v>
      </c>
      <c r="C13" s="61" t="s">
        <v>131</v>
      </c>
      <c r="D13" s="62" t="s">
        <v>132</v>
      </c>
    </row>
    <row r="14" spans="1:5" x14ac:dyDescent="0.25">
      <c r="B14" s="61" t="s">
        <v>133</v>
      </c>
      <c r="C14" s="62" t="s">
        <v>134</v>
      </c>
      <c r="D14" s="61" t="s">
        <v>135</v>
      </c>
    </row>
    <row r="15" spans="1:5" x14ac:dyDescent="0.25">
      <c r="B15" s="61" t="s">
        <v>136</v>
      </c>
      <c r="C15" s="61" t="s">
        <v>137</v>
      </c>
      <c r="D15" s="61" t="s">
        <v>138</v>
      </c>
    </row>
    <row r="16" spans="1:5" x14ac:dyDescent="0.25">
      <c r="B16" s="61" t="s">
        <v>139</v>
      </c>
      <c r="C16" s="61" t="s">
        <v>140</v>
      </c>
      <c r="D16" s="61" t="s">
        <v>141</v>
      </c>
    </row>
    <row r="17" spans="2:4" x14ac:dyDescent="0.25">
      <c r="B17" s="61" t="s">
        <v>142</v>
      </c>
      <c r="C17" s="62" t="s">
        <v>143</v>
      </c>
      <c r="D17" s="61" t="s">
        <v>144</v>
      </c>
    </row>
    <row r="18" spans="2:4" x14ac:dyDescent="0.25">
      <c r="B18" s="61" t="s">
        <v>145</v>
      </c>
      <c r="C18" s="61" t="s">
        <v>146</v>
      </c>
      <c r="D18" s="61" t="s">
        <v>147</v>
      </c>
    </row>
    <row r="19" spans="2:4" x14ac:dyDescent="0.25">
      <c r="B19" s="61" t="s">
        <v>148</v>
      </c>
      <c r="C19" s="61" t="s">
        <v>149</v>
      </c>
      <c r="D19" s="61" t="s">
        <v>150</v>
      </c>
    </row>
    <row r="20" spans="2:4" x14ac:dyDescent="0.25">
      <c r="B20" s="61" t="s">
        <v>151</v>
      </c>
      <c r="C20" s="62" t="s">
        <v>152</v>
      </c>
      <c r="D20" s="61" t="s">
        <v>153</v>
      </c>
    </row>
    <row r="21" spans="2:4" x14ac:dyDescent="0.25">
      <c r="B21" s="61" t="s">
        <v>154</v>
      </c>
      <c r="C21" s="62" t="s">
        <v>155</v>
      </c>
      <c r="D21" s="61" t="s">
        <v>156</v>
      </c>
    </row>
    <row r="22" spans="2:4" x14ac:dyDescent="0.25">
      <c r="B22" s="61" t="s">
        <v>157</v>
      </c>
      <c r="C22" s="62" t="s">
        <v>158</v>
      </c>
      <c r="D22" s="61" t="s">
        <v>159</v>
      </c>
    </row>
    <row r="23" spans="2:4" x14ac:dyDescent="0.25">
      <c r="B23" s="61" t="s">
        <v>160</v>
      </c>
      <c r="C23" s="61" t="s">
        <v>161</v>
      </c>
      <c r="D23" s="61" t="s">
        <v>162</v>
      </c>
    </row>
    <row r="24" spans="2:4" x14ac:dyDescent="0.25">
      <c r="B24" s="61" t="s">
        <v>163</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102"/>
  <sheetViews>
    <sheetView topLeftCell="A22" workbookViewId="0">
      <selection activeCell="B19" sqref="B19"/>
    </sheetView>
  </sheetViews>
  <sheetFormatPr defaultRowHeight="13.2" x14ac:dyDescent="0.25"/>
  <cols>
    <col min="1" max="1" width="34.6640625" customWidth="1"/>
    <col min="2" max="2" width="28.33203125"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253" t="s">
        <v>164</v>
      </c>
      <c r="B1" s="254"/>
      <c r="C1" s="255"/>
    </row>
    <row r="2" spans="1:24" ht="14.4" thickBot="1" x14ac:dyDescent="0.3">
      <c r="E2" s="75" t="s">
        <v>165</v>
      </c>
      <c r="F2" s="34"/>
      <c r="G2" s="34"/>
      <c r="H2" s="34"/>
      <c r="I2" s="34"/>
      <c r="J2" s="34"/>
      <c r="K2" s="34"/>
      <c r="W2" s="56"/>
    </row>
    <row r="3" spans="1:24" ht="13.8" thickBot="1" x14ac:dyDescent="0.3">
      <c r="A3" s="15" t="s">
        <v>166</v>
      </c>
      <c r="B3" s="13"/>
      <c r="C3" s="13"/>
      <c r="E3" s="35" t="s">
        <v>167</v>
      </c>
      <c r="F3" s="34"/>
      <c r="G3" s="34"/>
      <c r="H3" s="34"/>
      <c r="I3" s="34"/>
      <c r="J3" s="34"/>
      <c r="K3" s="34"/>
      <c r="X3" s="56"/>
    </row>
    <row r="4" spans="1:24" x14ac:dyDescent="0.25">
      <c r="A4" s="14" t="s">
        <v>168</v>
      </c>
      <c r="B4" s="12" t="s">
        <v>169</v>
      </c>
      <c r="C4" s="12" t="s">
        <v>66</v>
      </c>
      <c r="E4" s="35" t="s">
        <v>170</v>
      </c>
      <c r="F4" s="35"/>
      <c r="G4" s="35"/>
      <c r="H4" s="35"/>
      <c r="I4" s="35"/>
      <c r="J4" s="34"/>
      <c r="K4" s="34"/>
    </row>
    <row r="5" spans="1:24" x14ac:dyDescent="0.25">
      <c r="A5" s="39" t="s">
        <v>171</v>
      </c>
      <c r="B5" s="39" t="s">
        <v>172</v>
      </c>
      <c r="C5" s="39" t="s">
        <v>173</v>
      </c>
      <c r="E5" s="35" t="s">
        <v>174</v>
      </c>
      <c r="F5" s="35"/>
      <c r="G5" s="35"/>
      <c r="H5" s="35"/>
      <c r="I5" s="35"/>
      <c r="J5" s="34"/>
      <c r="K5" s="34"/>
    </row>
    <row r="6" spans="1:24" x14ac:dyDescent="0.25">
      <c r="A6" s="39" t="s">
        <v>175</v>
      </c>
      <c r="B6" s="39" t="s">
        <v>176</v>
      </c>
      <c r="C6" s="39" t="s">
        <v>173</v>
      </c>
      <c r="D6" t="s">
        <v>177</v>
      </c>
      <c r="E6" s="74" t="s">
        <v>178</v>
      </c>
      <c r="F6" s="34"/>
      <c r="G6" s="34"/>
      <c r="H6" s="34"/>
      <c r="I6" s="34"/>
      <c r="J6" s="34"/>
      <c r="K6" s="34"/>
      <c r="X6" s="56"/>
    </row>
    <row r="7" spans="1:24" x14ac:dyDescent="0.25">
      <c r="A7" s="39"/>
      <c r="B7" s="39"/>
      <c r="C7" s="39"/>
      <c r="E7" s="74"/>
      <c r="F7" s="34"/>
      <c r="G7" s="34"/>
      <c r="H7" s="34"/>
      <c r="I7" s="34"/>
      <c r="J7" s="34"/>
      <c r="K7" s="34"/>
      <c r="X7" s="56"/>
    </row>
    <row r="8" spans="1:24" x14ac:dyDescent="0.25">
      <c r="A8" s="39" t="s">
        <v>179</v>
      </c>
      <c r="B8" s="39" t="s">
        <v>172</v>
      </c>
      <c r="C8" s="39" t="s">
        <v>173</v>
      </c>
      <c r="E8" s="74"/>
      <c r="F8" s="34"/>
      <c r="G8" s="34"/>
      <c r="H8" s="34"/>
      <c r="I8" s="34"/>
      <c r="J8" s="34"/>
      <c r="K8" s="34"/>
      <c r="X8" s="56"/>
    </row>
    <row r="9" spans="1:24" x14ac:dyDescent="0.25">
      <c r="A9" s="39" t="s">
        <v>180</v>
      </c>
      <c r="B9" s="39" t="s">
        <v>176</v>
      </c>
      <c r="C9" s="39" t="s">
        <v>173</v>
      </c>
      <c r="E9" s="74"/>
      <c r="F9" s="34"/>
      <c r="G9" s="34"/>
      <c r="H9" s="34"/>
      <c r="I9" s="34"/>
      <c r="J9" s="34"/>
      <c r="K9" s="34"/>
      <c r="X9" s="56"/>
    </row>
    <row r="10" spans="1:24" x14ac:dyDescent="0.25">
      <c r="A10" s="11"/>
      <c r="B10" s="11"/>
      <c r="C10" s="11"/>
    </row>
    <row r="11" spans="1:24" ht="13.8" thickBot="1" x14ac:dyDescent="0.3">
      <c r="X11" s="56"/>
    </row>
    <row r="12" spans="1:24" ht="13.8" thickBot="1" x14ac:dyDescent="0.3">
      <c r="A12" s="15" t="s">
        <v>181</v>
      </c>
      <c r="X12" s="56"/>
    </row>
    <row r="13" spans="1:24" x14ac:dyDescent="0.25">
      <c r="A13" s="14" t="s">
        <v>168</v>
      </c>
      <c r="B13" s="12" t="s">
        <v>182</v>
      </c>
      <c r="C13" s="12" t="s">
        <v>183</v>
      </c>
      <c r="D13" s="12" t="s">
        <v>169</v>
      </c>
      <c r="E13" s="12" t="s">
        <v>184</v>
      </c>
      <c r="F13" s="12" t="s">
        <v>66</v>
      </c>
      <c r="X13" s="56"/>
    </row>
    <row r="14" spans="1:24" ht="13.95" customHeight="1" x14ac:dyDescent="0.25">
      <c r="A14" s="39" t="s">
        <v>171</v>
      </c>
      <c r="B14" s="196" t="s">
        <v>432</v>
      </c>
      <c r="C14" s="39" t="s">
        <v>185</v>
      </c>
      <c r="D14" s="39" t="s">
        <v>172</v>
      </c>
      <c r="E14" s="39"/>
      <c r="F14" s="39"/>
      <c r="G14">
        <v>0.02</v>
      </c>
    </row>
    <row r="15" spans="1:24" x14ac:dyDescent="0.25">
      <c r="A15" s="39" t="s">
        <v>175</v>
      </c>
      <c r="B15" s="196" t="s">
        <v>432</v>
      </c>
      <c r="C15" s="39" t="s">
        <v>186</v>
      </c>
      <c r="D15" s="39" t="s">
        <v>176</v>
      </c>
      <c r="E15" s="39"/>
      <c r="F15" s="39"/>
      <c r="G15">
        <v>0.02</v>
      </c>
    </row>
    <row r="16" spans="1:24" ht="13.2" customHeight="1" x14ac:dyDescent="0.25">
      <c r="A16" s="39"/>
      <c r="B16" s="39"/>
      <c r="C16" s="39"/>
      <c r="D16" s="39"/>
      <c r="E16" s="39"/>
      <c r="F16" s="39"/>
    </row>
    <row r="17" spans="1:7" ht="13.2" customHeight="1" x14ac:dyDescent="0.25">
      <c r="A17" s="39"/>
      <c r="B17" s="39"/>
      <c r="C17" s="39"/>
      <c r="D17" s="39"/>
      <c r="E17" s="39"/>
      <c r="F17" s="39"/>
    </row>
    <row r="18" spans="1:7" ht="13.2" customHeight="1" x14ac:dyDescent="0.25">
      <c r="A18" s="39"/>
      <c r="B18" s="39"/>
      <c r="C18" s="39"/>
      <c r="D18" s="39"/>
      <c r="E18" s="39"/>
      <c r="F18" s="39"/>
    </row>
    <row r="19" spans="1:7" ht="13.2" customHeight="1" x14ac:dyDescent="0.25">
      <c r="A19" s="39" t="s">
        <v>179</v>
      </c>
      <c r="B19" s="184" t="s">
        <v>362</v>
      </c>
      <c r="C19" s="39" t="s">
        <v>185</v>
      </c>
      <c r="D19" s="39" t="s">
        <v>172</v>
      </c>
      <c r="E19" s="39"/>
      <c r="F19" s="39"/>
      <c r="G19">
        <v>0.02</v>
      </c>
    </row>
    <row r="20" spans="1:7" ht="13.2" customHeight="1" x14ac:dyDescent="0.25">
      <c r="A20" s="39" t="s">
        <v>180</v>
      </c>
      <c r="B20" s="184" t="s">
        <v>362</v>
      </c>
      <c r="C20" s="39" t="s">
        <v>351</v>
      </c>
      <c r="D20" s="39" t="s">
        <v>176</v>
      </c>
      <c r="E20" s="39"/>
      <c r="F20" s="39"/>
      <c r="G20">
        <v>0.02</v>
      </c>
    </row>
    <row r="21" spans="1:7" s="179" customFormat="1" ht="13.2" customHeight="1" x14ac:dyDescent="0.25">
      <c r="A21" s="184"/>
      <c r="B21" s="91"/>
      <c r="C21" s="184"/>
      <c r="D21" s="184"/>
      <c r="E21" s="184"/>
      <c r="F21" s="184"/>
    </row>
    <row r="22" spans="1:7" s="179" customFormat="1" ht="13.2" customHeight="1" x14ac:dyDescent="0.25">
      <c r="A22" s="184" t="s">
        <v>337</v>
      </c>
      <c r="B22" s="184" t="s">
        <v>339</v>
      </c>
      <c r="C22" s="199" t="s">
        <v>251</v>
      </c>
      <c r="D22" s="184" t="s">
        <v>172</v>
      </c>
      <c r="E22" s="184"/>
      <c r="F22" s="184"/>
      <c r="G22" s="179">
        <v>0.02</v>
      </c>
    </row>
    <row r="23" spans="1:7" s="179" customFormat="1" ht="13.2" customHeight="1" x14ac:dyDescent="0.25">
      <c r="A23" s="184" t="s">
        <v>337</v>
      </c>
      <c r="B23" s="184" t="s">
        <v>340</v>
      </c>
      <c r="C23" s="200" t="s">
        <v>187</v>
      </c>
      <c r="D23" s="184" t="s">
        <v>172</v>
      </c>
      <c r="E23" s="184"/>
      <c r="F23" s="184"/>
      <c r="G23" s="179">
        <v>0.02</v>
      </c>
    </row>
    <row r="24" spans="1:7" s="179" customFormat="1" ht="13.2" customHeight="1" x14ac:dyDescent="0.25">
      <c r="A24" s="184"/>
      <c r="B24" s="91"/>
      <c r="C24" s="184"/>
      <c r="D24" s="184"/>
      <c r="E24" s="184"/>
      <c r="F24" s="184"/>
    </row>
    <row r="25" spans="1:7" s="179" customFormat="1" ht="13.2" customHeight="1" x14ac:dyDescent="0.25">
      <c r="A25" s="184" t="s">
        <v>338</v>
      </c>
      <c r="B25" s="196" t="s">
        <v>442</v>
      </c>
      <c r="C25" s="199" t="s">
        <v>251</v>
      </c>
      <c r="D25" s="184" t="s">
        <v>172</v>
      </c>
      <c r="E25" s="184"/>
      <c r="F25" s="184"/>
      <c r="G25" s="179">
        <v>0.02</v>
      </c>
    </row>
    <row r="26" spans="1:7" s="179" customFormat="1" ht="13.2" customHeight="1" x14ac:dyDescent="0.25">
      <c r="A26" s="184" t="s">
        <v>338</v>
      </c>
      <c r="B26" s="196" t="s">
        <v>443</v>
      </c>
      <c r="C26" s="200" t="s">
        <v>187</v>
      </c>
      <c r="D26" s="184" t="s">
        <v>172</v>
      </c>
      <c r="E26" s="184"/>
      <c r="F26" s="184"/>
      <c r="G26" s="179">
        <v>0.02</v>
      </c>
    </row>
    <row r="27" spans="1:7" s="179" customFormat="1" ht="13.2" customHeight="1" x14ac:dyDescent="0.25">
      <c r="A27" s="184"/>
      <c r="B27" s="91"/>
      <c r="C27" s="184"/>
      <c r="D27" s="184"/>
      <c r="E27" s="184"/>
      <c r="F27" s="184"/>
    </row>
    <row r="28" spans="1:7" ht="13.2" customHeight="1" x14ac:dyDescent="0.25">
      <c r="A28" s="39"/>
      <c r="B28" s="39"/>
      <c r="C28" s="39"/>
      <c r="D28" s="39"/>
      <c r="E28" s="39"/>
      <c r="F28" s="39"/>
    </row>
    <row r="29" spans="1:7" ht="13.2" customHeight="1" thickBot="1" x14ac:dyDescent="0.3"/>
    <row r="30" spans="1:7" ht="13.2" customHeight="1" thickBot="1" x14ac:dyDescent="0.3">
      <c r="A30" s="15" t="s">
        <v>188</v>
      </c>
    </row>
    <row r="31" spans="1:7" ht="13.2" customHeight="1" x14ac:dyDescent="0.25">
      <c r="A31" s="14" t="s">
        <v>189</v>
      </c>
      <c r="B31" s="12" t="s">
        <v>190</v>
      </c>
      <c r="C31" s="12" t="s">
        <v>191</v>
      </c>
      <c r="D31" s="12" t="s">
        <v>192</v>
      </c>
    </row>
    <row r="32" spans="1:7" ht="13.2" customHeight="1" x14ac:dyDescent="0.25">
      <c r="A32" s="39" t="s">
        <v>163</v>
      </c>
      <c r="B32" s="39"/>
      <c r="C32" s="39"/>
      <c r="D32" s="11"/>
    </row>
    <row r="33" spans="1:8" ht="13.2" customHeight="1" x14ac:dyDescent="0.25">
      <c r="A33" s="39"/>
      <c r="B33" s="39"/>
      <c r="C33" s="39"/>
      <c r="D33" s="11"/>
    </row>
    <row r="34" spans="1:8" ht="13.2" customHeight="1" x14ac:dyDescent="0.25">
      <c r="A34" s="39"/>
      <c r="B34" s="39"/>
      <c r="C34" s="39"/>
      <c r="D34" s="11"/>
    </row>
    <row r="35" spans="1:8" ht="13.2" customHeight="1" thickBot="1" x14ac:dyDescent="0.3">
      <c r="A35" s="56"/>
      <c r="B35" s="56"/>
      <c r="C35" s="56"/>
    </row>
    <row r="36" spans="1:8" ht="13.2" customHeight="1" thickBot="1" x14ac:dyDescent="0.3">
      <c r="A36" s="15" t="s">
        <v>193</v>
      </c>
      <c r="B36" s="56"/>
      <c r="C36" s="56"/>
    </row>
    <row r="37" spans="1:8" ht="13.2" customHeight="1" x14ac:dyDescent="0.25">
      <c r="A37" s="14" t="s">
        <v>127</v>
      </c>
      <c r="B37" s="12" t="s">
        <v>194</v>
      </c>
    </row>
    <row r="38" spans="1:8" ht="13.2" customHeight="1" x14ac:dyDescent="0.25">
      <c r="A38" s="39" t="s">
        <v>163</v>
      </c>
      <c r="B38" s="39"/>
    </row>
    <row r="39" spans="1:8" ht="13.2" customHeight="1" x14ac:dyDescent="0.25">
      <c r="A39" s="39"/>
      <c r="B39" s="39"/>
    </row>
    <row r="40" spans="1:8" ht="13.2" customHeight="1" x14ac:dyDescent="0.25">
      <c r="A40" s="19" t="s">
        <v>32</v>
      </c>
      <c r="B40" s="19" t="s">
        <v>195</v>
      </c>
    </row>
    <row r="41" spans="1:8" ht="13.2" customHeight="1" x14ac:dyDescent="0.25">
      <c r="A41" s="18"/>
      <c r="B41" s="18">
        <f>SUM(G:G)</f>
        <v>0.16</v>
      </c>
    </row>
    <row r="42" spans="1:8" ht="13.2" customHeight="1" x14ac:dyDescent="0.25"/>
    <row r="43" spans="1:8" ht="13.2" customHeight="1" x14ac:dyDescent="0.25"/>
    <row r="44" spans="1:8" ht="13.2" customHeight="1" x14ac:dyDescent="0.25"/>
    <row r="45" spans="1:8" ht="13.2" customHeight="1" x14ac:dyDescent="0.25"/>
    <row r="46" spans="1:8" ht="13.2" customHeight="1" x14ac:dyDescent="0.25">
      <c r="H46" s="56"/>
    </row>
    <row r="47" spans="1:8" ht="13.2" customHeight="1" x14ac:dyDescent="0.25">
      <c r="H47" s="56"/>
    </row>
    <row r="48" spans="1:8" ht="13.2" customHeight="1" x14ac:dyDescent="0.25"/>
    <row r="49" ht="13.2" customHeight="1" x14ac:dyDescent="0.25"/>
    <row r="50" ht="13.2" customHeight="1" x14ac:dyDescent="0.25"/>
    <row r="51" ht="13.2" customHeight="1" x14ac:dyDescent="0.25"/>
    <row r="52" ht="13.2" customHeight="1" x14ac:dyDescent="0.25"/>
    <row r="53" ht="13.2" customHeight="1" x14ac:dyDescent="0.25"/>
    <row r="54" ht="13.2" customHeight="1" x14ac:dyDescent="0.25"/>
    <row r="55" ht="13.2" customHeight="1" x14ac:dyDescent="0.25"/>
    <row r="56" ht="13.2" customHeight="1" x14ac:dyDescent="0.25"/>
    <row r="57" ht="13.2" customHeight="1" x14ac:dyDescent="0.25"/>
    <row r="58" ht="13.2" customHeight="1" x14ac:dyDescent="0.25"/>
    <row r="59" ht="13.2" customHeight="1" x14ac:dyDescent="0.25"/>
    <row r="60" ht="13.2" customHeight="1" x14ac:dyDescent="0.25"/>
    <row r="61" ht="13.2" customHeight="1" x14ac:dyDescent="0.25"/>
    <row r="62" ht="13.2" customHeight="1" x14ac:dyDescent="0.25"/>
    <row r="63" ht="13.2" customHeight="1" x14ac:dyDescent="0.25"/>
    <row r="64" ht="13.2" customHeight="1" x14ac:dyDescent="0.25"/>
    <row r="65" ht="13.2" customHeight="1" x14ac:dyDescent="0.25"/>
    <row r="66" ht="13.2" customHeight="1" x14ac:dyDescent="0.25"/>
    <row r="67" ht="13.2" customHeight="1" x14ac:dyDescent="0.25"/>
    <row r="68" ht="13.2" customHeight="1" x14ac:dyDescent="0.25"/>
    <row r="69" ht="13.2" customHeight="1" x14ac:dyDescent="0.25"/>
    <row r="70" ht="13.2" customHeight="1" x14ac:dyDescent="0.25"/>
    <row r="71" ht="13.2" customHeight="1" x14ac:dyDescent="0.25"/>
    <row r="72" ht="13.2" customHeight="1" x14ac:dyDescent="0.25"/>
    <row r="73" ht="13.2" customHeight="1" x14ac:dyDescent="0.25"/>
    <row r="74" ht="13.2" customHeight="1" x14ac:dyDescent="0.25"/>
    <row r="75" ht="13.2" customHeight="1" x14ac:dyDescent="0.25"/>
    <row r="76" ht="13.2" customHeight="1" x14ac:dyDescent="0.25"/>
    <row r="77" ht="13.2" customHeight="1" x14ac:dyDescent="0.25"/>
    <row r="78" ht="13.2" customHeight="1" x14ac:dyDescent="0.25"/>
    <row r="79" ht="13.2" customHeight="1" x14ac:dyDescent="0.25"/>
    <row r="80" ht="13.2" customHeight="1" x14ac:dyDescent="0.25"/>
    <row r="81" spans="27:27" ht="13.2" customHeight="1" x14ac:dyDescent="0.25"/>
    <row r="82" spans="27:27" ht="13.2" customHeight="1" x14ac:dyDescent="0.25"/>
    <row r="83" spans="27:27" ht="13.2" customHeight="1" x14ac:dyDescent="0.25"/>
    <row r="84" spans="27:27" ht="13.2" customHeight="1" x14ac:dyDescent="0.25"/>
    <row r="85" spans="27:27" ht="13.2" customHeight="1" x14ac:dyDescent="0.25"/>
    <row r="86" spans="27:27" ht="13.2" customHeight="1" x14ac:dyDescent="0.25"/>
    <row r="87" spans="27:27" ht="13.2" customHeight="1" x14ac:dyDescent="0.25"/>
    <row r="88" spans="27:27" ht="13.2" customHeight="1" x14ac:dyDescent="0.25"/>
    <row r="89" spans="27:27" ht="13.2" customHeight="1" x14ac:dyDescent="0.25"/>
    <row r="90" spans="27:27" ht="13.2" customHeight="1" x14ac:dyDescent="0.25"/>
    <row r="93" spans="27:27" ht="13.95" customHeight="1" x14ac:dyDescent="0.25"/>
    <row r="95" spans="27:27" x14ac:dyDescent="0.25">
      <c r="AA95" s="56"/>
    </row>
    <row r="96" spans="27:27" ht="13.2" customHeight="1" x14ac:dyDescent="0.25">
      <c r="AA96" s="56"/>
    </row>
    <row r="99" spans="29:29" ht="13.95" customHeight="1" x14ac:dyDescent="0.25"/>
    <row r="101" spans="29:29" x14ac:dyDescent="0.25">
      <c r="AC101" s="56"/>
    </row>
    <row r="102" spans="29:29" ht="13.2" customHeight="1" x14ac:dyDescent="0.25"/>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8"/>
  <sheetViews>
    <sheetView topLeftCell="A7" workbookViewId="0">
      <selection activeCell="D19" sqref="D19"/>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253" t="s">
        <v>196</v>
      </c>
      <c r="B1" s="254"/>
      <c r="C1" s="255"/>
    </row>
    <row r="2" spans="1:3" ht="13.8" thickBot="1" x14ac:dyDescent="0.3"/>
    <row r="3" spans="1:3" ht="13.8" thickBot="1" x14ac:dyDescent="0.3">
      <c r="A3" s="16" t="s">
        <v>197</v>
      </c>
      <c r="B3" s="27"/>
    </row>
    <row r="4" spans="1:3" x14ac:dyDescent="0.25">
      <c r="A4" s="14" t="s">
        <v>198</v>
      </c>
      <c r="B4" s="26" t="s">
        <v>66</v>
      </c>
    </row>
    <row r="5" spans="1:3" x14ac:dyDescent="0.25">
      <c r="A5" s="11" t="s">
        <v>199</v>
      </c>
      <c r="B5" s="25" t="s">
        <v>200</v>
      </c>
      <c r="C5">
        <v>0.03</v>
      </c>
    </row>
    <row r="6" spans="1:3" x14ac:dyDescent="0.25">
      <c r="A6" s="11" t="s">
        <v>201</v>
      </c>
      <c r="B6" s="25" t="s">
        <v>200</v>
      </c>
      <c r="C6">
        <v>0.03</v>
      </c>
    </row>
    <row r="7" spans="1:3" x14ac:dyDescent="0.25">
      <c r="A7" s="11" t="s">
        <v>202</v>
      </c>
      <c r="B7" s="25" t="s">
        <v>200</v>
      </c>
      <c r="C7">
        <v>0.03</v>
      </c>
    </row>
    <row r="8" spans="1:3" ht="13.8" thickBot="1" x14ac:dyDescent="0.3">
      <c r="B8" s="90"/>
    </row>
    <row r="9" spans="1:3" ht="13.8" thickBot="1" x14ac:dyDescent="0.3">
      <c r="A9" s="16" t="s">
        <v>203</v>
      </c>
      <c r="B9" s="27"/>
      <c r="C9" s="13"/>
    </row>
    <row r="10" spans="1:3" x14ac:dyDescent="0.25">
      <c r="A10" s="14" t="s">
        <v>204</v>
      </c>
      <c r="B10" s="26" t="s">
        <v>66</v>
      </c>
    </row>
    <row r="11" spans="1:3" x14ac:dyDescent="0.25">
      <c r="A11" s="39"/>
      <c r="B11" s="25"/>
    </row>
    <row r="12" spans="1:3" x14ac:dyDescent="0.25">
      <c r="A12" s="39" t="s">
        <v>205</v>
      </c>
      <c r="B12" s="25" t="s">
        <v>206</v>
      </c>
      <c r="C12">
        <v>0.1</v>
      </c>
    </row>
    <row r="13" spans="1:3" x14ac:dyDescent="0.25">
      <c r="A13" s="39" t="s">
        <v>207</v>
      </c>
      <c r="B13" s="25" t="s">
        <v>206</v>
      </c>
      <c r="C13">
        <v>0.1</v>
      </c>
    </row>
    <row r="14" spans="1:3" s="179" customFormat="1" ht="26.4" x14ac:dyDescent="0.25">
      <c r="A14" s="196" t="s">
        <v>439</v>
      </c>
      <c r="B14" s="197" t="s">
        <v>440</v>
      </c>
      <c r="C14" s="179">
        <v>0.1</v>
      </c>
    </row>
    <row r="15" spans="1:3" s="179" customFormat="1" x14ac:dyDescent="0.25">
      <c r="B15" s="182"/>
    </row>
    <row r="16" spans="1:3" s="179" customFormat="1" ht="13.8" thickBot="1" x14ac:dyDescent="0.3">
      <c r="B16" s="182"/>
    </row>
    <row r="17" spans="1:9" ht="13.8" thickBot="1" x14ac:dyDescent="0.3">
      <c r="A17" s="16" t="s">
        <v>208</v>
      </c>
    </row>
    <row r="18" spans="1:9" x14ac:dyDescent="0.25">
      <c r="A18" s="14" t="s">
        <v>198</v>
      </c>
      <c r="B18" s="26" t="s">
        <v>66</v>
      </c>
    </row>
    <row r="19" spans="1:9" x14ac:dyDescent="0.25">
      <c r="A19" s="11"/>
      <c r="B19" s="20"/>
    </row>
    <row r="20" spans="1:9" x14ac:dyDescent="0.25">
      <c r="A20" s="11"/>
      <c r="B20" s="20"/>
    </row>
    <row r="21" spans="1:9" x14ac:dyDescent="0.25">
      <c r="A21" s="11"/>
      <c r="B21" s="20"/>
      <c r="I21" s="56"/>
    </row>
    <row r="22" spans="1:9" ht="13.8" thickBot="1" x14ac:dyDescent="0.3"/>
    <row r="23" spans="1:9" ht="13.8" thickBot="1" x14ac:dyDescent="0.3">
      <c r="A23" s="16" t="s">
        <v>209</v>
      </c>
      <c r="G23" s="56"/>
    </row>
    <row r="24" spans="1:9" x14ac:dyDescent="0.25">
      <c r="A24" s="14" t="s">
        <v>198</v>
      </c>
      <c r="B24" s="26" t="s">
        <v>66</v>
      </c>
    </row>
    <row r="25" spans="1:9" x14ac:dyDescent="0.25">
      <c r="A25" s="39" t="s">
        <v>163</v>
      </c>
      <c r="B25" s="20"/>
    </row>
    <row r="26" spans="1:9" x14ac:dyDescent="0.25">
      <c r="A26" s="11"/>
      <c r="B26" s="20"/>
    </row>
    <row r="27" spans="1:9" x14ac:dyDescent="0.25">
      <c r="A27" s="11"/>
      <c r="B27" s="20"/>
    </row>
    <row r="28" spans="1:9" x14ac:dyDescent="0.25">
      <c r="A28" s="11"/>
      <c r="B28" s="20"/>
    </row>
    <row r="29" spans="1:9" ht="13.8" thickBot="1" x14ac:dyDescent="0.3"/>
    <row r="30" spans="1:9" ht="13.8" thickBot="1" x14ac:dyDescent="0.3">
      <c r="A30" s="16" t="s">
        <v>210</v>
      </c>
    </row>
    <row r="31" spans="1:9" x14ac:dyDescent="0.25">
      <c r="A31" s="14" t="s">
        <v>198</v>
      </c>
      <c r="B31" s="26" t="s">
        <v>66</v>
      </c>
    </row>
    <row r="32" spans="1:9" x14ac:dyDescent="0.25">
      <c r="A32" s="39" t="s">
        <v>163</v>
      </c>
      <c r="B32" s="20"/>
    </row>
    <row r="33" spans="1:2" x14ac:dyDescent="0.25">
      <c r="A33" s="11"/>
      <c r="B33" s="20"/>
    </row>
    <row r="34" spans="1:2" x14ac:dyDescent="0.25">
      <c r="A34" s="11"/>
      <c r="B34" s="20"/>
    </row>
    <row r="35" spans="1:2" x14ac:dyDescent="0.25">
      <c r="A35" s="11"/>
      <c r="B35" s="20"/>
    </row>
    <row r="37" spans="1:2" x14ac:dyDescent="0.25">
      <c r="A37" s="19" t="s">
        <v>32</v>
      </c>
      <c r="B37" s="28" t="s">
        <v>195</v>
      </c>
    </row>
    <row r="38" spans="1:2" x14ac:dyDescent="0.25">
      <c r="A38" s="18"/>
      <c r="B38" s="29">
        <f>SUM(C4:C35)</f>
        <v>0.39</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22"/>
  <sheetViews>
    <sheetView topLeftCell="A13" workbookViewId="0">
      <selection activeCell="D14" sqref="D14"/>
    </sheetView>
  </sheetViews>
  <sheetFormatPr defaultRowHeight="13.2" x14ac:dyDescent="0.25"/>
  <cols>
    <col min="1" max="1" width="23.88671875" customWidth="1"/>
    <col min="2" max="2" width="60.109375" customWidth="1"/>
    <col min="3" max="3" width="47.44140625" customWidth="1"/>
  </cols>
  <sheetData>
    <row r="1" spans="1:5" ht="13.8" thickBot="1" x14ac:dyDescent="0.3">
      <c r="A1" s="253" t="s">
        <v>211</v>
      </c>
      <c r="B1" s="254"/>
      <c r="C1" s="255"/>
    </row>
    <row r="3" spans="1:5" x14ac:dyDescent="0.25">
      <c r="A3" s="12" t="s">
        <v>212</v>
      </c>
      <c r="B3" s="12" t="s">
        <v>213</v>
      </c>
      <c r="C3" s="12" t="s">
        <v>66</v>
      </c>
    </row>
    <row r="4" spans="1:5" x14ac:dyDescent="0.25">
      <c r="A4" s="39" t="s">
        <v>214</v>
      </c>
      <c r="B4" s="39" t="s">
        <v>215</v>
      </c>
      <c r="C4" s="92" t="s">
        <v>216</v>
      </c>
      <c r="D4">
        <v>0.1</v>
      </c>
    </row>
    <row r="5" spans="1:5" x14ac:dyDescent="0.25">
      <c r="A5" s="39" t="s">
        <v>214</v>
      </c>
      <c r="B5" s="11" t="s">
        <v>218</v>
      </c>
      <c r="C5" s="92" t="s">
        <v>216</v>
      </c>
      <c r="D5" s="144">
        <v>0.1</v>
      </c>
    </row>
    <row r="6" spans="1:5" x14ac:dyDescent="0.25">
      <c r="A6" s="39" t="s">
        <v>214</v>
      </c>
      <c r="B6" s="39" t="s">
        <v>219</v>
      </c>
      <c r="C6" s="92" t="s">
        <v>216</v>
      </c>
      <c r="D6">
        <v>0.1</v>
      </c>
    </row>
    <row r="7" spans="1:5" x14ac:dyDescent="0.25">
      <c r="A7" s="39" t="s">
        <v>214</v>
      </c>
      <c r="B7" s="39" t="s">
        <v>221</v>
      </c>
      <c r="C7" s="92" t="s">
        <v>216</v>
      </c>
      <c r="D7">
        <v>0.1</v>
      </c>
    </row>
    <row r="8" spans="1:5" x14ac:dyDescent="0.25">
      <c r="A8" s="39" t="s">
        <v>222</v>
      </c>
      <c r="B8" s="39" t="s">
        <v>223</v>
      </c>
      <c r="C8" s="92" t="s">
        <v>224</v>
      </c>
    </row>
    <row r="9" spans="1:5" x14ac:dyDescent="0.25">
      <c r="A9" s="39" t="s">
        <v>222</v>
      </c>
      <c r="B9" s="39" t="s">
        <v>226</v>
      </c>
      <c r="C9" s="92" t="s">
        <v>224</v>
      </c>
    </row>
    <row r="10" spans="1:5" x14ac:dyDescent="0.25">
      <c r="A10" s="39" t="s">
        <v>222</v>
      </c>
      <c r="B10" s="39" t="s">
        <v>227</v>
      </c>
      <c r="C10" s="92" t="s">
        <v>224</v>
      </c>
    </row>
    <row r="11" spans="1:5" x14ac:dyDescent="0.25">
      <c r="A11" s="39" t="s">
        <v>222</v>
      </c>
      <c r="B11" s="39" t="s">
        <v>228</v>
      </c>
      <c r="C11" s="92" t="s">
        <v>224</v>
      </c>
    </row>
    <row r="12" spans="1:5" x14ac:dyDescent="0.25">
      <c r="A12" s="95"/>
      <c r="B12" s="95"/>
      <c r="C12" s="96"/>
    </row>
    <row r="13" spans="1:5" ht="169.8" customHeight="1" x14ac:dyDescent="0.25">
      <c r="A13" s="94" t="s">
        <v>214</v>
      </c>
      <c r="B13" s="39" t="s">
        <v>229</v>
      </c>
      <c r="C13" s="198" t="s">
        <v>441</v>
      </c>
      <c r="D13">
        <f>0.0625*2</f>
        <v>0.125</v>
      </c>
    </row>
    <row r="14" spans="1:5" ht="26.4" x14ac:dyDescent="0.25">
      <c r="A14" s="94" t="s">
        <v>222</v>
      </c>
      <c r="B14" s="39" t="s">
        <v>230</v>
      </c>
      <c r="C14" s="130" t="s">
        <v>363</v>
      </c>
      <c r="D14">
        <v>5.0000000000000001E-3</v>
      </c>
    </row>
    <row r="15" spans="1:5" x14ac:dyDescent="0.25">
      <c r="A15" s="100"/>
      <c r="B15" s="101"/>
      <c r="C15" s="100"/>
    </row>
    <row r="16" spans="1:5" ht="53.4" x14ac:dyDescent="0.3">
      <c r="A16" s="97" t="s">
        <v>214</v>
      </c>
      <c r="B16" s="98" t="s">
        <v>231</v>
      </c>
      <c r="C16" s="99" t="s">
        <v>383</v>
      </c>
      <c r="D16">
        <v>6.25E-2</v>
      </c>
      <c r="E16" s="56"/>
    </row>
    <row r="21" spans="1:2" x14ac:dyDescent="0.25">
      <c r="A21" s="19" t="s">
        <v>32</v>
      </c>
      <c r="B21" s="19" t="s">
        <v>195</v>
      </c>
    </row>
    <row r="22" spans="1:2" x14ac:dyDescent="0.25">
      <c r="A22" s="18"/>
      <c r="B22" s="18">
        <f>SUM(D:D)</f>
        <v>0.59250000000000003</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I59"/>
  <sheetViews>
    <sheetView topLeftCell="A31" workbookViewId="0">
      <selection activeCell="H51" sqref="H51"/>
    </sheetView>
  </sheetViews>
  <sheetFormatPr defaultRowHeight="13.2" x14ac:dyDescent="0.25"/>
  <cols>
    <col min="1" max="1" width="29" customWidth="1"/>
    <col min="2" max="2" width="28.5546875" customWidth="1"/>
    <col min="3" max="3" width="25.33203125" customWidth="1"/>
    <col min="4" max="4" width="18.88671875" customWidth="1"/>
    <col min="5" max="5" width="18.33203125" customWidth="1"/>
    <col min="6" max="6" width="26.44140625" customWidth="1"/>
    <col min="7" max="7" width="20.6640625" customWidth="1"/>
    <col min="8" max="8" width="25" customWidth="1"/>
    <col min="9" max="9" width="37.33203125" customWidth="1"/>
    <col min="10" max="10" width="26.44140625" bestFit="1" customWidth="1"/>
  </cols>
  <sheetData>
    <row r="1" spans="1:9" x14ac:dyDescent="0.25">
      <c r="A1" s="259" t="s">
        <v>232</v>
      </c>
      <c r="B1" s="260"/>
      <c r="C1" s="260"/>
      <c r="D1" s="261"/>
      <c r="E1" s="102"/>
      <c r="F1" s="102"/>
      <c r="G1" s="102"/>
      <c r="H1" s="102"/>
      <c r="I1" s="102"/>
    </row>
    <row r="2" spans="1:9" x14ac:dyDescent="0.25">
      <c r="A2" s="102"/>
      <c r="B2" s="102"/>
      <c r="C2" s="102"/>
      <c r="D2" s="102"/>
      <c r="E2" s="102"/>
      <c r="F2" s="102"/>
      <c r="G2" s="102"/>
      <c r="H2" s="102"/>
      <c r="I2" s="102"/>
    </row>
    <row r="3" spans="1:9" x14ac:dyDescent="0.25">
      <c r="A3" s="105" t="s">
        <v>213</v>
      </c>
      <c r="B3" s="257" t="s">
        <v>219</v>
      </c>
      <c r="C3" s="258"/>
      <c r="D3" s="102"/>
      <c r="E3" s="102"/>
      <c r="F3" s="102"/>
      <c r="G3" s="102"/>
      <c r="H3" s="102"/>
      <c r="I3" s="102"/>
    </row>
    <row r="4" spans="1:9" x14ac:dyDescent="0.25">
      <c r="A4" s="102"/>
      <c r="B4" s="102"/>
      <c r="C4" s="102"/>
      <c r="D4" s="102"/>
      <c r="E4" s="102"/>
      <c r="F4" s="102"/>
      <c r="G4" s="102"/>
      <c r="H4" s="102"/>
      <c r="I4" s="102"/>
    </row>
    <row r="5" spans="1:9" x14ac:dyDescent="0.25">
      <c r="A5" s="105" t="s">
        <v>233</v>
      </c>
      <c r="B5" s="105" t="s">
        <v>234</v>
      </c>
      <c r="C5" s="105" t="s">
        <v>235</v>
      </c>
      <c r="D5" s="105" t="s">
        <v>236</v>
      </c>
      <c r="E5" s="105" t="s">
        <v>237</v>
      </c>
      <c r="F5" s="105" t="s">
        <v>238</v>
      </c>
      <c r="G5" s="105" t="s">
        <v>235</v>
      </c>
      <c r="H5" s="105" t="s">
        <v>239</v>
      </c>
      <c r="I5" s="105" t="s">
        <v>240</v>
      </c>
    </row>
    <row r="6" spans="1:9" ht="19.95" customHeight="1" x14ac:dyDescent="0.25">
      <c r="A6" s="113" t="s">
        <v>171</v>
      </c>
      <c r="B6" s="202" t="s">
        <v>432</v>
      </c>
      <c r="C6" s="113" t="s">
        <v>185</v>
      </c>
      <c r="D6" s="113" t="s">
        <v>175</v>
      </c>
      <c r="E6" s="113" t="s">
        <v>175</v>
      </c>
      <c r="F6" s="202" t="s">
        <v>432</v>
      </c>
      <c r="G6" s="113" t="s">
        <v>186</v>
      </c>
      <c r="H6" s="115" t="s">
        <v>335</v>
      </c>
      <c r="I6" s="116"/>
    </row>
    <row r="7" spans="1:9" x14ac:dyDescent="0.25">
      <c r="A7" s="102"/>
      <c r="B7" s="102"/>
      <c r="C7" s="102"/>
      <c r="D7" s="102"/>
      <c r="E7" s="102"/>
      <c r="F7" s="102"/>
      <c r="G7" s="102"/>
      <c r="H7" s="102"/>
      <c r="I7" s="102"/>
    </row>
    <row r="8" spans="1:9" x14ac:dyDescent="0.25">
      <c r="A8" s="102"/>
      <c r="B8" s="102"/>
      <c r="C8" s="102"/>
      <c r="D8" s="102"/>
      <c r="E8" s="102"/>
      <c r="F8" s="102"/>
      <c r="G8" s="102"/>
      <c r="H8" s="102"/>
      <c r="I8" s="102"/>
    </row>
    <row r="9" spans="1:9" x14ac:dyDescent="0.25">
      <c r="A9" s="105" t="s">
        <v>213</v>
      </c>
      <c r="B9" s="257" t="s">
        <v>221</v>
      </c>
      <c r="C9" s="258"/>
      <c r="D9" s="102"/>
      <c r="E9" s="102"/>
      <c r="F9" s="102"/>
      <c r="G9" s="102"/>
      <c r="H9" s="102"/>
      <c r="I9" s="102"/>
    </row>
    <row r="10" spans="1:9" x14ac:dyDescent="0.25">
      <c r="A10" s="102"/>
      <c r="B10" s="102"/>
      <c r="C10" s="102"/>
      <c r="D10" s="102"/>
      <c r="E10" s="102"/>
      <c r="F10" s="102"/>
      <c r="G10" s="102"/>
      <c r="H10" s="102"/>
      <c r="I10" s="102"/>
    </row>
    <row r="11" spans="1:9" x14ac:dyDescent="0.25">
      <c r="A11" s="105" t="s">
        <v>233</v>
      </c>
      <c r="B11" s="105" t="s">
        <v>234</v>
      </c>
      <c r="C11" s="105" t="s">
        <v>235</v>
      </c>
      <c r="D11" s="105" t="s">
        <v>236</v>
      </c>
      <c r="E11" s="105" t="s">
        <v>237</v>
      </c>
      <c r="F11" s="105" t="s">
        <v>238</v>
      </c>
      <c r="G11" s="105" t="s">
        <v>235</v>
      </c>
      <c r="H11" s="105" t="s">
        <v>239</v>
      </c>
      <c r="I11" s="105" t="s">
        <v>240</v>
      </c>
    </row>
    <row r="12" spans="1:9" s="57" customFormat="1" ht="94.2" customHeight="1" x14ac:dyDescent="0.25">
      <c r="A12" s="191"/>
      <c r="B12" s="191"/>
      <c r="C12" s="191"/>
      <c r="D12" s="191"/>
      <c r="E12" s="191"/>
      <c r="F12" s="191"/>
      <c r="G12" s="191"/>
      <c r="H12" s="201" t="s">
        <v>435</v>
      </c>
      <c r="I12" s="191"/>
    </row>
    <row r="13" spans="1:9" x14ac:dyDescent="0.25">
      <c r="A13" s="113" t="s">
        <v>175</v>
      </c>
      <c r="B13" s="202" t="s">
        <v>432</v>
      </c>
      <c r="C13" s="113" t="s">
        <v>186</v>
      </c>
      <c r="D13" s="113" t="s">
        <v>177</v>
      </c>
      <c r="E13" s="113" t="s">
        <v>177</v>
      </c>
      <c r="F13" s="202" t="s">
        <v>432</v>
      </c>
      <c r="G13" s="113" t="s">
        <v>186</v>
      </c>
      <c r="H13" s="115" t="s">
        <v>336</v>
      </c>
      <c r="I13" s="116"/>
    </row>
    <row r="14" spans="1:9" x14ac:dyDescent="0.25">
      <c r="A14" s="102"/>
      <c r="B14" s="102"/>
      <c r="C14" s="102"/>
      <c r="D14" s="102"/>
      <c r="E14" s="102"/>
      <c r="F14" s="102"/>
      <c r="G14" s="102"/>
      <c r="H14" s="102"/>
      <c r="I14" s="102"/>
    </row>
    <row r="15" spans="1:9" x14ac:dyDescent="0.25">
      <c r="A15" s="102"/>
      <c r="B15" s="102"/>
      <c r="C15" s="102"/>
      <c r="D15" s="102"/>
      <c r="E15" s="102"/>
      <c r="F15" s="102"/>
      <c r="G15" s="102"/>
      <c r="H15" s="102"/>
      <c r="I15" s="102"/>
    </row>
    <row r="16" spans="1:9" x14ac:dyDescent="0.25">
      <c r="A16" s="105" t="s">
        <v>213</v>
      </c>
      <c r="B16" s="257" t="s">
        <v>215</v>
      </c>
      <c r="C16" s="258"/>
      <c r="D16" s="102"/>
      <c r="E16" s="102"/>
      <c r="F16" s="102"/>
      <c r="G16" s="102"/>
      <c r="H16" s="102"/>
      <c r="I16" s="102"/>
    </row>
    <row r="17" spans="1:9" x14ac:dyDescent="0.25">
      <c r="A17" s="102"/>
      <c r="B17" s="102"/>
      <c r="C17" s="102"/>
      <c r="D17" s="102"/>
      <c r="E17" s="102"/>
      <c r="F17" s="102"/>
      <c r="G17" s="102"/>
      <c r="H17" s="102"/>
      <c r="I17" s="102"/>
    </row>
    <row r="18" spans="1:9" x14ac:dyDescent="0.25">
      <c r="A18" s="105" t="s">
        <v>233</v>
      </c>
      <c r="B18" s="105" t="s">
        <v>234</v>
      </c>
      <c r="C18" s="105" t="s">
        <v>235</v>
      </c>
      <c r="D18" s="105" t="s">
        <v>236</v>
      </c>
      <c r="E18" s="105" t="s">
        <v>237</v>
      </c>
      <c r="F18" s="105" t="s">
        <v>238</v>
      </c>
      <c r="G18" s="105" t="s">
        <v>235</v>
      </c>
      <c r="H18" s="105" t="s">
        <v>239</v>
      </c>
      <c r="I18" s="105" t="s">
        <v>240</v>
      </c>
    </row>
    <row r="19" spans="1:9" x14ac:dyDescent="0.25">
      <c r="A19" s="113" t="s">
        <v>179</v>
      </c>
      <c r="B19" s="202" t="s">
        <v>362</v>
      </c>
      <c r="C19" s="113" t="s">
        <v>185</v>
      </c>
      <c r="D19" s="113" t="s">
        <v>180</v>
      </c>
      <c r="E19" s="113" t="s">
        <v>180</v>
      </c>
      <c r="F19" s="202" t="s">
        <v>362</v>
      </c>
      <c r="G19" s="113" t="s">
        <v>351</v>
      </c>
      <c r="H19" s="115" t="s">
        <v>334</v>
      </c>
      <c r="I19" s="116"/>
    </row>
    <row r="20" spans="1:9" x14ac:dyDescent="0.25">
      <c r="A20" s="102"/>
      <c r="B20" s="102"/>
      <c r="C20" s="102"/>
      <c r="D20" s="102"/>
      <c r="E20" s="102"/>
      <c r="F20" s="102"/>
      <c r="G20" s="102"/>
      <c r="H20" s="102"/>
      <c r="I20" s="102"/>
    </row>
    <row r="21" spans="1:9" x14ac:dyDescent="0.25">
      <c r="A21" s="102"/>
      <c r="B21" s="102"/>
      <c r="C21" s="102"/>
      <c r="D21" s="102"/>
      <c r="E21" s="102"/>
      <c r="F21" s="102"/>
      <c r="G21" s="102"/>
      <c r="H21" s="102"/>
      <c r="I21" s="102"/>
    </row>
    <row r="22" spans="1:9" x14ac:dyDescent="0.25">
      <c r="A22" s="102"/>
      <c r="B22" s="102"/>
      <c r="C22" s="102"/>
      <c r="D22" s="102"/>
      <c r="E22" s="102"/>
      <c r="F22" s="102"/>
      <c r="G22" s="102"/>
      <c r="H22" s="102"/>
      <c r="I22" s="102"/>
    </row>
    <row r="23" spans="1:9" x14ac:dyDescent="0.25">
      <c r="A23" s="105" t="s">
        <v>213</v>
      </c>
      <c r="B23" s="257" t="s">
        <v>218</v>
      </c>
      <c r="C23" s="258"/>
      <c r="D23" s="102"/>
      <c r="E23" s="102"/>
      <c r="F23" s="102"/>
      <c r="G23" s="102"/>
      <c r="H23" s="102"/>
      <c r="I23" s="102"/>
    </row>
    <row r="24" spans="1:9" x14ac:dyDescent="0.25">
      <c r="A24" s="102"/>
      <c r="B24" s="102"/>
      <c r="C24" s="102"/>
      <c r="D24" s="102"/>
      <c r="E24" s="102"/>
      <c r="F24" s="102"/>
      <c r="G24" s="102"/>
      <c r="H24" s="102"/>
      <c r="I24" s="102"/>
    </row>
    <row r="25" spans="1:9" x14ac:dyDescent="0.25">
      <c r="A25" s="105" t="s">
        <v>233</v>
      </c>
      <c r="B25" s="105" t="s">
        <v>234</v>
      </c>
      <c r="C25" s="105" t="s">
        <v>235</v>
      </c>
      <c r="D25" s="105" t="s">
        <v>236</v>
      </c>
      <c r="E25" s="105" t="s">
        <v>237</v>
      </c>
      <c r="F25" s="105" t="s">
        <v>238</v>
      </c>
      <c r="G25" s="105" t="s">
        <v>235</v>
      </c>
      <c r="H25" s="105" t="s">
        <v>239</v>
      </c>
      <c r="I25" s="105" t="s">
        <v>240</v>
      </c>
    </row>
    <row r="26" spans="1:9" ht="13.8" x14ac:dyDescent="0.3">
      <c r="A26" s="113" t="s">
        <v>180</v>
      </c>
      <c r="B26" s="113" t="s">
        <v>362</v>
      </c>
      <c r="C26" s="113" t="s">
        <v>351</v>
      </c>
      <c r="D26" s="113" t="s">
        <v>241</v>
      </c>
      <c r="E26" s="113" t="s">
        <v>241</v>
      </c>
      <c r="F26" s="192" t="s">
        <v>438</v>
      </c>
      <c r="G26" s="113" t="s">
        <v>351</v>
      </c>
      <c r="H26" s="115" t="s">
        <v>336</v>
      </c>
      <c r="I26" s="113" t="s">
        <v>350</v>
      </c>
    </row>
    <row r="27" spans="1:9" ht="13.8" x14ac:dyDescent="0.3">
      <c r="A27" s="143" t="s">
        <v>163</v>
      </c>
      <c r="B27" s="143" t="s">
        <v>163</v>
      </c>
      <c r="C27" s="143" t="s">
        <v>163</v>
      </c>
      <c r="D27" s="113" t="s">
        <v>241</v>
      </c>
      <c r="E27" s="113" t="s">
        <v>241</v>
      </c>
      <c r="F27" s="192" t="s">
        <v>437</v>
      </c>
      <c r="G27" s="113" t="s">
        <v>351</v>
      </c>
      <c r="H27" s="115" t="s">
        <v>336</v>
      </c>
      <c r="I27" s="102"/>
    </row>
    <row r="28" spans="1:9" x14ac:dyDescent="0.25">
      <c r="A28" s="102"/>
      <c r="B28" s="102"/>
      <c r="C28" s="102"/>
      <c r="D28" s="102"/>
      <c r="E28" s="102"/>
      <c r="F28" s="102"/>
      <c r="G28" s="102"/>
      <c r="H28" s="102"/>
      <c r="I28" s="102"/>
    </row>
    <row r="29" spans="1:9" x14ac:dyDescent="0.25">
      <c r="A29" s="102"/>
      <c r="B29" s="102"/>
      <c r="C29" s="102"/>
      <c r="D29" s="102"/>
      <c r="E29" s="102"/>
      <c r="F29" s="102"/>
      <c r="G29" s="102"/>
      <c r="H29" s="102"/>
      <c r="I29" s="102"/>
    </row>
    <row r="30" spans="1:9" x14ac:dyDescent="0.25">
      <c r="A30" s="105" t="s">
        <v>213</v>
      </c>
      <c r="B30" s="257" t="s">
        <v>229</v>
      </c>
      <c r="C30" s="258"/>
      <c r="D30" s="102"/>
      <c r="E30" s="102"/>
      <c r="F30" s="102"/>
      <c r="G30" s="102"/>
      <c r="H30" s="102"/>
      <c r="I30" s="102"/>
    </row>
    <row r="31" spans="1:9" x14ac:dyDescent="0.25">
      <c r="A31" s="102"/>
      <c r="B31" s="102"/>
      <c r="C31" s="102"/>
      <c r="D31" s="102"/>
      <c r="E31" s="102"/>
      <c r="F31" s="102"/>
      <c r="G31" s="102"/>
      <c r="H31" s="102"/>
      <c r="I31" s="102"/>
    </row>
    <row r="32" spans="1:9" x14ac:dyDescent="0.25">
      <c r="A32" s="105" t="s">
        <v>233</v>
      </c>
      <c r="B32" s="105" t="s">
        <v>234</v>
      </c>
      <c r="C32" s="105" t="s">
        <v>235</v>
      </c>
      <c r="D32" s="105" t="s">
        <v>236</v>
      </c>
      <c r="E32" s="105" t="s">
        <v>237</v>
      </c>
      <c r="F32" s="105" t="s">
        <v>238</v>
      </c>
      <c r="G32" s="105" t="s">
        <v>235</v>
      </c>
      <c r="H32" s="105" t="s">
        <v>239</v>
      </c>
      <c r="I32" s="105" t="s">
        <v>240</v>
      </c>
    </row>
    <row r="33" spans="1:9" s="134" customFormat="1" x14ac:dyDescent="0.25">
      <c r="A33" s="133"/>
      <c r="B33" s="133"/>
      <c r="C33" s="133"/>
      <c r="D33" s="133"/>
      <c r="E33" s="133"/>
      <c r="F33" s="133"/>
      <c r="G33" s="133"/>
      <c r="H33" s="133"/>
      <c r="I33" s="133"/>
    </row>
    <row r="34" spans="1:9" ht="96.75" customHeight="1" x14ac:dyDescent="0.25">
      <c r="A34" s="106"/>
      <c r="B34" s="107"/>
      <c r="C34" s="106"/>
      <c r="D34" s="106"/>
      <c r="E34" s="106"/>
      <c r="F34" s="107"/>
      <c r="G34" s="106"/>
      <c r="H34" s="193" t="s">
        <v>436</v>
      </c>
      <c r="I34" s="108"/>
    </row>
    <row r="35" spans="1:9" ht="15.75" customHeight="1" x14ac:dyDescent="0.25">
      <c r="A35" s="109" t="s">
        <v>242</v>
      </c>
      <c r="B35" s="109" t="s">
        <v>243</v>
      </c>
      <c r="C35" s="110" t="s">
        <v>187</v>
      </c>
      <c r="D35" s="104" t="s">
        <v>244</v>
      </c>
      <c r="E35" s="110"/>
      <c r="F35" s="120" t="s">
        <v>243</v>
      </c>
      <c r="G35" s="110" t="s">
        <v>187</v>
      </c>
      <c r="H35" s="103" t="s">
        <v>245</v>
      </c>
      <c r="I35" s="104"/>
    </row>
    <row r="36" spans="1:9" s="167" customFormat="1" x14ac:dyDescent="0.25">
      <c r="A36" s="110" t="s">
        <v>246</v>
      </c>
      <c r="B36" s="110" t="s">
        <v>247</v>
      </c>
      <c r="C36" s="110" t="s">
        <v>187</v>
      </c>
      <c r="D36" s="110" t="s">
        <v>244</v>
      </c>
      <c r="E36" s="110"/>
      <c r="F36" s="110" t="s">
        <v>247</v>
      </c>
      <c r="G36" s="110" t="s">
        <v>187</v>
      </c>
      <c r="H36" s="110" t="s">
        <v>248</v>
      </c>
      <c r="I36" s="110"/>
    </row>
    <row r="37" spans="1:9" x14ac:dyDescent="0.25">
      <c r="A37" s="109" t="s">
        <v>242</v>
      </c>
      <c r="B37" s="109" t="s">
        <v>249</v>
      </c>
      <c r="C37" s="111" t="s">
        <v>186</v>
      </c>
      <c r="D37" s="104" t="s">
        <v>244</v>
      </c>
      <c r="E37" s="104"/>
      <c r="F37" s="109" t="s">
        <v>249</v>
      </c>
      <c r="G37" s="111" t="s">
        <v>186</v>
      </c>
      <c r="H37" s="103" t="s">
        <v>245</v>
      </c>
      <c r="I37" s="104"/>
    </row>
    <row r="38" spans="1:9" x14ac:dyDescent="0.25">
      <c r="A38" s="109" t="s">
        <v>242</v>
      </c>
      <c r="B38" s="104" t="s">
        <v>250</v>
      </c>
      <c r="C38" s="110" t="s">
        <v>251</v>
      </c>
      <c r="D38" s="104" t="s">
        <v>244</v>
      </c>
      <c r="E38" s="104"/>
      <c r="F38" s="109" t="s">
        <v>250</v>
      </c>
      <c r="G38" s="110" t="s">
        <v>251</v>
      </c>
      <c r="H38" s="103" t="s">
        <v>245</v>
      </c>
      <c r="I38" s="104"/>
    </row>
    <row r="39" spans="1:9" x14ac:dyDescent="0.25">
      <c r="A39" s="109" t="s">
        <v>242</v>
      </c>
      <c r="B39" s="109" t="s">
        <v>252</v>
      </c>
      <c r="C39" s="110" t="s">
        <v>251</v>
      </c>
      <c r="D39" s="104" t="s">
        <v>244</v>
      </c>
      <c r="E39" s="104"/>
      <c r="F39" s="109" t="s">
        <v>252</v>
      </c>
      <c r="G39" s="110" t="s">
        <v>251</v>
      </c>
      <c r="H39" s="103" t="s">
        <v>245</v>
      </c>
      <c r="I39" s="104"/>
    </row>
    <row r="40" spans="1:9" s="167" customFormat="1" x14ac:dyDescent="0.25">
      <c r="A40" s="110" t="s">
        <v>246</v>
      </c>
      <c r="B40" s="110" t="s">
        <v>253</v>
      </c>
      <c r="C40" s="110" t="s">
        <v>251</v>
      </c>
      <c r="D40" s="110" t="s">
        <v>244</v>
      </c>
      <c r="E40" s="110"/>
      <c r="F40" s="110" t="s">
        <v>253</v>
      </c>
      <c r="G40" s="110" t="s">
        <v>251</v>
      </c>
      <c r="H40" s="110" t="s">
        <v>254</v>
      </c>
      <c r="I40" s="110"/>
    </row>
    <row r="41" spans="1:9" x14ac:dyDescent="0.25">
      <c r="A41" s="109" t="s">
        <v>242</v>
      </c>
      <c r="B41" s="109" t="s">
        <v>255</v>
      </c>
      <c r="C41" s="111" t="s">
        <v>186</v>
      </c>
      <c r="D41" s="104" t="s">
        <v>244</v>
      </c>
      <c r="E41" s="104"/>
      <c r="F41" s="109" t="s">
        <v>255</v>
      </c>
      <c r="G41" s="111" t="s">
        <v>186</v>
      </c>
      <c r="H41" s="103" t="s">
        <v>245</v>
      </c>
      <c r="I41" s="104"/>
    </row>
    <row r="42" spans="1:9" s="167" customFormat="1" x14ac:dyDescent="0.25">
      <c r="A42" s="109" t="s">
        <v>246</v>
      </c>
      <c r="B42" s="109" t="s">
        <v>256</v>
      </c>
      <c r="C42" s="194" t="s">
        <v>186</v>
      </c>
      <c r="D42" s="110" t="s">
        <v>244</v>
      </c>
      <c r="E42" s="110"/>
      <c r="F42" s="109" t="s">
        <v>256</v>
      </c>
      <c r="G42" s="194" t="s">
        <v>186</v>
      </c>
      <c r="H42" s="110" t="s">
        <v>254</v>
      </c>
      <c r="I42" s="110"/>
    </row>
    <row r="43" spans="1:9" x14ac:dyDescent="0.25">
      <c r="A43" s="109" t="s">
        <v>242</v>
      </c>
      <c r="B43" s="109" t="s">
        <v>343</v>
      </c>
      <c r="C43" s="111" t="s">
        <v>186</v>
      </c>
      <c r="D43" s="141" t="s">
        <v>244</v>
      </c>
      <c r="E43" s="141"/>
      <c r="F43" s="109" t="s">
        <v>343</v>
      </c>
      <c r="G43" s="111" t="s">
        <v>186</v>
      </c>
      <c r="H43" s="103" t="s">
        <v>245</v>
      </c>
      <c r="I43" s="141"/>
    </row>
    <row r="44" spans="1:9" s="167" customFormat="1" x14ac:dyDescent="0.25">
      <c r="A44" s="109" t="s">
        <v>246</v>
      </c>
      <c r="B44" s="109" t="s">
        <v>433</v>
      </c>
      <c r="C44" s="194" t="s">
        <v>186</v>
      </c>
      <c r="D44" s="110" t="s">
        <v>244</v>
      </c>
      <c r="E44" s="110"/>
      <c r="F44" s="195" t="s">
        <v>433</v>
      </c>
      <c r="G44" s="194" t="s">
        <v>186</v>
      </c>
      <c r="H44" s="110" t="s">
        <v>254</v>
      </c>
      <c r="I44" s="110"/>
    </row>
    <row r="45" spans="1:9" x14ac:dyDescent="0.25">
      <c r="A45" s="117"/>
      <c r="B45" s="117"/>
      <c r="C45" s="118"/>
      <c r="D45" s="102"/>
      <c r="E45" s="102"/>
      <c r="F45" s="117"/>
      <c r="G45" s="118"/>
      <c r="H45" s="102"/>
      <c r="I45" s="102"/>
    </row>
    <row r="46" spans="1:9" x14ac:dyDescent="0.25">
      <c r="A46" s="102"/>
      <c r="B46" s="102"/>
      <c r="C46" s="102"/>
      <c r="D46" s="102"/>
      <c r="E46" s="102"/>
      <c r="F46" s="102"/>
      <c r="G46" s="102"/>
      <c r="H46" s="102"/>
      <c r="I46" s="102"/>
    </row>
    <row r="47" spans="1:9" x14ac:dyDescent="0.25">
      <c r="A47" s="105" t="s">
        <v>213</v>
      </c>
      <c r="B47" s="257" t="s">
        <v>231</v>
      </c>
      <c r="C47" s="258"/>
      <c r="D47" s="102"/>
      <c r="E47" s="102"/>
      <c r="F47" s="102"/>
      <c r="G47" s="102"/>
      <c r="H47" s="102"/>
      <c r="I47" s="102"/>
    </row>
    <row r="48" spans="1:9" x14ac:dyDescent="0.25">
      <c r="A48" s="102"/>
      <c r="B48" s="102"/>
      <c r="C48" s="102"/>
      <c r="D48" s="102"/>
      <c r="E48" s="102"/>
      <c r="F48" s="102"/>
      <c r="G48" s="102"/>
      <c r="H48" s="102"/>
      <c r="I48" s="102"/>
    </row>
    <row r="49" spans="1:9" x14ac:dyDescent="0.25">
      <c r="A49" s="105" t="s">
        <v>233</v>
      </c>
      <c r="B49" s="105" t="s">
        <v>234</v>
      </c>
      <c r="C49" s="105" t="s">
        <v>235</v>
      </c>
      <c r="D49" s="105" t="s">
        <v>236</v>
      </c>
      <c r="E49" s="105" t="s">
        <v>237</v>
      </c>
      <c r="F49" s="105" t="s">
        <v>238</v>
      </c>
      <c r="G49" s="105" t="s">
        <v>235</v>
      </c>
      <c r="H49" s="105" t="s">
        <v>239</v>
      </c>
      <c r="I49" s="105" t="s">
        <v>240</v>
      </c>
    </row>
    <row r="50" spans="1:9" s="134" customFormat="1" x14ac:dyDescent="0.25">
      <c r="A50" s="135"/>
      <c r="B50" s="135"/>
      <c r="C50" s="139"/>
      <c r="D50" s="139"/>
      <c r="E50" s="139"/>
      <c r="F50" s="139"/>
      <c r="G50" s="139"/>
      <c r="H50" s="139"/>
      <c r="I50" s="135"/>
    </row>
    <row r="51" spans="1:9" ht="57" customHeight="1" x14ac:dyDescent="0.25">
      <c r="C51" s="11"/>
      <c r="D51" s="11"/>
      <c r="E51" s="11"/>
      <c r="F51" s="11"/>
      <c r="G51" s="11"/>
      <c r="H51" s="140" t="s">
        <v>434</v>
      </c>
    </row>
    <row r="52" spans="1:9" ht="13.8" x14ac:dyDescent="0.3">
      <c r="A52" s="112" t="s">
        <v>246</v>
      </c>
      <c r="B52" s="114" t="s">
        <v>339</v>
      </c>
      <c r="C52" s="136" t="s">
        <v>251</v>
      </c>
      <c r="D52" s="137" t="s">
        <v>337</v>
      </c>
      <c r="E52" s="137"/>
      <c r="F52" s="132" t="s">
        <v>341</v>
      </c>
      <c r="G52" s="136" t="s">
        <v>251</v>
      </c>
      <c r="H52" s="138" t="s">
        <v>254</v>
      </c>
      <c r="I52" s="116"/>
    </row>
    <row r="53" spans="1:9" x14ac:dyDescent="0.25">
      <c r="A53" s="112" t="s">
        <v>246</v>
      </c>
      <c r="B53" s="114" t="s">
        <v>340</v>
      </c>
      <c r="C53" s="131" t="s">
        <v>187</v>
      </c>
      <c r="D53" s="113" t="s">
        <v>337</v>
      </c>
      <c r="E53" s="116"/>
      <c r="F53" s="114" t="s">
        <v>342</v>
      </c>
      <c r="G53" s="131" t="s">
        <v>187</v>
      </c>
      <c r="H53" s="119" t="s">
        <v>254</v>
      </c>
      <c r="I53" s="116"/>
    </row>
    <row r="54" spans="1:9" ht="13.8" x14ac:dyDescent="0.3">
      <c r="A54" s="112" t="s">
        <v>246</v>
      </c>
      <c r="B54" s="114" t="s">
        <v>339</v>
      </c>
      <c r="C54" s="131" t="s">
        <v>251</v>
      </c>
      <c r="D54" s="113" t="s">
        <v>338</v>
      </c>
      <c r="E54" s="113"/>
      <c r="F54" s="132" t="s">
        <v>341</v>
      </c>
      <c r="G54" s="131" t="s">
        <v>251</v>
      </c>
      <c r="H54" s="119" t="s">
        <v>254</v>
      </c>
      <c r="I54" s="116"/>
    </row>
    <row r="55" spans="1:9" x14ac:dyDescent="0.25">
      <c r="A55" s="112" t="s">
        <v>246</v>
      </c>
      <c r="B55" s="114" t="s">
        <v>340</v>
      </c>
      <c r="C55" s="131" t="s">
        <v>187</v>
      </c>
      <c r="D55" s="113" t="s">
        <v>338</v>
      </c>
      <c r="E55" s="116"/>
      <c r="F55" s="114" t="s">
        <v>342</v>
      </c>
      <c r="G55" s="131" t="s">
        <v>187</v>
      </c>
      <c r="H55" s="119" t="s">
        <v>254</v>
      </c>
      <c r="I55" s="116"/>
    </row>
    <row r="56" spans="1:9" x14ac:dyDescent="0.25">
      <c r="A56" s="102"/>
      <c r="B56" s="102"/>
      <c r="C56" s="102"/>
      <c r="D56" s="102"/>
      <c r="E56" s="102"/>
      <c r="F56" s="102"/>
      <c r="G56" s="102"/>
      <c r="H56" s="102"/>
      <c r="I56" s="102"/>
    </row>
    <row r="57" spans="1:9" x14ac:dyDescent="0.25">
      <c r="A57" s="102"/>
      <c r="B57" s="102"/>
      <c r="C57" s="102"/>
      <c r="D57" s="102"/>
      <c r="E57" s="102"/>
      <c r="F57" s="102"/>
      <c r="G57" s="102"/>
      <c r="H57" s="102"/>
      <c r="I57" s="102"/>
    </row>
    <row r="58" spans="1:9" x14ac:dyDescent="0.25">
      <c r="A58" s="102"/>
      <c r="B58" s="102"/>
      <c r="C58" s="102"/>
      <c r="D58" s="102"/>
      <c r="E58" s="102"/>
      <c r="F58" s="102"/>
      <c r="G58" s="102"/>
      <c r="H58" s="102"/>
      <c r="I58" s="102"/>
    </row>
    <row r="59" spans="1:9" x14ac:dyDescent="0.25">
      <c r="A59" s="102"/>
      <c r="B59" s="102"/>
      <c r="C59" s="102"/>
      <c r="D59" s="102"/>
      <c r="E59" s="102"/>
      <c r="F59" s="102"/>
      <c r="G59" s="102"/>
      <c r="H59" s="102"/>
      <c r="I59" s="102"/>
    </row>
  </sheetData>
  <mergeCells count="7">
    <mergeCell ref="B30:C30"/>
    <mergeCell ref="B47:C47"/>
    <mergeCell ref="A1:D1"/>
    <mergeCell ref="B3:C3"/>
    <mergeCell ref="B9:C9"/>
    <mergeCell ref="B16:C16"/>
    <mergeCell ref="B23:C23"/>
  </mergeCells>
  <phoneticPr fontId="61"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40"/>
  <sheetViews>
    <sheetView topLeftCell="A10" workbookViewId="0">
      <selection activeCell="D12" sqref="D12"/>
    </sheetView>
  </sheetViews>
  <sheetFormatPr defaultRowHeight="13.2" x14ac:dyDescent="0.25"/>
  <cols>
    <col min="1" max="1" width="18.5546875" customWidth="1"/>
    <col min="2" max="2" width="36.88671875" customWidth="1"/>
    <col min="3" max="3" width="37.44140625" customWidth="1"/>
    <col min="4" max="4" width="31.5546875" customWidth="1"/>
    <col min="5" max="5" width="25.5546875" bestFit="1" customWidth="1"/>
    <col min="6" max="6" width="48.44140625" style="21" bestFit="1" customWidth="1"/>
  </cols>
  <sheetData>
    <row r="1" spans="1:6" ht="13.8" thickBot="1" x14ac:dyDescent="0.3">
      <c r="A1" s="253" t="s">
        <v>257</v>
      </c>
      <c r="B1" s="254"/>
      <c r="C1" s="255"/>
    </row>
    <row r="2" spans="1:6" ht="13.8" thickBot="1" x14ac:dyDescent="0.3"/>
    <row r="3" spans="1:6" ht="13.8" thickBot="1" x14ac:dyDescent="0.3">
      <c r="A3" s="253" t="s">
        <v>258</v>
      </c>
      <c r="B3" s="254"/>
      <c r="C3" s="255"/>
    </row>
    <row r="4" spans="1:6" x14ac:dyDescent="0.25">
      <c r="A4" s="14" t="s">
        <v>212</v>
      </c>
      <c r="B4" s="14" t="s">
        <v>259</v>
      </c>
      <c r="C4" s="14" t="s">
        <v>66</v>
      </c>
    </row>
    <row r="5" spans="1:6" x14ac:dyDescent="0.25">
      <c r="A5" s="39" t="s">
        <v>214</v>
      </c>
      <c r="B5" s="11" t="s">
        <v>260</v>
      </c>
      <c r="C5" s="39" t="s">
        <v>261</v>
      </c>
    </row>
    <row r="6" spans="1:6" ht="16.2" customHeight="1" x14ac:dyDescent="0.25">
      <c r="A6" s="39" t="s">
        <v>214</v>
      </c>
      <c r="B6" s="39" t="s">
        <v>262</v>
      </c>
      <c r="C6" s="39" t="s">
        <v>261</v>
      </c>
    </row>
    <row r="7" spans="1:6" x14ac:dyDescent="0.25">
      <c r="A7" s="93" t="s">
        <v>222</v>
      </c>
      <c r="B7" s="93" t="s">
        <v>263</v>
      </c>
      <c r="C7" s="39" t="s">
        <v>261</v>
      </c>
    </row>
    <row r="8" spans="1:6" ht="26.4" x14ac:dyDescent="0.25">
      <c r="A8" s="11" t="s">
        <v>214</v>
      </c>
      <c r="B8" s="121" t="s">
        <v>365</v>
      </c>
      <c r="C8" s="25" t="s">
        <v>366</v>
      </c>
    </row>
    <row r="9" spans="1:6" x14ac:dyDescent="0.25">
      <c r="A9" s="11" t="s">
        <v>214</v>
      </c>
      <c r="B9" s="121" t="s">
        <v>364</v>
      </c>
      <c r="C9" s="39" t="s">
        <v>367</v>
      </c>
    </row>
    <row r="10" spans="1:6" ht="26.4" x14ac:dyDescent="0.25">
      <c r="A10" s="185" t="s">
        <v>222</v>
      </c>
      <c r="B10" s="155" t="s">
        <v>272</v>
      </c>
      <c r="C10" s="159" t="s">
        <v>224</v>
      </c>
    </row>
    <row r="11" spans="1:6" x14ac:dyDescent="0.25">
      <c r="A11" s="146"/>
      <c r="B11" s="147"/>
      <c r="C11" s="147"/>
    </row>
    <row r="12" spans="1:6" s="179" customFormat="1" x14ac:dyDescent="0.25">
      <c r="A12" s="181" t="s">
        <v>214</v>
      </c>
      <c r="B12" s="121" t="s">
        <v>374</v>
      </c>
      <c r="C12" s="184" t="s">
        <v>367</v>
      </c>
      <c r="F12" s="182"/>
    </row>
    <row r="13" spans="1:6" x14ac:dyDescent="0.25">
      <c r="A13" s="203" t="s">
        <v>214</v>
      </c>
      <c r="B13" s="204" t="s">
        <v>444</v>
      </c>
      <c r="C13" s="196" t="s">
        <v>447</v>
      </c>
    </row>
    <row r="14" spans="1:6" s="179" customFormat="1" x14ac:dyDescent="0.25">
      <c r="A14" s="181" t="s">
        <v>214</v>
      </c>
      <c r="B14" s="121" t="s">
        <v>375</v>
      </c>
      <c r="C14" s="184" t="s">
        <v>367</v>
      </c>
      <c r="F14" s="182"/>
    </row>
    <row r="15" spans="1:6" x14ac:dyDescent="0.25">
      <c r="A15" s="203" t="s">
        <v>214</v>
      </c>
      <c r="B15" s="204" t="s">
        <v>445</v>
      </c>
      <c r="C15" s="196" t="s">
        <v>448</v>
      </c>
    </row>
    <row r="16" spans="1:6" s="179" customFormat="1" x14ac:dyDescent="0.25">
      <c r="A16" s="181" t="s">
        <v>214</v>
      </c>
      <c r="B16" s="121" t="s">
        <v>376</v>
      </c>
      <c r="C16" s="184" t="s">
        <v>367</v>
      </c>
      <c r="F16" s="182"/>
    </row>
    <row r="17" spans="1:5" x14ac:dyDescent="0.25">
      <c r="A17" s="203" t="s">
        <v>214</v>
      </c>
      <c r="B17" s="204" t="s">
        <v>446</v>
      </c>
      <c r="C17" s="196" t="s">
        <v>449</v>
      </c>
    </row>
    <row r="18" spans="1:5" x14ac:dyDescent="0.25">
      <c r="A18" s="145"/>
      <c r="B18" s="145"/>
      <c r="C18" s="128"/>
    </row>
    <row r="19" spans="1:5" x14ac:dyDescent="0.25">
      <c r="A19" s="145"/>
      <c r="B19" s="145"/>
      <c r="C19" s="128"/>
    </row>
    <row r="20" spans="1:5" ht="13.8" thickBot="1" x14ac:dyDescent="0.3"/>
    <row r="21" spans="1:5" ht="13.8" thickBot="1" x14ac:dyDescent="0.3">
      <c r="A21" s="253" t="s">
        <v>264</v>
      </c>
      <c r="B21" s="254"/>
      <c r="C21" s="255"/>
    </row>
    <row r="22" spans="1:5" x14ac:dyDescent="0.25">
      <c r="A22" s="14" t="s">
        <v>212</v>
      </c>
      <c r="B22" s="14" t="s">
        <v>259</v>
      </c>
      <c r="C22" s="14" t="s">
        <v>265</v>
      </c>
      <c r="D22" s="12" t="s">
        <v>23</v>
      </c>
      <c r="E22" s="13"/>
    </row>
    <row r="23" spans="1:5" x14ac:dyDescent="0.25">
      <c r="A23" s="39" t="s">
        <v>214</v>
      </c>
      <c r="B23" s="11" t="s">
        <v>260</v>
      </c>
      <c r="C23" s="39" t="s">
        <v>266</v>
      </c>
      <c r="D23" s="39" t="s">
        <v>261</v>
      </c>
    </row>
    <row r="24" spans="1:5" x14ac:dyDescent="0.25">
      <c r="A24" s="39" t="s">
        <v>214</v>
      </c>
      <c r="B24" s="39" t="s">
        <v>262</v>
      </c>
      <c r="C24" s="39" t="s">
        <v>267</v>
      </c>
      <c r="D24" s="39" t="s">
        <v>261</v>
      </c>
    </row>
    <row r="25" spans="1:5" x14ac:dyDescent="0.25">
      <c r="A25" s="39" t="s">
        <v>214</v>
      </c>
      <c r="B25" s="39" t="s">
        <v>262</v>
      </c>
      <c r="C25" s="39" t="s">
        <v>268</v>
      </c>
      <c r="D25" s="39" t="s">
        <v>261</v>
      </c>
    </row>
    <row r="26" spans="1:5" x14ac:dyDescent="0.25">
      <c r="A26" s="93" t="s">
        <v>222</v>
      </c>
      <c r="B26" s="93" t="s">
        <v>263</v>
      </c>
      <c r="C26" s="39" t="s">
        <v>269</v>
      </c>
      <c r="D26" s="39" t="s">
        <v>261</v>
      </c>
    </row>
    <row r="27" spans="1:5" x14ac:dyDescent="0.25">
      <c r="A27" s="93" t="s">
        <v>222</v>
      </c>
      <c r="B27" s="93" t="s">
        <v>263</v>
      </c>
      <c r="C27" s="39" t="s">
        <v>270</v>
      </c>
      <c r="D27" s="39" t="s">
        <v>261</v>
      </c>
    </row>
    <row r="28" spans="1:5" x14ac:dyDescent="0.25">
      <c r="A28" s="93" t="s">
        <v>222</v>
      </c>
      <c r="B28" s="93" t="s">
        <v>263</v>
      </c>
      <c r="C28" s="39" t="s">
        <v>271</v>
      </c>
      <c r="D28" s="39" t="s">
        <v>261</v>
      </c>
    </row>
    <row r="29" spans="1:5" x14ac:dyDescent="0.25">
      <c r="A29" s="150"/>
      <c r="B29" s="151"/>
      <c r="C29" s="152"/>
      <c r="D29" s="153"/>
    </row>
    <row r="30" spans="1:5" ht="26.4" x14ac:dyDescent="0.25">
      <c r="A30" s="11" t="s">
        <v>214</v>
      </c>
      <c r="B30" s="121" t="s">
        <v>365</v>
      </c>
      <c r="C30" s="121" t="s">
        <v>370</v>
      </c>
      <c r="D30" s="25" t="s">
        <v>371</v>
      </c>
    </row>
    <row r="31" spans="1:5" ht="66" x14ac:dyDescent="0.25">
      <c r="A31" s="11" t="s">
        <v>214</v>
      </c>
      <c r="B31" s="121" t="s">
        <v>364</v>
      </c>
      <c r="C31" s="121" t="s">
        <v>369</v>
      </c>
      <c r="D31" s="25" t="s">
        <v>372</v>
      </c>
    </row>
    <row r="32" spans="1:5" ht="79.2" x14ac:dyDescent="0.25">
      <c r="A32" s="62" t="s">
        <v>222</v>
      </c>
      <c r="B32" s="155" t="s">
        <v>272</v>
      </c>
      <c r="C32" s="156" t="s">
        <v>373</v>
      </c>
      <c r="D32" s="157" t="s">
        <v>384</v>
      </c>
    </row>
    <row r="33" spans="1:4" x14ac:dyDescent="0.25">
      <c r="A33" s="148"/>
      <c r="B33" s="149"/>
      <c r="C33" s="146"/>
      <c r="D33" s="146"/>
    </row>
    <row r="34" spans="1:4" ht="79.2" x14ac:dyDescent="0.25">
      <c r="A34" s="11" t="s">
        <v>214</v>
      </c>
      <c r="B34" s="121" t="s">
        <v>374</v>
      </c>
      <c r="C34" s="154" t="s">
        <v>377</v>
      </c>
      <c r="D34" s="25" t="s">
        <v>380</v>
      </c>
    </row>
    <row r="35" spans="1:4" ht="79.2" x14ac:dyDescent="0.25">
      <c r="A35" s="11" t="s">
        <v>214</v>
      </c>
      <c r="B35" s="121" t="s">
        <v>375</v>
      </c>
      <c r="C35" s="154" t="s">
        <v>378</v>
      </c>
      <c r="D35" s="25" t="s">
        <v>381</v>
      </c>
    </row>
    <row r="36" spans="1:4" ht="79.2" x14ac:dyDescent="0.25">
      <c r="A36" s="11" t="s">
        <v>214</v>
      </c>
      <c r="B36" s="121" t="s">
        <v>376</v>
      </c>
      <c r="C36" s="154" t="s">
        <v>379</v>
      </c>
      <c r="D36" s="25" t="s">
        <v>382</v>
      </c>
    </row>
    <row r="37" spans="1:4" x14ac:dyDescent="0.25">
      <c r="A37" s="128"/>
      <c r="B37" s="129"/>
    </row>
    <row r="38" spans="1:4" x14ac:dyDescent="0.25">
      <c r="A38" s="128"/>
      <c r="B38" s="129"/>
    </row>
    <row r="39" spans="1:4" x14ac:dyDescent="0.25">
      <c r="A39" s="19" t="s">
        <v>32</v>
      </c>
      <c r="B39" s="19" t="s">
        <v>195</v>
      </c>
    </row>
    <row r="40" spans="1:4" x14ac:dyDescent="0.25">
      <c r="A40" s="18"/>
      <c r="B40" s="18">
        <v>0.02</v>
      </c>
    </row>
  </sheetData>
  <mergeCells count="3">
    <mergeCell ref="A1:C1"/>
    <mergeCell ref="A21:C2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57"/>
  <sheetViews>
    <sheetView workbookViewId="0">
      <pane ySplit="3" topLeftCell="A43" activePane="bottomLeft" state="frozen"/>
      <selection activeCell="E1" sqref="E1"/>
      <selection pane="bottomLeft" activeCell="E56" sqref="E56"/>
    </sheetView>
  </sheetViews>
  <sheetFormatPr defaultRowHeight="13.2" x14ac:dyDescent="0.25"/>
  <cols>
    <col min="1" max="1" width="12.109375" bestFit="1" customWidth="1"/>
    <col min="2" max="2" width="28.6640625" customWidth="1"/>
    <col min="3" max="3" width="50.44140625" customWidth="1"/>
    <col min="4" max="4" width="42.33203125" customWidth="1"/>
    <col min="5" max="5" width="49.6640625"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38.44140625"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5" x14ac:dyDescent="0.25">
      <c r="A1" s="253" t="s">
        <v>273</v>
      </c>
      <c r="B1" s="254"/>
      <c r="C1" s="255"/>
    </row>
    <row r="2" spans="1:25" x14ac:dyDescent="0.25">
      <c r="F2" s="265" t="s">
        <v>274</v>
      </c>
      <c r="G2" s="265"/>
      <c r="H2" s="265"/>
      <c r="I2" s="262" t="s">
        <v>275</v>
      </c>
      <c r="J2" s="263"/>
      <c r="K2" s="263"/>
      <c r="L2" s="262" t="s">
        <v>276</v>
      </c>
      <c r="M2" s="263"/>
      <c r="N2" s="263"/>
      <c r="O2" s="263"/>
      <c r="P2" s="263"/>
      <c r="Q2" s="264"/>
      <c r="R2" s="262" t="s">
        <v>277</v>
      </c>
      <c r="S2" s="263"/>
      <c r="T2" s="263"/>
      <c r="U2" s="264"/>
      <c r="V2" s="262" t="s">
        <v>278</v>
      </c>
      <c r="W2" s="264"/>
    </row>
    <row r="3" spans="1:25" s="44" customFormat="1" ht="34.200000000000003" x14ac:dyDescent="0.2">
      <c r="A3" s="40" t="s">
        <v>212</v>
      </c>
      <c r="B3" s="40" t="s">
        <v>259</v>
      </c>
      <c r="C3" s="40" t="s">
        <v>265</v>
      </c>
      <c r="D3" s="40" t="s">
        <v>279</v>
      </c>
      <c r="E3" s="40" t="s">
        <v>118</v>
      </c>
      <c r="F3" s="41" t="s">
        <v>280</v>
      </c>
      <c r="G3" s="41" t="s">
        <v>281</v>
      </c>
      <c r="H3" s="40" t="s">
        <v>282</v>
      </c>
      <c r="I3" s="41" t="s">
        <v>283</v>
      </c>
      <c r="J3" s="41" t="s">
        <v>284</v>
      </c>
      <c r="K3" s="41" t="s">
        <v>285</v>
      </c>
      <c r="L3" s="45" t="s">
        <v>286</v>
      </c>
      <c r="M3" s="45" t="s">
        <v>287</v>
      </c>
      <c r="N3" s="41" t="s">
        <v>288</v>
      </c>
      <c r="O3" s="41" t="s">
        <v>289</v>
      </c>
      <c r="P3" s="41" t="s">
        <v>290</v>
      </c>
      <c r="Q3" s="41" t="s">
        <v>291</v>
      </c>
      <c r="R3" s="42" t="s">
        <v>286</v>
      </c>
      <c r="S3" s="42" t="s">
        <v>287</v>
      </c>
      <c r="T3" s="42" t="s">
        <v>292</v>
      </c>
      <c r="U3" s="43" t="s">
        <v>293</v>
      </c>
      <c r="V3" s="43" t="s">
        <v>294</v>
      </c>
      <c r="W3" s="43" t="s">
        <v>295</v>
      </c>
      <c r="X3" s="41" t="s">
        <v>23</v>
      </c>
    </row>
    <row r="4" spans="1:25" x14ac:dyDescent="0.25">
      <c r="A4" s="39" t="s">
        <v>214</v>
      </c>
      <c r="B4" s="11" t="s">
        <v>260</v>
      </c>
      <c r="C4" s="39" t="s">
        <v>266</v>
      </c>
      <c r="D4" s="39" t="s">
        <v>296</v>
      </c>
      <c r="E4" s="39" t="s">
        <v>215</v>
      </c>
      <c r="F4" s="39" t="s">
        <v>163</v>
      </c>
      <c r="G4" s="39" t="s">
        <v>163</v>
      </c>
      <c r="H4" s="39" t="s">
        <v>163</v>
      </c>
      <c r="I4" s="39" t="s">
        <v>163</v>
      </c>
      <c r="J4" s="39" t="s">
        <v>163</v>
      </c>
      <c r="K4" s="39" t="s">
        <v>163</v>
      </c>
      <c r="L4" s="39" t="s">
        <v>163</v>
      </c>
      <c r="M4" s="39" t="s">
        <v>163</v>
      </c>
      <c r="N4" s="39" t="s">
        <v>163</v>
      </c>
      <c r="O4" s="39" t="s">
        <v>163</v>
      </c>
      <c r="P4" s="39" t="s">
        <v>163</v>
      </c>
      <c r="Q4" s="39" t="s">
        <v>163</v>
      </c>
      <c r="R4" s="39" t="s">
        <v>163</v>
      </c>
      <c r="S4" s="39" t="s">
        <v>163</v>
      </c>
      <c r="T4" s="39" t="s">
        <v>163</v>
      </c>
      <c r="U4" s="39" t="s">
        <v>163</v>
      </c>
      <c r="V4" s="39" t="s">
        <v>163</v>
      </c>
      <c r="W4" s="39" t="s">
        <v>163</v>
      </c>
      <c r="X4" s="25" t="s">
        <v>261</v>
      </c>
      <c r="Y4" s="179"/>
    </row>
    <row r="5" spans="1:25" x14ac:dyDescent="0.25">
      <c r="A5" s="39" t="s">
        <v>214</v>
      </c>
      <c r="B5" s="11" t="s">
        <v>260</v>
      </c>
      <c r="C5" s="39" t="s">
        <v>266</v>
      </c>
      <c r="D5" s="39" t="s">
        <v>297</v>
      </c>
      <c r="E5" s="39" t="s">
        <v>217</v>
      </c>
      <c r="F5" s="39" t="s">
        <v>163</v>
      </c>
      <c r="G5" s="39" t="s">
        <v>163</v>
      </c>
      <c r="H5" s="39" t="s">
        <v>163</v>
      </c>
      <c r="I5" s="39" t="s">
        <v>163</v>
      </c>
      <c r="J5" s="39" t="s">
        <v>163</v>
      </c>
      <c r="K5" s="39" t="s">
        <v>163</v>
      </c>
      <c r="L5" s="39" t="s">
        <v>163</v>
      </c>
      <c r="M5" s="39" t="s">
        <v>163</v>
      </c>
      <c r="N5" s="39" t="s">
        <v>163</v>
      </c>
      <c r="O5" s="39" t="s">
        <v>163</v>
      </c>
      <c r="P5" s="39" t="s">
        <v>163</v>
      </c>
      <c r="Q5" s="39" t="s">
        <v>163</v>
      </c>
      <c r="R5" s="39" t="s">
        <v>163</v>
      </c>
      <c r="S5" s="39" t="s">
        <v>163</v>
      </c>
      <c r="T5" s="39" t="s">
        <v>163</v>
      </c>
      <c r="U5" s="39" t="s">
        <v>163</v>
      </c>
      <c r="V5" s="39" t="s">
        <v>163</v>
      </c>
      <c r="W5" s="39" t="s">
        <v>163</v>
      </c>
      <c r="X5" s="25" t="s">
        <v>261</v>
      </c>
      <c r="Y5" s="179"/>
    </row>
    <row r="6" spans="1:25" x14ac:dyDescent="0.25">
      <c r="A6" s="39" t="s">
        <v>214</v>
      </c>
      <c r="B6" s="11" t="s">
        <v>260</v>
      </c>
      <c r="C6" s="39" t="s">
        <v>266</v>
      </c>
      <c r="D6" s="39" t="s">
        <v>298</v>
      </c>
      <c r="E6" s="11" t="s">
        <v>218</v>
      </c>
      <c r="F6" s="39" t="s">
        <v>163</v>
      </c>
      <c r="G6" s="39" t="s">
        <v>163</v>
      </c>
      <c r="H6" s="39" t="s">
        <v>163</v>
      </c>
      <c r="I6" s="39" t="s">
        <v>163</v>
      </c>
      <c r="J6" s="39" t="s">
        <v>163</v>
      </c>
      <c r="K6" s="39" t="s">
        <v>163</v>
      </c>
      <c r="L6" s="39" t="s">
        <v>163</v>
      </c>
      <c r="M6" s="39" t="s">
        <v>163</v>
      </c>
      <c r="N6" s="39" t="s">
        <v>163</v>
      </c>
      <c r="O6" s="39" t="s">
        <v>163</v>
      </c>
      <c r="P6" s="39" t="s">
        <v>163</v>
      </c>
      <c r="Q6" s="39" t="s">
        <v>163</v>
      </c>
      <c r="R6" s="39" t="s">
        <v>163</v>
      </c>
      <c r="S6" s="39" t="s">
        <v>163</v>
      </c>
      <c r="T6" s="39" t="s">
        <v>163</v>
      </c>
      <c r="U6" s="39" t="s">
        <v>163</v>
      </c>
      <c r="V6" s="39" t="s">
        <v>163</v>
      </c>
      <c r="W6" s="39" t="s">
        <v>163</v>
      </c>
      <c r="X6" s="25" t="s">
        <v>261</v>
      </c>
      <c r="Y6" s="179"/>
    </row>
    <row r="7" spans="1:25" x14ac:dyDescent="0.25">
      <c r="A7" s="39" t="s">
        <v>214</v>
      </c>
      <c r="B7" s="39" t="s">
        <v>262</v>
      </c>
      <c r="C7" s="39" t="s">
        <v>267</v>
      </c>
      <c r="D7" s="39" t="s">
        <v>299</v>
      </c>
      <c r="E7" s="39" t="s">
        <v>219</v>
      </c>
      <c r="F7" s="39" t="s">
        <v>163</v>
      </c>
      <c r="G7" s="39" t="s">
        <v>163</v>
      </c>
      <c r="H7" s="39" t="s">
        <v>163</v>
      </c>
      <c r="I7" s="39" t="s">
        <v>163</v>
      </c>
      <c r="J7" s="39" t="s">
        <v>163</v>
      </c>
      <c r="K7" s="39" t="s">
        <v>163</v>
      </c>
      <c r="L7" s="39" t="s">
        <v>163</v>
      </c>
      <c r="M7" s="39" t="s">
        <v>163</v>
      </c>
      <c r="N7" s="39" t="s">
        <v>163</v>
      </c>
      <c r="O7" s="39" t="s">
        <v>163</v>
      </c>
      <c r="P7" s="39" t="s">
        <v>163</v>
      </c>
      <c r="Q7" s="39" t="s">
        <v>163</v>
      </c>
      <c r="R7" s="39" t="s">
        <v>163</v>
      </c>
      <c r="S7" s="39" t="s">
        <v>163</v>
      </c>
      <c r="T7" s="39" t="s">
        <v>163</v>
      </c>
      <c r="U7" s="39" t="s">
        <v>163</v>
      </c>
      <c r="V7" s="39" t="s">
        <v>163</v>
      </c>
      <c r="W7" s="39" t="s">
        <v>163</v>
      </c>
      <c r="X7" s="25" t="s">
        <v>261</v>
      </c>
      <c r="Y7" s="179"/>
    </row>
    <row r="8" spans="1:25" x14ac:dyDescent="0.25">
      <c r="A8" s="39" t="s">
        <v>214</v>
      </c>
      <c r="B8" s="39" t="s">
        <v>262</v>
      </c>
      <c r="C8" s="39" t="s">
        <v>267</v>
      </c>
      <c r="D8" s="39" t="s">
        <v>300</v>
      </c>
      <c r="E8" s="39" t="s">
        <v>220</v>
      </c>
      <c r="F8" s="39" t="s">
        <v>163</v>
      </c>
      <c r="G8" s="39" t="s">
        <v>163</v>
      </c>
      <c r="H8" s="39" t="s">
        <v>163</v>
      </c>
      <c r="I8" s="39" t="s">
        <v>163</v>
      </c>
      <c r="J8" s="39" t="s">
        <v>163</v>
      </c>
      <c r="K8" s="39" t="s">
        <v>163</v>
      </c>
      <c r="L8" s="39" t="s">
        <v>163</v>
      </c>
      <c r="M8" s="39" t="s">
        <v>163</v>
      </c>
      <c r="N8" s="39" t="s">
        <v>163</v>
      </c>
      <c r="O8" s="39" t="s">
        <v>163</v>
      </c>
      <c r="P8" s="39" t="s">
        <v>163</v>
      </c>
      <c r="Q8" s="39" t="s">
        <v>163</v>
      </c>
      <c r="R8" s="39" t="s">
        <v>163</v>
      </c>
      <c r="S8" s="39" t="s">
        <v>163</v>
      </c>
      <c r="T8" s="39" t="s">
        <v>163</v>
      </c>
      <c r="U8" s="39" t="s">
        <v>163</v>
      </c>
      <c r="V8" s="39" t="s">
        <v>163</v>
      </c>
      <c r="W8" s="39" t="s">
        <v>163</v>
      </c>
      <c r="X8" s="25" t="s">
        <v>261</v>
      </c>
      <c r="Y8" s="179"/>
    </row>
    <row r="9" spans="1:25" x14ac:dyDescent="0.25">
      <c r="A9" s="39" t="s">
        <v>214</v>
      </c>
      <c r="B9" s="39" t="s">
        <v>262</v>
      </c>
      <c r="C9" s="39" t="s">
        <v>267</v>
      </c>
      <c r="D9" s="39" t="s">
        <v>301</v>
      </c>
      <c r="E9" s="39" t="s">
        <v>221</v>
      </c>
      <c r="F9" s="39" t="s">
        <v>163</v>
      </c>
      <c r="G9" s="39" t="s">
        <v>163</v>
      </c>
      <c r="H9" s="39" t="s">
        <v>163</v>
      </c>
      <c r="I9" s="39" t="s">
        <v>163</v>
      </c>
      <c r="J9" s="39" t="s">
        <v>163</v>
      </c>
      <c r="K9" s="39" t="s">
        <v>163</v>
      </c>
      <c r="L9" s="39" t="s">
        <v>163</v>
      </c>
      <c r="M9" s="39" t="s">
        <v>163</v>
      </c>
      <c r="N9" s="39" t="s">
        <v>163</v>
      </c>
      <c r="O9" s="39" t="s">
        <v>163</v>
      </c>
      <c r="P9" s="39" t="s">
        <v>163</v>
      </c>
      <c r="Q9" s="39" t="s">
        <v>163</v>
      </c>
      <c r="R9" s="39" t="s">
        <v>163</v>
      </c>
      <c r="S9" s="39" t="s">
        <v>163</v>
      </c>
      <c r="T9" s="39" t="s">
        <v>163</v>
      </c>
      <c r="U9" s="39" t="s">
        <v>163</v>
      </c>
      <c r="V9" s="39" t="s">
        <v>163</v>
      </c>
      <c r="W9" s="39" t="s">
        <v>163</v>
      </c>
      <c r="X9" s="25" t="s">
        <v>261</v>
      </c>
      <c r="Y9" s="179"/>
    </row>
    <row r="10" spans="1:25" x14ac:dyDescent="0.25">
      <c r="A10" s="93" t="s">
        <v>222</v>
      </c>
      <c r="B10" s="93" t="s">
        <v>263</v>
      </c>
      <c r="C10" s="39" t="s">
        <v>269</v>
      </c>
      <c r="D10" s="39" t="s">
        <v>296</v>
      </c>
      <c r="E10" s="39" t="s">
        <v>223</v>
      </c>
      <c r="F10" s="39" t="s">
        <v>163</v>
      </c>
      <c r="G10" s="39" t="s">
        <v>163</v>
      </c>
      <c r="H10" s="39" t="s">
        <v>163</v>
      </c>
      <c r="I10" s="39" t="s">
        <v>163</v>
      </c>
      <c r="J10" s="39" t="s">
        <v>163</v>
      </c>
      <c r="K10" s="39" t="s">
        <v>163</v>
      </c>
      <c r="L10" s="39" t="s">
        <v>163</v>
      </c>
      <c r="M10" s="39" t="s">
        <v>163</v>
      </c>
      <c r="N10" s="39" t="s">
        <v>163</v>
      </c>
      <c r="O10" s="39" t="s">
        <v>163</v>
      </c>
      <c r="P10" s="39" t="s">
        <v>163</v>
      </c>
      <c r="Q10" s="39" t="s">
        <v>163</v>
      </c>
      <c r="R10" s="39" t="s">
        <v>163</v>
      </c>
      <c r="S10" s="39" t="s">
        <v>163</v>
      </c>
      <c r="T10" s="39" t="s">
        <v>163</v>
      </c>
      <c r="U10" s="39" t="s">
        <v>163</v>
      </c>
      <c r="V10" s="39" t="s">
        <v>163</v>
      </c>
      <c r="W10" s="39" t="s">
        <v>163</v>
      </c>
      <c r="X10" s="25" t="s">
        <v>261</v>
      </c>
      <c r="Y10" s="179"/>
    </row>
    <row r="11" spans="1:25" x14ac:dyDescent="0.25">
      <c r="A11" s="93" t="s">
        <v>222</v>
      </c>
      <c r="B11" s="93" t="s">
        <v>263</v>
      </c>
      <c r="C11" s="39" t="s">
        <v>269</v>
      </c>
      <c r="D11" s="39" t="s">
        <v>297</v>
      </c>
      <c r="E11" s="39" t="s">
        <v>302</v>
      </c>
      <c r="F11" s="39" t="s">
        <v>163</v>
      </c>
      <c r="G11" s="39" t="s">
        <v>163</v>
      </c>
      <c r="H11" s="39" t="s">
        <v>163</v>
      </c>
      <c r="I11" s="39" t="s">
        <v>163</v>
      </c>
      <c r="J11" s="39" t="s">
        <v>163</v>
      </c>
      <c r="K11" s="39" t="s">
        <v>163</v>
      </c>
      <c r="L11" s="39" t="s">
        <v>163</v>
      </c>
      <c r="M11" s="39" t="s">
        <v>163</v>
      </c>
      <c r="N11" s="39" t="s">
        <v>163</v>
      </c>
      <c r="O11" s="39" t="s">
        <v>163</v>
      </c>
      <c r="P11" s="39" t="s">
        <v>163</v>
      </c>
      <c r="Q11" s="39" t="s">
        <v>163</v>
      </c>
      <c r="R11" s="39" t="s">
        <v>163</v>
      </c>
      <c r="S11" s="39" t="s">
        <v>163</v>
      </c>
      <c r="T11" s="39" t="s">
        <v>163</v>
      </c>
      <c r="U11" s="39" t="s">
        <v>163</v>
      </c>
      <c r="V11" s="39" t="s">
        <v>163</v>
      </c>
      <c r="W11" s="39" t="s">
        <v>163</v>
      </c>
      <c r="X11" s="25" t="s">
        <v>261</v>
      </c>
      <c r="Y11" s="179"/>
    </row>
    <row r="12" spans="1:25" x14ac:dyDescent="0.25">
      <c r="A12" s="93" t="s">
        <v>222</v>
      </c>
      <c r="B12" s="93" t="s">
        <v>263</v>
      </c>
      <c r="C12" s="39" t="s">
        <v>269</v>
      </c>
      <c r="D12" s="39" t="s">
        <v>298</v>
      </c>
      <c r="E12" s="39" t="s">
        <v>226</v>
      </c>
      <c r="F12" s="39" t="s">
        <v>163</v>
      </c>
      <c r="G12" s="39" t="s">
        <v>163</v>
      </c>
      <c r="H12" s="39" t="s">
        <v>163</v>
      </c>
      <c r="I12" s="39" t="s">
        <v>163</v>
      </c>
      <c r="J12" s="39" t="s">
        <v>163</v>
      </c>
      <c r="K12" s="39" t="s">
        <v>163</v>
      </c>
      <c r="L12" s="39" t="s">
        <v>163</v>
      </c>
      <c r="M12" s="39" t="s">
        <v>163</v>
      </c>
      <c r="N12" s="39" t="s">
        <v>163</v>
      </c>
      <c r="O12" s="39" t="s">
        <v>163</v>
      </c>
      <c r="P12" s="39" t="s">
        <v>163</v>
      </c>
      <c r="Q12" s="39" t="s">
        <v>163</v>
      </c>
      <c r="R12" s="39" t="s">
        <v>163</v>
      </c>
      <c r="S12" s="39" t="s">
        <v>163</v>
      </c>
      <c r="T12" s="39" t="s">
        <v>163</v>
      </c>
      <c r="U12" s="39" t="s">
        <v>163</v>
      </c>
      <c r="V12" s="39" t="s">
        <v>163</v>
      </c>
      <c r="W12" s="39" t="s">
        <v>163</v>
      </c>
      <c r="X12" s="25" t="s">
        <v>261</v>
      </c>
      <c r="Y12" s="179"/>
    </row>
    <row r="13" spans="1:25" x14ac:dyDescent="0.25">
      <c r="A13" s="93" t="s">
        <v>222</v>
      </c>
      <c r="B13" s="93" t="s">
        <v>263</v>
      </c>
      <c r="C13" s="39" t="s">
        <v>270</v>
      </c>
      <c r="D13" s="39" t="s">
        <v>299</v>
      </c>
      <c r="E13" s="39" t="s">
        <v>227</v>
      </c>
      <c r="F13" s="39" t="s">
        <v>163</v>
      </c>
      <c r="G13" s="39" t="s">
        <v>163</v>
      </c>
      <c r="H13" s="39" t="s">
        <v>163</v>
      </c>
      <c r="I13" s="39" t="s">
        <v>163</v>
      </c>
      <c r="J13" s="39" t="s">
        <v>163</v>
      </c>
      <c r="K13" s="39" t="s">
        <v>163</v>
      </c>
      <c r="L13" s="39" t="s">
        <v>163</v>
      </c>
      <c r="M13" s="39" t="s">
        <v>163</v>
      </c>
      <c r="N13" s="39" t="s">
        <v>163</v>
      </c>
      <c r="O13" s="39" t="s">
        <v>163</v>
      </c>
      <c r="P13" s="39" t="s">
        <v>163</v>
      </c>
      <c r="Q13" s="39" t="s">
        <v>163</v>
      </c>
      <c r="R13" s="39" t="s">
        <v>163</v>
      </c>
      <c r="S13" s="39" t="s">
        <v>163</v>
      </c>
      <c r="T13" s="39" t="s">
        <v>163</v>
      </c>
      <c r="U13" s="39" t="s">
        <v>163</v>
      </c>
      <c r="V13" s="39" t="s">
        <v>163</v>
      </c>
      <c r="W13" s="39" t="s">
        <v>163</v>
      </c>
      <c r="X13" s="25" t="s">
        <v>261</v>
      </c>
      <c r="Y13" s="179"/>
    </row>
    <row r="14" spans="1:25" x14ac:dyDescent="0.25">
      <c r="A14" s="93" t="s">
        <v>222</v>
      </c>
      <c r="B14" s="93" t="s">
        <v>263</v>
      </c>
      <c r="C14" s="39" t="s">
        <v>270</v>
      </c>
      <c r="D14" s="39" t="s">
        <v>300</v>
      </c>
      <c r="E14" s="39" t="s">
        <v>225</v>
      </c>
      <c r="F14" s="39" t="s">
        <v>163</v>
      </c>
      <c r="G14" s="39" t="s">
        <v>163</v>
      </c>
      <c r="H14" s="39" t="s">
        <v>163</v>
      </c>
      <c r="I14" s="39" t="s">
        <v>163</v>
      </c>
      <c r="J14" s="39" t="s">
        <v>163</v>
      </c>
      <c r="K14" s="39" t="s">
        <v>163</v>
      </c>
      <c r="L14" s="39" t="s">
        <v>163</v>
      </c>
      <c r="M14" s="39" t="s">
        <v>163</v>
      </c>
      <c r="N14" s="39" t="s">
        <v>163</v>
      </c>
      <c r="O14" s="39" t="s">
        <v>163</v>
      </c>
      <c r="P14" s="39" t="s">
        <v>163</v>
      </c>
      <c r="Q14" s="39" t="s">
        <v>163</v>
      </c>
      <c r="R14" s="39" t="s">
        <v>163</v>
      </c>
      <c r="S14" s="39" t="s">
        <v>163</v>
      </c>
      <c r="T14" s="39" t="s">
        <v>163</v>
      </c>
      <c r="U14" s="39" t="s">
        <v>163</v>
      </c>
      <c r="V14" s="39" t="s">
        <v>163</v>
      </c>
      <c r="W14" s="39" t="s">
        <v>163</v>
      </c>
      <c r="X14" s="25" t="s">
        <v>261</v>
      </c>
      <c r="Y14" s="179"/>
    </row>
    <row r="15" spans="1:25" x14ac:dyDescent="0.25">
      <c r="A15" s="93" t="s">
        <v>222</v>
      </c>
      <c r="B15" s="93" t="s">
        <v>263</v>
      </c>
      <c r="C15" s="39" t="s">
        <v>270</v>
      </c>
      <c r="D15" s="39" t="s">
        <v>301</v>
      </c>
      <c r="E15" s="39" t="s">
        <v>228</v>
      </c>
      <c r="F15" s="39" t="s">
        <v>163</v>
      </c>
      <c r="G15" s="39" t="s">
        <v>163</v>
      </c>
      <c r="H15" s="39" t="s">
        <v>163</v>
      </c>
      <c r="I15" s="39" t="s">
        <v>163</v>
      </c>
      <c r="J15" s="39" t="s">
        <v>163</v>
      </c>
      <c r="K15" s="39" t="s">
        <v>163</v>
      </c>
      <c r="L15" s="39" t="s">
        <v>163</v>
      </c>
      <c r="M15" s="39" t="s">
        <v>163</v>
      </c>
      <c r="N15" s="39" t="s">
        <v>163</v>
      </c>
      <c r="O15" s="39" t="s">
        <v>163</v>
      </c>
      <c r="P15" s="39" t="s">
        <v>163</v>
      </c>
      <c r="Q15" s="39" t="s">
        <v>163</v>
      </c>
      <c r="R15" s="39" t="s">
        <v>163</v>
      </c>
      <c r="S15" s="39" t="s">
        <v>163</v>
      </c>
      <c r="T15" s="39" t="s">
        <v>163</v>
      </c>
      <c r="U15" s="39" t="s">
        <v>163</v>
      </c>
      <c r="V15" s="39" t="s">
        <v>163</v>
      </c>
      <c r="W15" s="39" t="s">
        <v>163</v>
      </c>
      <c r="X15" s="25" t="s">
        <v>261</v>
      </c>
      <c r="Y15" s="179"/>
    </row>
    <row r="16" spans="1:25" x14ac:dyDescent="0.25">
      <c r="A16" s="11" t="s">
        <v>214</v>
      </c>
      <c r="B16" s="121" t="s">
        <v>364</v>
      </c>
      <c r="C16" s="121" t="s">
        <v>368</v>
      </c>
      <c r="D16" s="121" t="s">
        <v>303</v>
      </c>
      <c r="E16" s="121" t="s">
        <v>304</v>
      </c>
      <c r="F16" s="121" t="s">
        <v>305</v>
      </c>
      <c r="G16" s="121" t="s">
        <v>305</v>
      </c>
      <c r="H16" s="121" t="s">
        <v>305</v>
      </c>
      <c r="I16" s="121" t="s">
        <v>305</v>
      </c>
      <c r="J16" s="121" t="s">
        <v>305</v>
      </c>
      <c r="K16" s="121" t="s">
        <v>305</v>
      </c>
      <c r="L16" s="121" t="s">
        <v>305</v>
      </c>
      <c r="M16" s="92" t="s">
        <v>348</v>
      </c>
      <c r="N16" s="121" t="s">
        <v>305</v>
      </c>
      <c r="O16" s="121" t="s">
        <v>305</v>
      </c>
      <c r="P16" s="121" t="s">
        <v>305</v>
      </c>
      <c r="Q16" s="121" t="s">
        <v>305</v>
      </c>
      <c r="R16" s="121" t="s">
        <v>305</v>
      </c>
      <c r="S16" s="121" t="s">
        <v>305</v>
      </c>
      <c r="T16" s="121" t="s">
        <v>305</v>
      </c>
      <c r="U16" s="121" t="s">
        <v>305</v>
      </c>
      <c r="V16" s="121" t="s">
        <v>305</v>
      </c>
      <c r="W16" s="121" t="s">
        <v>305</v>
      </c>
      <c r="X16" s="124" t="s">
        <v>306</v>
      </c>
      <c r="Y16" s="179"/>
    </row>
    <row r="17" spans="1:25" x14ac:dyDescent="0.25">
      <c r="A17" s="125" t="s">
        <v>214</v>
      </c>
      <c r="B17" s="121" t="s">
        <v>364</v>
      </c>
      <c r="C17" s="121" t="s">
        <v>368</v>
      </c>
      <c r="D17" s="142" t="s">
        <v>346</v>
      </c>
      <c r="E17" s="142" t="s">
        <v>229</v>
      </c>
      <c r="F17" s="123" t="s">
        <v>305</v>
      </c>
      <c r="G17" s="123" t="s">
        <v>305</v>
      </c>
      <c r="H17" s="123" t="s">
        <v>305</v>
      </c>
      <c r="I17" s="123" t="s">
        <v>305</v>
      </c>
      <c r="J17" s="123" t="s">
        <v>305</v>
      </c>
      <c r="K17" s="123" t="s">
        <v>305</v>
      </c>
      <c r="L17" s="123" t="s">
        <v>305</v>
      </c>
      <c r="M17" s="123" t="s">
        <v>305</v>
      </c>
      <c r="N17" s="123" t="s">
        <v>305</v>
      </c>
      <c r="O17" s="123" t="s">
        <v>305</v>
      </c>
      <c r="P17" s="123" t="s">
        <v>305</v>
      </c>
      <c r="Q17" s="123" t="s">
        <v>305</v>
      </c>
      <c r="R17" s="123" t="s">
        <v>305</v>
      </c>
      <c r="S17" s="123" t="s">
        <v>305</v>
      </c>
      <c r="T17" s="123" t="s">
        <v>305</v>
      </c>
      <c r="U17" s="123" t="s">
        <v>305</v>
      </c>
      <c r="V17" s="123" t="s">
        <v>305</v>
      </c>
      <c r="W17" s="123" t="s">
        <v>305</v>
      </c>
      <c r="X17" s="127" t="s">
        <v>385</v>
      </c>
      <c r="Y17" s="179"/>
    </row>
    <row r="18" spans="1:25" s="210" customFormat="1" x14ac:dyDescent="0.25">
      <c r="A18" s="205" t="s">
        <v>214</v>
      </c>
      <c r="B18" s="206" t="s">
        <v>364</v>
      </c>
      <c r="C18" s="204" t="s">
        <v>368</v>
      </c>
      <c r="D18" s="207" t="s">
        <v>450</v>
      </c>
      <c r="E18" s="208" t="s">
        <v>304</v>
      </c>
      <c r="F18" s="208" t="s">
        <v>305</v>
      </c>
      <c r="G18" s="208" t="s">
        <v>305</v>
      </c>
      <c r="H18" s="208" t="s">
        <v>305</v>
      </c>
      <c r="I18" s="208" t="s">
        <v>305</v>
      </c>
      <c r="J18" s="208" t="s">
        <v>305</v>
      </c>
      <c r="K18" s="208" t="s">
        <v>305</v>
      </c>
      <c r="L18" s="208" t="s">
        <v>305</v>
      </c>
      <c r="M18" s="208" t="s">
        <v>305</v>
      </c>
      <c r="N18" s="208" t="s">
        <v>305</v>
      </c>
      <c r="O18" s="208" t="s">
        <v>305</v>
      </c>
      <c r="P18" s="208" t="s">
        <v>305</v>
      </c>
      <c r="Q18" s="208" t="s">
        <v>305</v>
      </c>
      <c r="R18" s="208" t="s">
        <v>305</v>
      </c>
      <c r="S18" s="208" t="s">
        <v>305</v>
      </c>
      <c r="T18" s="208" t="s">
        <v>305</v>
      </c>
      <c r="U18" s="208" t="s">
        <v>305</v>
      </c>
      <c r="V18" s="207" t="s">
        <v>451</v>
      </c>
      <c r="W18" s="208"/>
      <c r="X18" s="209"/>
    </row>
    <row r="19" spans="1:25" x14ac:dyDescent="0.25">
      <c r="A19" s="125" t="s">
        <v>214</v>
      </c>
      <c r="B19" s="121" t="s">
        <v>364</v>
      </c>
      <c r="C19" s="121" t="s">
        <v>368</v>
      </c>
      <c r="D19" s="123" t="s">
        <v>307</v>
      </c>
      <c r="E19" s="123" t="s">
        <v>304</v>
      </c>
      <c r="F19" s="123" t="s">
        <v>305</v>
      </c>
      <c r="G19" s="123" t="s">
        <v>305</v>
      </c>
      <c r="H19" s="123" t="s">
        <v>305</v>
      </c>
      <c r="I19" s="123" t="s">
        <v>305</v>
      </c>
      <c r="J19" s="123" t="s">
        <v>305</v>
      </c>
      <c r="K19" s="123" t="s">
        <v>305</v>
      </c>
      <c r="L19" s="123" t="s">
        <v>305</v>
      </c>
      <c r="M19" s="123" t="s">
        <v>305</v>
      </c>
      <c r="N19" s="123" t="s">
        <v>305</v>
      </c>
      <c r="O19" s="123" t="s">
        <v>305</v>
      </c>
      <c r="P19" s="123" t="s">
        <v>305</v>
      </c>
      <c r="Q19" s="123" t="s">
        <v>305</v>
      </c>
      <c r="R19" s="123" t="s">
        <v>305</v>
      </c>
      <c r="S19" s="123" t="s">
        <v>305</v>
      </c>
      <c r="T19" s="123" t="s">
        <v>305</v>
      </c>
      <c r="U19" s="123" t="s">
        <v>305</v>
      </c>
      <c r="V19" s="142" t="s">
        <v>347</v>
      </c>
      <c r="W19" s="123" t="s">
        <v>305</v>
      </c>
      <c r="X19" s="25" t="s">
        <v>349</v>
      </c>
      <c r="Y19" s="179"/>
    </row>
    <row r="20" spans="1:25" x14ac:dyDescent="0.25">
      <c r="A20" s="122" t="s">
        <v>222</v>
      </c>
      <c r="B20" s="160" t="s">
        <v>272</v>
      </c>
      <c r="C20" s="123" t="s">
        <v>373</v>
      </c>
      <c r="D20" s="123" t="s">
        <v>303</v>
      </c>
      <c r="E20" s="123" t="s">
        <v>308</v>
      </c>
      <c r="F20" s="123" t="s">
        <v>305</v>
      </c>
      <c r="G20" s="123" t="s">
        <v>305</v>
      </c>
      <c r="H20" s="123" t="s">
        <v>305</v>
      </c>
      <c r="I20" s="123" t="s">
        <v>305</v>
      </c>
      <c r="J20" s="123" t="s">
        <v>305</v>
      </c>
      <c r="K20" s="123" t="s">
        <v>305</v>
      </c>
      <c r="L20" s="123" t="s">
        <v>305</v>
      </c>
      <c r="M20" s="161" t="s">
        <v>348</v>
      </c>
      <c r="N20" s="123" t="s">
        <v>305</v>
      </c>
      <c r="O20" s="123" t="s">
        <v>305</v>
      </c>
      <c r="P20" s="123" t="s">
        <v>305</v>
      </c>
      <c r="Q20" s="123" t="s">
        <v>305</v>
      </c>
      <c r="R20" s="123" t="s">
        <v>305</v>
      </c>
      <c r="S20" s="123" t="s">
        <v>305</v>
      </c>
      <c r="T20" s="123" t="s">
        <v>305</v>
      </c>
      <c r="U20" s="123" t="s">
        <v>305</v>
      </c>
      <c r="V20" s="123" t="s">
        <v>305</v>
      </c>
      <c r="W20" s="123" t="s">
        <v>305</v>
      </c>
      <c r="X20" s="25" t="s">
        <v>349</v>
      </c>
      <c r="Y20" s="179"/>
    </row>
    <row r="21" spans="1:25" x14ac:dyDescent="0.25">
      <c r="A21" s="122" t="s">
        <v>222</v>
      </c>
      <c r="B21" s="160" t="s">
        <v>272</v>
      </c>
      <c r="C21" s="123" t="s">
        <v>395</v>
      </c>
      <c r="D21" s="142" t="s">
        <v>346</v>
      </c>
      <c r="E21" s="142" t="s">
        <v>230</v>
      </c>
      <c r="F21" s="123" t="s">
        <v>305</v>
      </c>
      <c r="G21" s="123" t="s">
        <v>305</v>
      </c>
      <c r="H21" s="123" t="s">
        <v>305</v>
      </c>
      <c r="I21" s="123" t="s">
        <v>305</v>
      </c>
      <c r="J21" s="123" t="s">
        <v>305</v>
      </c>
      <c r="K21" s="123" t="s">
        <v>305</v>
      </c>
      <c r="L21" s="123" t="s">
        <v>305</v>
      </c>
      <c r="M21" s="123" t="s">
        <v>305</v>
      </c>
      <c r="N21" s="123" t="s">
        <v>305</v>
      </c>
      <c r="O21" s="123" t="s">
        <v>305</v>
      </c>
      <c r="P21" s="123" t="s">
        <v>305</v>
      </c>
      <c r="Q21" s="123" t="s">
        <v>305</v>
      </c>
      <c r="R21" s="123" t="s">
        <v>305</v>
      </c>
      <c r="S21" s="123" t="s">
        <v>305</v>
      </c>
      <c r="T21" s="123" t="s">
        <v>305</v>
      </c>
      <c r="U21" s="123" t="s">
        <v>305</v>
      </c>
      <c r="V21" s="123" t="s">
        <v>305</v>
      </c>
      <c r="W21" s="123" t="s">
        <v>305</v>
      </c>
      <c r="X21" s="127" t="s">
        <v>385</v>
      </c>
      <c r="Y21" s="179"/>
    </row>
    <row r="22" spans="1:25" x14ac:dyDescent="0.25">
      <c r="A22" s="170" t="s">
        <v>214</v>
      </c>
      <c r="B22" s="170" t="s">
        <v>375</v>
      </c>
      <c r="C22" s="170" t="s">
        <v>378</v>
      </c>
      <c r="D22" s="170" t="s">
        <v>303</v>
      </c>
      <c r="E22" s="170" t="s">
        <v>304</v>
      </c>
      <c r="F22" s="168" t="s">
        <v>163</v>
      </c>
      <c r="G22" s="168" t="s">
        <v>163</v>
      </c>
      <c r="H22" s="168" t="s">
        <v>163</v>
      </c>
      <c r="I22" s="168" t="s">
        <v>163</v>
      </c>
      <c r="J22" s="168" t="s">
        <v>163</v>
      </c>
      <c r="K22" s="168" t="s">
        <v>163</v>
      </c>
      <c r="L22" s="168" t="s">
        <v>163</v>
      </c>
      <c r="M22" s="173" t="s">
        <v>396</v>
      </c>
      <c r="N22" s="168" t="s">
        <v>163</v>
      </c>
      <c r="O22" s="168" t="s">
        <v>163</v>
      </c>
      <c r="P22" s="168" t="s">
        <v>163</v>
      </c>
      <c r="Q22" s="168" t="s">
        <v>163</v>
      </c>
      <c r="R22" s="168" t="s">
        <v>163</v>
      </c>
      <c r="S22" s="168" t="s">
        <v>163</v>
      </c>
      <c r="T22" s="168" t="s">
        <v>163</v>
      </c>
      <c r="U22" s="168" t="s">
        <v>163</v>
      </c>
      <c r="V22" s="168" t="s">
        <v>163</v>
      </c>
      <c r="W22" s="168" t="s">
        <v>163</v>
      </c>
      <c r="X22" s="169" t="s">
        <v>386</v>
      </c>
      <c r="Y22" s="179"/>
    </row>
    <row r="23" spans="1:25" s="165" customFormat="1" x14ac:dyDescent="0.25">
      <c r="A23" s="178" t="s">
        <v>214</v>
      </c>
      <c r="B23" s="178" t="s">
        <v>375</v>
      </c>
      <c r="C23" s="178" t="s">
        <v>378</v>
      </c>
      <c r="D23" s="171" t="s">
        <v>397</v>
      </c>
      <c r="E23" s="171" t="s">
        <v>398</v>
      </c>
      <c r="F23" s="163" t="s">
        <v>387</v>
      </c>
      <c r="G23" s="163" t="s">
        <v>387</v>
      </c>
      <c r="H23" s="168" t="s">
        <v>163</v>
      </c>
      <c r="I23" s="163" t="s">
        <v>389</v>
      </c>
      <c r="J23" s="181" t="s">
        <v>163</v>
      </c>
      <c r="K23" s="181" t="s">
        <v>163</v>
      </c>
      <c r="L23" s="181" t="s">
        <v>163</v>
      </c>
      <c r="N23" s="179" t="s">
        <v>163</v>
      </c>
      <c r="O23" s="179" t="s">
        <v>163</v>
      </c>
      <c r="P23" s="179" t="s">
        <v>163</v>
      </c>
      <c r="Q23" s="179" t="s">
        <v>163</v>
      </c>
      <c r="R23" s="179" t="s">
        <v>163</v>
      </c>
      <c r="S23" s="179" t="s">
        <v>163</v>
      </c>
      <c r="T23" s="179" t="s">
        <v>163</v>
      </c>
      <c r="U23" s="179" t="s">
        <v>163</v>
      </c>
      <c r="V23" s="179" t="s">
        <v>163</v>
      </c>
      <c r="W23" s="179" t="s">
        <v>163</v>
      </c>
      <c r="X23" s="177" t="s">
        <v>349</v>
      </c>
      <c r="Y23" s="179"/>
    </row>
    <row r="24" spans="1:25" s="165" customFormat="1" x14ac:dyDescent="0.25">
      <c r="A24" s="178" t="s">
        <v>214</v>
      </c>
      <c r="B24" s="178" t="s">
        <v>375</v>
      </c>
      <c r="C24" s="178" t="s">
        <v>378</v>
      </c>
      <c r="D24" s="171" t="s">
        <v>399</v>
      </c>
      <c r="E24" s="171" t="s">
        <v>400</v>
      </c>
      <c r="F24" s="163" t="s">
        <v>387</v>
      </c>
      <c r="G24" s="163" t="s">
        <v>387</v>
      </c>
      <c r="H24" s="181" t="s">
        <v>163</v>
      </c>
      <c r="I24" s="181" t="s">
        <v>163</v>
      </c>
      <c r="J24" s="181" t="s">
        <v>163</v>
      </c>
      <c r="K24" s="181" t="s">
        <v>163</v>
      </c>
      <c r="L24" s="172" t="s">
        <v>401</v>
      </c>
      <c r="N24" s="179" t="s">
        <v>163</v>
      </c>
      <c r="O24" s="179" t="s">
        <v>163</v>
      </c>
      <c r="P24" s="179" t="s">
        <v>163</v>
      </c>
      <c r="Q24" s="179" t="s">
        <v>163</v>
      </c>
      <c r="R24" s="179" t="s">
        <v>163</v>
      </c>
      <c r="S24" s="179" t="s">
        <v>163</v>
      </c>
      <c r="T24" s="179" t="s">
        <v>163</v>
      </c>
      <c r="U24" s="179" t="s">
        <v>163</v>
      </c>
      <c r="V24" s="179" t="s">
        <v>163</v>
      </c>
      <c r="W24" s="179" t="s">
        <v>163</v>
      </c>
      <c r="X24" s="177" t="s">
        <v>349</v>
      </c>
      <c r="Y24" s="179"/>
    </row>
    <row r="25" spans="1:25" s="165" customFormat="1" x14ac:dyDescent="0.25">
      <c r="A25" s="178" t="s">
        <v>214</v>
      </c>
      <c r="B25" s="178" t="s">
        <v>375</v>
      </c>
      <c r="C25" s="178" t="s">
        <v>378</v>
      </c>
      <c r="D25" s="171" t="s">
        <v>402</v>
      </c>
      <c r="E25" s="171" t="s">
        <v>400</v>
      </c>
      <c r="F25" s="163" t="s">
        <v>387</v>
      </c>
      <c r="G25" s="163" t="s">
        <v>387</v>
      </c>
      <c r="H25" s="181" t="s">
        <v>163</v>
      </c>
      <c r="I25" s="181" t="s">
        <v>163</v>
      </c>
      <c r="J25" s="181" t="s">
        <v>163</v>
      </c>
      <c r="K25" s="181" t="s">
        <v>163</v>
      </c>
      <c r="L25" s="181" t="s">
        <v>163</v>
      </c>
      <c r="M25" s="181" t="s">
        <v>163</v>
      </c>
      <c r="N25" s="172" t="s">
        <v>404</v>
      </c>
      <c r="O25" s="179" t="s">
        <v>163</v>
      </c>
      <c r="P25" s="179" t="s">
        <v>163</v>
      </c>
      <c r="Q25" s="179" t="s">
        <v>163</v>
      </c>
      <c r="R25" s="179" t="s">
        <v>163</v>
      </c>
      <c r="S25" s="179" t="s">
        <v>163</v>
      </c>
      <c r="T25" s="179" t="s">
        <v>163</v>
      </c>
      <c r="U25" s="179" t="s">
        <v>163</v>
      </c>
      <c r="V25" s="179" t="s">
        <v>163</v>
      </c>
      <c r="W25" s="179" t="s">
        <v>163</v>
      </c>
      <c r="X25" s="177" t="s">
        <v>349</v>
      </c>
      <c r="Y25" s="179"/>
    </row>
    <row r="26" spans="1:25" s="179" customFormat="1" x14ac:dyDescent="0.25">
      <c r="A26" s="184" t="s">
        <v>214</v>
      </c>
      <c r="B26" s="184" t="s">
        <v>375</v>
      </c>
      <c r="C26" s="184" t="s">
        <v>378</v>
      </c>
      <c r="D26" s="186" t="s">
        <v>402</v>
      </c>
      <c r="E26" s="186" t="s">
        <v>400</v>
      </c>
      <c r="F26" s="163" t="s">
        <v>387</v>
      </c>
      <c r="G26" s="163" t="s">
        <v>387</v>
      </c>
      <c r="H26" s="181" t="s">
        <v>163</v>
      </c>
      <c r="I26" s="181" t="s">
        <v>163</v>
      </c>
      <c r="J26" s="181" t="s">
        <v>163</v>
      </c>
      <c r="K26" s="181" t="s">
        <v>163</v>
      </c>
      <c r="L26" s="181" t="s">
        <v>163</v>
      </c>
      <c r="M26" s="181" t="s">
        <v>163</v>
      </c>
      <c r="N26" s="187" t="s">
        <v>409</v>
      </c>
      <c r="O26" s="179" t="s">
        <v>163</v>
      </c>
      <c r="P26" s="179" t="s">
        <v>163</v>
      </c>
      <c r="Q26" s="179" t="s">
        <v>163</v>
      </c>
      <c r="R26" s="179" t="s">
        <v>163</v>
      </c>
      <c r="S26" s="179" t="s">
        <v>163</v>
      </c>
      <c r="T26" s="179" t="s">
        <v>163</v>
      </c>
      <c r="U26" s="179" t="s">
        <v>163</v>
      </c>
      <c r="V26" s="179" t="s">
        <v>163</v>
      </c>
      <c r="W26" s="179" t="s">
        <v>163</v>
      </c>
      <c r="X26" s="183" t="s">
        <v>349</v>
      </c>
    </row>
    <row r="27" spans="1:25" s="165" customFormat="1" ht="198" x14ac:dyDescent="0.25">
      <c r="A27" s="178" t="s">
        <v>214</v>
      </c>
      <c r="B27" s="178" t="s">
        <v>375</v>
      </c>
      <c r="C27" s="184" t="s">
        <v>378</v>
      </c>
      <c r="D27" s="171" t="s">
        <v>403</v>
      </c>
      <c r="E27" s="171" t="s">
        <v>231</v>
      </c>
      <c r="F27" s="163" t="s">
        <v>387</v>
      </c>
      <c r="G27" s="163" t="s">
        <v>387</v>
      </c>
      <c r="H27" s="181" t="s">
        <v>163</v>
      </c>
      <c r="I27" s="162" t="s">
        <v>389</v>
      </c>
      <c r="N27" s="157" t="s">
        <v>391</v>
      </c>
      <c r="X27" s="190" t="s">
        <v>406</v>
      </c>
      <c r="Y27" s="175"/>
    </row>
    <row r="28" spans="1:25" s="165" customFormat="1" x14ac:dyDescent="0.25">
      <c r="A28" s="178" t="s">
        <v>214</v>
      </c>
      <c r="B28" s="178" t="s">
        <v>375</v>
      </c>
      <c r="C28" s="184" t="s">
        <v>378</v>
      </c>
      <c r="D28" s="178" t="s">
        <v>415</v>
      </c>
      <c r="E28" s="178" t="s">
        <v>231</v>
      </c>
      <c r="F28" s="178" t="s">
        <v>387</v>
      </c>
      <c r="G28" s="178" t="s">
        <v>387</v>
      </c>
      <c r="H28" s="178" t="s">
        <v>388</v>
      </c>
      <c r="I28" s="178" t="s">
        <v>389</v>
      </c>
      <c r="J28" s="178" t="s">
        <v>390</v>
      </c>
      <c r="K28" s="178" t="s">
        <v>387</v>
      </c>
      <c r="L28" s="176" t="s">
        <v>163</v>
      </c>
      <c r="M28" s="176" t="s">
        <v>163</v>
      </c>
      <c r="N28" s="173" t="s">
        <v>391</v>
      </c>
      <c r="O28" s="176" t="s">
        <v>163</v>
      </c>
      <c r="P28" s="176" t="s">
        <v>163</v>
      </c>
      <c r="Q28" s="176" t="s">
        <v>163</v>
      </c>
      <c r="R28" s="176" t="s">
        <v>163</v>
      </c>
      <c r="S28" s="176" t="s">
        <v>163</v>
      </c>
      <c r="T28" s="176" t="s">
        <v>163</v>
      </c>
      <c r="U28" s="176" t="s">
        <v>163</v>
      </c>
      <c r="V28" s="176" t="s">
        <v>163</v>
      </c>
      <c r="W28" s="176" t="s">
        <v>163</v>
      </c>
      <c r="X28" s="174" t="s">
        <v>405</v>
      </c>
      <c r="Y28" s="175"/>
    </row>
    <row r="29" spans="1:25" s="165" customFormat="1" x14ac:dyDescent="0.25">
      <c r="A29" s="184" t="s">
        <v>214</v>
      </c>
      <c r="B29" s="184" t="s">
        <v>375</v>
      </c>
      <c r="C29" s="184" t="s">
        <v>378</v>
      </c>
      <c r="D29" s="184" t="s">
        <v>392</v>
      </c>
      <c r="E29" s="184" t="s">
        <v>304</v>
      </c>
      <c r="F29" s="181" t="s">
        <v>163</v>
      </c>
      <c r="G29" s="181" t="s">
        <v>163</v>
      </c>
      <c r="H29" s="181" t="s">
        <v>163</v>
      </c>
      <c r="I29" s="181" t="s">
        <v>163</v>
      </c>
      <c r="J29" s="181" t="s">
        <v>163</v>
      </c>
      <c r="K29" s="181" t="s">
        <v>163</v>
      </c>
      <c r="L29" s="181" t="s">
        <v>163</v>
      </c>
      <c r="M29" s="181" t="s">
        <v>163</v>
      </c>
      <c r="N29" s="181" t="s">
        <v>163</v>
      </c>
      <c r="O29" s="181" t="s">
        <v>163</v>
      </c>
      <c r="P29" s="181" t="s">
        <v>163</v>
      </c>
      <c r="Q29" s="181" t="s">
        <v>163</v>
      </c>
      <c r="R29" s="181" t="s">
        <v>163</v>
      </c>
      <c r="S29" s="181" t="s">
        <v>163</v>
      </c>
      <c r="T29" s="181" t="s">
        <v>163</v>
      </c>
      <c r="U29" s="181" t="s">
        <v>163</v>
      </c>
      <c r="V29" s="185" t="s">
        <v>407</v>
      </c>
      <c r="W29" s="181" t="s">
        <v>163</v>
      </c>
      <c r="X29" s="183" t="s">
        <v>349</v>
      </c>
      <c r="Y29" s="179"/>
    </row>
    <row r="30" spans="1:25" s="165" customFormat="1" x14ac:dyDescent="0.25">
      <c r="A30" s="184" t="s">
        <v>214</v>
      </c>
      <c r="B30" s="184" t="s">
        <v>375</v>
      </c>
      <c r="C30" s="184" t="s">
        <v>378</v>
      </c>
      <c r="D30" s="184" t="s">
        <v>393</v>
      </c>
      <c r="E30" s="184" t="s">
        <v>304</v>
      </c>
      <c r="F30" s="181" t="s">
        <v>163</v>
      </c>
      <c r="G30" s="181" t="s">
        <v>163</v>
      </c>
      <c r="H30" s="181" t="s">
        <v>163</v>
      </c>
      <c r="I30" s="181" t="s">
        <v>163</v>
      </c>
      <c r="J30" s="181" t="s">
        <v>163</v>
      </c>
      <c r="K30" s="181" t="s">
        <v>163</v>
      </c>
      <c r="L30" s="181" t="s">
        <v>163</v>
      </c>
      <c r="M30" s="181" t="s">
        <v>163</v>
      </c>
      <c r="N30" s="181" t="s">
        <v>163</v>
      </c>
      <c r="O30" s="181" t="s">
        <v>163</v>
      </c>
      <c r="P30" s="181" t="s">
        <v>163</v>
      </c>
      <c r="Q30" s="181" t="s">
        <v>163</v>
      </c>
      <c r="R30" s="181" t="s">
        <v>163</v>
      </c>
      <c r="S30" s="181" t="s">
        <v>163</v>
      </c>
      <c r="T30" s="181" t="s">
        <v>163</v>
      </c>
      <c r="U30" s="181" t="s">
        <v>163</v>
      </c>
      <c r="V30" s="185" t="s">
        <v>408</v>
      </c>
      <c r="W30" s="181" t="s">
        <v>163</v>
      </c>
      <c r="X30" s="183" t="s">
        <v>349</v>
      </c>
      <c r="Y30" s="179"/>
    </row>
    <row r="31" spans="1:25" s="179" customFormat="1" x14ac:dyDescent="0.25">
      <c r="A31" s="184" t="s">
        <v>214</v>
      </c>
      <c r="B31" s="184" t="s">
        <v>375</v>
      </c>
      <c r="C31" s="184" t="s">
        <v>378</v>
      </c>
      <c r="D31" s="184" t="s">
        <v>410</v>
      </c>
      <c r="E31" s="184" t="s">
        <v>304</v>
      </c>
      <c r="F31" s="181" t="s">
        <v>163</v>
      </c>
      <c r="G31" s="181" t="s">
        <v>163</v>
      </c>
      <c r="H31" s="181" t="s">
        <v>163</v>
      </c>
      <c r="I31" s="181" t="s">
        <v>163</v>
      </c>
      <c r="J31" s="181" t="s">
        <v>163</v>
      </c>
      <c r="K31" s="181" t="s">
        <v>163</v>
      </c>
      <c r="L31" s="181" t="s">
        <v>163</v>
      </c>
      <c r="M31" s="181" t="s">
        <v>163</v>
      </c>
      <c r="N31" s="181" t="s">
        <v>163</v>
      </c>
      <c r="O31" s="181" t="s">
        <v>163</v>
      </c>
      <c r="P31" s="181" t="s">
        <v>163</v>
      </c>
      <c r="Q31" s="181" t="s">
        <v>163</v>
      </c>
      <c r="R31" s="181" t="s">
        <v>163</v>
      </c>
      <c r="S31" s="181" t="s">
        <v>163</v>
      </c>
      <c r="T31" s="181" t="s">
        <v>163</v>
      </c>
      <c r="U31" s="181" t="s">
        <v>163</v>
      </c>
      <c r="V31" s="185" t="s">
        <v>411</v>
      </c>
      <c r="W31" s="181" t="s">
        <v>163</v>
      </c>
      <c r="X31" s="183" t="s">
        <v>349</v>
      </c>
    </row>
    <row r="32" spans="1:25" s="179" customFormat="1" x14ac:dyDescent="0.25">
      <c r="A32" s="184" t="s">
        <v>214</v>
      </c>
      <c r="B32" s="184" t="s">
        <v>375</v>
      </c>
      <c r="C32" s="184" t="s">
        <v>378</v>
      </c>
      <c r="D32" s="184" t="s">
        <v>412</v>
      </c>
      <c r="E32" s="184"/>
      <c r="F32" s="181"/>
      <c r="G32" s="181"/>
      <c r="H32" s="181"/>
      <c r="I32" s="181"/>
      <c r="J32" s="181"/>
      <c r="K32" s="181"/>
      <c r="L32" s="181"/>
      <c r="M32" s="181"/>
      <c r="N32" s="181" t="s">
        <v>163</v>
      </c>
      <c r="O32" s="181" t="s">
        <v>163</v>
      </c>
      <c r="P32" s="181" t="s">
        <v>163</v>
      </c>
      <c r="Q32" s="181" t="s">
        <v>163</v>
      </c>
      <c r="R32" s="181" t="s">
        <v>163</v>
      </c>
      <c r="S32" s="181" t="s">
        <v>163</v>
      </c>
      <c r="T32" s="181" t="s">
        <v>163</v>
      </c>
      <c r="U32" s="181" t="s">
        <v>163</v>
      </c>
      <c r="V32" s="173" t="s">
        <v>413</v>
      </c>
      <c r="W32" s="181" t="s">
        <v>163</v>
      </c>
      <c r="X32" s="183" t="s">
        <v>349</v>
      </c>
    </row>
    <row r="33" spans="1:25" s="165" customFormat="1" x14ac:dyDescent="0.25">
      <c r="A33" s="184" t="s">
        <v>214</v>
      </c>
      <c r="B33" s="184" t="s">
        <v>375</v>
      </c>
      <c r="C33" s="184" t="s">
        <v>378</v>
      </c>
      <c r="D33" s="184" t="s">
        <v>394</v>
      </c>
      <c r="E33" s="184" t="s">
        <v>304</v>
      </c>
      <c r="F33" s="181" t="s">
        <v>163</v>
      </c>
      <c r="G33" s="181" t="s">
        <v>163</v>
      </c>
      <c r="H33" s="181" t="s">
        <v>163</v>
      </c>
      <c r="I33" s="181" t="s">
        <v>163</v>
      </c>
      <c r="J33" s="181" t="s">
        <v>163</v>
      </c>
      <c r="K33" s="181" t="s">
        <v>163</v>
      </c>
      <c r="L33" s="181" t="s">
        <v>163</v>
      </c>
      <c r="M33" s="173" t="s">
        <v>414</v>
      </c>
      <c r="N33" s="181" t="s">
        <v>163</v>
      </c>
      <c r="O33" s="181" t="s">
        <v>163</v>
      </c>
      <c r="P33" s="181" t="s">
        <v>163</v>
      </c>
      <c r="Q33" s="181" t="s">
        <v>163</v>
      </c>
      <c r="R33" s="181" t="s">
        <v>163</v>
      </c>
      <c r="S33" s="181" t="s">
        <v>163</v>
      </c>
      <c r="T33" s="181" t="s">
        <v>163</v>
      </c>
      <c r="U33" s="181" t="s">
        <v>163</v>
      </c>
      <c r="V33" s="181" t="s">
        <v>163</v>
      </c>
      <c r="W33" s="181" t="s">
        <v>163</v>
      </c>
      <c r="X33" s="183" t="s">
        <v>349</v>
      </c>
      <c r="Y33" s="179"/>
    </row>
    <row r="34" spans="1:25" s="165" customFormat="1" x14ac:dyDescent="0.25">
      <c r="A34" s="184" t="s">
        <v>214</v>
      </c>
      <c r="B34" s="184" t="s">
        <v>376</v>
      </c>
      <c r="C34" s="184" t="s">
        <v>379</v>
      </c>
      <c r="D34" s="186" t="s">
        <v>303</v>
      </c>
      <c r="E34" s="184" t="s">
        <v>304</v>
      </c>
      <c r="F34" s="181" t="s">
        <v>163</v>
      </c>
      <c r="G34" s="181" t="s">
        <v>163</v>
      </c>
      <c r="H34" s="181" t="s">
        <v>163</v>
      </c>
      <c r="I34" s="181" t="s">
        <v>163</v>
      </c>
      <c r="J34" s="181" t="s">
        <v>163</v>
      </c>
      <c r="K34" s="181" t="s">
        <v>163</v>
      </c>
      <c r="L34" s="181" t="s">
        <v>163</v>
      </c>
      <c r="M34" s="164" t="s">
        <v>416</v>
      </c>
      <c r="N34" s="181" t="s">
        <v>163</v>
      </c>
      <c r="O34" s="181" t="s">
        <v>163</v>
      </c>
      <c r="P34" s="181" t="s">
        <v>163</v>
      </c>
      <c r="Q34" s="181" t="s">
        <v>163</v>
      </c>
      <c r="R34" s="181" t="s">
        <v>163</v>
      </c>
      <c r="S34" s="181" t="s">
        <v>163</v>
      </c>
      <c r="T34" s="181" t="s">
        <v>163</v>
      </c>
      <c r="U34" s="181" t="s">
        <v>163</v>
      </c>
      <c r="V34" s="181" t="s">
        <v>163</v>
      </c>
      <c r="W34" s="181" t="s">
        <v>163</v>
      </c>
      <c r="X34" s="183" t="s">
        <v>349</v>
      </c>
      <c r="Y34" s="179"/>
    </row>
    <row r="35" spans="1:25" s="165" customFormat="1" x14ac:dyDescent="0.25">
      <c r="A35" s="184" t="s">
        <v>214</v>
      </c>
      <c r="B35" s="184" t="s">
        <v>376</v>
      </c>
      <c r="C35" s="184" t="s">
        <v>379</v>
      </c>
      <c r="D35" s="186" t="s">
        <v>417</v>
      </c>
      <c r="E35" s="186" t="s">
        <v>231</v>
      </c>
      <c r="F35" s="181" t="s">
        <v>163</v>
      </c>
      <c r="G35" s="181" t="s">
        <v>163</v>
      </c>
      <c r="H35" s="181" t="s">
        <v>163</v>
      </c>
      <c r="I35" s="163" t="s">
        <v>389</v>
      </c>
      <c r="J35" s="181" t="s">
        <v>163</v>
      </c>
      <c r="K35" s="181" t="s">
        <v>163</v>
      </c>
      <c r="L35" s="158" t="s">
        <v>419</v>
      </c>
      <c r="M35" s="181" t="s">
        <v>163</v>
      </c>
      <c r="N35" s="158" t="s">
        <v>420</v>
      </c>
      <c r="O35" s="181" t="s">
        <v>163</v>
      </c>
      <c r="P35" s="181" t="s">
        <v>163</v>
      </c>
      <c r="Q35" s="181" t="s">
        <v>163</v>
      </c>
      <c r="R35" s="181" t="s">
        <v>163</v>
      </c>
      <c r="S35" s="181" t="s">
        <v>163</v>
      </c>
      <c r="T35" s="181" t="s">
        <v>163</v>
      </c>
      <c r="U35" s="181" t="s">
        <v>163</v>
      </c>
      <c r="V35" s="181" t="s">
        <v>163</v>
      </c>
      <c r="W35" s="181" t="s">
        <v>163</v>
      </c>
      <c r="X35" s="20" t="s">
        <v>418</v>
      </c>
      <c r="Y35" s="179"/>
    </row>
    <row r="36" spans="1:25" s="165" customFormat="1" x14ac:dyDescent="0.25">
      <c r="A36" s="184" t="s">
        <v>214</v>
      </c>
      <c r="B36" s="184" t="s">
        <v>376</v>
      </c>
      <c r="C36" s="184" t="s">
        <v>379</v>
      </c>
      <c r="D36" s="186" t="s">
        <v>421</v>
      </c>
      <c r="E36" s="186" t="s">
        <v>304</v>
      </c>
      <c r="F36" s="181" t="s">
        <v>163</v>
      </c>
      <c r="G36" s="181" t="s">
        <v>163</v>
      </c>
      <c r="H36" s="181" t="s">
        <v>163</v>
      </c>
      <c r="I36" s="181" t="s">
        <v>163</v>
      </c>
      <c r="J36" s="181" t="s">
        <v>163</v>
      </c>
      <c r="K36" s="181" t="s">
        <v>163</v>
      </c>
      <c r="L36" s="181" t="s">
        <v>163</v>
      </c>
      <c r="M36" s="181" t="s">
        <v>163</v>
      </c>
      <c r="N36" s="181" t="s">
        <v>163</v>
      </c>
      <c r="O36" s="181" t="s">
        <v>163</v>
      </c>
      <c r="P36" s="181" t="s">
        <v>163</v>
      </c>
      <c r="Q36" s="181" t="s">
        <v>163</v>
      </c>
      <c r="R36" s="181" t="s">
        <v>163</v>
      </c>
      <c r="S36" s="181" t="s">
        <v>163</v>
      </c>
      <c r="T36" s="181" t="s">
        <v>163</v>
      </c>
      <c r="U36" s="181" t="s">
        <v>163</v>
      </c>
      <c r="V36" s="163" t="s">
        <v>422</v>
      </c>
      <c r="W36" s="181" t="s">
        <v>163</v>
      </c>
      <c r="X36" s="183" t="s">
        <v>349</v>
      </c>
      <c r="Y36" s="179"/>
    </row>
    <row r="37" spans="1:25" s="165" customFormat="1" x14ac:dyDescent="0.25">
      <c r="A37" s="184" t="s">
        <v>214</v>
      </c>
      <c r="B37" s="184" t="s">
        <v>376</v>
      </c>
      <c r="C37" s="184" t="s">
        <v>379</v>
      </c>
      <c r="D37" s="186" t="s">
        <v>423</v>
      </c>
      <c r="E37" s="186" t="s">
        <v>304</v>
      </c>
      <c r="F37" s="181" t="s">
        <v>163</v>
      </c>
      <c r="G37" s="181" t="s">
        <v>163</v>
      </c>
      <c r="H37" s="181" t="s">
        <v>163</v>
      </c>
      <c r="I37" s="181" t="s">
        <v>163</v>
      </c>
      <c r="J37" s="181" t="s">
        <v>163</v>
      </c>
      <c r="K37" s="181" t="s">
        <v>163</v>
      </c>
      <c r="L37" s="181" t="s">
        <v>163</v>
      </c>
      <c r="M37" s="181" t="s">
        <v>163</v>
      </c>
      <c r="N37" s="181" t="s">
        <v>163</v>
      </c>
      <c r="O37" s="181" t="s">
        <v>163</v>
      </c>
      <c r="P37" s="181" t="s">
        <v>163</v>
      </c>
      <c r="Q37" s="181" t="s">
        <v>163</v>
      </c>
      <c r="R37" s="181" t="s">
        <v>163</v>
      </c>
      <c r="S37" s="181" t="s">
        <v>163</v>
      </c>
      <c r="T37" s="181" t="s">
        <v>163</v>
      </c>
      <c r="U37" s="181" t="s">
        <v>163</v>
      </c>
      <c r="V37" s="163" t="s">
        <v>424</v>
      </c>
      <c r="W37" s="181" t="s">
        <v>163</v>
      </c>
      <c r="X37" s="183" t="s">
        <v>349</v>
      </c>
      <c r="Y37" s="179"/>
    </row>
    <row r="38" spans="1:25" s="179" customFormat="1" x14ac:dyDescent="0.25">
      <c r="A38" s="188" t="s">
        <v>214</v>
      </c>
      <c r="B38" s="188" t="s">
        <v>376</v>
      </c>
      <c r="C38" s="188" t="s">
        <v>379</v>
      </c>
      <c r="D38" s="186" t="s">
        <v>394</v>
      </c>
      <c r="E38" s="186" t="s">
        <v>304</v>
      </c>
      <c r="F38" s="181" t="s">
        <v>163</v>
      </c>
      <c r="G38" s="181" t="s">
        <v>163</v>
      </c>
      <c r="H38" s="181" t="s">
        <v>163</v>
      </c>
      <c r="I38" s="181" t="s">
        <v>163</v>
      </c>
      <c r="J38" s="181" t="s">
        <v>163</v>
      </c>
      <c r="K38" s="181" t="s">
        <v>163</v>
      </c>
      <c r="L38" s="181" t="s">
        <v>163</v>
      </c>
      <c r="M38" s="163" t="s">
        <v>425</v>
      </c>
      <c r="N38" s="181" t="s">
        <v>163</v>
      </c>
      <c r="O38" s="181" t="s">
        <v>163</v>
      </c>
      <c r="P38" s="181" t="s">
        <v>163</v>
      </c>
      <c r="Q38" s="181" t="s">
        <v>163</v>
      </c>
      <c r="R38" s="181" t="s">
        <v>163</v>
      </c>
      <c r="S38" s="181" t="s">
        <v>163</v>
      </c>
      <c r="T38" s="181" t="s">
        <v>163</v>
      </c>
      <c r="U38" s="181" t="s">
        <v>163</v>
      </c>
      <c r="V38" s="181" t="s">
        <v>163</v>
      </c>
      <c r="W38" s="181" t="s">
        <v>163</v>
      </c>
      <c r="X38" s="183" t="s">
        <v>349</v>
      </c>
    </row>
    <row r="39" spans="1:25" s="165" customFormat="1" x14ac:dyDescent="0.25">
      <c r="A39" s="184" t="s">
        <v>214</v>
      </c>
      <c r="B39" s="184" t="s">
        <v>374</v>
      </c>
      <c r="C39" s="184" t="s">
        <v>377</v>
      </c>
      <c r="D39" s="189" t="s">
        <v>303</v>
      </c>
      <c r="E39" s="184" t="s">
        <v>304</v>
      </c>
      <c r="F39" s="181" t="s">
        <v>163</v>
      </c>
      <c r="G39" s="181" t="s">
        <v>163</v>
      </c>
      <c r="H39" s="181" t="s">
        <v>163</v>
      </c>
      <c r="I39" s="181" t="s">
        <v>163</v>
      </c>
      <c r="J39" s="181" t="s">
        <v>163</v>
      </c>
      <c r="K39" s="181" t="s">
        <v>163</v>
      </c>
      <c r="L39" s="181" t="s">
        <v>163</v>
      </c>
      <c r="M39" s="164" t="s">
        <v>427</v>
      </c>
      <c r="N39" s="181" t="s">
        <v>163</v>
      </c>
      <c r="O39" s="181" t="s">
        <v>163</v>
      </c>
      <c r="P39" s="181" t="s">
        <v>163</v>
      </c>
      <c r="Q39" s="181" t="s">
        <v>163</v>
      </c>
      <c r="R39" s="181" t="s">
        <v>163</v>
      </c>
      <c r="S39" s="181" t="s">
        <v>163</v>
      </c>
      <c r="T39" s="181" t="s">
        <v>163</v>
      </c>
      <c r="U39" s="181" t="s">
        <v>163</v>
      </c>
      <c r="V39" s="181" t="s">
        <v>163</v>
      </c>
      <c r="W39" s="181" t="s">
        <v>163</v>
      </c>
      <c r="X39" s="183" t="s">
        <v>349</v>
      </c>
      <c r="Y39" s="179"/>
    </row>
    <row r="40" spans="1:25" s="165" customFormat="1" x14ac:dyDescent="0.25">
      <c r="A40" s="184" t="s">
        <v>214</v>
      </c>
      <c r="B40" s="184" t="s">
        <v>374</v>
      </c>
      <c r="C40" s="184" t="s">
        <v>377</v>
      </c>
      <c r="D40" s="189" t="s">
        <v>426</v>
      </c>
      <c r="E40" s="189" t="s">
        <v>231</v>
      </c>
      <c r="F40" s="181" t="s">
        <v>163</v>
      </c>
      <c r="G40" s="181" t="s">
        <v>163</v>
      </c>
      <c r="H40" s="181" t="s">
        <v>163</v>
      </c>
      <c r="I40" s="163" t="s">
        <v>389</v>
      </c>
      <c r="J40" s="181" t="s">
        <v>163</v>
      </c>
      <c r="K40" s="181" t="s">
        <v>163</v>
      </c>
      <c r="L40" s="158" t="s">
        <v>419</v>
      </c>
      <c r="M40" s="181" t="s">
        <v>163</v>
      </c>
      <c r="N40" s="158" t="s">
        <v>420</v>
      </c>
      <c r="O40" s="181" t="s">
        <v>163</v>
      </c>
      <c r="P40" s="181" t="s">
        <v>163</v>
      </c>
      <c r="Q40" s="181" t="s">
        <v>163</v>
      </c>
      <c r="R40" s="181" t="s">
        <v>163</v>
      </c>
      <c r="S40" s="181" t="s">
        <v>163</v>
      </c>
      <c r="T40" s="181" t="s">
        <v>163</v>
      </c>
      <c r="U40" s="181" t="s">
        <v>163</v>
      </c>
      <c r="V40" s="181" t="s">
        <v>163</v>
      </c>
      <c r="W40" s="181" t="s">
        <v>163</v>
      </c>
      <c r="X40" s="20" t="s">
        <v>418</v>
      </c>
      <c r="Y40" s="179"/>
    </row>
    <row r="41" spans="1:25" s="165" customFormat="1" x14ac:dyDescent="0.25">
      <c r="A41" s="184" t="s">
        <v>214</v>
      </c>
      <c r="B41" s="184" t="s">
        <v>374</v>
      </c>
      <c r="C41" s="184" t="s">
        <v>377</v>
      </c>
      <c r="D41" s="189" t="s">
        <v>421</v>
      </c>
      <c r="E41" s="189" t="s">
        <v>304</v>
      </c>
      <c r="F41" s="181" t="s">
        <v>163</v>
      </c>
      <c r="G41" s="181" t="s">
        <v>163</v>
      </c>
      <c r="H41" s="181" t="s">
        <v>163</v>
      </c>
      <c r="I41" s="181" t="s">
        <v>163</v>
      </c>
      <c r="J41" s="181" t="s">
        <v>163</v>
      </c>
      <c r="K41" s="181" t="s">
        <v>163</v>
      </c>
      <c r="L41" s="181" t="s">
        <v>163</v>
      </c>
      <c r="M41" s="181" t="s">
        <v>163</v>
      </c>
      <c r="N41" s="181" t="s">
        <v>163</v>
      </c>
      <c r="O41" s="181" t="s">
        <v>163</v>
      </c>
      <c r="P41" s="181" t="s">
        <v>163</v>
      </c>
      <c r="Q41" s="181" t="s">
        <v>163</v>
      </c>
      <c r="R41" s="181" t="s">
        <v>163</v>
      </c>
      <c r="S41" s="181" t="s">
        <v>163</v>
      </c>
      <c r="T41" s="181" t="s">
        <v>163</v>
      </c>
      <c r="U41" s="181" t="s">
        <v>163</v>
      </c>
      <c r="V41" s="163" t="s">
        <v>422</v>
      </c>
      <c r="W41" s="181" t="s">
        <v>163</v>
      </c>
      <c r="X41" s="183" t="s">
        <v>349</v>
      </c>
      <c r="Y41" s="179"/>
    </row>
    <row r="42" spans="1:25" s="165" customFormat="1" x14ac:dyDescent="0.25">
      <c r="A42" s="184" t="s">
        <v>214</v>
      </c>
      <c r="B42" s="184" t="s">
        <v>374</v>
      </c>
      <c r="C42" s="184" t="s">
        <v>377</v>
      </c>
      <c r="D42" s="189" t="s">
        <v>423</v>
      </c>
      <c r="E42" s="189" t="s">
        <v>304</v>
      </c>
      <c r="F42" s="181" t="s">
        <v>163</v>
      </c>
      <c r="G42" s="181" t="s">
        <v>163</v>
      </c>
      <c r="H42" s="181" t="s">
        <v>163</v>
      </c>
      <c r="I42" s="181" t="s">
        <v>163</v>
      </c>
      <c r="J42" s="181" t="s">
        <v>163</v>
      </c>
      <c r="K42" s="181" t="s">
        <v>163</v>
      </c>
      <c r="L42" s="181" t="s">
        <v>163</v>
      </c>
      <c r="M42" s="181" t="s">
        <v>163</v>
      </c>
      <c r="N42" s="181" t="s">
        <v>163</v>
      </c>
      <c r="O42" s="181" t="s">
        <v>163</v>
      </c>
      <c r="P42" s="181" t="s">
        <v>163</v>
      </c>
      <c r="Q42" s="181" t="s">
        <v>163</v>
      </c>
      <c r="R42" s="181" t="s">
        <v>163</v>
      </c>
      <c r="S42" s="181" t="s">
        <v>163</v>
      </c>
      <c r="T42" s="181" t="s">
        <v>163</v>
      </c>
      <c r="U42" s="181" t="s">
        <v>163</v>
      </c>
      <c r="V42" s="163" t="s">
        <v>429</v>
      </c>
      <c r="W42" s="181" t="s">
        <v>163</v>
      </c>
      <c r="X42" s="183" t="s">
        <v>349</v>
      </c>
      <c r="Y42" s="179"/>
    </row>
    <row r="43" spans="1:25" s="165" customFormat="1" x14ac:dyDescent="0.25">
      <c r="A43" s="184" t="s">
        <v>214</v>
      </c>
      <c r="B43" s="184" t="s">
        <v>374</v>
      </c>
      <c r="C43" s="184" t="s">
        <v>377</v>
      </c>
      <c r="D43" s="189" t="s">
        <v>394</v>
      </c>
      <c r="E43" s="189" t="s">
        <v>304</v>
      </c>
      <c r="F43" s="181" t="s">
        <v>163</v>
      </c>
      <c r="G43" s="181" t="s">
        <v>163</v>
      </c>
      <c r="H43" s="181" t="s">
        <v>163</v>
      </c>
      <c r="I43" s="181" t="s">
        <v>163</v>
      </c>
      <c r="J43" s="181" t="s">
        <v>163</v>
      </c>
      <c r="K43" s="181" t="s">
        <v>163</v>
      </c>
      <c r="L43" s="181" t="s">
        <v>163</v>
      </c>
      <c r="M43" s="163" t="s">
        <v>428</v>
      </c>
      <c r="N43" s="181" t="s">
        <v>163</v>
      </c>
      <c r="O43" s="181" t="s">
        <v>163</v>
      </c>
      <c r="P43" s="181" t="s">
        <v>163</v>
      </c>
      <c r="Q43" s="181" t="s">
        <v>163</v>
      </c>
      <c r="R43" s="181" t="s">
        <v>163</v>
      </c>
      <c r="S43" s="181" t="s">
        <v>163</v>
      </c>
      <c r="T43" s="181" t="s">
        <v>163</v>
      </c>
      <c r="U43" s="181" t="s">
        <v>163</v>
      </c>
      <c r="V43" s="181" t="s">
        <v>163</v>
      </c>
      <c r="W43" s="181" t="s">
        <v>163</v>
      </c>
      <c r="X43" s="183" t="s">
        <v>349</v>
      </c>
      <c r="Y43" s="179"/>
    </row>
    <row r="44" spans="1:25" s="165" customFormat="1" x14ac:dyDescent="0.25">
      <c r="A44" s="126"/>
      <c r="B44" s="90"/>
      <c r="C44" s="167"/>
      <c r="E44" s="167"/>
      <c r="X44" s="166"/>
    </row>
    <row r="45" spans="1:25" s="165" customFormat="1" x14ac:dyDescent="0.25">
      <c r="A45" s="126"/>
      <c r="B45" s="90"/>
      <c r="C45" s="167"/>
      <c r="E45" s="167"/>
      <c r="X45" s="166"/>
    </row>
    <row r="46" spans="1:25" s="165" customFormat="1" x14ac:dyDescent="0.25">
      <c r="A46" s="126"/>
      <c r="B46" s="90"/>
      <c r="C46" s="167"/>
      <c r="E46" s="167"/>
      <c r="X46" s="166"/>
    </row>
    <row r="47" spans="1:25" s="165" customFormat="1" x14ac:dyDescent="0.25">
      <c r="A47" s="126"/>
      <c r="B47" s="90"/>
      <c r="C47" s="167"/>
      <c r="E47" s="167"/>
      <c r="X47" s="166"/>
    </row>
    <row r="48" spans="1:25" s="165" customFormat="1" x14ac:dyDescent="0.25">
      <c r="A48" s="126"/>
      <c r="B48" s="90"/>
      <c r="C48" s="167"/>
      <c r="E48" s="167"/>
      <c r="X48" s="166"/>
    </row>
    <row r="49" spans="1:24" s="165" customFormat="1" x14ac:dyDescent="0.25">
      <c r="A49" s="126"/>
      <c r="B49" s="90"/>
      <c r="C49" s="167"/>
      <c r="E49" s="167"/>
      <c r="M49" s="182"/>
      <c r="X49" s="166"/>
    </row>
    <row r="50" spans="1:24" s="165" customFormat="1" x14ac:dyDescent="0.25">
      <c r="A50" s="126"/>
      <c r="B50" s="90"/>
      <c r="C50" s="167"/>
      <c r="E50" s="167"/>
      <c r="X50" s="166"/>
    </row>
    <row r="51" spans="1:24" s="165" customFormat="1" x14ac:dyDescent="0.25">
      <c r="A51" s="126"/>
      <c r="B51" s="90"/>
      <c r="C51" s="167"/>
      <c r="E51" s="167"/>
      <c r="X51" s="166"/>
    </row>
    <row r="52" spans="1:24" s="165" customFormat="1" x14ac:dyDescent="0.25">
      <c r="A52" s="126"/>
      <c r="B52" s="90"/>
      <c r="C52" s="167"/>
      <c r="E52" s="167"/>
      <c r="X52" s="166"/>
    </row>
    <row r="54" spans="1:24" x14ac:dyDescent="0.25">
      <c r="D54" s="167" t="s">
        <v>355</v>
      </c>
      <c r="E54">
        <v>0.01</v>
      </c>
    </row>
    <row r="55" spans="1:24" x14ac:dyDescent="0.25">
      <c r="A55" s="19" t="s">
        <v>32</v>
      </c>
      <c r="B55" s="19" t="s">
        <v>195</v>
      </c>
      <c r="D55" s="167" t="s">
        <v>354</v>
      </c>
      <c r="E55" s="179">
        <v>0.01</v>
      </c>
    </row>
    <row r="56" spans="1:24" x14ac:dyDescent="0.25">
      <c r="A56" s="18"/>
      <c r="B56" s="18">
        <f>SUM(E54:E57)</f>
        <v>0.25</v>
      </c>
      <c r="D56" s="167" t="s">
        <v>430</v>
      </c>
      <c r="E56">
        <v>0.08</v>
      </c>
    </row>
    <row r="57" spans="1:24" x14ac:dyDescent="0.25">
      <c r="D57" s="167" t="s">
        <v>431</v>
      </c>
      <c r="E57">
        <v>0.15</v>
      </c>
    </row>
  </sheetData>
  <mergeCells count="6">
    <mergeCell ref="A1:C1"/>
    <mergeCell ref="I2:K2"/>
    <mergeCell ref="L2:Q2"/>
    <mergeCell ref="R2:U2"/>
    <mergeCell ref="V2:W2"/>
    <mergeCell ref="F2:H2"/>
  </mergeCells>
  <phoneticPr fontId="64"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253" t="s">
        <v>122</v>
      </c>
      <c r="B1" s="254"/>
      <c r="C1" s="255"/>
    </row>
    <row r="3" spans="1:3" ht="39.6" x14ac:dyDescent="0.25">
      <c r="A3" s="26" t="s">
        <v>309</v>
      </c>
      <c r="B3" s="26" t="s">
        <v>169</v>
      </c>
      <c r="C3" s="26" t="s">
        <v>66</v>
      </c>
    </row>
    <row r="4" spans="1:3" x14ac:dyDescent="0.25">
      <c r="A4" s="39"/>
      <c r="B4" s="39"/>
      <c r="C4" s="39"/>
    </row>
    <row r="5" spans="1:3" x14ac:dyDescent="0.25">
      <c r="A5" s="11"/>
      <c r="B5" s="11"/>
      <c r="C5" s="20"/>
    </row>
    <row r="6" spans="1:3" x14ac:dyDescent="0.25">
      <c r="A6" s="11"/>
      <c r="B6" s="11"/>
      <c r="C6" s="11"/>
    </row>
    <row r="9" spans="1:3" x14ac:dyDescent="0.25">
      <c r="A9" s="19" t="s">
        <v>32</v>
      </c>
      <c r="B9" s="19" t="s">
        <v>195</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253" t="s">
        <v>124</v>
      </c>
      <c r="B1" s="254"/>
      <c r="C1" s="254"/>
      <c r="D1" s="255"/>
    </row>
    <row r="3" spans="1:8" x14ac:dyDescent="0.25">
      <c r="A3" s="12" t="s">
        <v>310</v>
      </c>
      <c r="B3" s="12" t="s">
        <v>311</v>
      </c>
      <c r="C3" s="12" t="s">
        <v>101</v>
      </c>
      <c r="D3" s="12" t="s">
        <v>312</v>
      </c>
      <c r="E3" s="12" t="s">
        <v>313</v>
      </c>
      <c r="F3" s="12" t="s">
        <v>314</v>
      </c>
    </row>
    <row r="4" spans="1:8" x14ac:dyDescent="0.25">
      <c r="A4" s="17" t="s">
        <v>315</v>
      </c>
      <c r="B4" s="38"/>
      <c r="C4" s="39"/>
      <c r="D4" s="39"/>
      <c r="E4" s="39"/>
      <c r="F4" s="11" t="s">
        <v>163</v>
      </c>
    </row>
    <row r="5" spans="1:8" x14ac:dyDescent="0.25">
      <c r="A5" s="17" t="s">
        <v>315</v>
      </c>
      <c r="B5" s="38"/>
      <c r="C5" s="39"/>
      <c r="D5" s="39"/>
      <c r="E5" s="39"/>
      <c r="F5" s="11" t="s">
        <v>163</v>
      </c>
    </row>
    <row r="8" spans="1:8" x14ac:dyDescent="0.25">
      <c r="A8" s="12" t="s">
        <v>316</v>
      </c>
      <c r="B8" s="36" t="s">
        <v>317</v>
      </c>
      <c r="C8" s="36" t="s">
        <v>318</v>
      </c>
      <c r="D8" s="36" t="s">
        <v>319</v>
      </c>
      <c r="E8" s="36" t="s">
        <v>320</v>
      </c>
      <c r="F8" s="36" t="s">
        <v>321</v>
      </c>
      <c r="G8" s="36" t="s">
        <v>322</v>
      </c>
      <c r="H8" s="36" t="s">
        <v>323</v>
      </c>
    </row>
    <row r="9" spans="1:8" x14ac:dyDescent="0.25">
      <c r="A9" s="12" t="s">
        <v>324</v>
      </c>
      <c r="B9" s="37"/>
      <c r="C9" s="37"/>
      <c r="D9" s="37"/>
      <c r="E9" s="37"/>
      <c r="F9" s="37"/>
      <c r="G9" s="37"/>
      <c r="H9" s="37"/>
    </row>
    <row r="10" spans="1:8" x14ac:dyDescent="0.25">
      <c r="A10" s="12" t="s">
        <v>324</v>
      </c>
      <c r="B10" s="37"/>
      <c r="C10" s="37"/>
      <c r="D10" s="37"/>
      <c r="E10" s="37"/>
      <c r="F10" s="37"/>
      <c r="G10" s="37"/>
      <c r="H10" s="37"/>
    </row>
    <row r="11" spans="1:8" x14ac:dyDescent="0.25">
      <c r="A11" s="12" t="s">
        <v>324</v>
      </c>
      <c r="B11" s="37"/>
      <c r="C11" s="37"/>
      <c r="D11" s="37"/>
      <c r="E11" s="37"/>
      <c r="F11" s="37"/>
      <c r="G11" s="37"/>
      <c r="H11" s="37"/>
    </row>
    <row r="15" spans="1:8" x14ac:dyDescent="0.25">
      <c r="B15" s="35" t="s">
        <v>325</v>
      </c>
      <c r="C15" s="266" t="s">
        <v>326</v>
      </c>
      <c r="D15" s="266"/>
      <c r="E15" s="266"/>
      <c r="F15" s="266"/>
      <c r="G15" s="266"/>
    </row>
    <row r="16" spans="1:8" x14ac:dyDescent="0.25">
      <c r="B16" s="35" t="s">
        <v>327</v>
      </c>
      <c r="C16" s="266"/>
      <c r="D16" s="266"/>
      <c r="E16" s="266"/>
      <c r="F16" s="266"/>
      <c r="G16" s="266"/>
    </row>
    <row r="17" spans="2:7" x14ac:dyDescent="0.25">
      <c r="B17" s="35" t="s">
        <v>328</v>
      </c>
      <c r="C17" s="266"/>
      <c r="D17" s="266"/>
      <c r="E17" s="266"/>
      <c r="F17" s="266"/>
      <c r="G17" s="266"/>
    </row>
    <row r="18" spans="2:7" x14ac:dyDescent="0.25">
      <c r="B18" s="35" t="s">
        <v>329</v>
      </c>
      <c r="C18" s="266"/>
      <c r="D18" s="266"/>
      <c r="E18" s="266"/>
      <c r="F18" s="266"/>
      <c r="G18" s="266"/>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3.2" x14ac:dyDescent="0.25"/>
  <cols>
    <col min="1" max="1" width="15.109375" bestFit="1" customWidth="1"/>
    <col min="2" max="2" width="48" customWidth="1"/>
  </cols>
  <sheetData>
    <row r="1" spans="1:2" x14ac:dyDescent="0.25">
      <c r="A1" s="267" t="s">
        <v>330</v>
      </c>
      <c r="B1" s="268"/>
    </row>
    <row r="2" spans="1:2" x14ac:dyDescent="0.25">
      <c r="A2" s="63" t="s">
        <v>331</v>
      </c>
      <c r="B2" s="78"/>
    </row>
    <row r="3" spans="1:2" x14ac:dyDescent="0.25">
      <c r="A3" s="63" t="s">
        <v>332</v>
      </c>
      <c r="B3" s="78"/>
    </row>
    <row r="4" spans="1:2" ht="13.8" thickBot="1" x14ac:dyDescent="0.3">
      <c r="A4" s="64" t="s">
        <v>333</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D11A9A206CAE49ACD2663602EB4001" ma:contentTypeVersion="12" ma:contentTypeDescription="Create a new document." ma:contentTypeScope="" ma:versionID="31d6045113f6f158802cdcc3090392b6">
  <xsd:schema xmlns:xsd="http://www.w3.org/2001/XMLSchema" xmlns:xs="http://www.w3.org/2001/XMLSchema" xmlns:p="http://schemas.microsoft.com/office/2006/metadata/properties" xmlns:ns2="38a3694e-8ba8-4044-bfbb-13214ff41bb2" xmlns:ns3="81f8e059-d416-4a87-b88d-c45518361f1f" targetNamespace="http://schemas.microsoft.com/office/2006/metadata/properties" ma:root="true" ma:fieldsID="db2b0f14ccba25bc84a2779ff1650ec0" ns2:_="" ns3:_="">
    <xsd:import namespace="38a3694e-8ba8-4044-bfbb-13214ff41bb2"/>
    <xsd:import namespace="81f8e059-d416-4a87-b88d-c45518361f1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a3694e-8ba8-4044-bfbb-13214ff41b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1f8e059-d416-4a87-b88d-c45518361f1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69A0D0-D8EC-4893-96AC-98D2D2E98D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a3694e-8ba8-4044-bfbb-13214ff41bb2"/>
    <ds:schemaRef ds:uri="81f8e059-d416-4a87-b88d-c45518361f1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3.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2022-04-11T06:37:25Z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0x010100F6D11A9A206CAE49ACD2663602EB4001</vt:lpwstr>
  </property>
  <property fmtid="{64440492-4C8B-11D1-8B70-080036B11A03}" pid="4">
    <vt:lpwstr>TME JTI</vt:lpwstr>
  </property>
</Properties>
</file>