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24226"/>
  <mc:AlternateContent xmlns:mc="http://schemas.openxmlformats.org/markup-compatibility/2006">
    <mc:Choice Requires="x15">
      <x15ac:absPath xmlns:x15ac="http://schemas.microsoft.com/office/spreadsheetml/2010/11/ac" url="C:\Ricky\CHG\JUN22\CHG228033\DTD\"/>
    </mc:Choice>
  </mc:AlternateContent>
  <xr:revisionPtr revIDLastSave="0" documentId="13_ncr:1_{E197828F-1686-445B-8059-6ECDA633668C}" xr6:coauthVersionLast="47" xr6:coauthVersionMax="47" xr10:uidLastSave="{00000000-0000-0000-0000-000000000000}"/>
  <bookViews>
    <workbookView xWindow="-108" yWindow="-108" windowWidth="23256" windowHeight="12456" tabRatio="926" activeTab="2" xr2:uid="{00000000-000D-0000-FFFF-FFFF00000000}"/>
  </bookViews>
  <sheets>
    <sheet name="Cover" sheetId="20" r:id="rId1"/>
    <sheet name="Version Control" sheetId="23" r:id="rId2"/>
    <sheet name="Test Cycle 1" sheetId="24" r:id="rId3"/>
    <sheet name="AppConfig" sheetId="26" state="hidden" r:id="rId4"/>
    <sheet name="Screenshot" sheetId="25" r:id="rId5"/>
  </sheets>
  <definedNames>
    <definedName name="AppArea">AppConfig!$B$5</definedName>
    <definedName name="AppCRN">AppConfig!$B$3</definedName>
    <definedName name="AppDReviewed">AppConfig!$B$8</definedName>
    <definedName name="AppDTested">AppConfig!$B$7</definedName>
    <definedName name="AppEntity">AppConfig!$B$6</definedName>
    <definedName name="AppMA">AppConfig!$B$4</definedName>
    <definedName name="AppPPRD">AppConfig!$B$2</definedName>
    <definedName name="AppReviewedBy">AppConfig!$B$10</definedName>
    <definedName name="AppTestedBy">AppConfig!$B$9</definedName>
    <definedName name="Area">Cover!$K$27</definedName>
    <definedName name="CRN">Cover!$K$21</definedName>
    <definedName name="DReviewed">'Test Cycle 1'!$F$3</definedName>
    <definedName name="DTested">'Test Cycle 1'!$F$2</definedName>
    <definedName name="dTestedBy">'Test Cycle 1'!$H$2</definedName>
    <definedName name="Entity">'Test Cycle 1'!$F$1</definedName>
    <definedName name="MA">Cover!$K$25</definedName>
    <definedName name="PPRD">'Version Control'!$B$11</definedName>
    <definedName name="ReviewedBy">'Test Cycle 1'!$H$3</definedName>
    <definedName name="TestedBy">'Test Cycle 1'!$H$2</definedName>
    <definedName name="TestWrkSht1">AppConfig!$B$12</definedName>
    <definedName name="TstActResOb">AppConfig!#REF!</definedName>
    <definedName name="TstComments">AppConfig!#REF!</definedName>
    <definedName name="TstDet1">AppConfig!#REF!</definedName>
    <definedName name="TstDet2">AppConfig!#REF!</definedName>
    <definedName name="TstExe">AppConfig!#REF!</definedName>
    <definedName name="TstExeScrp">AppConfig!#REF!</definedName>
    <definedName name="TstExpRes">AppConfig!#REF!</definedName>
    <definedName name="TstExpResScrp">AppConfig!#REF!</definedName>
    <definedName name="TstRevActResOb">AppConfig!#REF!</definedName>
    <definedName name="TstRevStatus">AppConfig!#REF!</definedName>
    <definedName name="TstRevStatusComs">AppConfig!#REF!</definedName>
    <definedName name="TstStatus">AppConfig!#REF!</definedName>
    <definedName name="TstStpNo">AppConfig!#REF!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10" i="26" l="1"/>
  <c r="B9" i="26"/>
  <c r="B8" i="26"/>
  <c r="B7" i="26"/>
  <c r="B6" i="26"/>
  <c r="B5" i="26"/>
  <c r="B4" i="26"/>
  <c r="B3" i="26"/>
  <c r="B2" i="26"/>
  <c r="A14" i="23"/>
  <c r="A32" i="23"/>
  <c r="C37"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arnaud.grimont</author>
  </authors>
  <commentList>
    <comment ref="A17" authorId="0" shapeId="0" xr:uid="{00000000-0006-0000-0100-000001000000}">
      <text>
        <r>
          <rPr>
            <b/>
            <sz val="8"/>
            <color indexed="81"/>
            <rFont val="Tahoma"/>
            <family val="2"/>
          </rPr>
          <t>arnaud.grimont:</t>
        </r>
        <r>
          <rPr>
            <sz val="8"/>
            <color indexed="81"/>
            <rFont val="Tahoma"/>
            <family val="2"/>
          </rPr>
          <t xml:space="preserve">
Application if any interface is modified</t>
        </r>
      </text>
    </comment>
    <comment ref="A19" authorId="0" shapeId="0" xr:uid="{00000000-0006-0000-0100-000002000000}">
      <text>
        <r>
          <rPr>
            <b/>
            <sz val="8"/>
            <color indexed="81"/>
            <rFont val="Tahoma"/>
            <family val="2"/>
          </rPr>
          <t>arnaud.grimont:</t>
        </r>
        <r>
          <rPr>
            <sz val="8"/>
            <color indexed="81"/>
            <rFont val="Tahoma"/>
            <family val="2"/>
          </rPr>
          <t xml:space="preserve">
Applicable for only ETL changes</t>
        </r>
      </text>
    </comment>
    <comment ref="A24" authorId="0" shapeId="0" xr:uid="{00000000-0006-0000-0100-000003000000}">
      <text>
        <r>
          <rPr>
            <b/>
            <sz val="8"/>
            <color indexed="81"/>
            <rFont val="Tahoma"/>
            <family val="2"/>
          </rPr>
          <t>arnaud.grimont:</t>
        </r>
        <r>
          <rPr>
            <sz val="8"/>
            <color indexed="81"/>
            <rFont val="Tahoma"/>
            <family val="2"/>
          </rPr>
          <t xml:space="preserve">
This Document should be available on J drive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bruneau.melier</author>
    <author>virish.seechurn</author>
  </authors>
  <commentList>
    <comment ref="B1" authorId="0" shapeId="0" xr:uid="{00000000-0006-0000-0200-000001000000}">
      <text>
        <r>
          <rPr>
            <b/>
            <sz val="8"/>
            <color indexed="81"/>
            <rFont val="Tahoma"/>
            <family val="2"/>
          </rPr>
          <t>bruneau.melier:</t>
        </r>
        <r>
          <rPr>
            <sz val="8"/>
            <color indexed="81"/>
            <rFont val="Tahoma"/>
            <family val="2"/>
          </rPr>
          <t xml:space="preserve">
give the name of the mapping being tested </t>
        </r>
      </text>
    </comment>
    <comment ref="F1" authorId="0" shapeId="0" xr:uid="{00000000-0006-0000-0200-000002000000}">
      <text>
        <r>
          <rPr>
            <b/>
            <sz val="8"/>
            <color indexed="81"/>
            <rFont val="Tahoma"/>
            <family val="2"/>
          </rPr>
          <t>bruneau.melier:</t>
        </r>
        <r>
          <rPr>
            <sz val="8"/>
            <color indexed="81"/>
            <rFont val="Tahoma"/>
            <family val="2"/>
          </rPr>
          <t xml:space="preserve">
give the name of the entity being tested</t>
        </r>
      </text>
    </comment>
    <comment ref="B2" authorId="0" shapeId="0" xr:uid="{00000000-0006-0000-0200-000003000000}">
      <text>
        <r>
          <rPr>
            <b/>
            <sz val="8"/>
            <color indexed="81"/>
            <rFont val="Tahoma"/>
            <family val="2"/>
          </rPr>
          <t>bruneau.melier:</t>
        </r>
        <r>
          <rPr>
            <sz val="8"/>
            <color indexed="81"/>
            <rFont val="Tahoma"/>
            <family val="2"/>
          </rPr>
          <t xml:space="preserve">
give the name of the mapping being tested </t>
        </r>
      </text>
    </comment>
    <comment ref="F2" authorId="0" shapeId="0" xr:uid="{00000000-0006-0000-0200-000004000000}">
      <text>
        <r>
          <rPr>
            <b/>
            <sz val="8"/>
            <color indexed="81"/>
            <rFont val="Tahoma"/>
            <family val="2"/>
          </rPr>
          <t>bruneau.melier:</t>
        </r>
        <r>
          <rPr>
            <sz val="8"/>
            <color indexed="81"/>
            <rFont val="Tahoma"/>
            <family val="2"/>
          </rPr>
          <t xml:space="preserve">
store the date when the test script was executed by the developer/tester</t>
        </r>
      </text>
    </comment>
    <comment ref="H2" authorId="0" shapeId="0" xr:uid="{00000000-0006-0000-0200-000005000000}">
      <text>
        <r>
          <rPr>
            <b/>
            <sz val="8"/>
            <color indexed="81"/>
            <rFont val="Tahoma"/>
            <family val="2"/>
          </rPr>
          <t>bruneau.melier:</t>
        </r>
        <r>
          <rPr>
            <sz val="8"/>
            <color indexed="81"/>
            <rFont val="Tahoma"/>
            <family val="2"/>
          </rPr>
          <t xml:space="preserve">
give the name of the developer/tester</t>
        </r>
      </text>
    </comment>
    <comment ref="B3" authorId="0" shapeId="0" xr:uid="{00000000-0006-0000-0200-000006000000}">
      <text>
        <r>
          <rPr>
            <b/>
            <sz val="8"/>
            <color indexed="81"/>
            <rFont val="Tahoma"/>
            <family val="2"/>
          </rPr>
          <t>bruneau.melier:</t>
        </r>
        <r>
          <rPr>
            <sz val="8"/>
            <color indexed="81"/>
            <rFont val="Tahoma"/>
            <family val="2"/>
          </rPr>
          <t xml:space="preserve">
indicate the status of the test script </t>
        </r>
      </text>
    </comment>
    <comment ref="F3" authorId="0" shapeId="0" xr:uid="{00000000-0006-0000-0200-000007000000}">
      <text>
        <r>
          <rPr>
            <b/>
            <sz val="8"/>
            <color indexed="81"/>
            <rFont val="Tahoma"/>
            <family val="2"/>
          </rPr>
          <t>bruneau.melier:</t>
        </r>
        <r>
          <rPr>
            <sz val="8"/>
            <color indexed="81"/>
            <rFont val="Tahoma"/>
            <family val="2"/>
          </rPr>
          <t xml:space="preserve">
store the date when the test script was executed by the developer/tester</t>
        </r>
      </text>
    </comment>
    <comment ref="H3" authorId="0" shapeId="0" xr:uid="{00000000-0006-0000-0200-000008000000}">
      <text>
        <r>
          <rPr>
            <b/>
            <sz val="8"/>
            <color indexed="81"/>
            <rFont val="Tahoma"/>
            <family val="2"/>
          </rPr>
          <t>bruneau.melier:</t>
        </r>
        <r>
          <rPr>
            <sz val="8"/>
            <color indexed="81"/>
            <rFont val="Tahoma"/>
            <family val="2"/>
          </rPr>
          <t xml:space="preserve">
give the name of the reviewer of the test script </t>
        </r>
      </text>
    </comment>
    <comment ref="B4" authorId="0" shapeId="0" xr:uid="{00000000-0006-0000-0200-000009000000}">
      <text>
        <r>
          <rPr>
            <b/>
            <sz val="8"/>
            <color indexed="81"/>
            <rFont val="Tahoma"/>
            <family val="2"/>
          </rPr>
          <t>bruneau.melier:</t>
        </r>
        <r>
          <rPr>
            <sz val="8"/>
            <color indexed="81"/>
            <rFont val="Tahoma"/>
            <family val="2"/>
          </rPr>
          <t xml:space="preserve">
give a description of the purpose of the test script </t>
        </r>
      </text>
    </comment>
    <comment ref="A5" authorId="1" shapeId="0" xr:uid="{00000000-0006-0000-0200-00000A000000}">
      <text>
        <r>
          <rPr>
            <b/>
            <sz val="9"/>
            <color indexed="81"/>
            <rFont val="Tahoma"/>
            <family val="2"/>
          </rPr>
          <t>virish.seechurn:</t>
        </r>
        <r>
          <rPr>
            <sz val="9"/>
            <color indexed="81"/>
            <rFont val="Tahoma"/>
            <family val="2"/>
          </rPr>
          <t xml:space="preserve">
number identifying the order in which the step should be executed in the test script </t>
        </r>
      </text>
    </comment>
    <comment ref="B5" authorId="0" shapeId="0" xr:uid="{00000000-0006-0000-0200-00000B000000}">
      <text>
        <r>
          <rPr>
            <b/>
            <sz val="8"/>
            <color indexed="81"/>
            <rFont val="Tahoma"/>
            <family val="2"/>
          </rPr>
          <t>bruneau.melier:</t>
        </r>
        <r>
          <rPr>
            <sz val="8"/>
            <color indexed="81"/>
            <rFont val="Tahoma"/>
            <family val="2"/>
          </rPr>
          <t xml:space="preserve">
give a summary of the purpose of the test step </t>
        </r>
      </text>
    </comment>
    <comment ref="C5" authorId="0" shapeId="0" xr:uid="{00000000-0006-0000-0200-00000C000000}">
      <text>
        <r>
          <rPr>
            <b/>
            <sz val="8"/>
            <color indexed="81"/>
            <rFont val="Tahoma"/>
            <family val="2"/>
          </rPr>
          <t>bruneau.melier:</t>
        </r>
        <r>
          <rPr>
            <sz val="8"/>
            <color indexed="81"/>
            <rFont val="Tahoma"/>
            <family val="2"/>
          </rPr>
          <t xml:space="preserve">
give a detailed description of the purpose of the test step </t>
        </r>
      </text>
    </comment>
    <comment ref="D5" authorId="0" shapeId="0" xr:uid="{00000000-0006-0000-0200-00000D000000}">
      <text>
        <r>
          <rPr>
            <b/>
            <sz val="8"/>
            <color indexed="81"/>
            <rFont val="Tahoma"/>
            <family val="2"/>
          </rPr>
          <t>bruneau.melier:</t>
        </r>
        <r>
          <rPr>
            <sz val="8"/>
            <color indexed="81"/>
            <rFont val="Tahoma"/>
            <family val="2"/>
          </rPr>
          <t xml:space="preserve">
Instructions provided to the users using the test script for executing the steps </t>
        </r>
      </text>
    </comment>
    <comment ref="E5" authorId="0" shapeId="0" xr:uid="{00000000-0006-0000-0200-00000E000000}">
      <text>
        <r>
          <rPr>
            <b/>
            <sz val="8"/>
            <color indexed="81"/>
            <rFont val="Tahoma"/>
            <family val="2"/>
          </rPr>
          <t>bruneau.melier:</t>
        </r>
        <r>
          <rPr>
            <sz val="8"/>
            <color indexed="81"/>
            <rFont val="Tahoma"/>
            <family val="2"/>
          </rPr>
          <t xml:space="preserve">
SQL script (if any) to be used for executing the step</t>
        </r>
      </text>
    </comment>
    <comment ref="F5" authorId="0" shapeId="0" xr:uid="{00000000-0006-0000-0200-00000F000000}">
      <text>
        <r>
          <rPr>
            <b/>
            <sz val="8"/>
            <color indexed="81"/>
            <rFont val="Tahoma"/>
            <family val="2"/>
          </rPr>
          <t>bruneau.melier:</t>
        </r>
        <r>
          <rPr>
            <sz val="8"/>
            <color indexed="81"/>
            <rFont val="Tahoma"/>
            <family val="2"/>
          </rPr>
          <t xml:space="preserve">
Instructions to be executed by the user for ensuring the success of the step executed. When describing the expected result for the execution of a workflow, the author should specify the expected result in terms of INTEGRATION_ID and value of the different ATTRIB columns being populated.  </t>
        </r>
      </text>
    </comment>
    <comment ref="G5" authorId="0" shapeId="0" xr:uid="{00000000-0006-0000-0200-000010000000}">
      <text>
        <r>
          <rPr>
            <b/>
            <sz val="8"/>
            <color indexed="81"/>
            <rFont val="Tahoma"/>
            <family val="2"/>
          </rPr>
          <t>bruneau.melier:</t>
        </r>
        <r>
          <rPr>
            <sz val="8"/>
            <color indexed="81"/>
            <rFont val="Tahoma"/>
            <family val="2"/>
          </rPr>
          <t xml:space="preserve">
SQL script (if any) to be used for checking the results of the step executed </t>
        </r>
      </text>
    </comment>
    <comment ref="H5" authorId="0" shapeId="0" xr:uid="{00000000-0006-0000-0200-000011000000}">
      <text>
        <r>
          <rPr>
            <b/>
            <sz val="8"/>
            <color indexed="81"/>
            <rFont val="Tahoma"/>
            <family val="2"/>
          </rPr>
          <t>bruneau.melier:</t>
        </r>
        <r>
          <rPr>
            <sz val="8"/>
            <color indexed="81"/>
            <rFont val="Tahoma"/>
            <family val="2"/>
          </rPr>
          <t xml:space="preserve">
This should be filled in by the author of the test script on the first execution of the test script. The user should place in the actual result observed after following the instructions provided in the Expected Result</t>
        </r>
      </text>
    </comment>
    <comment ref="I5" authorId="0" shapeId="0" xr:uid="{00000000-0006-0000-0200-000013000000}">
      <text>
        <r>
          <rPr>
            <b/>
            <sz val="8"/>
            <color indexed="81"/>
            <rFont val="Tahoma"/>
            <family val="2"/>
          </rPr>
          <t>bruneau.melier:</t>
        </r>
        <r>
          <rPr>
            <sz val="8"/>
            <color indexed="81"/>
            <rFont val="Tahoma"/>
            <family val="2"/>
          </rPr>
          <t xml:space="preserve">
Takes the value of Not Executed, WIP, Passed or Failed</t>
        </r>
      </text>
    </comment>
    <comment ref="J5" authorId="0" shapeId="0" xr:uid="{00000000-0006-0000-0200-000014000000}">
      <text>
        <r>
          <rPr>
            <b/>
            <sz val="8"/>
            <color indexed="81"/>
            <rFont val="Tahoma"/>
            <family val="2"/>
          </rPr>
          <t>bruneau.melier:</t>
        </r>
        <r>
          <rPr>
            <sz val="8"/>
            <color indexed="81"/>
            <rFont val="Tahoma"/>
            <family val="2"/>
          </rPr>
          <t xml:space="preserve">
Comments related to the status of the Review Status (used for justifying a particular test review status)</t>
        </r>
      </text>
    </comment>
  </commentList>
</comments>
</file>

<file path=xl/sharedStrings.xml><?xml version="1.0" encoding="utf-8"?>
<sst xmlns="http://schemas.openxmlformats.org/spreadsheetml/2006/main" count="202" uniqueCount="139">
  <si>
    <t>Values</t>
  </si>
  <si>
    <t>UNIT TEST SCRIPT</t>
  </si>
  <si>
    <t>Trade Marketing Excellence Programme</t>
  </si>
  <si>
    <t>Markets Affected :</t>
  </si>
  <si>
    <t>Print Date:</t>
  </si>
  <si>
    <t>DATA VALIDATION</t>
  </si>
  <si>
    <t>Column E</t>
  </si>
  <si>
    <t>Column D</t>
  </si>
  <si>
    <t>Document Control</t>
  </si>
  <si>
    <t>Project:</t>
  </si>
  <si>
    <t>JTI</t>
  </si>
  <si>
    <t>Planned Prod Release Date:</t>
  </si>
  <si>
    <t>Doc Name</t>
  </si>
  <si>
    <t>AREA :</t>
  </si>
  <si>
    <t>Test Cycle 1</t>
  </si>
  <si>
    <t>Passed</t>
  </si>
  <si>
    <t>Failed</t>
  </si>
  <si>
    <t>DEVELOPMENT</t>
  </si>
  <si>
    <t>CR Title :</t>
  </si>
  <si>
    <t>Data</t>
  </si>
  <si>
    <t>UTS, TS SharePoint</t>
  </si>
  <si>
    <t>TS SharePoint</t>
  </si>
  <si>
    <t>ITS SharePoint</t>
  </si>
  <si>
    <t>Documentation checklist</t>
  </si>
  <si>
    <t>To-do</t>
  </si>
  <si>
    <t>Documentation Up-to-date (Y or N)</t>
  </si>
  <si>
    <t>High Level Functional Design (HLFD)</t>
  </si>
  <si>
    <t>Detail Technical Design (DTD)</t>
  </si>
  <si>
    <t>Detail Design (DD)</t>
  </si>
  <si>
    <t>Data Update Incident Template if any</t>
  </si>
  <si>
    <t>Data Impacted Objects Document Update</t>
  </si>
  <si>
    <t>Technical Solution, Data Update Flag &amp; Target Release on Scopesheet</t>
  </si>
  <si>
    <t>Test Script Passed</t>
  </si>
  <si>
    <t>Screenshots available</t>
  </si>
  <si>
    <t>Cross check Data update Document</t>
  </si>
  <si>
    <t xml:space="preserve">Not Ready </t>
  </si>
  <si>
    <t>Not Executed</t>
  </si>
  <si>
    <t>Ready</t>
  </si>
  <si>
    <t>WIP</t>
  </si>
  <si>
    <t xml:space="preserve">Testing – WIP </t>
  </si>
  <si>
    <t xml:space="preserve">WIP </t>
  </si>
  <si>
    <t xml:space="preserve">Testing – Passed </t>
  </si>
  <si>
    <t xml:space="preserve">Testing – Failed </t>
  </si>
  <si>
    <t>Mapping</t>
  </si>
  <si>
    <t>Entity</t>
  </si>
  <si>
    <t xml:space="preserve">Review – WIP </t>
  </si>
  <si>
    <t>Workflow</t>
  </si>
  <si>
    <t>Date tested</t>
  </si>
  <si>
    <t>Tested By</t>
  </si>
  <si>
    <t xml:space="preserve">Test Script Status </t>
  </si>
  <si>
    <t>Date reviewed</t>
  </si>
  <si>
    <t>Reviewed By</t>
  </si>
  <si>
    <t xml:space="preserve">Review – Failed </t>
  </si>
  <si>
    <t>Test Script Description</t>
  </si>
  <si>
    <t>Regression Flat File</t>
  </si>
  <si>
    <t>Planned PROD Release Date</t>
  </si>
  <si>
    <t>Date Tested</t>
  </si>
  <si>
    <t>Date Reviewed</t>
  </si>
  <si>
    <t>Change Request Number</t>
  </si>
  <si>
    <t>Market Affected</t>
  </si>
  <si>
    <t>Area</t>
  </si>
  <si>
    <t>Parameter Name</t>
  </si>
  <si>
    <t>Test Worksheet</t>
  </si>
  <si>
    <t>Review Status</t>
  </si>
  <si>
    <t>Review Status Comments</t>
  </si>
  <si>
    <t>Test Step No.</t>
  </si>
  <si>
    <t xml:space="preserve">Test Details 1 </t>
  </si>
  <si>
    <t>Test Details 2</t>
  </si>
  <si>
    <t>Test Execution</t>
  </si>
  <si>
    <t>Test Execution script</t>
  </si>
  <si>
    <t>Expected Result</t>
  </si>
  <si>
    <t>Expected Result script</t>
  </si>
  <si>
    <t>Actual Result Observed</t>
  </si>
  <si>
    <t>CR\INC:</t>
  </si>
  <si>
    <t>ADO Update</t>
  </si>
  <si>
    <t>Data Issue Log in ADO correctly Updated</t>
  </si>
  <si>
    <t>Stored Procedures on ADO</t>
  </si>
  <si>
    <t xml:space="preserve">PHP/IFB Update on ADO </t>
  </si>
  <si>
    <t>PRE_EIM_TABLES on ADO if any</t>
  </si>
  <si>
    <t xml:space="preserve">Test Case completed </t>
  </si>
  <si>
    <t>Send Email for columns creation</t>
  </si>
  <si>
    <t>N/A</t>
  </si>
  <si>
    <t>Y</t>
  </si>
  <si>
    <t>Frank</t>
  </si>
  <si>
    <t>Screenshot 1</t>
  </si>
  <si>
    <t>Screenshot 2</t>
  </si>
  <si>
    <t>Screenshot 3</t>
  </si>
  <si>
    <t>Screenshot 4</t>
  </si>
  <si>
    <t>CT</t>
  </si>
  <si>
    <t xml:space="preserve">CHG228033  </t>
  </si>
  <si>
    <t>Jun , 2022</t>
  </si>
  <si>
    <t>Reset test data</t>
  </si>
  <si>
    <t>Run following script</t>
  </si>
  <si>
    <t>OLTP DB</t>
  </si>
  <si>
    <t>Workflow run successfully.</t>
  </si>
  <si>
    <t>Check outbound field</t>
  </si>
  <si>
    <t>Server</t>
  </si>
  <si>
    <t>Refer to screenshot 2</t>
  </si>
  <si>
    <t>Check if new entry is inserted on the WC_ETL_FILES_G table.</t>
  </si>
  <si>
    <t>OLAP DB</t>
  </si>
  <si>
    <t>1 record should be inserted</t>
  </si>
  <si>
    <t>Check if the outbounds file are populated correctly</t>
  </si>
  <si>
    <t xml:space="preserve"> TMEC: RI – Contract Enhancements V2</t>
  </si>
  <si>
    <t>Refer to screenshot 1</t>
  </si>
  <si>
    <t>Check test data</t>
  </si>
  <si>
    <t>Export data</t>
  </si>
  <si>
    <t>Check if test data have been updated by EIM</t>
  </si>
  <si>
    <r>
      <t xml:space="preserve">1 record is inserted
</t>
    </r>
    <r>
      <rPr>
        <b/>
        <sz val="11"/>
        <color rgb="FF00B050"/>
        <rFont val="Book Antiqua"/>
        <family val="1"/>
      </rPr>
      <t>Refer to screenshot 3</t>
    </r>
  </si>
  <si>
    <r>
      <t xml:space="preserve">
</t>
    </r>
    <r>
      <rPr>
        <b/>
        <sz val="11"/>
        <color rgb="FF00B050"/>
        <rFont val="Book Antiqua"/>
        <family val="1"/>
      </rPr>
      <t>Refer to screenshot 4</t>
    </r>
  </si>
  <si>
    <t xml:space="preserve">
UPDATE S_SRC_PAYMENT
SET  X_EXPORT_STATUS_CD = 'To be exported' , PAY_STAT_CD = 'Approved Authorised'
where ROW_ID ='1-5BZBX3'</t>
  </si>
  <si>
    <t>SELECT DISTINCT
CHEQUE.X_PAYMENT_REQ_NUM_EFT,
CHEQUE.PAYMENT_NUM,
PAY.PAY_AMT,
PAY.ROW_ID,
PAY.REASON_CD,
ISNULL(ORG_CHEQUE.NAME,ISNULL(ORG.NAME,AGREE_ACNT.NAME)) AS NAME,
PAY.PAY_STAT_CD,
PAY.X_EXPORT_STATUS_CD,
PAY.X_APPROVAL_STATUS_CD,
CHEQUE.X_EXPORT_STATUS_CD,
BUD.NAME,
CHEQUE.PAYMENT_REQ_NUM,
CHEQUE.PAY_TYPE_CD,
CHEQUE.PAY_STAT_CD,
CHEQUE_CON.LAST_NAME,
CHEQUE_CON.FST_NAME,
CHEQUE.X_PAYMENT_DEL_METHOD_CD,
CHEQUE.X_PAY_ADDR_TEXT,
S_ADDR_PER.ADDR,
S_ADDR_PER.ADDR_LINE_2, -- added as per defect 689
S_ADDR_PER.ADDR_LINE_4, -- added as per defect 689
S_ADDR_PER.ZIPCODE, -- added as per defect 689
S_ADDR_PER.X_STATE, -- added as per defect 689
S_ADDR_PER.COUNTRY, -- added as per defect 689
S_ADDR_PER.CITY, -- added as per defect 689
S_ADDR_PER.ADDR_TYPE_CD, -- added as per defect 689
CHEQUE.X_PAY_FAX_PH_TEXT,
APPRV.LOGIN AS APPROVER,
SEC_APPRV.LOGIN AS SEC_APPROVER,
PAY.X_APPROVAL_DT,
APPRV_BY.LOGIN AS APPROVER_BY,
PAY.X_BANK_PAYMENT_NUMBER_TEXT,
PAY.X_BANK_PAYMENT_DATE_DT,
PAY.X_BANK_PAYMENT_STATUS_TEXT,
S_DOC_AGREE.AGREE_NUM,
S_DOC_AGREE.NAME,
S_CONTACT.PERSON_UID,
S_PTY_PAY_PRFL.X_GIFT_CARD_NUM,
CXBK.X_BANK_NAME_TEXT,
CXBK.X_BANK_NUMBER_TEXT,
AC_C.X_TRANSIT_NUM,
AC_C.X_LAST_NAME_BA_TEXT,
AC_C.X_FIRST_NAME_BA_TEXT,
ISNULL(CHEQUE.ACCNT_ID,ISNULL (PAY.ACCNT_ID,S_DOC_AGREE.TARGET_OU_ID)) AS ACCNT_ID,
S_BU.NAME AS COUNTRY_NAME,
S_ORG_EXT.LOC AS COUNTRY_CODE,
PAY.PAYMENT_REQ_NUM,
PAY.TYPE_CD,
CHEQUE.TYPE_CD,
CHEQUE.ROW_ID,
CHEQUE_CON.FST_NAME, -- added as per defect 689
CHEQUE_CON.LAST_NAME, -- added as per defect 689
CHEQUE_CON.PER_TITLE, -- added as per defect 689
CHEQUE_CON.CON_CD, -- added as per defect 689
CHEQUE_CON.X_LANGUAGE_CD, -- CHEQUE_LANG.NAME removed as per CHG062324
CHEQUE.X_SIGNATURE_DT, -- added as per defect 689
CHEQUE_SIGN.FST_NAME, -- added as per defect 689
CHEQUE_SIGN.LAST_NAME, -- added as per defect 689
CHEQUE_SIGN.PER_TITLE, -- added as per defect 689
CHEQUE_SIGN.CON_CD, -- added as per defect 689
CHEQUE_SIGN.X_LANGUAGE_CD,  -- CHEQUE_SIGN_LANG.NAME removed as per CHG062324
CHEQUE.ACTL_PAY_DT, -- added as per defect 689
S_USER.LOGIN, -- added as per defect 689
CHEQUE_CREATED.FST_NAME, -- added as per defect 689
CHEQUE_CREATED.LAST_NAME, -- added as per defect 689
-------------CHG062329-------------
CHEQUE.X_VAT_REGN_NUM,
BL_ADR.ADDR,
BL_ADR.ADDR_LINE_2,
BL_ADR.ADDR_LINE_4,
BL_ADR.ZIPCODE,
BL_ADR.CITY,
BL_ADR.X_STATE,
BL_ADR.COUNTRY,
-------------CHG069435-------------
AC_ADDR.ADDR,
AC_ADDR.ADDR_LINE_2,
AC_ADDR.ZIPCODE,
AC_ADDR.CITY,
INV_CONTACT.FST_NAME,
INV_CONTACT.LAST_NAME,
INV_CONTACT.X_LANGUAGE_CD,
INV_CONTACT.PER_TITLE,
CHEQUE.X_PAY_DEL_STAT_CD, --added as per CHG078383
ORG_CHEQUE.ALIAS_NAME, --added as per CHG078383
PAY.X_CONTRACT_PAY_METHOD_CD,--added as per CHG099099
---CHG131815---
 NULL ORDER_NUM,
 NULL X_SUB_TYPE,
 ---CHG228033---
 PAY.X_TMEC_CREATED_DT AS MOBILE_CREATED_DATE,
 MOB_CREATED_BY.LOGIN AS MOBILE_CREATED_BY
FROM S_SRC_PAYMENT PAY (NOLOCK)
INNER JOIN S_BU (NOLOCK) ON S_BU.ROW_ID = PAY.X_BU_ID
INNER JOIN S_ORG_EXT (NOLOCK) ON S_BU.ROW_ID = S_ORG_EXT.ROW_ID
LEFT OUTER JOIN S_SRC_PAYMENT CHEQUE (NOLOCK) ON PAY.PAR_PAYMENT_ID= CHEQUE.ROW_ID
LEFT OUTER JOIN S_ORG_EXT ORG_CHEQUE (NOLOCK) ON ORG_CHEQUE.ROW_ID = CHEQUE.ACCNT_ID
LEFT OUTER JOIN S_ORG_EXT ORG (NOLOCK) ON ORG.ROW_ID = PAY.ACCNT_ID
LEFT OUTER JOIN S_MDF BUD (NOLOCK) ON BUD.ROW_ID = PAY.X_AGREE_BUDGET_ID
LEFT OUTER JOIN S_USER APPRV (NOLOCK) ON APPRV.ROW_ID = PAY.X_APPROVER_ID
LEFT OUTER JOIN S_USER SEC_APPRV (NOLOCK) ON SEC_APPRV.ROW_ID = PAY.X_SECONDARY_APPROVER_ID
LEFT OUTER JOIN S_USER APPRV_BY (NOLOCK) ON APPRV_BY.ROW_ID = PAY.X_APPROVED_BY_ID
LEFT OUTER JOIN S_PTY_PAY_PRFL PAY_PRFL (NOLOCK) ON PAY_PRFL.BANK_ACCT_ID = PAY.ACCNT_ID
LEFT OUTER JOIN S_ADDR_PER (NOLOCK) ON CHEQUE.BANK_ADDR_ID = S_ADDR_PER.ROW_ID
LEFT OUTER JOIN S_CONTACT CHEQUE_CON (NOLOCK) ON CHEQUE.CON_ID = CHEQUE_CON.ROW_ID
LEFT OUTER JOIN S_CONTACT (NOLOCK) ON PAY.CON_ID = S_CONTACT.ROW_ID
LEFT OUTER JOIN S_PTY_PAY_PRFL (NOLOCK) ON S_CONTACT.PR_PER_PAY_PRFL_ID = S_PTY_PAY_PRFL.ROW_ID
LEFT OUTER JOIN S_DOC_AGREE (NOLOCK) ON PAY.CONTRACT_ID = S_DOC_AGREE.ROW_ID
LEFT OUTER JOIN S_ORG_EXT AGREE_ACNT (NOLOCK) ON S_DOC_AGREE.TARGET_OU_ID = AGREE_ACNT.ROW_ID
LEFT OUTER JOIN S_ORG_EXT_X AC_C (NOLOCK) ON CHEQUE.ACCNT_ID = AC_C.PAR_ROW_ID
LEFT OUTER JOIN S_ORG_EXT_X AC_P (NOLOCK) ON PAY.ACCNT_ID = ORG.PAR_ROW_ID
--LEFT OUTER JOIN S_LANG CHEQUE_LANG ON CHEQUE_CON.PREF_LANG_ID = CHEQUE_LANG.LANG_CD --commented as per CHG062324
LEFT OUTER JOIN S_CONTACT CHEQUE_SIGN (NOLOCK) ON CHEQUE.X_SIGNED_BY_ID = CHEQUE_SIGN.ROW_ID
--LEFT OUTER JOIN S_LANG CHEQUE_SIGN_LANG ON CHEQUE_SIGN.PREF_LANG_ID = CHEQUE_SIGN_LANG.LANG_CD --commented as per CHG062324
LEFT OUTER JOIN S_CONTACT CHEQUE_CREATED (NOLOCK) ON CHEQUE.CREATED_BY = CHEQUE_CREATED.ROW_ID
LEFT OUTER JOIN S_USER S_USER (NOLOCK) ON CHEQUE.CREATED_BY = S_USER.ROW_ID
LEFT OUTER JOIN S_ADDR_PER BL_ADR (NOLOCK) ON CHEQUE.ADDR_ORG_ID = BL_ADR.ROW_ID --CHG062329
LEFT OUTER JOIN CX_BANK_ADMIN CXBK (NOLOCK) ON CXBK.ROW_ID=AC_C.X_BANK_ID --Defect498
LEFT OUTER JOIN S_ADDR_PER AC_ADDR (NOLOCK)ON AC_ADDR.ROW_ID = ORG_CHEQUE.PR_ADDR_ID --CHG069435
LEFT OUTER JOIN S_CONTACT INV_CONTACT (NOLOCK) ON CHEQUE.X_INVOICE_CON_ID = INV_CONTACT.ROW_ID --CHG069435
LEFT OUTER JOIN S_USER MOB_CREATED_BY (NOLOCK) ON MOB_CREATED_BY.ROW_ID = PAY.X_TMEC_CREATED_BY_ID
WHERE S_BU.NAME ='United Kingdom, UK' AND SUBSTRING(PAY.ROW_ID,CHARINDEX('-',PAY.ROW_ID),1)+''+SUBSTRING(PAY.ROW_ID,CHARINDEX('-',PAY.ROW_ID,CHARINDEX('-',PAY.ROW_ID)+1),1)&lt;&gt;'--' AND ISNULL(PAY.REASON_CD,'@@') &lt;&gt;'Ad-hoc Payments'  AND( (S_PTY_PAY_PRFL.X_GIFT_CARD_NUM IS NOT NULL  AND PAY.X_CONTRACT_PAY_METHOD_CD&lt;&gt;'Bank Transfer') OR (PAY.X_CONTRACT_PAY_METHOD_CD='Bank Transfer')) AND PAY.CONTRACT_ID IS NOT NULL  AND PAY.PAY_STAT_CD ='Approved Authorised' AND (PAY.X_EXPORT_STATUS_CD ='To be exported' OR PAY.X_EXPORT_STATUS_CD IS NULL)</t>
  </si>
  <si>
    <t xml:space="preserve">1 record updated </t>
  </si>
  <si>
    <t xml:space="preserve">1 record </t>
  </si>
  <si>
    <t>select  PAY.X_TMEC_CREATED_DT, S_USER.LOGIN, PAY.* 
from S_SRC_PAYMENT PAY inner join S_USER  ON S_USER.ROW_ID = PAY.X_TMEC_CREATED_BY_ID
where PAY.ROW_ID ='1-5BZBX3'</t>
  </si>
  <si>
    <t>Run the workflow 'RUN_OUTBOUND_PE_UK_V7'</t>
  </si>
  <si>
    <t>Go to the server \\MRUINFO961\Interfaces_IP14\United Kingdom\OUNP</t>
  </si>
  <si>
    <t>Check if X_TMEC_CREATED_DT and LOGIN, values are correctly exported on the outbound file.</t>
  </si>
  <si>
    <t xml:space="preserve">
SELECT IF_ROW_STAT ,* FROM EIM_PAYMENT WHERE IF_ROW_BATCH_NUM BETWEEN 989125000 AND 989125999
select X_EXPORT_STATUS_CD from S_SRC_PAYMENT where ROW_ID ='1-5BZBX3'</t>
  </si>
  <si>
    <t xml:space="preserve">  
IMPORTED 
Exported</t>
  </si>
  <si>
    <t xml:space="preserve">PE UK </t>
  </si>
  <si>
    <t xml:space="preserve">PE BE </t>
  </si>
  <si>
    <t>1 file UKPE0702_xxxxxxxx_xx.txt should be generated.</t>
  </si>
  <si>
    <t>1 file BEPE0702_xxxxxxxx_xx.txt should be generated.</t>
  </si>
  <si>
    <t>select  PAY.X_TMEC_CREATED_DT, S_USER.LOGIN, PAY.* 
from S_SRC_PAYMENT PAY inner join S_USER  ON S_USER.ROW_ID = PAY.X_TMEC_CREATED_BY_ID
where PAY.ROW_ID ='1-21UYE8'</t>
  </si>
  <si>
    <t>Screenshot 5</t>
  </si>
  <si>
    <t>Refer to screenshot 5</t>
  </si>
  <si>
    <t xml:space="preserve">1 record is inserted
</t>
  </si>
  <si>
    <t>SELECT *
FROM WC_ETL_FILES_G
WHERE  SUBSTRING(FILENAME,1,4)='UKPE'
AND ETL_PROC_WID IN (select ETL_PROC_WID FROM W_PARAM_G)</t>
  </si>
  <si>
    <t>SELECT *
FROM WC_ETL_FILES_G
WHERE  SUBSTRING(FILENAME,1,4)='BEPE'
AND ETL_PROC_WID IN (select ETL_PROC_WID FROM W_PARAM_G)</t>
  </si>
  <si>
    <t xml:space="preserve">  
Test data should not be updated as per Business rule for BE 
</t>
  </si>
  <si>
    <t>Run the workflow 'RUN_OUTBOUND_PE_BE_V7'</t>
  </si>
  <si>
    <t>Go to the server \\MRUINFO961\Interfaces_IP14\Belgium\OUNP</t>
  </si>
  <si>
    <t>FDE_INT_PAYMENT_EFT_EXPORT_V7</t>
  </si>
  <si>
    <t>Refer to screenshot 4</t>
  </si>
  <si>
    <t>Check if test data after export</t>
  </si>
  <si>
    <t xml:space="preserve">
select CHEQUE.X_PAY_DEL_STAT_CD 
from S_SRC_PAYMENT CHEQUE INNER JOIN 
S_SRC_PAYMENT PAY ON PAY.PAR_PAYMENT_ID= CHEQUE.ROW_ID
where PAY.ROW_ID ='1-21UYE8'</t>
  </si>
  <si>
    <t xml:space="preserve">
select CHEQUE.X_PAY_DEL_STAT_CD 
from S_SRC_PAYMENT CHEQUE INNER JOIN 
S_SRC_PAYMENT PAY ON PAY.PAR_PAYMENT_ID= CHEQUE.ROW_ID
where PAY.ROW_ID ='1-21UYE8'</t>
  </si>
  <si>
    <t>PE Outbound</t>
  </si>
  <si>
    <t>RUN_OUTBOUND_PE_BE_V7, RUN_OUTBOUND_PE_UK_V7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</si>
</sst>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_-* #,##0.00\ _B_F_-;\-* #,##0.00\ _B_F_-;_-* &quot;-&quot;??\ _B_F_-;_-@_-"/>
    <numFmt numFmtId="165" formatCode="mm/dd/yy"/>
    <numFmt numFmtId="166" formatCode="mmm\-yyyy"/>
  </numFmts>
  <fonts count="51" x14ac:knownFonts="1">
    <font>
      <sz val="10"/>
      <name val="Arial"/>
    </font>
    <font>
      <sz val="11"/>
      <color theme="1"/>
      <name val="Calibri"/>
      <family val="2"/>
      <scheme val="minor"/>
    </font>
    <font>
      <sz val="8"/>
      <name val="Arial"/>
      <family val="2"/>
    </font>
    <font>
      <sz val="10"/>
      <name val="Arial"/>
      <family val="2"/>
    </font>
    <font>
      <b/>
      <sz val="10"/>
      <name val="Arial"/>
      <family val="2"/>
    </font>
    <font>
      <sz val="11"/>
      <color indexed="8"/>
      <name val="Calibri"/>
      <family val="2"/>
    </font>
    <font>
      <b/>
      <sz val="11"/>
      <color indexed="8"/>
      <name val="Calibri"/>
      <family val="2"/>
    </font>
    <font>
      <b/>
      <i/>
      <sz val="24"/>
      <color indexed="57"/>
      <name val="Arial"/>
      <family val="2"/>
    </font>
    <font>
      <sz val="8"/>
      <color indexed="81"/>
      <name val="Tahoma"/>
      <family val="2"/>
    </font>
    <font>
      <sz val="11"/>
      <color indexed="9"/>
      <name val="Calibri"/>
      <family val="2"/>
    </font>
    <font>
      <b/>
      <sz val="11"/>
      <color indexed="63"/>
      <name val="Calibri"/>
      <family val="2"/>
    </font>
    <font>
      <b/>
      <sz val="11"/>
      <color indexed="52"/>
      <name val="Calibri"/>
      <family val="2"/>
    </font>
    <font>
      <sz val="11"/>
      <color indexed="62"/>
      <name val="Calibri"/>
      <family val="2"/>
    </font>
    <font>
      <i/>
      <sz val="11"/>
      <color indexed="23"/>
      <name val="Calibri"/>
      <family val="2"/>
    </font>
    <font>
      <sz val="11"/>
      <color indexed="17"/>
      <name val="Calibri"/>
      <family val="2"/>
    </font>
    <font>
      <sz val="11"/>
      <color indexed="20"/>
      <name val="Calibri"/>
      <family val="2"/>
    </font>
    <font>
      <sz val="10"/>
      <name val="Helv"/>
      <family val="2"/>
    </font>
    <font>
      <b/>
      <sz val="18"/>
      <color indexed="56"/>
      <name val="Cambria"/>
      <family val="2"/>
    </font>
    <font>
      <b/>
      <sz val="15"/>
      <color indexed="56"/>
      <name val="Calibri"/>
      <family val="2"/>
    </font>
    <font>
      <b/>
      <sz val="13"/>
      <color indexed="56"/>
      <name val="Calibri"/>
      <family val="2"/>
    </font>
    <font>
      <b/>
      <sz val="11"/>
      <color indexed="56"/>
      <name val="Calibri"/>
      <family val="2"/>
    </font>
    <font>
      <sz val="11"/>
      <color indexed="52"/>
      <name val="Calibri"/>
      <family val="2"/>
    </font>
    <font>
      <sz val="11"/>
      <color indexed="10"/>
      <name val="Calibri"/>
      <family val="2"/>
    </font>
    <font>
      <b/>
      <sz val="11"/>
      <color indexed="9"/>
      <name val="Calibri"/>
      <family val="2"/>
    </font>
    <font>
      <b/>
      <sz val="24"/>
      <name val="Book Antiqua"/>
      <family val="1"/>
    </font>
    <font>
      <b/>
      <sz val="36"/>
      <name val="Book Antiqua"/>
      <family val="1"/>
    </font>
    <font>
      <b/>
      <sz val="36"/>
      <color indexed="12"/>
      <name val="Book Antiqua"/>
      <family val="1"/>
    </font>
    <font>
      <b/>
      <sz val="24"/>
      <color indexed="12"/>
      <name val="Book Antiqua"/>
      <family val="1"/>
    </font>
    <font>
      <b/>
      <sz val="18"/>
      <color indexed="12"/>
      <name val="Book Antiqua"/>
      <family val="1"/>
    </font>
    <font>
      <b/>
      <sz val="20"/>
      <name val="Book Antiqua"/>
      <family val="1"/>
    </font>
    <font>
      <sz val="10"/>
      <name val="Book Antiqua"/>
      <family val="1"/>
    </font>
    <font>
      <b/>
      <i/>
      <sz val="20"/>
      <name val="Book Antiqua"/>
      <family val="1"/>
    </font>
    <font>
      <sz val="12"/>
      <name val="Book Antiqua"/>
      <family val="1"/>
    </font>
    <font>
      <b/>
      <sz val="10"/>
      <color indexed="12"/>
      <name val="Arial"/>
      <family val="2"/>
    </font>
    <font>
      <sz val="10"/>
      <color indexed="12"/>
      <name val="Arial"/>
      <family val="2"/>
    </font>
    <font>
      <b/>
      <sz val="22"/>
      <name val="Arial"/>
      <family val="2"/>
    </font>
    <font>
      <i/>
      <sz val="14"/>
      <name val="Arial"/>
      <family val="2"/>
    </font>
    <font>
      <b/>
      <sz val="8"/>
      <color indexed="81"/>
      <name val="Tahoma"/>
      <family val="2"/>
    </font>
    <font>
      <sz val="11"/>
      <name val="Book Antiqua"/>
      <family val="1"/>
    </font>
    <font>
      <b/>
      <sz val="11"/>
      <color indexed="9"/>
      <name val="Book Antiqua"/>
      <family val="1"/>
    </font>
    <font>
      <b/>
      <sz val="12"/>
      <name val="Book Antiqua"/>
      <family val="1"/>
    </font>
    <font>
      <b/>
      <sz val="9"/>
      <color indexed="81"/>
      <name val="Tahoma"/>
      <family val="2"/>
    </font>
    <font>
      <sz val="9"/>
      <color indexed="81"/>
      <name val="Tahoma"/>
      <family val="2"/>
    </font>
    <font>
      <u/>
      <sz val="10"/>
      <color theme="10"/>
      <name val="Arial"/>
      <family val="2"/>
    </font>
    <font>
      <sz val="11"/>
      <color theme="1"/>
      <name val="Calibri"/>
      <family val="2"/>
      <scheme val="minor"/>
    </font>
    <font>
      <sz val="10"/>
      <color theme="10"/>
      <name val="Arial"/>
      <family val="2"/>
    </font>
    <font>
      <b/>
      <sz val="10"/>
      <color theme="0"/>
      <name val="Arial"/>
      <family val="2"/>
    </font>
    <font>
      <sz val="8"/>
      <name val="Arial"/>
    </font>
    <font>
      <b/>
      <sz val="11"/>
      <name val="Book Antiqua"/>
      <family val="1"/>
    </font>
    <font>
      <b/>
      <sz val="10"/>
      <color rgb="FF00B050"/>
      <name val="Arial"/>
      <family val="2"/>
    </font>
    <font>
      <b/>
      <sz val="11"/>
      <color rgb="FF00B050"/>
      <name val="Book Antiqua"/>
      <family val="1"/>
    </font>
  </fonts>
  <fills count="30">
    <fill>
      <patternFill patternType="none"/>
    </fill>
    <fill>
      <patternFill patternType="gray125"/>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26"/>
      </patternFill>
    </fill>
    <fill>
      <patternFill patternType="solid">
        <fgColor indexed="9"/>
        <bgColor indexed="64"/>
      </patternFill>
    </fill>
    <fill>
      <patternFill patternType="solid">
        <fgColor indexed="22"/>
        <bgColor indexed="64"/>
      </patternFill>
    </fill>
    <fill>
      <patternFill patternType="solid">
        <fgColor indexed="17"/>
        <bgColor indexed="64"/>
      </patternFill>
    </fill>
    <fill>
      <patternFill patternType="solid">
        <fgColor rgb="FF00B0F0"/>
        <bgColor indexed="64"/>
      </patternFill>
    </fill>
    <fill>
      <patternFill patternType="solid">
        <fgColor rgb="FF99FFCC"/>
        <bgColor indexed="64"/>
      </patternFill>
    </fill>
    <fill>
      <patternFill patternType="solid">
        <fgColor theme="6"/>
        <bgColor indexed="64"/>
      </patternFill>
    </fill>
    <fill>
      <patternFill patternType="solid">
        <fgColor theme="0"/>
        <bgColor indexed="64"/>
      </patternFill>
    </fill>
  </fills>
  <borders count="17">
    <border>
      <left/>
      <right/>
      <top/>
      <bottom/>
      <diagonal/>
    </border>
    <border>
      <left style="thin">
        <color indexed="63"/>
      </left>
      <right style="thin">
        <color indexed="63"/>
      </right>
      <top style="thin">
        <color indexed="63"/>
      </top>
      <bottom style="thin">
        <color indexed="63"/>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style="thin">
        <color indexed="62"/>
      </top>
      <bottom style="double">
        <color indexed="62"/>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right/>
      <top/>
      <bottom style="thick">
        <color indexed="17"/>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54">
    <xf numFmtId="0" fontId="0" fillId="0" borderId="0"/>
    <xf numFmtId="0" fontId="5" fillId="2" borderId="0" applyNumberFormat="0" applyBorder="0" applyAlignment="0" applyProtection="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5" borderId="0" applyNumberFormat="0" applyBorder="0" applyAlignment="0" applyProtection="0"/>
    <xf numFmtId="0" fontId="5" fillId="8" borderId="0" applyNumberFormat="0" applyBorder="0" applyAlignment="0" applyProtection="0"/>
    <xf numFmtId="0" fontId="5" fillId="11" borderId="0" applyNumberFormat="0" applyBorder="0" applyAlignment="0" applyProtection="0"/>
    <xf numFmtId="0" fontId="9" fillId="12" borderId="0" applyNumberFormat="0" applyBorder="0" applyAlignment="0" applyProtection="0"/>
    <xf numFmtId="0" fontId="9" fillId="9" borderId="0" applyNumberFormat="0" applyBorder="0" applyAlignment="0" applyProtection="0"/>
    <xf numFmtId="0" fontId="9" fillId="10"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9" fillId="18" borderId="0" applyNumberFormat="0" applyBorder="0" applyAlignment="0" applyProtection="0"/>
    <xf numFmtId="0" fontId="9" fillId="13" borderId="0" applyNumberFormat="0" applyBorder="0" applyAlignment="0" applyProtection="0"/>
    <xf numFmtId="0" fontId="9" fillId="14" borderId="0" applyNumberFormat="0" applyBorder="0" applyAlignment="0" applyProtection="0"/>
    <xf numFmtId="0" fontId="9" fillId="19" borderId="0" applyNumberFormat="0" applyBorder="0" applyAlignment="0" applyProtection="0"/>
    <xf numFmtId="0" fontId="10" fillId="20" borderId="1" applyNumberFormat="0" applyAlignment="0" applyProtection="0"/>
    <xf numFmtId="0" fontId="11" fillId="20" borderId="2" applyNumberFormat="0" applyAlignment="0" applyProtection="0"/>
    <xf numFmtId="0" fontId="3" fillId="0" borderId="0" applyFont="0" applyFill="0" applyBorder="0" applyAlignment="0" applyProtection="0"/>
    <xf numFmtId="0" fontId="12" fillId="7" borderId="2" applyNumberFormat="0" applyAlignment="0" applyProtection="0"/>
    <xf numFmtId="0" fontId="6" fillId="0" borderId="4" applyNumberFormat="0" applyFill="0" applyAlignment="0" applyProtection="0"/>
    <xf numFmtId="0" fontId="13" fillId="0" borderId="0" applyNumberFormat="0" applyFill="0" applyBorder="0" applyAlignment="0" applyProtection="0"/>
    <xf numFmtId="0" fontId="14" fillId="4" borderId="0" applyNumberFormat="0" applyBorder="0" applyAlignment="0" applyProtection="0"/>
    <xf numFmtId="0" fontId="43" fillId="0" borderId="0" applyNumberFormat="0" applyFill="0" applyBorder="0" applyAlignment="0" applyProtection="0">
      <alignment vertical="top"/>
      <protection locked="0"/>
    </xf>
    <xf numFmtId="0" fontId="44" fillId="0" borderId="0"/>
    <xf numFmtId="0" fontId="3" fillId="0" borderId="0"/>
    <xf numFmtId="0" fontId="44" fillId="0" borderId="0"/>
    <xf numFmtId="0" fontId="44" fillId="0" borderId="0"/>
    <xf numFmtId="0" fontId="38" fillId="0" borderId="0"/>
    <xf numFmtId="0" fontId="3" fillId="0" borderId="0"/>
    <xf numFmtId="0" fontId="3" fillId="22" borderId="9" applyNumberFormat="0" applyFont="0" applyAlignment="0" applyProtection="0"/>
    <xf numFmtId="0" fontId="15" fillId="3" borderId="0" applyNumberFormat="0" applyBorder="0" applyAlignment="0" applyProtection="0"/>
    <xf numFmtId="0" fontId="3" fillId="0" borderId="0"/>
    <xf numFmtId="0" fontId="16" fillId="0" borderId="0"/>
    <xf numFmtId="0" fontId="17" fillId="0" borderId="0" applyNumberFormat="0" applyFill="0" applyBorder="0" applyAlignment="0" applyProtection="0"/>
    <xf numFmtId="0" fontId="18" fillId="0" borderId="5" applyNumberFormat="0" applyFill="0" applyAlignment="0" applyProtection="0"/>
    <xf numFmtId="0" fontId="19" fillId="0" borderId="6" applyNumberFormat="0" applyFill="0" applyAlignment="0" applyProtection="0"/>
    <xf numFmtId="0" fontId="20" fillId="0" borderId="7" applyNumberFormat="0" applyFill="0" applyAlignment="0" applyProtection="0"/>
    <xf numFmtId="0" fontId="20" fillId="0" borderId="0" applyNumberFormat="0" applyFill="0" applyBorder="0" applyAlignment="0" applyProtection="0"/>
    <xf numFmtId="0" fontId="21" fillId="0" borderId="8" applyNumberFormat="0" applyFill="0" applyAlignment="0" applyProtection="0"/>
    <xf numFmtId="0" fontId="22" fillId="0" borderId="0" applyNumberFormat="0" applyFill="0" applyBorder="0" applyAlignment="0" applyProtection="0"/>
    <xf numFmtId="0" fontId="23" fillId="21" borderId="3" applyNumberFormat="0" applyAlignment="0" applyProtection="0"/>
    <xf numFmtId="0" fontId="1" fillId="0" borderId="0"/>
    <xf numFmtId="0" fontId="1" fillId="0" borderId="0"/>
    <xf numFmtId="0" fontId="1" fillId="0" borderId="0"/>
  </cellStyleXfs>
  <cellXfs count="112">
    <xf numFmtId="0" fontId="0" fillId="0" borderId="0" xfId="0"/>
    <xf numFmtId="0" fontId="4" fillId="0" borderId="0" xfId="38" applyFont="1" applyAlignment="1">
      <alignment vertical="center"/>
    </xf>
    <xf numFmtId="0" fontId="3" fillId="0" borderId="0" xfId="38" applyAlignment="1">
      <alignment vertical="center"/>
    </xf>
    <xf numFmtId="0" fontId="3" fillId="0" borderId="0" xfId="38" applyFont="1" applyAlignment="1">
      <alignment vertical="center"/>
    </xf>
    <xf numFmtId="0" fontId="3" fillId="23" borderId="0" xfId="38" applyFill="1" applyAlignment="1">
      <alignment vertical="center"/>
    </xf>
    <xf numFmtId="0" fontId="4" fillId="23" borderId="0" xfId="38" applyFont="1" applyFill="1" applyAlignment="1">
      <alignment vertical="center"/>
    </xf>
    <xf numFmtId="0" fontId="26" fillId="0" borderId="0" xfId="27" applyFont="1" applyAlignment="1">
      <alignment vertical="center"/>
    </xf>
    <xf numFmtId="0" fontId="27" fillId="0" borderId="0" xfId="27" applyFont="1" applyAlignment="1">
      <alignment vertical="center"/>
    </xf>
    <xf numFmtId="0" fontId="29" fillId="0" borderId="0" xfId="27" applyFont="1" applyAlignment="1">
      <alignment vertical="center"/>
    </xf>
    <xf numFmtId="164" fontId="30" fillId="23" borderId="0" xfId="27" applyNumberFormat="1" applyFont="1" applyFill="1" applyAlignment="1">
      <alignment vertical="center"/>
    </xf>
    <xf numFmtId="164" fontId="3" fillId="23" borderId="0" xfId="27" applyNumberFormat="1" applyFill="1" applyAlignment="1">
      <alignment vertical="center"/>
    </xf>
    <xf numFmtId="0" fontId="2" fillId="0" borderId="0" xfId="34" applyFont="1" applyAlignment="1">
      <alignment vertical="center"/>
    </xf>
    <xf numFmtId="0" fontId="3" fillId="0" borderId="0" xfId="34" applyAlignment="1">
      <alignment vertical="center"/>
    </xf>
    <xf numFmtId="164" fontId="3" fillId="23" borderId="0" xfId="27" applyNumberFormat="1" applyFill="1" applyBorder="1" applyAlignment="1">
      <alignment vertical="center"/>
    </xf>
    <xf numFmtId="164" fontId="30" fillId="23" borderId="0" xfId="27" applyNumberFormat="1" applyFont="1" applyFill="1" applyBorder="1" applyAlignment="1">
      <alignment vertical="center"/>
    </xf>
    <xf numFmtId="0" fontId="3" fillId="0" borderId="0" xfId="27" applyFont="1" applyAlignment="1">
      <alignment vertical="center"/>
    </xf>
    <xf numFmtId="0" fontId="30" fillId="0" borderId="0" xfId="27" applyFont="1" applyAlignment="1">
      <alignment vertical="center"/>
    </xf>
    <xf numFmtId="0" fontId="31" fillId="0" borderId="0" xfId="27" applyFont="1" applyAlignment="1">
      <alignment vertical="center"/>
    </xf>
    <xf numFmtId="0" fontId="24" fillId="0" borderId="0" xfId="27" applyFont="1" applyAlignment="1">
      <alignment vertical="center"/>
    </xf>
    <xf numFmtId="0" fontId="32" fillId="0" borderId="0" xfId="27" applyFont="1" applyAlignment="1">
      <alignment vertical="center"/>
    </xf>
    <xf numFmtId="165" fontId="32" fillId="0" borderId="0" xfId="27" applyNumberFormat="1" applyFont="1" applyAlignment="1">
      <alignment horizontal="left" vertical="center"/>
    </xf>
    <xf numFmtId="0" fontId="33" fillId="23" borderId="0" xfId="38" applyFont="1" applyFill="1" applyAlignment="1">
      <alignment vertical="center" wrapText="1"/>
    </xf>
    <xf numFmtId="0" fontId="4" fillId="23" borderId="0" xfId="38" applyFont="1" applyFill="1" applyAlignment="1">
      <alignment horizontal="center" vertical="center" wrapText="1"/>
    </xf>
    <xf numFmtId="0" fontId="4" fillId="24" borderId="10" xfId="38" applyFont="1" applyFill="1" applyBorder="1" applyAlignment="1">
      <alignment horizontal="center" vertical="center" wrapText="1"/>
    </xf>
    <xf numFmtId="0" fontId="34" fillId="0" borderId="10" xfId="38" applyFont="1" applyBorder="1" applyAlignment="1">
      <alignment vertical="center" wrapText="1"/>
    </xf>
    <xf numFmtId="0" fontId="4" fillId="23" borderId="0" xfId="38" applyFont="1" applyFill="1" applyAlignment="1">
      <alignment vertical="center" wrapText="1"/>
    </xf>
    <xf numFmtId="0" fontId="4" fillId="24" borderId="10" xfId="38" applyFont="1" applyFill="1" applyBorder="1" applyAlignment="1">
      <alignment vertical="center"/>
    </xf>
    <xf numFmtId="0" fontId="34" fillId="0" borderId="10" xfId="38" applyFont="1" applyBorder="1" applyAlignment="1">
      <alignment horizontal="left" vertical="center" wrapText="1"/>
    </xf>
    <xf numFmtId="0" fontId="4" fillId="24" borderId="10" xfId="38" applyFont="1" applyFill="1" applyBorder="1" applyAlignment="1">
      <alignment vertical="center" wrapText="1"/>
    </xf>
    <xf numFmtId="0" fontId="36" fillId="23" borderId="11" xfId="38" applyFont="1" applyFill="1" applyBorder="1" applyAlignment="1">
      <alignment horizontal="right" vertical="center"/>
    </xf>
    <xf numFmtId="0" fontId="3" fillId="23" borderId="0" xfId="38" applyFont="1" applyFill="1" applyAlignment="1">
      <alignment vertical="center"/>
    </xf>
    <xf numFmtId="0" fontId="4" fillId="24" borderId="12" xfId="38" applyFont="1" applyFill="1" applyBorder="1" applyAlignment="1">
      <alignment vertical="center"/>
    </xf>
    <xf numFmtId="0" fontId="38" fillId="0" borderId="0" xfId="37" applyBorder="1"/>
    <xf numFmtId="0" fontId="38" fillId="0" borderId="0" xfId="37"/>
    <xf numFmtId="0" fontId="3" fillId="0" borderId="0" xfId="37" applyFont="1"/>
    <xf numFmtId="0" fontId="39" fillId="25" borderId="10" xfId="37" applyFont="1" applyFill="1" applyBorder="1" applyAlignment="1">
      <alignment horizontal="right" wrapText="1"/>
    </xf>
    <xf numFmtId="0" fontId="38" fillId="0" borderId="10" xfId="37" applyBorder="1" applyAlignment="1">
      <alignment wrapText="1"/>
    </xf>
    <xf numFmtId="0" fontId="38" fillId="0" borderId="10" xfId="37" applyBorder="1"/>
    <xf numFmtId="14" fontId="38" fillId="0" borderId="10" xfId="37" applyNumberFormat="1" applyBorder="1" applyAlignment="1">
      <alignment horizontal="right" wrapText="1"/>
    </xf>
    <xf numFmtId="14" fontId="38" fillId="0" borderId="10" xfId="37" applyNumberFormat="1" applyBorder="1" applyAlignment="1">
      <alignment wrapText="1"/>
    </xf>
    <xf numFmtId="0" fontId="38" fillId="0" borderId="10" xfId="37" applyFill="1" applyBorder="1" applyAlignment="1">
      <alignment wrapText="1"/>
    </xf>
    <xf numFmtId="0" fontId="38" fillId="0" borderId="10" xfId="37" applyFont="1" applyBorder="1" applyAlignment="1">
      <alignment wrapText="1"/>
    </xf>
    <xf numFmtId="0" fontId="4" fillId="24" borderId="13" xfId="38" applyFont="1" applyFill="1" applyBorder="1" applyAlignment="1">
      <alignment vertical="center"/>
    </xf>
    <xf numFmtId="0" fontId="3" fillId="23" borderId="0" xfId="38" applyFont="1" applyFill="1" applyBorder="1" applyAlignment="1">
      <alignment vertical="center"/>
    </xf>
    <xf numFmtId="0" fontId="3" fillId="23" borderId="0" xfId="38" applyFill="1" applyBorder="1" applyAlignment="1">
      <alignment vertical="center"/>
    </xf>
    <xf numFmtId="0" fontId="3" fillId="0" borderId="0" xfId="38" applyBorder="1" applyAlignment="1">
      <alignment vertical="center"/>
    </xf>
    <xf numFmtId="0" fontId="30" fillId="0" borderId="10" xfId="37" applyFont="1" applyFill="1" applyBorder="1" applyAlignment="1">
      <alignment vertical="top"/>
    </xf>
    <xf numFmtId="0" fontId="30" fillId="0" borderId="10" xfId="37" applyFont="1" applyBorder="1" applyAlignment="1">
      <alignment vertical="top" wrapText="1"/>
    </xf>
    <xf numFmtId="0" fontId="30" fillId="0" borderId="10" xfId="37" applyFont="1" applyBorder="1" applyAlignment="1">
      <alignment horizontal="left" vertical="top" wrapText="1"/>
    </xf>
    <xf numFmtId="0" fontId="3" fillId="0" borderId="0" xfId="38" applyAlignment="1">
      <alignment vertical="center" wrapText="1"/>
    </xf>
    <xf numFmtId="0" fontId="3" fillId="0" borderId="0" xfId="38" applyFont="1" applyAlignment="1">
      <alignment vertical="center" wrapText="1"/>
    </xf>
    <xf numFmtId="0" fontId="3" fillId="23" borderId="0" xfId="38" applyFill="1" applyAlignment="1">
      <alignment vertical="center" wrapText="1"/>
    </xf>
    <xf numFmtId="0" fontId="3" fillId="23" borderId="0" xfId="38" applyNumberFormat="1" applyFill="1" applyAlignment="1">
      <alignment vertical="center" wrapText="1"/>
    </xf>
    <xf numFmtId="15" fontId="34" fillId="0" borderId="10" xfId="38" applyNumberFormat="1" applyFont="1" applyBorder="1" applyAlignment="1">
      <alignment horizontal="left" vertical="center" wrapText="1"/>
    </xf>
    <xf numFmtId="15" fontId="43" fillId="0" borderId="10" xfId="32" applyNumberFormat="1" applyBorder="1" applyAlignment="1" applyProtection="1">
      <alignment horizontal="left" vertical="center" wrapText="1"/>
    </xf>
    <xf numFmtId="0" fontId="3" fillId="23" borderId="0" xfId="38" applyFill="1" applyBorder="1" applyAlignment="1">
      <alignment vertical="center" wrapText="1"/>
    </xf>
    <xf numFmtId="0" fontId="3" fillId="0" borderId="0" xfId="38" applyBorder="1" applyAlignment="1">
      <alignment vertical="center" wrapText="1"/>
    </xf>
    <xf numFmtId="0" fontId="30" fillId="0" borderId="10" xfId="37" applyFont="1" applyFill="1" applyBorder="1" applyAlignment="1">
      <alignment wrapText="1"/>
    </xf>
    <xf numFmtId="15" fontId="45" fillId="0" borderId="10" xfId="32" applyNumberFormat="1" applyFont="1" applyBorder="1" applyAlignment="1" applyProtection="1">
      <alignment horizontal="left" vertical="center" wrapText="1"/>
    </xf>
    <xf numFmtId="0" fontId="38" fillId="0" borderId="0" xfId="37" applyAlignment="1">
      <alignment horizontal="left" vertical="top"/>
    </xf>
    <xf numFmtId="0" fontId="0" fillId="0" borderId="0" xfId="0" applyAlignment="1">
      <alignment horizontal="center"/>
    </xf>
    <xf numFmtId="0" fontId="46" fillId="26" borderId="0" xfId="0" applyFont="1" applyFill="1"/>
    <xf numFmtId="0" fontId="46" fillId="26" borderId="0" xfId="0" applyFont="1" applyFill="1" applyAlignment="1">
      <alignment horizontal="center"/>
    </xf>
    <xf numFmtId="0" fontId="4" fillId="27" borderId="10" xfId="0" applyFont="1" applyFill="1" applyBorder="1"/>
    <xf numFmtId="0" fontId="0" fillId="27" borderId="10" xfId="0" applyFill="1" applyBorder="1" applyAlignment="1">
      <alignment horizontal="center"/>
    </xf>
    <xf numFmtId="14" fontId="0" fillId="27" borderId="10" xfId="0" applyNumberFormat="1" applyFill="1" applyBorder="1" applyAlignment="1">
      <alignment horizontal="center"/>
    </xf>
    <xf numFmtId="14" fontId="3" fillId="27" borderId="10" xfId="0" quotePrefix="1" applyNumberFormat="1" applyFont="1" applyFill="1" applyBorder="1" applyAlignment="1">
      <alignment horizontal="center"/>
    </xf>
    <xf numFmtId="0" fontId="3" fillId="27" borderId="10" xfId="0" applyFont="1" applyFill="1" applyBorder="1" applyAlignment="1">
      <alignment horizontal="center"/>
    </xf>
    <xf numFmtId="166" fontId="0" fillId="27" borderId="10" xfId="0" applyNumberFormat="1" applyFill="1" applyBorder="1" applyAlignment="1">
      <alignment horizontal="center"/>
    </xf>
    <xf numFmtId="49" fontId="4" fillId="24" borderId="10" xfId="37" applyNumberFormat="1" applyFont="1" applyFill="1" applyBorder="1" applyAlignment="1">
      <alignment horizontal="center" vertical="top"/>
    </xf>
    <xf numFmtId="0" fontId="39" fillId="25" borderId="10" xfId="37" applyFont="1" applyFill="1" applyBorder="1" applyAlignment="1">
      <alignment horizontal="right" vertical="top" wrapText="1"/>
    </xf>
    <xf numFmtId="0" fontId="4" fillId="0" borderId="0" xfId="0" applyFont="1" applyFill="1"/>
    <xf numFmtId="0" fontId="0" fillId="0" borderId="0" xfId="0" applyFill="1"/>
    <xf numFmtId="0" fontId="30" fillId="0" borderId="10" xfId="37" applyFont="1" applyBorder="1" applyAlignment="1">
      <alignment horizontal="left" vertical="top" wrapText="1"/>
    </xf>
    <xf numFmtId="0" fontId="38" fillId="0" borderId="10" xfId="37" applyBorder="1" applyAlignment="1">
      <alignment horizontal="left" vertical="top" wrapText="1"/>
    </xf>
    <xf numFmtId="0" fontId="0" fillId="28" borderId="0" xfId="0" applyFill="1"/>
    <xf numFmtId="0" fontId="30" fillId="29" borderId="10" xfId="37" applyFont="1" applyFill="1" applyBorder="1" applyAlignment="1">
      <alignment vertical="top"/>
    </xf>
    <xf numFmtId="0" fontId="38" fillId="29" borderId="10" xfId="37" applyFill="1" applyBorder="1" applyAlignment="1">
      <alignment vertical="top" wrapText="1"/>
    </xf>
    <xf numFmtId="0" fontId="38" fillId="29" borderId="10" xfId="37" applyFill="1" applyBorder="1" applyAlignment="1">
      <alignment horizontal="left" vertical="top" wrapText="1"/>
    </xf>
    <xf numFmtId="0" fontId="38" fillId="0" borderId="10" xfId="37" applyBorder="1" applyAlignment="1">
      <alignment vertical="top"/>
    </xf>
    <xf numFmtId="0" fontId="3" fillId="0" borderId="10" xfId="0" applyFont="1" applyBorder="1" applyAlignment="1">
      <alignment vertical="top"/>
    </xf>
    <xf numFmtId="0" fontId="38" fillId="0" borderId="10" xfId="0" applyFont="1" applyBorder="1" applyAlignment="1">
      <alignment vertical="top"/>
    </xf>
    <xf numFmtId="0" fontId="3" fillId="0" borderId="10" xfId="0" applyFont="1" applyBorder="1" applyAlignment="1">
      <alignment vertical="top" wrapText="1"/>
    </xf>
    <xf numFmtId="0" fontId="38" fillId="29" borderId="10" xfId="37" applyFill="1" applyBorder="1"/>
    <xf numFmtId="0" fontId="30" fillId="29" borderId="10" xfId="37" applyFont="1" applyFill="1" applyBorder="1" applyAlignment="1">
      <alignment wrapText="1"/>
    </xf>
    <xf numFmtId="0" fontId="38" fillId="29" borderId="0" xfId="37" applyFill="1"/>
    <xf numFmtId="0" fontId="49" fillId="0" borderId="10" xfId="0" applyFont="1" applyBorder="1" applyAlignment="1">
      <alignment vertical="top" wrapText="1"/>
    </xf>
    <xf numFmtId="0" fontId="48" fillId="0" borderId="10" xfId="37" applyFont="1" applyBorder="1" applyAlignment="1">
      <alignment horizontal="left" vertical="top" wrapText="1"/>
    </xf>
    <xf numFmtId="0" fontId="50" fillId="0" borderId="10" xfId="37" applyFont="1" applyBorder="1" applyAlignment="1">
      <alignment horizontal="left" vertical="top" wrapText="1"/>
    </xf>
    <xf numFmtId="0" fontId="29" fillId="0" borderId="0" xfId="27" applyFont="1" applyAlignment="1">
      <alignment horizontal="right" vertical="center"/>
    </xf>
    <xf numFmtId="0" fontId="31" fillId="0" borderId="0" xfId="27" applyFont="1" applyAlignment="1">
      <alignment horizontal="left" vertical="center"/>
    </xf>
    <xf numFmtId="0" fontId="27" fillId="0" borderId="0" xfId="27" applyFont="1" applyAlignment="1">
      <alignment horizontal="right" vertical="center"/>
    </xf>
    <xf numFmtId="0" fontId="27" fillId="0" borderId="0" xfId="27" applyFont="1" applyAlignment="1">
      <alignment horizontal="left" vertical="center" wrapText="1"/>
    </xf>
    <xf numFmtId="0" fontId="28" fillId="0" borderId="0" xfId="27" applyFont="1" applyAlignment="1">
      <alignment horizontal="right" vertical="center"/>
    </xf>
    <xf numFmtId="0" fontId="28" fillId="0" borderId="0" xfId="27" applyFont="1" applyAlignment="1">
      <alignment horizontal="left" vertical="center" wrapText="1"/>
    </xf>
    <xf numFmtId="164" fontId="7" fillId="23" borderId="14" xfId="27" applyNumberFormat="1" applyFont="1" applyFill="1" applyBorder="1" applyAlignment="1">
      <alignment horizontal="center" vertical="center"/>
    </xf>
    <xf numFmtId="0" fontId="24" fillId="0" borderId="0" xfId="27" applyFont="1" applyAlignment="1">
      <alignment horizontal="center" vertical="center"/>
    </xf>
    <xf numFmtId="0" fontId="25" fillId="0" borderId="0" xfId="27" applyFont="1" applyAlignment="1">
      <alignment horizontal="center" vertical="center"/>
    </xf>
    <xf numFmtId="0" fontId="26" fillId="0" borderId="0" xfId="27" applyFont="1" applyAlignment="1">
      <alignment horizontal="right" vertical="center"/>
    </xf>
    <xf numFmtId="0" fontId="26" fillId="0" borderId="0" xfId="27" applyFont="1" applyAlignment="1">
      <alignment horizontal="left" vertical="center"/>
    </xf>
    <xf numFmtId="0" fontId="35" fillId="23" borderId="11" xfId="38" applyFont="1" applyFill="1" applyBorder="1" applyAlignment="1">
      <alignment horizontal="left" vertical="center"/>
    </xf>
    <xf numFmtId="0" fontId="33" fillId="23" borderId="0" xfId="38" applyFont="1" applyFill="1" applyAlignment="1">
      <alignment vertical="center"/>
    </xf>
    <xf numFmtId="0" fontId="33" fillId="24" borderId="15" xfId="38" applyFont="1" applyFill="1" applyBorder="1" applyAlignment="1">
      <alignment horizontal="center" vertical="center" wrapText="1"/>
    </xf>
    <xf numFmtId="0" fontId="44" fillId="0" borderId="15" xfId="36" applyBorder="1"/>
    <xf numFmtId="49" fontId="4" fillId="24" borderId="12" xfId="37" applyNumberFormat="1" applyFont="1" applyFill="1" applyBorder="1" applyAlignment="1">
      <alignment horizontal="center"/>
    </xf>
    <xf numFmtId="49" fontId="4" fillId="24" borderId="15" xfId="37" applyNumberFormat="1" applyFont="1" applyFill="1" applyBorder="1" applyAlignment="1">
      <alignment horizontal="center"/>
    </xf>
    <xf numFmtId="49" fontId="4" fillId="24" borderId="16" xfId="37" applyNumberFormat="1" applyFont="1" applyFill="1" applyBorder="1" applyAlignment="1">
      <alignment horizontal="center"/>
    </xf>
    <xf numFmtId="0" fontId="38" fillId="0" borderId="10" xfId="37" applyFont="1" applyBorder="1" applyAlignment="1">
      <alignment horizontal="center" wrapText="1"/>
    </xf>
    <xf numFmtId="0" fontId="38" fillId="0" borderId="10" xfId="37" applyBorder="1" applyAlignment="1">
      <alignment horizontal="center" wrapText="1"/>
    </xf>
    <xf numFmtId="0" fontId="40" fillId="0" borderId="10" xfId="37" applyFont="1" applyBorder="1" applyAlignment="1">
      <alignment horizontal="left" wrapText="1"/>
    </xf>
    <xf numFmtId="0" fontId="38" fillId="0" borderId="10" xfId="37" applyFont="1" applyBorder="1" applyAlignment="1">
      <alignment horizontal="left" wrapText="1"/>
    </xf>
    <xf numFmtId="0" fontId="38" fillId="0" borderId="10" xfId="37" applyBorder="1" applyAlignment="1">
      <alignment horizontal="left" wrapText="1"/>
    </xf>
  </cellXfs>
  <cellStyles count="54">
    <cellStyle name="20% - Akzent1" xfId="1" xr:uid="{00000000-0005-0000-0000-000000000000}"/>
    <cellStyle name="20% - Akzent2" xfId="2" xr:uid="{00000000-0005-0000-0000-000001000000}"/>
    <cellStyle name="20% - Akzent3" xfId="3" xr:uid="{00000000-0005-0000-0000-000002000000}"/>
    <cellStyle name="20% - Akzent4" xfId="4" xr:uid="{00000000-0005-0000-0000-000003000000}"/>
    <cellStyle name="20% - Akzent5" xfId="5" xr:uid="{00000000-0005-0000-0000-000004000000}"/>
    <cellStyle name="20% - Akzent6" xfId="6" xr:uid="{00000000-0005-0000-0000-000005000000}"/>
    <cellStyle name="40% - Akzent1" xfId="7" xr:uid="{00000000-0005-0000-0000-000006000000}"/>
    <cellStyle name="40% - Akzent2" xfId="8" xr:uid="{00000000-0005-0000-0000-000007000000}"/>
    <cellStyle name="40% - Akzent3" xfId="9" xr:uid="{00000000-0005-0000-0000-000008000000}"/>
    <cellStyle name="40% - Akzent4" xfId="10" xr:uid="{00000000-0005-0000-0000-000009000000}"/>
    <cellStyle name="40% - Akzent5" xfId="11" xr:uid="{00000000-0005-0000-0000-00000A000000}"/>
    <cellStyle name="40% - Akzent6" xfId="12" xr:uid="{00000000-0005-0000-0000-00000B000000}"/>
    <cellStyle name="60% - Akzent1" xfId="13" xr:uid="{00000000-0005-0000-0000-00000C000000}"/>
    <cellStyle name="60% - Akzent2" xfId="14" xr:uid="{00000000-0005-0000-0000-00000D000000}"/>
    <cellStyle name="60% - Akzent3" xfId="15" xr:uid="{00000000-0005-0000-0000-00000E000000}"/>
    <cellStyle name="60% - Akzent4" xfId="16" xr:uid="{00000000-0005-0000-0000-00000F000000}"/>
    <cellStyle name="60% - Akzent5" xfId="17" xr:uid="{00000000-0005-0000-0000-000010000000}"/>
    <cellStyle name="60% - Akzent6" xfId="18" xr:uid="{00000000-0005-0000-0000-000011000000}"/>
    <cellStyle name="Akzent1" xfId="19" xr:uid="{00000000-0005-0000-0000-000012000000}"/>
    <cellStyle name="Akzent2" xfId="20" xr:uid="{00000000-0005-0000-0000-000013000000}"/>
    <cellStyle name="Akzent3" xfId="21" xr:uid="{00000000-0005-0000-0000-000014000000}"/>
    <cellStyle name="Akzent4" xfId="22" xr:uid="{00000000-0005-0000-0000-000015000000}"/>
    <cellStyle name="Akzent5" xfId="23" xr:uid="{00000000-0005-0000-0000-000016000000}"/>
    <cellStyle name="Akzent6" xfId="24" xr:uid="{00000000-0005-0000-0000-000017000000}"/>
    <cellStyle name="Ausgabe" xfId="25" xr:uid="{00000000-0005-0000-0000-000018000000}"/>
    <cellStyle name="Berechnung" xfId="26" xr:uid="{00000000-0005-0000-0000-000019000000}"/>
    <cellStyle name="Comma_template landscape1" xfId="27" xr:uid="{00000000-0005-0000-0000-00001A000000}"/>
    <cellStyle name="Eingabe" xfId="28" xr:uid="{00000000-0005-0000-0000-00001B000000}"/>
    <cellStyle name="Ergebnis" xfId="29" xr:uid="{00000000-0005-0000-0000-00001C000000}"/>
    <cellStyle name="Erklärender Text" xfId="30" xr:uid="{00000000-0005-0000-0000-00001D000000}"/>
    <cellStyle name="Gut" xfId="31" xr:uid="{00000000-0005-0000-0000-00001E000000}"/>
    <cellStyle name="Hyperlink" xfId="32" builtinId="8"/>
    <cellStyle name="Normal" xfId="0" builtinId="0"/>
    <cellStyle name="Normal 2" xfId="33" xr:uid="{00000000-0005-0000-0000-000021000000}"/>
    <cellStyle name="Normal 2 2" xfId="34" xr:uid="{00000000-0005-0000-0000-000022000000}"/>
    <cellStyle name="Normal 2 3" xfId="51" xr:uid="{342756EC-806B-4EBA-970F-3EBE7CB75AA0}"/>
    <cellStyle name="Normal 3" xfId="35" xr:uid="{00000000-0005-0000-0000-000023000000}"/>
    <cellStyle name="Normal 3 2" xfId="36" xr:uid="{00000000-0005-0000-0000-000024000000}"/>
    <cellStyle name="Normal 3 2 2" xfId="53" xr:uid="{A4864466-F7BE-4F00-BB75-9F0EEAAEB7CE}"/>
    <cellStyle name="Normal 3 3" xfId="52" xr:uid="{D02B48AC-B257-4EB4-B7C1-2E966F47D925}"/>
    <cellStyle name="Normal 4" xfId="37" xr:uid="{00000000-0005-0000-0000-000025000000}"/>
    <cellStyle name="Normal_Analytics_Test Script_CR_XXXX_Template" xfId="38" xr:uid="{00000000-0005-0000-0000-000026000000}"/>
    <cellStyle name="Notiz" xfId="39" xr:uid="{00000000-0005-0000-0000-000027000000}"/>
    <cellStyle name="Schlecht" xfId="40" xr:uid="{00000000-0005-0000-0000-000028000000}"/>
    <cellStyle name="Standard 2" xfId="41" xr:uid="{00000000-0005-0000-0000-000029000000}"/>
    <cellStyle name="Style 1" xfId="42" xr:uid="{00000000-0005-0000-0000-00002A000000}"/>
    <cellStyle name="Überschrift" xfId="43" xr:uid="{00000000-0005-0000-0000-00002B000000}"/>
    <cellStyle name="Überschrift 1" xfId="44" xr:uid="{00000000-0005-0000-0000-00002C000000}"/>
    <cellStyle name="Überschrift 2" xfId="45" xr:uid="{00000000-0005-0000-0000-00002D000000}"/>
    <cellStyle name="Überschrift 3" xfId="46" xr:uid="{00000000-0005-0000-0000-00002E000000}"/>
    <cellStyle name="Überschrift 4" xfId="47" xr:uid="{00000000-0005-0000-0000-00002F000000}"/>
    <cellStyle name="Verknüpfte Zelle" xfId="48" xr:uid="{00000000-0005-0000-0000-000030000000}"/>
    <cellStyle name="Warnender Text" xfId="49" xr:uid="{00000000-0005-0000-0000-000031000000}"/>
    <cellStyle name="Zelle überprüfen" xfId="50" xr:uid="{00000000-0005-0000-0000-00003200000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5</xdr:col>
      <xdr:colOff>488950</xdr:colOff>
      <xdr:row>6</xdr:row>
      <xdr:rowOff>114300</xdr:rowOff>
    </xdr:from>
    <xdr:to>
      <xdr:col>5</xdr:col>
      <xdr:colOff>660400</xdr:colOff>
      <xdr:row>12</xdr:row>
      <xdr:rowOff>82550</xdr:rowOff>
    </xdr:to>
    <xdr:sp macro="" textlink="">
      <xdr:nvSpPr>
        <xdr:cNvPr id="1025" name="Rectangle 7">
          <a:extLst>
            <a:ext uri="{FF2B5EF4-FFF2-40B4-BE49-F238E27FC236}">
              <a16:creationId xmlns:a16="http://schemas.microsoft.com/office/drawing/2014/main" id="{00000000-0008-0000-0000-000001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6" name="Rectangle 10">
          <a:extLst>
            <a:ext uri="{FF2B5EF4-FFF2-40B4-BE49-F238E27FC236}">
              <a16:creationId xmlns:a16="http://schemas.microsoft.com/office/drawing/2014/main" id="{00000000-0008-0000-0000-000002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7" name="Rectangle 13">
          <a:extLst>
            <a:ext uri="{FF2B5EF4-FFF2-40B4-BE49-F238E27FC236}">
              <a16:creationId xmlns:a16="http://schemas.microsoft.com/office/drawing/2014/main" id="{00000000-0008-0000-0000-000003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8" name="Rectangle 16">
          <a:extLst>
            <a:ext uri="{FF2B5EF4-FFF2-40B4-BE49-F238E27FC236}">
              <a16:creationId xmlns:a16="http://schemas.microsoft.com/office/drawing/2014/main" id="{00000000-0008-0000-0000-000004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5</xdr:col>
      <xdr:colOff>488950</xdr:colOff>
      <xdr:row>6</xdr:row>
      <xdr:rowOff>114300</xdr:rowOff>
    </xdr:from>
    <xdr:to>
      <xdr:col>5</xdr:col>
      <xdr:colOff>660400</xdr:colOff>
      <xdr:row>12</xdr:row>
      <xdr:rowOff>82550</xdr:rowOff>
    </xdr:to>
    <xdr:sp macro="" textlink="">
      <xdr:nvSpPr>
        <xdr:cNvPr id="1029" name="Rectangle 19">
          <a:extLst>
            <a:ext uri="{FF2B5EF4-FFF2-40B4-BE49-F238E27FC236}">
              <a16:creationId xmlns:a16="http://schemas.microsoft.com/office/drawing/2014/main" id="{00000000-0008-0000-0000-000005040000}"/>
            </a:ext>
          </a:extLst>
        </xdr:cNvPr>
        <xdr:cNvSpPr>
          <a:spLocks noChangeArrowheads="1"/>
        </xdr:cNvSpPr>
      </xdr:nvSpPr>
      <xdr:spPr bwMode="auto">
        <a:xfrm>
          <a:off x="4235450" y="1073150"/>
          <a:ext cx="171450" cy="901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sp>
    <xdr:clientData/>
  </xdr:twoCellAnchor>
  <xdr:twoCellAnchor editAs="oneCell">
    <xdr:from>
      <xdr:col>0</xdr:col>
      <xdr:colOff>0</xdr:colOff>
      <xdr:row>0</xdr:row>
      <xdr:rowOff>0</xdr:rowOff>
    </xdr:from>
    <xdr:to>
      <xdr:col>18</xdr:col>
      <xdr:colOff>177800</xdr:colOff>
      <xdr:row>10</xdr:row>
      <xdr:rowOff>44450</xdr:rowOff>
    </xdr:to>
    <xdr:pic>
      <xdr:nvPicPr>
        <xdr:cNvPr id="1030" name="Picture 9">
          <a:extLst>
            <a:ext uri="{FF2B5EF4-FFF2-40B4-BE49-F238E27FC236}">
              <a16:creationId xmlns:a16="http://schemas.microsoft.com/office/drawing/2014/main" id="{00000000-0008-0000-0000-000006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0" y="0"/>
          <a:ext cx="13106400" cy="1606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3</xdr:row>
      <xdr:rowOff>0</xdr:rowOff>
    </xdr:from>
    <xdr:to>
      <xdr:col>16</xdr:col>
      <xdr:colOff>434635</xdr:colOff>
      <xdr:row>13</xdr:row>
      <xdr:rowOff>1692</xdr:rowOff>
    </xdr:to>
    <xdr:pic>
      <xdr:nvPicPr>
        <xdr:cNvPr id="2" name="Picture 1">
          <a:extLst>
            <a:ext uri="{FF2B5EF4-FFF2-40B4-BE49-F238E27FC236}">
              <a16:creationId xmlns:a16="http://schemas.microsoft.com/office/drawing/2014/main" id="{85C8F69B-B27B-471C-896A-804F7AE896DE}"/>
            </a:ext>
          </a:extLst>
        </xdr:cNvPr>
        <xdr:cNvPicPr>
          <a:picLocks noChangeAspect="1"/>
        </xdr:cNvPicPr>
      </xdr:nvPicPr>
      <xdr:blipFill>
        <a:blip xmlns:r="http://schemas.openxmlformats.org/officeDocument/2006/relationships" r:embed="rId1"/>
        <a:stretch>
          <a:fillRect/>
        </a:stretch>
      </xdr:blipFill>
      <xdr:spPr>
        <a:xfrm>
          <a:off x="0" y="514350"/>
          <a:ext cx="12876190" cy="1704762"/>
        </a:xfrm>
        <a:prstGeom prst="rect">
          <a:avLst/>
        </a:prstGeom>
      </xdr:spPr>
    </xdr:pic>
    <xdr:clientData/>
  </xdr:twoCellAnchor>
  <xdr:twoCellAnchor editAs="oneCell">
    <xdr:from>
      <xdr:col>0</xdr:col>
      <xdr:colOff>114300</xdr:colOff>
      <xdr:row>18</xdr:row>
      <xdr:rowOff>78105</xdr:rowOff>
    </xdr:from>
    <xdr:to>
      <xdr:col>12</xdr:col>
      <xdr:colOff>401955</xdr:colOff>
      <xdr:row>42</xdr:row>
      <xdr:rowOff>17440</xdr:rowOff>
    </xdr:to>
    <xdr:pic>
      <xdr:nvPicPr>
        <xdr:cNvPr id="4" name="Picture 3">
          <a:extLst>
            <a:ext uri="{FF2B5EF4-FFF2-40B4-BE49-F238E27FC236}">
              <a16:creationId xmlns:a16="http://schemas.microsoft.com/office/drawing/2014/main" id="{0F44174D-0013-41D5-B2F8-6F5236B64AF5}"/>
            </a:ext>
          </a:extLst>
        </xdr:cNvPr>
        <xdr:cNvPicPr>
          <a:picLocks noChangeAspect="1"/>
        </xdr:cNvPicPr>
      </xdr:nvPicPr>
      <xdr:blipFill>
        <a:blip xmlns:r="http://schemas.openxmlformats.org/officeDocument/2006/relationships" r:embed="rId2"/>
        <a:stretch>
          <a:fillRect/>
        </a:stretch>
      </xdr:blipFill>
      <xdr:spPr>
        <a:xfrm>
          <a:off x="114300" y="3164205"/>
          <a:ext cx="10226040" cy="4057945"/>
        </a:xfrm>
        <a:prstGeom prst="rect">
          <a:avLst/>
        </a:prstGeom>
      </xdr:spPr>
    </xdr:pic>
    <xdr:clientData/>
  </xdr:twoCellAnchor>
  <xdr:twoCellAnchor editAs="oneCell">
    <xdr:from>
      <xdr:col>0</xdr:col>
      <xdr:colOff>201930</xdr:colOff>
      <xdr:row>45</xdr:row>
      <xdr:rowOff>81915</xdr:rowOff>
    </xdr:from>
    <xdr:to>
      <xdr:col>9</xdr:col>
      <xdr:colOff>170446</xdr:colOff>
      <xdr:row>59</xdr:row>
      <xdr:rowOff>16854</xdr:rowOff>
    </xdr:to>
    <xdr:pic>
      <xdr:nvPicPr>
        <xdr:cNvPr id="6" name="Picture 5">
          <a:extLst>
            <a:ext uri="{FF2B5EF4-FFF2-40B4-BE49-F238E27FC236}">
              <a16:creationId xmlns:a16="http://schemas.microsoft.com/office/drawing/2014/main" id="{E9D7D393-832C-4AA6-8114-112A783FF142}"/>
            </a:ext>
          </a:extLst>
        </xdr:cNvPr>
        <xdr:cNvPicPr>
          <a:picLocks noChangeAspect="1"/>
        </xdr:cNvPicPr>
      </xdr:nvPicPr>
      <xdr:blipFill>
        <a:blip xmlns:r="http://schemas.openxmlformats.org/officeDocument/2006/relationships" r:embed="rId3"/>
        <a:stretch>
          <a:fillRect/>
        </a:stretch>
      </xdr:blipFill>
      <xdr:spPr>
        <a:xfrm>
          <a:off x="201930" y="7797165"/>
          <a:ext cx="8020951" cy="2327619"/>
        </a:xfrm>
        <a:prstGeom prst="rect">
          <a:avLst/>
        </a:prstGeom>
      </xdr:spPr>
    </xdr:pic>
    <xdr:clientData/>
  </xdr:twoCellAnchor>
  <xdr:twoCellAnchor editAs="oneCell">
    <xdr:from>
      <xdr:col>0</xdr:col>
      <xdr:colOff>0</xdr:colOff>
      <xdr:row>63</xdr:row>
      <xdr:rowOff>152400</xdr:rowOff>
    </xdr:from>
    <xdr:to>
      <xdr:col>9</xdr:col>
      <xdr:colOff>130423</xdr:colOff>
      <xdr:row>70</xdr:row>
      <xdr:rowOff>117965</xdr:rowOff>
    </xdr:to>
    <xdr:pic>
      <xdr:nvPicPr>
        <xdr:cNvPr id="10" name="Picture 9">
          <a:extLst>
            <a:ext uri="{FF2B5EF4-FFF2-40B4-BE49-F238E27FC236}">
              <a16:creationId xmlns:a16="http://schemas.microsoft.com/office/drawing/2014/main" id="{19037643-2B08-4FB3-97F6-BBC45B131F0B}"/>
            </a:ext>
          </a:extLst>
        </xdr:cNvPr>
        <xdr:cNvPicPr>
          <a:picLocks noChangeAspect="1"/>
        </xdr:cNvPicPr>
      </xdr:nvPicPr>
      <xdr:blipFill>
        <a:blip xmlns:r="http://schemas.openxmlformats.org/officeDocument/2006/relationships" r:embed="rId4"/>
        <a:stretch>
          <a:fillRect/>
        </a:stretch>
      </xdr:blipFill>
      <xdr:spPr>
        <a:xfrm>
          <a:off x="0" y="10953750"/>
          <a:ext cx="8175238" cy="1165715"/>
        </a:xfrm>
        <a:prstGeom prst="rect">
          <a:avLst/>
        </a:prstGeom>
      </xdr:spPr>
    </xdr:pic>
    <xdr:clientData/>
  </xdr:twoCellAnchor>
  <xdr:twoCellAnchor editAs="oneCell">
    <xdr:from>
      <xdr:col>0</xdr:col>
      <xdr:colOff>57150</xdr:colOff>
      <xdr:row>71</xdr:row>
      <xdr:rowOff>38100</xdr:rowOff>
    </xdr:from>
    <xdr:to>
      <xdr:col>5</xdr:col>
      <xdr:colOff>56458</xdr:colOff>
      <xdr:row>78</xdr:row>
      <xdr:rowOff>3665</xdr:rowOff>
    </xdr:to>
    <xdr:pic>
      <xdr:nvPicPr>
        <xdr:cNvPr id="11" name="Picture 10">
          <a:extLst>
            <a:ext uri="{FF2B5EF4-FFF2-40B4-BE49-F238E27FC236}">
              <a16:creationId xmlns:a16="http://schemas.microsoft.com/office/drawing/2014/main" id="{FDC8B29F-8903-4422-8822-45381BC3DD86}"/>
            </a:ext>
          </a:extLst>
        </xdr:cNvPr>
        <xdr:cNvPicPr>
          <a:picLocks noChangeAspect="1"/>
        </xdr:cNvPicPr>
      </xdr:nvPicPr>
      <xdr:blipFill>
        <a:blip xmlns:r="http://schemas.openxmlformats.org/officeDocument/2006/relationships" r:embed="rId5"/>
        <a:stretch>
          <a:fillRect/>
        </a:stretch>
      </xdr:blipFill>
      <xdr:spPr>
        <a:xfrm>
          <a:off x="57150" y="12211050"/>
          <a:ext cx="5537143" cy="1165715"/>
        </a:xfrm>
        <a:prstGeom prst="rect">
          <a:avLst/>
        </a:prstGeom>
      </xdr:spPr>
    </xdr:pic>
    <xdr:clientData/>
  </xdr:twoCellAnchor>
  <xdr:twoCellAnchor editAs="oneCell">
    <xdr:from>
      <xdr:col>0</xdr:col>
      <xdr:colOff>0</xdr:colOff>
      <xdr:row>98</xdr:row>
      <xdr:rowOff>43816</xdr:rowOff>
    </xdr:from>
    <xdr:to>
      <xdr:col>9</xdr:col>
      <xdr:colOff>114300</xdr:colOff>
      <xdr:row>121</xdr:row>
      <xdr:rowOff>89394</xdr:rowOff>
    </xdr:to>
    <xdr:pic>
      <xdr:nvPicPr>
        <xdr:cNvPr id="12" name="Picture 11">
          <a:extLst>
            <a:ext uri="{FF2B5EF4-FFF2-40B4-BE49-F238E27FC236}">
              <a16:creationId xmlns:a16="http://schemas.microsoft.com/office/drawing/2014/main" id="{60FDBB95-5A79-4ED7-9294-29B2CD75F369}"/>
            </a:ext>
          </a:extLst>
        </xdr:cNvPr>
        <xdr:cNvPicPr>
          <a:picLocks noChangeAspect="1"/>
        </xdr:cNvPicPr>
      </xdr:nvPicPr>
      <xdr:blipFill>
        <a:blip xmlns:r="http://schemas.openxmlformats.org/officeDocument/2006/relationships" r:embed="rId6"/>
        <a:stretch>
          <a:fillRect/>
        </a:stretch>
      </xdr:blipFill>
      <xdr:spPr>
        <a:xfrm>
          <a:off x="0" y="16845916"/>
          <a:ext cx="8162925" cy="3988928"/>
        </a:xfrm>
        <a:prstGeom prst="rect">
          <a:avLst/>
        </a:prstGeom>
      </xdr:spPr>
    </xdr:pic>
    <xdr:clientData/>
  </xdr:twoCellAnchor>
  <xdr:twoCellAnchor editAs="oneCell">
    <xdr:from>
      <xdr:col>0</xdr:col>
      <xdr:colOff>28575</xdr:colOff>
      <xdr:row>81</xdr:row>
      <xdr:rowOff>95250</xdr:rowOff>
    </xdr:from>
    <xdr:to>
      <xdr:col>8</xdr:col>
      <xdr:colOff>553362</xdr:colOff>
      <xdr:row>92</xdr:row>
      <xdr:rowOff>123586</xdr:rowOff>
    </xdr:to>
    <xdr:pic>
      <xdr:nvPicPr>
        <xdr:cNvPr id="14" name="Picture 13">
          <a:extLst>
            <a:ext uri="{FF2B5EF4-FFF2-40B4-BE49-F238E27FC236}">
              <a16:creationId xmlns:a16="http://schemas.microsoft.com/office/drawing/2014/main" id="{F2971B76-E764-48EF-8EFB-566B611D7DF9}"/>
            </a:ext>
          </a:extLst>
        </xdr:cNvPr>
        <xdr:cNvPicPr>
          <a:picLocks noChangeAspect="1"/>
        </xdr:cNvPicPr>
      </xdr:nvPicPr>
      <xdr:blipFill>
        <a:blip xmlns:r="http://schemas.openxmlformats.org/officeDocument/2006/relationships" r:embed="rId7"/>
        <a:stretch>
          <a:fillRect/>
        </a:stretch>
      </xdr:blipFill>
      <xdr:spPr>
        <a:xfrm>
          <a:off x="28575" y="13982700"/>
          <a:ext cx="7940952" cy="1912381"/>
        </a:xfrm>
        <a:prstGeom prst="rect">
          <a:avLst/>
        </a:prstGeom>
      </xdr:spPr>
    </xdr:pic>
    <xdr:clientData/>
  </xdr:twoCellAnchor>
  <xdr:twoCellAnchor editAs="oneCell">
    <xdr:from>
      <xdr:col>0</xdr:col>
      <xdr:colOff>0</xdr:colOff>
      <xdr:row>124</xdr:row>
      <xdr:rowOff>57150</xdr:rowOff>
    </xdr:from>
    <xdr:to>
      <xdr:col>3</xdr:col>
      <xdr:colOff>60418</xdr:colOff>
      <xdr:row>134</xdr:row>
      <xdr:rowOff>95031</xdr:rowOff>
    </xdr:to>
    <xdr:pic>
      <xdr:nvPicPr>
        <xdr:cNvPr id="15" name="Picture 14">
          <a:extLst>
            <a:ext uri="{FF2B5EF4-FFF2-40B4-BE49-F238E27FC236}">
              <a16:creationId xmlns:a16="http://schemas.microsoft.com/office/drawing/2014/main" id="{5BC9900C-01BC-4CA2-AFDF-163FD85B2A3E}"/>
            </a:ext>
          </a:extLst>
        </xdr:cNvPr>
        <xdr:cNvPicPr>
          <a:picLocks noChangeAspect="1"/>
        </xdr:cNvPicPr>
      </xdr:nvPicPr>
      <xdr:blipFill>
        <a:blip xmlns:r="http://schemas.openxmlformats.org/officeDocument/2006/relationships" r:embed="rId8"/>
        <a:stretch>
          <a:fillRect/>
        </a:stretch>
      </xdr:blipFill>
      <xdr:spPr>
        <a:xfrm>
          <a:off x="0" y="21316950"/>
          <a:ext cx="4337143" cy="1752381"/>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7">
    <pageSetUpPr fitToPage="1"/>
  </sheetPr>
  <dimension ref="A1:S37"/>
  <sheetViews>
    <sheetView showGridLines="0" zoomScale="66" workbookViewId="0">
      <selection activeCell="Q28" sqref="Q28"/>
    </sheetView>
  </sheetViews>
  <sheetFormatPr defaultColWidth="9.109375" defaultRowHeight="13.2" x14ac:dyDescent="0.25"/>
  <cols>
    <col min="1" max="9" width="10.6640625" style="12" customWidth="1"/>
    <col min="10" max="10" width="2.6640625" style="12" customWidth="1"/>
    <col min="11" max="19" width="10.6640625" style="12" customWidth="1"/>
    <col min="20" max="16384" width="9.109375" style="12"/>
  </cols>
  <sheetData>
    <row r="1" spans="1:19" s="11" customFormat="1" ht="13.8" x14ac:dyDescent="0.25">
      <c r="A1" s="9"/>
      <c r="B1" s="10"/>
      <c r="C1" s="10"/>
      <c r="D1" s="10"/>
      <c r="E1" s="10"/>
      <c r="F1" s="10"/>
      <c r="G1" s="10"/>
      <c r="H1" s="10"/>
      <c r="I1" s="10"/>
      <c r="J1" s="10"/>
      <c r="K1" s="10"/>
      <c r="L1" s="10"/>
      <c r="M1" s="10"/>
      <c r="N1" s="10"/>
      <c r="O1" s="10"/>
      <c r="P1" s="10"/>
      <c r="Q1" s="10"/>
      <c r="R1" s="10"/>
      <c r="S1" s="10"/>
    </row>
    <row r="2" spans="1:19" s="11" customFormat="1" x14ac:dyDescent="0.25">
      <c r="A2" s="10"/>
      <c r="B2" s="10"/>
      <c r="C2" s="10"/>
      <c r="D2" s="10"/>
      <c r="E2" s="10"/>
      <c r="F2" s="10"/>
      <c r="G2" s="10"/>
      <c r="H2" s="10"/>
      <c r="I2" s="10"/>
      <c r="J2" s="10"/>
      <c r="K2" s="10"/>
      <c r="L2" s="10"/>
      <c r="M2" s="10"/>
      <c r="N2" s="10"/>
      <c r="O2" s="10"/>
      <c r="P2" s="10"/>
      <c r="Q2" s="10"/>
      <c r="R2" s="10"/>
      <c r="S2" s="10"/>
    </row>
    <row r="3" spans="1:19" s="11" customFormat="1" x14ac:dyDescent="0.25">
      <c r="A3" s="10"/>
      <c r="B3" s="10"/>
      <c r="C3" s="10"/>
      <c r="D3" s="10"/>
      <c r="E3" s="10"/>
      <c r="F3" s="10"/>
      <c r="G3" s="10"/>
      <c r="H3" s="10"/>
      <c r="I3" s="10"/>
      <c r="J3" s="10"/>
      <c r="K3" s="10"/>
      <c r="L3" s="10"/>
      <c r="M3" s="10"/>
      <c r="N3" s="10"/>
      <c r="O3" s="10"/>
      <c r="P3" s="10"/>
      <c r="Q3" s="10"/>
      <c r="R3" s="10"/>
      <c r="S3" s="10"/>
    </row>
    <row r="4" spans="1:19" s="11" customFormat="1" x14ac:dyDescent="0.25">
      <c r="A4" s="10"/>
      <c r="B4" s="10"/>
      <c r="C4" s="10"/>
      <c r="D4" s="10"/>
      <c r="E4" s="10"/>
      <c r="F4" s="10"/>
      <c r="G4" s="10"/>
      <c r="H4" s="10"/>
      <c r="I4" s="10"/>
      <c r="J4" s="10"/>
      <c r="K4" s="10"/>
      <c r="L4" s="10"/>
      <c r="M4" s="10"/>
      <c r="N4" s="10"/>
      <c r="O4" s="10"/>
      <c r="P4" s="10"/>
      <c r="Q4" s="10"/>
      <c r="R4" s="10"/>
      <c r="S4" s="10"/>
    </row>
    <row r="5" spans="1:19" s="11" customFormat="1" x14ac:dyDescent="0.25">
      <c r="A5" s="10"/>
      <c r="B5" s="10"/>
      <c r="C5" s="10"/>
      <c r="D5" s="10"/>
      <c r="E5" s="10"/>
      <c r="F5" s="10"/>
      <c r="G5" s="10"/>
      <c r="H5" s="10"/>
      <c r="I5" s="10"/>
      <c r="J5" s="10"/>
      <c r="K5" s="10"/>
      <c r="L5" s="10"/>
      <c r="M5" s="10"/>
      <c r="N5" s="10"/>
      <c r="O5" s="10"/>
      <c r="P5" s="10"/>
      <c r="Q5" s="10"/>
      <c r="R5" s="10"/>
      <c r="S5" s="10"/>
    </row>
    <row r="6" spans="1:19" x14ac:dyDescent="0.25">
      <c r="A6" s="10"/>
      <c r="B6" s="10"/>
      <c r="C6" s="10"/>
      <c r="D6" s="10"/>
      <c r="E6" s="10"/>
      <c r="F6" s="10"/>
      <c r="G6" s="10"/>
      <c r="H6" s="10"/>
      <c r="I6" s="10"/>
      <c r="J6" s="10"/>
      <c r="K6" s="10"/>
      <c r="L6" s="10"/>
      <c r="M6" s="10"/>
      <c r="N6" s="10"/>
      <c r="O6" s="10"/>
      <c r="P6" s="10"/>
      <c r="Q6" s="10"/>
      <c r="R6" s="10"/>
      <c r="S6" s="10"/>
    </row>
    <row r="7" spans="1:19" ht="12.75" customHeight="1" x14ac:dyDescent="0.25">
      <c r="A7" s="10"/>
      <c r="B7" s="10"/>
      <c r="C7" s="10"/>
      <c r="D7" s="10"/>
      <c r="E7" s="10"/>
      <c r="F7" s="10"/>
      <c r="G7" s="10"/>
      <c r="H7" s="10"/>
      <c r="I7" s="10"/>
      <c r="J7" s="10"/>
      <c r="K7" s="10"/>
      <c r="L7" s="10"/>
      <c r="M7" s="10"/>
      <c r="N7" s="10"/>
      <c r="O7" s="10"/>
      <c r="P7" s="10"/>
      <c r="Q7" s="10"/>
      <c r="R7" s="10"/>
      <c r="S7" s="10"/>
    </row>
    <row r="8" spans="1:19" ht="9.75" customHeight="1" x14ac:dyDescent="0.25">
      <c r="A8" s="10"/>
      <c r="B8" s="10"/>
      <c r="C8" s="10"/>
      <c r="D8" s="10"/>
      <c r="E8" s="10"/>
      <c r="F8" s="10"/>
      <c r="G8" s="10"/>
      <c r="H8" s="10"/>
      <c r="I8" s="10"/>
      <c r="J8" s="10"/>
      <c r="K8" s="10"/>
      <c r="L8" s="10"/>
      <c r="M8" s="10"/>
      <c r="N8" s="10"/>
      <c r="O8" s="10"/>
      <c r="P8" s="10"/>
      <c r="Q8" s="10"/>
      <c r="R8" s="10"/>
      <c r="S8" s="10"/>
    </row>
    <row r="9" spans="1:19" x14ac:dyDescent="0.25">
      <c r="A9" s="10"/>
      <c r="B9" s="10"/>
      <c r="C9" s="10"/>
      <c r="D9" s="10"/>
      <c r="E9" s="10"/>
      <c r="F9" s="10"/>
      <c r="G9" s="10"/>
      <c r="H9" s="10"/>
      <c r="I9" s="10"/>
      <c r="J9" s="10"/>
      <c r="K9" s="10"/>
      <c r="L9" s="10"/>
      <c r="M9" s="10"/>
      <c r="N9" s="10"/>
      <c r="O9" s="10"/>
      <c r="P9" s="10"/>
      <c r="Q9" s="10"/>
      <c r="R9" s="10"/>
      <c r="S9" s="10"/>
    </row>
    <row r="10" spans="1:19" ht="13.8" x14ac:dyDescent="0.25">
      <c r="A10" s="9"/>
      <c r="B10" s="9"/>
      <c r="C10" s="9"/>
      <c r="D10" s="9"/>
      <c r="E10" s="9"/>
      <c r="F10" s="9"/>
      <c r="G10" s="9"/>
      <c r="H10" s="9"/>
      <c r="I10" s="9"/>
      <c r="J10" s="9"/>
      <c r="K10" s="9"/>
      <c r="L10" s="9"/>
      <c r="M10" s="10"/>
      <c r="N10" s="10"/>
      <c r="O10" s="10"/>
      <c r="P10" s="10"/>
      <c r="Q10" s="10"/>
      <c r="R10" s="10"/>
      <c r="S10" s="10"/>
    </row>
    <row r="11" spans="1:19" ht="13.8" x14ac:dyDescent="0.25">
      <c r="A11" s="9"/>
      <c r="B11" s="9"/>
      <c r="C11" s="9"/>
      <c r="D11" s="9"/>
      <c r="E11" s="9"/>
      <c r="F11" s="9"/>
      <c r="G11" s="9"/>
      <c r="H11" s="9"/>
      <c r="I11" s="9"/>
      <c r="J11" s="9"/>
      <c r="K11" s="9"/>
      <c r="L11" s="9"/>
      <c r="M11" s="10"/>
      <c r="N11" s="10"/>
      <c r="O11" s="10"/>
      <c r="P11" s="10"/>
      <c r="Q11" s="10"/>
      <c r="R11" s="10"/>
      <c r="S11" s="10"/>
    </row>
    <row r="12" spans="1:19" ht="13.8" x14ac:dyDescent="0.25">
      <c r="A12" s="9"/>
      <c r="B12" s="9"/>
      <c r="C12" s="9"/>
      <c r="D12" s="9"/>
      <c r="E12" s="9"/>
      <c r="F12" s="9"/>
      <c r="G12" s="9"/>
      <c r="H12" s="9"/>
      <c r="I12" s="9"/>
      <c r="J12" s="9"/>
      <c r="K12" s="9"/>
      <c r="L12" s="9"/>
      <c r="M12" s="10"/>
      <c r="N12" s="10"/>
      <c r="O12" s="10"/>
      <c r="P12" s="10"/>
      <c r="Q12" s="10"/>
      <c r="R12" s="10"/>
      <c r="S12" s="10"/>
    </row>
    <row r="13" spans="1:19" ht="30.6" thickBot="1" x14ac:dyDescent="0.3">
      <c r="A13" s="95" t="s">
        <v>2</v>
      </c>
      <c r="B13" s="95"/>
      <c r="C13" s="95"/>
      <c r="D13" s="95"/>
      <c r="E13" s="95"/>
      <c r="F13" s="95"/>
      <c r="G13" s="95"/>
      <c r="H13" s="95"/>
      <c r="I13" s="95"/>
      <c r="J13" s="95"/>
      <c r="K13" s="95"/>
      <c r="L13" s="95"/>
      <c r="M13" s="95"/>
      <c r="N13" s="95"/>
      <c r="O13" s="95"/>
      <c r="P13" s="95"/>
      <c r="Q13" s="95"/>
      <c r="R13" s="95"/>
      <c r="S13" s="95"/>
    </row>
    <row r="14" spans="1:19" ht="14.4" thickTop="1" x14ac:dyDescent="0.25">
      <c r="A14" s="9"/>
      <c r="B14" s="9"/>
      <c r="C14" s="9"/>
      <c r="D14" s="9"/>
      <c r="E14" s="9"/>
      <c r="F14" s="9"/>
      <c r="G14" s="9"/>
      <c r="H14" s="9"/>
      <c r="I14" s="9"/>
      <c r="J14" s="9"/>
      <c r="K14" s="9"/>
      <c r="L14" s="9"/>
      <c r="M14" s="10"/>
      <c r="N14" s="10"/>
      <c r="O14" s="10"/>
      <c r="P14" s="10"/>
      <c r="Q14" s="10"/>
      <c r="R14" s="10"/>
      <c r="S14" s="10"/>
    </row>
    <row r="15" spans="1:19" ht="13.8" x14ac:dyDescent="0.25">
      <c r="A15" s="9"/>
      <c r="B15" s="9"/>
      <c r="C15" s="9"/>
      <c r="D15" s="9"/>
      <c r="E15" s="9"/>
      <c r="F15" s="9"/>
      <c r="G15" s="9"/>
      <c r="H15" s="9"/>
      <c r="I15" s="9"/>
      <c r="J15" s="9"/>
      <c r="K15" s="9"/>
      <c r="L15" s="9"/>
      <c r="M15" s="10"/>
      <c r="N15" s="10"/>
      <c r="O15" s="10"/>
      <c r="P15" s="10"/>
      <c r="Q15" s="10"/>
      <c r="R15" s="13"/>
      <c r="S15" s="13"/>
    </row>
    <row r="16" spans="1:19" ht="13.8" x14ac:dyDescent="0.25">
      <c r="A16" s="14"/>
      <c r="B16" s="14"/>
      <c r="C16" s="14"/>
      <c r="D16" s="14"/>
      <c r="E16" s="14"/>
      <c r="F16" s="14"/>
      <c r="G16" s="14"/>
      <c r="H16" s="14"/>
      <c r="I16" s="14"/>
      <c r="J16" s="14"/>
      <c r="K16" s="14"/>
      <c r="L16" s="14"/>
      <c r="M16" s="13"/>
      <c r="N16" s="13"/>
      <c r="O16" s="13"/>
      <c r="P16" s="13"/>
      <c r="Q16" s="13"/>
      <c r="R16" s="13"/>
      <c r="S16" s="13"/>
    </row>
    <row r="17" spans="1:19" ht="13.8" x14ac:dyDescent="0.25">
      <c r="A17" s="14"/>
      <c r="B17" s="14"/>
      <c r="C17" s="14"/>
      <c r="D17" s="14"/>
      <c r="E17" s="14"/>
      <c r="F17" s="14"/>
      <c r="G17" s="14"/>
      <c r="H17" s="14"/>
      <c r="I17" s="14"/>
      <c r="J17" s="14"/>
      <c r="K17" s="14"/>
      <c r="L17" s="14"/>
      <c r="M17" s="13"/>
      <c r="N17" s="13"/>
      <c r="O17" s="13"/>
      <c r="P17" s="13"/>
      <c r="Q17" s="13"/>
      <c r="R17" s="13"/>
      <c r="S17" s="13"/>
    </row>
    <row r="18" spans="1:19" s="15" customFormat="1" ht="30.75" customHeight="1" x14ac:dyDescent="0.25">
      <c r="A18" s="96" t="s">
        <v>17</v>
      </c>
      <c r="B18" s="96"/>
      <c r="C18" s="96"/>
      <c r="D18" s="96"/>
      <c r="E18" s="96"/>
      <c r="F18" s="96"/>
      <c r="G18" s="96"/>
      <c r="H18" s="96"/>
      <c r="I18" s="96"/>
      <c r="J18" s="96"/>
      <c r="K18" s="96"/>
      <c r="L18" s="96"/>
      <c r="M18" s="96"/>
      <c r="N18" s="96"/>
      <c r="O18" s="96"/>
      <c r="P18" s="96"/>
      <c r="Q18" s="96"/>
      <c r="R18" s="96"/>
      <c r="S18" s="96"/>
    </row>
    <row r="19" spans="1:19" s="15" customFormat="1" ht="40.65" customHeight="1" x14ac:dyDescent="0.25">
      <c r="A19" s="97" t="s">
        <v>1</v>
      </c>
      <c r="B19" s="97"/>
      <c r="C19" s="97"/>
      <c r="D19" s="97"/>
      <c r="E19" s="97"/>
      <c r="F19" s="97"/>
      <c r="G19" s="97"/>
      <c r="H19" s="97"/>
      <c r="I19" s="97"/>
      <c r="J19" s="97"/>
      <c r="K19" s="97"/>
      <c r="L19" s="97"/>
      <c r="M19" s="97"/>
      <c r="N19" s="97"/>
      <c r="O19" s="97"/>
      <c r="P19" s="97"/>
      <c r="Q19" s="97"/>
      <c r="R19" s="97"/>
      <c r="S19" s="97"/>
    </row>
    <row r="20" spans="1:19" s="15" customFormat="1" ht="13.8" x14ac:dyDescent="0.25">
      <c r="A20" s="16"/>
      <c r="B20" s="16"/>
      <c r="C20" s="16"/>
      <c r="D20" s="16"/>
      <c r="E20" s="16"/>
      <c r="F20" s="16"/>
      <c r="G20" s="16"/>
      <c r="H20" s="16"/>
      <c r="I20" s="16"/>
      <c r="J20" s="16"/>
    </row>
    <row r="21" spans="1:19" s="15" customFormat="1" ht="58.65" customHeight="1" x14ac:dyDescent="0.25">
      <c r="A21" s="98" t="s">
        <v>73</v>
      </c>
      <c r="B21" s="98"/>
      <c r="C21" s="98"/>
      <c r="D21" s="98"/>
      <c r="E21" s="98"/>
      <c r="F21" s="98"/>
      <c r="G21" s="98"/>
      <c r="H21" s="98"/>
      <c r="I21" s="98"/>
      <c r="J21" s="6"/>
      <c r="K21" s="99" t="s">
        <v>89</v>
      </c>
      <c r="L21" s="99"/>
      <c r="M21" s="99"/>
      <c r="N21" s="99"/>
      <c r="O21" s="99"/>
      <c r="P21" s="99"/>
      <c r="Q21" s="99"/>
      <c r="R21" s="99"/>
      <c r="S21" s="99"/>
    </row>
    <row r="22" spans="1:19" s="15" customFormat="1" ht="13.8" x14ac:dyDescent="0.25">
      <c r="A22" s="16"/>
      <c r="B22" s="16"/>
      <c r="C22" s="16"/>
      <c r="D22" s="16"/>
      <c r="E22" s="16"/>
      <c r="F22" s="16"/>
      <c r="G22" s="16"/>
      <c r="H22" s="16"/>
      <c r="I22" s="16"/>
      <c r="J22" s="16"/>
    </row>
    <row r="23" spans="1:19" s="15" customFormat="1" ht="70.2" customHeight="1" x14ac:dyDescent="0.25">
      <c r="A23" s="91" t="s">
        <v>18</v>
      </c>
      <c r="B23" s="91"/>
      <c r="C23" s="91"/>
      <c r="D23" s="91"/>
      <c r="E23" s="91"/>
      <c r="F23" s="91"/>
      <c r="G23" s="91"/>
      <c r="H23" s="91"/>
      <c r="I23" s="91"/>
      <c r="J23" s="7"/>
      <c r="K23" s="92" t="s">
        <v>102</v>
      </c>
      <c r="L23" s="92"/>
      <c r="M23" s="92"/>
      <c r="N23" s="92"/>
      <c r="O23" s="92"/>
      <c r="P23" s="92"/>
      <c r="Q23" s="92"/>
      <c r="R23" s="92"/>
      <c r="S23" s="92"/>
    </row>
    <row r="24" spans="1:19" s="15" customFormat="1" ht="13.8" x14ac:dyDescent="0.25">
      <c r="A24" s="16"/>
      <c r="B24" s="16"/>
      <c r="C24" s="16"/>
      <c r="D24" s="16"/>
      <c r="E24" s="16"/>
      <c r="F24" s="16"/>
      <c r="G24" s="16"/>
      <c r="H24" s="16"/>
      <c r="I24" s="16"/>
      <c r="J24" s="16"/>
    </row>
    <row r="25" spans="1:19" s="15" customFormat="1" ht="70.2" customHeight="1" x14ac:dyDescent="0.25">
      <c r="A25" s="93" t="s">
        <v>3</v>
      </c>
      <c r="B25" s="93"/>
      <c r="C25" s="93"/>
      <c r="D25" s="93"/>
      <c r="E25" s="93"/>
      <c r="F25" s="93"/>
      <c r="G25" s="93"/>
      <c r="H25" s="93"/>
      <c r="I25" s="93"/>
      <c r="J25" s="7"/>
      <c r="K25" s="94" t="s">
        <v>88</v>
      </c>
      <c r="L25" s="94"/>
      <c r="M25" s="94"/>
      <c r="N25" s="94"/>
      <c r="O25" s="94"/>
      <c r="P25" s="94"/>
      <c r="Q25" s="94"/>
      <c r="R25" s="94"/>
      <c r="S25" s="94"/>
    </row>
    <row r="26" spans="1:19" s="15" customFormat="1" ht="13.8" x14ac:dyDescent="0.25">
      <c r="A26" s="16"/>
      <c r="B26" s="16"/>
      <c r="C26" s="16"/>
      <c r="D26" s="16"/>
      <c r="E26" s="16"/>
      <c r="F26" s="16"/>
      <c r="G26" s="16"/>
      <c r="H26" s="16"/>
      <c r="I26" s="16"/>
      <c r="J26" s="16"/>
    </row>
    <row r="27" spans="1:19" ht="27" customHeight="1" x14ac:dyDescent="0.25">
      <c r="A27" s="89" t="s">
        <v>13</v>
      </c>
      <c r="B27" s="89"/>
      <c r="C27" s="89"/>
      <c r="D27" s="89"/>
      <c r="E27" s="89"/>
      <c r="F27" s="89"/>
      <c r="G27" s="89"/>
      <c r="H27" s="89"/>
      <c r="I27" s="89"/>
      <c r="K27" s="90" t="s">
        <v>19</v>
      </c>
      <c r="L27" s="90"/>
      <c r="M27" s="90"/>
      <c r="N27" s="90"/>
      <c r="O27" s="90"/>
      <c r="P27" s="90"/>
      <c r="Q27" s="90"/>
      <c r="R27" s="90"/>
      <c r="S27" s="90"/>
    </row>
    <row r="28" spans="1:19" ht="27" customHeight="1" x14ac:dyDescent="0.25">
      <c r="A28" s="89"/>
      <c r="B28" s="89"/>
      <c r="C28" s="89"/>
      <c r="D28" s="89"/>
      <c r="E28" s="89"/>
      <c r="F28" s="89"/>
      <c r="G28" s="89"/>
      <c r="H28" s="89"/>
      <c r="I28" s="89"/>
      <c r="K28" s="90"/>
      <c r="L28" s="90"/>
      <c r="M28" s="90"/>
      <c r="N28" s="90"/>
      <c r="O28" s="17"/>
      <c r="P28" s="17"/>
      <c r="Q28" s="17"/>
      <c r="R28" s="17"/>
      <c r="S28" s="17"/>
    </row>
    <row r="29" spans="1:19" ht="27" customHeight="1" x14ac:dyDescent="0.25">
      <c r="A29" s="89"/>
      <c r="B29" s="89"/>
      <c r="C29" s="89"/>
      <c r="D29" s="89"/>
      <c r="E29" s="89"/>
      <c r="F29" s="89"/>
      <c r="G29" s="89"/>
      <c r="H29" s="89"/>
      <c r="I29" s="89"/>
      <c r="K29" s="90"/>
      <c r="L29" s="90"/>
      <c r="M29" s="90"/>
      <c r="N29" s="90"/>
      <c r="O29" s="90"/>
      <c r="P29" s="90"/>
      <c r="Q29" s="90"/>
      <c r="R29" s="90"/>
      <c r="S29" s="90"/>
    </row>
    <row r="30" spans="1:19" s="15" customFormat="1" ht="30.6" x14ac:dyDescent="0.25">
      <c r="A30" s="8"/>
      <c r="B30" s="18"/>
      <c r="C30" s="18"/>
      <c r="D30" s="18"/>
      <c r="E30" s="18"/>
      <c r="F30" s="18"/>
      <c r="G30" s="18"/>
      <c r="H30" s="18"/>
      <c r="I30" s="18"/>
      <c r="J30" s="18"/>
      <c r="K30" s="18"/>
      <c r="L30" s="18"/>
      <c r="M30" s="18"/>
      <c r="N30" s="18"/>
      <c r="O30" s="18"/>
      <c r="P30" s="18"/>
      <c r="Q30" s="18"/>
    </row>
    <row r="31" spans="1:19" x14ac:dyDescent="0.25">
      <c r="A31" s="10"/>
      <c r="B31" s="10"/>
      <c r="C31" s="10"/>
      <c r="D31" s="10"/>
      <c r="E31" s="10"/>
      <c r="F31" s="10"/>
      <c r="G31" s="10"/>
      <c r="H31" s="10"/>
      <c r="I31" s="10"/>
      <c r="J31" s="10"/>
      <c r="K31" s="10"/>
      <c r="L31" s="10"/>
      <c r="M31" s="10"/>
      <c r="N31" s="10"/>
      <c r="O31" s="10"/>
      <c r="P31" s="10"/>
      <c r="Q31" s="10"/>
      <c r="R31" s="10"/>
      <c r="S31" s="10"/>
    </row>
    <row r="32" spans="1:19" x14ac:dyDescent="0.25">
      <c r="A32" s="10"/>
      <c r="B32" s="10"/>
      <c r="C32" s="10"/>
      <c r="D32" s="10"/>
      <c r="E32" s="10"/>
      <c r="F32" s="10"/>
      <c r="G32" s="10"/>
      <c r="H32" s="10"/>
      <c r="I32" s="10"/>
      <c r="J32" s="10"/>
      <c r="K32" s="10"/>
      <c r="L32" s="10"/>
      <c r="M32" s="10"/>
      <c r="N32" s="10"/>
      <c r="O32" s="10"/>
      <c r="P32" s="10"/>
      <c r="Q32" s="10"/>
      <c r="R32" s="10"/>
      <c r="S32" s="10"/>
    </row>
    <row r="33" spans="1:19" x14ac:dyDescent="0.25">
      <c r="A33" s="10"/>
      <c r="B33" s="10"/>
      <c r="C33" s="10"/>
      <c r="D33" s="10"/>
      <c r="E33" s="10"/>
      <c r="F33" s="10"/>
      <c r="G33" s="10"/>
      <c r="H33" s="10"/>
      <c r="I33" s="10"/>
      <c r="J33" s="10"/>
      <c r="K33" s="10"/>
      <c r="L33" s="10"/>
      <c r="M33" s="10"/>
      <c r="N33" s="10"/>
      <c r="O33" s="10"/>
      <c r="P33" s="10"/>
      <c r="Q33" s="10"/>
      <c r="R33" s="10"/>
      <c r="S33" s="10"/>
    </row>
    <row r="34" spans="1:19" x14ac:dyDescent="0.25">
      <c r="A34" s="10"/>
      <c r="B34" s="10"/>
      <c r="C34" s="10"/>
      <c r="D34" s="10"/>
      <c r="E34" s="10"/>
      <c r="F34" s="10"/>
      <c r="G34" s="10"/>
      <c r="H34" s="10"/>
      <c r="I34" s="10"/>
      <c r="J34" s="10"/>
      <c r="K34" s="10"/>
      <c r="L34" s="10"/>
      <c r="M34" s="10"/>
      <c r="N34" s="10"/>
      <c r="O34" s="10"/>
      <c r="P34" s="10"/>
      <c r="Q34" s="10"/>
      <c r="R34" s="10"/>
      <c r="S34" s="10"/>
    </row>
    <row r="35" spans="1:19" x14ac:dyDescent="0.25">
      <c r="A35" s="10"/>
      <c r="B35" s="10"/>
      <c r="C35" s="10"/>
      <c r="D35" s="10"/>
      <c r="E35" s="10"/>
      <c r="F35" s="10"/>
      <c r="G35" s="10"/>
      <c r="H35" s="10"/>
      <c r="I35" s="10"/>
      <c r="J35" s="10"/>
      <c r="K35" s="10"/>
      <c r="L35" s="10"/>
      <c r="M35" s="10"/>
      <c r="N35" s="10"/>
      <c r="O35" s="10"/>
      <c r="P35" s="10"/>
      <c r="Q35" s="10"/>
      <c r="R35" s="10"/>
      <c r="S35" s="10"/>
    </row>
    <row r="36" spans="1:19" x14ac:dyDescent="0.25">
      <c r="A36" s="10"/>
      <c r="B36" s="10"/>
      <c r="C36" s="10"/>
      <c r="D36" s="10"/>
      <c r="E36" s="10"/>
      <c r="F36" s="10"/>
      <c r="G36" s="10"/>
      <c r="H36" s="10"/>
      <c r="I36" s="10"/>
      <c r="J36" s="10"/>
      <c r="K36" s="10"/>
      <c r="L36" s="10"/>
      <c r="M36" s="10"/>
      <c r="N36" s="10"/>
      <c r="O36" s="10"/>
      <c r="P36" s="10"/>
      <c r="Q36" s="10"/>
      <c r="R36" s="10"/>
      <c r="S36" s="10"/>
    </row>
    <row r="37" spans="1:19" s="15" customFormat="1" ht="15.6" x14ac:dyDescent="0.25">
      <c r="A37" s="19" t="s">
        <v>4</v>
      </c>
      <c r="C37" s="20">
        <f ca="1">TODAY()</f>
        <v>44658</v>
      </c>
      <c r="D37" s="16"/>
      <c r="E37" s="16"/>
      <c r="F37" s="16"/>
      <c r="G37" s="16"/>
      <c r="H37" s="16"/>
      <c r="I37" s="16"/>
      <c r="J37" s="16"/>
    </row>
  </sheetData>
  <mergeCells count="15">
    <mergeCell ref="A13:S13"/>
    <mergeCell ref="A18:S18"/>
    <mergeCell ref="A19:S19"/>
    <mergeCell ref="A21:I21"/>
    <mergeCell ref="K21:S21"/>
    <mergeCell ref="A28:I28"/>
    <mergeCell ref="K28:N28"/>
    <mergeCell ref="A29:I29"/>
    <mergeCell ref="K29:S29"/>
    <mergeCell ref="A23:I23"/>
    <mergeCell ref="K23:S23"/>
    <mergeCell ref="A25:I25"/>
    <mergeCell ref="K25:S25"/>
    <mergeCell ref="A27:I27"/>
    <mergeCell ref="K27:S27"/>
  </mergeCells>
  <printOptions horizontalCentered="1" verticalCentered="1"/>
  <pageMargins left="0.75" right="0.75" top="1" bottom="1" header="0.5" footer="0.5"/>
  <pageSetup paperSize="9" scale="60" orientation="landscape"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38"/>
  <sheetViews>
    <sheetView topLeftCell="A9" workbookViewId="0">
      <selection activeCell="E24" sqref="E24"/>
    </sheetView>
  </sheetViews>
  <sheetFormatPr defaultColWidth="8" defaultRowHeight="13.2" x14ac:dyDescent="0.25"/>
  <cols>
    <col min="1" max="1" width="54.109375" style="2" customWidth="1"/>
    <col min="2" max="2" width="86.44140625" style="49" customWidth="1"/>
    <col min="3" max="3" width="25.109375" style="2" bestFit="1" customWidth="1"/>
    <col min="4" max="16384" width="8" style="2"/>
  </cols>
  <sheetData>
    <row r="1" spans="1:3" hidden="1" x14ac:dyDescent="0.25">
      <c r="A1" s="1" t="s">
        <v>5</v>
      </c>
    </row>
    <row r="2" spans="1:3" hidden="1" x14ac:dyDescent="0.25">
      <c r="A2" s="3" t="s">
        <v>20</v>
      </c>
      <c r="B2" s="50" t="s">
        <v>6</v>
      </c>
    </row>
    <row r="3" spans="1:3" hidden="1" x14ac:dyDescent="0.25">
      <c r="A3" s="3" t="s">
        <v>20</v>
      </c>
      <c r="B3" s="50" t="s">
        <v>6</v>
      </c>
    </row>
    <row r="4" spans="1:3" hidden="1" x14ac:dyDescent="0.25">
      <c r="A4" s="3" t="s">
        <v>21</v>
      </c>
      <c r="B4" s="50" t="s">
        <v>7</v>
      </c>
    </row>
    <row r="5" spans="1:3" hidden="1" x14ac:dyDescent="0.25">
      <c r="A5" s="3" t="s">
        <v>22</v>
      </c>
      <c r="B5" s="50" t="s">
        <v>7</v>
      </c>
    </row>
    <row r="6" spans="1:3" x14ac:dyDescent="0.25">
      <c r="A6" s="5"/>
      <c r="B6" s="51"/>
      <c r="C6" s="4"/>
    </row>
    <row r="7" spans="1:3" x14ac:dyDescent="0.25">
      <c r="A7" s="30"/>
      <c r="B7" s="51"/>
      <c r="C7" s="4"/>
    </row>
    <row r="8" spans="1:3" ht="28.2" x14ac:dyDescent="0.25">
      <c r="A8" s="100" t="s">
        <v>1</v>
      </c>
      <c r="B8" s="100"/>
      <c r="C8" s="29" t="s">
        <v>8</v>
      </c>
    </row>
    <row r="9" spans="1:3" x14ac:dyDescent="0.25">
      <c r="A9" s="4"/>
      <c r="B9" s="51"/>
      <c r="C9" s="4"/>
    </row>
    <row r="10" spans="1:3" x14ac:dyDescent="0.25">
      <c r="A10" s="5" t="s">
        <v>9</v>
      </c>
      <c r="B10" s="101" t="s">
        <v>10</v>
      </c>
      <c r="C10" s="101"/>
    </row>
    <row r="11" spans="1:3" x14ac:dyDescent="0.25">
      <c r="A11" s="25" t="s">
        <v>11</v>
      </c>
      <c r="B11" s="21" t="s">
        <v>90</v>
      </c>
      <c r="C11" s="22"/>
    </row>
    <row r="12" spans="1:3" x14ac:dyDescent="0.25">
      <c r="A12" s="30"/>
      <c r="B12" s="51"/>
      <c r="C12" s="4"/>
    </row>
    <row r="13" spans="1:3" x14ac:dyDescent="0.25">
      <c r="A13" s="30"/>
      <c r="B13" s="51"/>
      <c r="C13" s="4"/>
    </row>
    <row r="14" spans="1:3" ht="19.649999999999999" customHeight="1" x14ac:dyDescent="0.25">
      <c r="A14" s="26" t="str">
        <f>CONCATENATE("To be Performed by Tester : ",'Test Cycle 1'!H2)</f>
        <v>To be Performed by Tester : Frank</v>
      </c>
      <c r="B14" s="52"/>
      <c r="C14" s="4"/>
    </row>
    <row r="15" spans="1:3" ht="21.9" customHeight="1" x14ac:dyDescent="0.3">
      <c r="A15" s="31" t="s">
        <v>23</v>
      </c>
      <c r="B15" s="102"/>
      <c r="C15" s="103"/>
    </row>
    <row r="16" spans="1:3" ht="39.75" customHeight="1" x14ac:dyDescent="0.25">
      <c r="A16" s="28" t="s">
        <v>24</v>
      </c>
      <c r="B16" s="28" t="s">
        <v>12</v>
      </c>
      <c r="C16" s="23" t="s">
        <v>25</v>
      </c>
    </row>
    <row r="17" spans="1:3" x14ac:dyDescent="0.25">
      <c r="A17" s="24" t="s">
        <v>26</v>
      </c>
      <c r="B17" s="53"/>
      <c r="C17" s="27" t="s">
        <v>82</v>
      </c>
    </row>
    <row r="18" spans="1:3" x14ac:dyDescent="0.25">
      <c r="A18" s="24" t="s">
        <v>27</v>
      </c>
      <c r="B18" s="53"/>
      <c r="C18" s="27" t="s">
        <v>82</v>
      </c>
    </row>
    <row r="19" spans="1:3" x14ac:dyDescent="0.25">
      <c r="A19" s="24" t="s">
        <v>28</v>
      </c>
      <c r="B19" s="53"/>
      <c r="C19" s="27" t="s">
        <v>81</v>
      </c>
    </row>
    <row r="20" spans="1:3" x14ac:dyDescent="0.25">
      <c r="A20" s="24" t="s">
        <v>75</v>
      </c>
      <c r="B20" s="54"/>
      <c r="C20" s="27" t="s">
        <v>81</v>
      </c>
    </row>
    <row r="21" spans="1:3" x14ac:dyDescent="0.25">
      <c r="A21" s="24" t="s">
        <v>76</v>
      </c>
      <c r="B21" s="53"/>
      <c r="C21" s="27" t="s">
        <v>81</v>
      </c>
    </row>
    <row r="22" spans="1:3" x14ac:dyDescent="0.25">
      <c r="A22" s="24" t="s">
        <v>78</v>
      </c>
      <c r="B22" s="53"/>
      <c r="C22" s="27" t="s">
        <v>81</v>
      </c>
    </row>
    <row r="23" spans="1:3" x14ac:dyDescent="0.25">
      <c r="A23" s="24" t="s">
        <v>77</v>
      </c>
      <c r="B23" s="58"/>
      <c r="C23" s="27" t="s">
        <v>82</v>
      </c>
    </row>
    <row r="24" spans="1:3" x14ac:dyDescent="0.25">
      <c r="A24" s="24" t="s">
        <v>29</v>
      </c>
      <c r="B24" s="53"/>
      <c r="C24" s="27" t="s">
        <v>81</v>
      </c>
    </row>
    <row r="25" spans="1:3" x14ac:dyDescent="0.25">
      <c r="A25" s="24" t="s">
        <v>30</v>
      </c>
      <c r="B25" s="53"/>
      <c r="C25" s="27" t="s">
        <v>82</v>
      </c>
    </row>
    <row r="26" spans="1:3" ht="26.4" x14ac:dyDescent="0.25">
      <c r="A26" s="24" t="s">
        <v>31</v>
      </c>
      <c r="B26" s="27"/>
      <c r="C26" s="27" t="s">
        <v>82</v>
      </c>
    </row>
    <row r="27" spans="1:3" x14ac:dyDescent="0.25">
      <c r="A27" s="24" t="s">
        <v>54</v>
      </c>
      <c r="B27" s="27"/>
      <c r="C27" s="27" t="s">
        <v>81</v>
      </c>
    </row>
    <row r="28" spans="1:3" x14ac:dyDescent="0.25">
      <c r="A28" s="24" t="s">
        <v>79</v>
      </c>
      <c r="B28" s="53"/>
      <c r="C28" s="27" t="s">
        <v>82</v>
      </c>
    </row>
    <row r="29" spans="1:3" x14ac:dyDescent="0.25">
      <c r="A29" s="24" t="s">
        <v>80</v>
      </c>
      <c r="B29" s="53"/>
      <c r="C29" s="27" t="s">
        <v>81</v>
      </c>
    </row>
    <row r="30" spans="1:3" x14ac:dyDescent="0.25">
      <c r="A30" s="43"/>
      <c r="B30" s="55"/>
      <c r="C30" s="44"/>
    </row>
    <row r="31" spans="1:3" x14ac:dyDescent="0.25">
      <c r="A31" s="45"/>
      <c r="B31" s="56"/>
      <c r="C31" s="45"/>
    </row>
    <row r="32" spans="1:3" x14ac:dyDescent="0.25">
      <c r="A32" s="42" t="str">
        <f>CONCATENATE("To be Performed by Reviewer : ",'Test Cycle 1'!H3)</f>
        <v xml:space="preserve">To be Performed by Reviewer : </v>
      </c>
      <c r="B32" s="52"/>
      <c r="C32" s="4"/>
    </row>
    <row r="33" spans="1:3" ht="14.4" x14ac:dyDescent="0.3">
      <c r="A33" s="31" t="s">
        <v>23</v>
      </c>
      <c r="B33" s="102"/>
      <c r="C33" s="103"/>
    </row>
    <row r="34" spans="1:3" ht="26.4" x14ac:dyDescent="0.25">
      <c r="A34" s="28" t="s">
        <v>24</v>
      </c>
      <c r="B34" s="28"/>
      <c r="C34" s="23" t="s">
        <v>25</v>
      </c>
    </row>
    <row r="35" spans="1:3" x14ac:dyDescent="0.25">
      <c r="A35" s="24" t="s">
        <v>32</v>
      </c>
      <c r="B35" s="53"/>
      <c r="C35" s="27"/>
    </row>
    <row r="36" spans="1:3" x14ac:dyDescent="0.25">
      <c r="A36" s="24" t="s">
        <v>33</v>
      </c>
      <c r="B36" s="53"/>
      <c r="C36" s="27"/>
    </row>
    <row r="37" spans="1:3" x14ac:dyDescent="0.25">
      <c r="A37" s="24" t="s">
        <v>74</v>
      </c>
      <c r="B37" s="53"/>
      <c r="C37" s="27"/>
    </row>
    <row r="38" spans="1:3" x14ac:dyDescent="0.25">
      <c r="A38" s="24" t="s">
        <v>34</v>
      </c>
      <c r="B38" s="53"/>
      <c r="C38" s="27"/>
    </row>
  </sheetData>
  <mergeCells count="4">
    <mergeCell ref="A8:B8"/>
    <mergeCell ref="B10:C10"/>
    <mergeCell ref="B15:C15"/>
    <mergeCell ref="B33:C33"/>
  </mergeCells>
  <printOptions horizontalCentered="1"/>
  <pageMargins left="0.75" right="0.75" top="0.55000000000000004" bottom="0.6" header="0.23" footer="0.28000000000000003"/>
  <pageSetup scale="82" orientation="portrait" r:id="rId1"/>
  <headerFooter alignWithMargins="0">
    <oddFooter>&amp;L&amp;8© Accenture 2008 All rights reserved.&amp;C&amp;8&amp;P / &amp;N&amp;R&amp;8&amp;F</oddFooter>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pageSetUpPr fitToPage="1"/>
  </sheetPr>
  <dimension ref="A1:BC26"/>
  <sheetViews>
    <sheetView tabSelected="1" zoomScale="70" zoomScaleNormal="70" workbookViewId="0">
      <selection activeCell="D8" sqref="D8"/>
    </sheetView>
  </sheetViews>
  <sheetFormatPr defaultColWidth="9.109375" defaultRowHeight="14.4" x14ac:dyDescent="0.3"/>
  <cols>
    <col min="1" max="1" width="22.88671875" style="33" customWidth="1"/>
    <col min="2" max="2" width="37.109375" style="33" customWidth="1"/>
    <col min="3" max="3" width="54.33203125" style="33" customWidth="1"/>
    <col min="4" max="4" width="23.44140625" style="33" bestFit="1" customWidth="1"/>
    <col min="5" max="5" width="41.44140625" style="59" customWidth="1"/>
    <col min="6" max="6" width="36.88671875" style="33" customWidth="1"/>
    <col min="7" max="7" width="39.44140625" style="33" customWidth="1"/>
    <col min="8" max="8" width="36.88671875" style="33" customWidth="1"/>
    <col min="9" max="9" width="25" style="33" customWidth="1"/>
    <col min="10" max="10" width="23.44140625" style="33" customWidth="1"/>
    <col min="11" max="11" width="32" style="33" customWidth="1"/>
    <col min="12" max="12" width="30.88671875" style="33" customWidth="1"/>
    <col min="13" max="22" width="9.109375" style="32"/>
    <col min="23" max="23" width="17.109375" style="32" bestFit="1" customWidth="1"/>
    <col min="24" max="24" width="9.109375" style="32"/>
    <col min="25" max="25" width="14.33203125" style="32" bestFit="1" customWidth="1"/>
    <col min="26" max="48" width="9.109375" style="32"/>
    <col min="49" max="49" width="9" style="32" customWidth="1"/>
    <col min="50" max="52" width="9.109375" style="32" hidden="1" customWidth="1"/>
    <col min="53" max="53" width="27.6640625" style="32" customWidth="1"/>
    <col min="54" max="16384" width="9.109375" style="32"/>
  </cols>
  <sheetData>
    <row r="1" spans="1:55" s="33" customFormat="1" x14ac:dyDescent="0.3">
      <c r="A1" s="35" t="s">
        <v>43</v>
      </c>
      <c r="B1" s="107" t="s">
        <v>132</v>
      </c>
      <c r="C1" s="108"/>
      <c r="D1" s="108"/>
      <c r="E1" s="70" t="s">
        <v>44</v>
      </c>
      <c r="F1" s="36" t="s">
        <v>137</v>
      </c>
      <c r="G1" s="37"/>
      <c r="H1" s="37"/>
      <c r="M1" s="32"/>
      <c r="N1" s="32"/>
      <c r="O1" s="32"/>
      <c r="P1" s="32"/>
      <c r="Q1" s="32"/>
      <c r="R1" s="32"/>
      <c r="S1" s="32"/>
      <c r="T1" s="32"/>
      <c r="U1" s="32"/>
      <c r="V1" s="32"/>
      <c r="W1" s="32"/>
      <c r="X1" s="32"/>
      <c r="Y1" s="32"/>
      <c r="Z1" s="32"/>
      <c r="AA1" s="32"/>
      <c r="AB1" s="32"/>
      <c r="AC1" s="32"/>
      <c r="AD1" s="32"/>
      <c r="AE1" s="32"/>
      <c r="AF1" s="32"/>
      <c r="AG1" s="32"/>
      <c r="AH1" s="32"/>
      <c r="AI1" s="32"/>
      <c r="AJ1" s="32"/>
      <c r="AK1" s="32"/>
      <c r="AL1" s="32"/>
      <c r="AM1" s="32"/>
      <c r="AN1" s="32"/>
      <c r="AO1" s="32"/>
      <c r="AP1" s="32"/>
      <c r="AQ1" s="32"/>
      <c r="AR1" s="32"/>
      <c r="AS1" s="32"/>
      <c r="AT1" s="32"/>
      <c r="AU1" s="32"/>
      <c r="AV1" s="32"/>
      <c r="AW1" s="32"/>
      <c r="AX1" s="32"/>
      <c r="AY1" s="32"/>
      <c r="AZ1" s="32"/>
      <c r="BA1" s="34" t="s">
        <v>35</v>
      </c>
      <c r="BB1" s="34" t="s">
        <v>35</v>
      </c>
      <c r="BC1" s="33" t="s">
        <v>36</v>
      </c>
    </row>
    <row r="2" spans="1:55" s="33" customFormat="1" x14ac:dyDescent="0.3">
      <c r="A2" s="35" t="s">
        <v>46</v>
      </c>
      <c r="B2" s="107" t="s">
        <v>138</v>
      </c>
      <c r="C2" s="108"/>
      <c r="D2" s="108"/>
      <c r="E2" s="70" t="s">
        <v>47</v>
      </c>
      <c r="F2" s="38">
        <v>44655</v>
      </c>
      <c r="G2" s="35" t="s">
        <v>48</v>
      </c>
      <c r="H2" s="41" t="s">
        <v>83</v>
      </c>
      <c r="M2" s="32"/>
      <c r="N2" s="32"/>
      <c r="O2" s="32"/>
      <c r="P2" s="32"/>
      <c r="Q2" s="32"/>
      <c r="R2" s="32"/>
      <c r="S2" s="32"/>
      <c r="T2" s="32"/>
      <c r="U2" s="32"/>
      <c r="V2" s="32"/>
      <c r="W2" s="32"/>
      <c r="X2" s="32"/>
      <c r="Y2" s="32"/>
      <c r="Z2" s="32"/>
      <c r="AA2" s="32"/>
      <c r="AB2" s="32"/>
      <c r="AC2" s="32"/>
      <c r="AD2" s="32"/>
      <c r="AE2" s="32"/>
      <c r="AF2" s="32"/>
      <c r="AG2" s="32"/>
      <c r="AH2" s="32"/>
      <c r="AI2" s="32"/>
      <c r="AJ2" s="32"/>
      <c r="AK2" s="32"/>
      <c r="AL2" s="32"/>
      <c r="AM2" s="32"/>
      <c r="AN2" s="32"/>
      <c r="AO2" s="32"/>
      <c r="AP2" s="32"/>
      <c r="AQ2" s="32"/>
      <c r="AR2" s="32"/>
      <c r="AS2" s="32"/>
      <c r="AT2" s="32"/>
      <c r="AU2" s="32"/>
      <c r="AV2" s="32"/>
      <c r="AW2" s="32"/>
      <c r="AX2" s="32"/>
      <c r="AY2" s="32"/>
      <c r="AZ2" s="32"/>
      <c r="BA2" s="34" t="s">
        <v>37</v>
      </c>
      <c r="BB2" s="34" t="s">
        <v>37</v>
      </c>
      <c r="BC2" s="33" t="s">
        <v>38</v>
      </c>
    </row>
    <row r="3" spans="1:55" s="33" customFormat="1" ht="26.25" customHeight="1" x14ac:dyDescent="0.3">
      <c r="A3" s="35" t="s">
        <v>49</v>
      </c>
      <c r="B3" s="109" t="s">
        <v>37</v>
      </c>
      <c r="C3" s="109"/>
      <c r="D3" s="109"/>
      <c r="E3" s="70" t="s">
        <v>50</v>
      </c>
      <c r="F3" s="39"/>
      <c r="G3" s="35" t="s">
        <v>51</v>
      </c>
      <c r="H3" s="36"/>
      <c r="M3" s="32"/>
      <c r="N3" s="32"/>
      <c r="O3" s="32"/>
      <c r="P3" s="32"/>
      <c r="Q3" s="32"/>
      <c r="R3" s="32"/>
      <c r="S3" s="32"/>
      <c r="T3" s="32"/>
      <c r="U3" s="32"/>
      <c r="V3" s="32"/>
      <c r="W3" s="32"/>
      <c r="X3" s="32"/>
      <c r="Y3" s="32"/>
      <c r="Z3" s="32"/>
      <c r="AA3" s="32"/>
      <c r="AB3" s="32"/>
      <c r="AC3" s="32"/>
      <c r="AD3" s="32"/>
      <c r="AE3" s="32"/>
      <c r="AF3" s="32"/>
      <c r="AG3" s="32"/>
      <c r="AH3" s="32"/>
      <c r="AI3" s="32"/>
      <c r="AJ3" s="32"/>
      <c r="AK3" s="32"/>
      <c r="AL3" s="32"/>
      <c r="AM3" s="32"/>
      <c r="AN3" s="32"/>
      <c r="AO3" s="32"/>
      <c r="AP3" s="32"/>
      <c r="AQ3" s="32"/>
      <c r="AR3" s="32"/>
      <c r="AS3" s="32"/>
      <c r="AT3" s="32"/>
      <c r="AU3" s="32"/>
      <c r="AV3" s="32"/>
      <c r="AW3" s="32"/>
      <c r="AX3" s="32"/>
      <c r="AY3" s="32"/>
      <c r="AZ3" s="32"/>
      <c r="BA3" s="34" t="s">
        <v>39</v>
      </c>
      <c r="BB3" s="34" t="s">
        <v>40</v>
      </c>
      <c r="BC3" s="33" t="s">
        <v>15</v>
      </c>
    </row>
    <row r="4" spans="1:55" s="33" customFormat="1" ht="19.649999999999999" customHeight="1" x14ac:dyDescent="0.3">
      <c r="A4" s="35" t="s">
        <v>53</v>
      </c>
      <c r="B4" s="110" t="s">
        <v>101</v>
      </c>
      <c r="C4" s="111"/>
      <c r="D4" s="111"/>
      <c r="E4" s="111"/>
      <c r="F4" s="111"/>
      <c r="G4" s="111"/>
      <c r="H4" s="111"/>
      <c r="M4" s="32"/>
      <c r="N4" s="32"/>
      <c r="O4" s="32"/>
      <c r="P4" s="32"/>
      <c r="Q4" s="32"/>
      <c r="R4" s="32"/>
      <c r="S4" s="32"/>
      <c r="T4" s="32"/>
      <c r="U4" s="32"/>
      <c r="V4" s="32"/>
      <c r="W4" s="32"/>
      <c r="X4" s="32"/>
      <c r="Y4" s="32"/>
      <c r="Z4" s="32"/>
      <c r="AA4" s="32"/>
      <c r="AB4" s="32"/>
      <c r="AC4" s="32"/>
      <c r="AD4" s="32"/>
      <c r="AE4" s="32"/>
      <c r="AF4" s="32"/>
      <c r="AG4" s="32"/>
      <c r="AH4" s="32"/>
      <c r="AI4" s="32"/>
      <c r="AJ4" s="32"/>
      <c r="AK4" s="32"/>
      <c r="AL4" s="32"/>
      <c r="AM4" s="32"/>
      <c r="AN4" s="32"/>
      <c r="AO4" s="32"/>
      <c r="AP4" s="32"/>
      <c r="AQ4" s="32"/>
      <c r="AR4" s="32"/>
      <c r="AS4" s="32"/>
      <c r="AT4" s="32"/>
      <c r="AU4" s="32"/>
      <c r="AV4" s="32"/>
      <c r="AW4" s="32"/>
      <c r="AX4" s="32"/>
      <c r="AY4" s="32"/>
      <c r="AZ4" s="32"/>
      <c r="BA4" s="34" t="s">
        <v>41</v>
      </c>
      <c r="BB4" s="34" t="s">
        <v>15</v>
      </c>
      <c r="BC4" s="33" t="s">
        <v>16</v>
      </c>
    </row>
    <row r="5" spans="1:55" s="33" customFormat="1" x14ac:dyDescent="0.3">
      <c r="A5" s="69" t="s">
        <v>65</v>
      </c>
      <c r="B5" s="69" t="s">
        <v>66</v>
      </c>
      <c r="C5" s="69" t="s">
        <v>67</v>
      </c>
      <c r="D5" s="69" t="s">
        <v>68</v>
      </c>
      <c r="E5" s="69" t="s">
        <v>69</v>
      </c>
      <c r="F5" s="69" t="s">
        <v>70</v>
      </c>
      <c r="G5" s="69" t="s">
        <v>71</v>
      </c>
      <c r="H5" s="69" t="s">
        <v>72</v>
      </c>
      <c r="I5" s="69" t="s">
        <v>63</v>
      </c>
      <c r="J5" s="69" t="s">
        <v>64</v>
      </c>
      <c r="K5" s="32"/>
      <c r="L5" s="32"/>
      <c r="M5" s="32"/>
      <c r="N5" s="32"/>
      <c r="O5" s="32"/>
      <c r="P5" s="32"/>
      <c r="Q5" s="32"/>
      <c r="R5" s="32"/>
      <c r="S5" s="32"/>
      <c r="T5" s="32"/>
      <c r="U5" s="32"/>
      <c r="V5" s="32"/>
      <c r="W5" s="32"/>
      <c r="X5" s="32"/>
      <c r="Y5" s="32"/>
      <c r="Z5" s="32"/>
      <c r="AA5" s="32"/>
      <c r="AB5" s="32"/>
      <c r="AC5" s="32"/>
      <c r="AD5" s="32"/>
      <c r="AE5" s="32"/>
      <c r="AF5" s="32"/>
      <c r="AG5" s="32"/>
      <c r="AH5" s="32"/>
      <c r="AI5" s="32"/>
      <c r="AJ5" s="32"/>
      <c r="AK5" s="32"/>
      <c r="AL5" s="32"/>
      <c r="AM5" s="32"/>
      <c r="AN5" s="32"/>
      <c r="AO5" s="32"/>
      <c r="AP5" s="32"/>
      <c r="AQ5" s="32"/>
      <c r="AR5" s="32"/>
      <c r="AS5" s="32"/>
      <c r="AT5" s="32"/>
      <c r="AU5" s="32"/>
      <c r="AV5" s="32"/>
      <c r="AW5" s="32"/>
      <c r="AX5" s="32"/>
      <c r="AY5" s="34" t="s">
        <v>42</v>
      </c>
      <c r="AZ5" s="34" t="s">
        <v>16</v>
      </c>
    </row>
    <row r="6" spans="1:55" s="33" customFormat="1" ht="26.4" customHeight="1" x14ac:dyDescent="0.3">
      <c r="A6" s="104" t="s">
        <v>119</v>
      </c>
      <c r="B6" s="105"/>
      <c r="C6" s="105"/>
      <c r="D6" s="105"/>
      <c r="E6" s="105"/>
      <c r="F6" s="105"/>
      <c r="G6" s="105"/>
      <c r="H6" s="105"/>
      <c r="I6" s="105"/>
      <c r="J6" s="106"/>
      <c r="K6" s="32"/>
      <c r="L6" s="32"/>
      <c r="M6" s="32"/>
      <c r="N6" s="32"/>
      <c r="O6" s="32"/>
      <c r="P6" s="32"/>
      <c r="Q6" s="32"/>
      <c r="R6" s="32"/>
      <c r="S6" s="32"/>
      <c r="T6" s="32"/>
      <c r="U6" s="32"/>
      <c r="V6" s="32"/>
      <c r="W6" s="32"/>
      <c r="X6" s="32"/>
      <c r="Y6" s="32"/>
      <c r="Z6" s="32"/>
      <c r="AA6" s="32"/>
      <c r="AB6" s="32"/>
      <c r="AC6" s="32"/>
      <c r="AD6" s="32"/>
      <c r="AE6" s="32"/>
      <c r="AF6" s="32"/>
      <c r="AG6" s="32"/>
      <c r="AH6" s="32"/>
      <c r="AI6" s="32"/>
      <c r="AJ6" s="32"/>
      <c r="AK6" s="32"/>
      <c r="AL6" s="32"/>
      <c r="AM6" s="32"/>
      <c r="AN6" s="32"/>
      <c r="AO6" s="32"/>
      <c r="AP6" s="32"/>
      <c r="AQ6" s="32"/>
      <c r="AR6" s="32"/>
      <c r="AS6" s="32"/>
      <c r="AT6" s="32"/>
      <c r="AU6" s="32"/>
      <c r="AV6" s="32"/>
      <c r="AW6" s="32"/>
      <c r="AX6" s="32"/>
      <c r="AY6" s="34"/>
      <c r="AZ6" s="34"/>
    </row>
    <row r="7" spans="1:55" s="33" customFormat="1" ht="99" customHeight="1" x14ac:dyDescent="0.3">
      <c r="A7" s="46">
        <v>1</v>
      </c>
      <c r="B7" s="77" t="s">
        <v>91</v>
      </c>
      <c r="C7" s="77" t="s">
        <v>92</v>
      </c>
      <c r="D7" s="78" t="s">
        <v>93</v>
      </c>
      <c r="E7" s="48" t="s">
        <v>109</v>
      </c>
      <c r="F7" s="48" t="s">
        <v>111</v>
      </c>
      <c r="G7" s="73" t="s">
        <v>110</v>
      </c>
      <c r="H7" s="47" t="s">
        <v>112</v>
      </c>
      <c r="I7" s="37"/>
      <c r="J7" s="40"/>
      <c r="AY7" s="34" t="s">
        <v>45</v>
      </c>
    </row>
    <row r="8" spans="1:55" s="33" customFormat="1" ht="99" customHeight="1" x14ac:dyDescent="0.3">
      <c r="A8" s="46">
        <v>2</v>
      </c>
      <c r="B8" s="77" t="s">
        <v>104</v>
      </c>
      <c r="C8" s="77" t="s">
        <v>92</v>
      </c>
      <c r="D8" s="78" t="s">
        <v>93</v>
      </c>
      <c r="E8" s="73" t="s">
        <v>113</v>
      </c>
      <c r="F8" s="73" t="s">
        <v>111</v>
      </c>
      <c r="G8" s="73" t="s">
        <v>113</v>
      </c>
      <c r="H8" s="86" t="s">
        <v>103</v>
      </c>
      <c r="I8" s="37"/>
      <c r="J8" s="40"/>
      <c r="AY8" s="34"/>
    </row>
    <row r="9" spans="1:55" s="33" customFormat="1" ht="116.25" customHeight="1" x14ac:dyDescent="0.3">
      <c r="A9" s="46">
        <v>3</v>
      </c>
      <c r="B9" s="81" t="s">
        <v>105</v>
      </c>
      <c r="C9" s="82" t="s">
        <v>114</v>
      </c>
      <c r="D9" s="80" t="s">
        <v>81</v>
      </c>
      <c r="E9" s="80" t="s">
        <v>81</v>
      </c>
      <c r="F9" s="80" t="s">
        <v>81</v>
      </c>
      <c r="G9" s="80" t="s">
        <v>81</v>
      </c>
      <c r="H9" s="82" t="s">
        <v>94</v>
      </c>
      <c r="I9" s="37"/>
      <c r="J9" s="40"/>
      <c r="AY9" s="34"/>
    </row>
    <row r="10" spans="1:55" s="33" customFormat="1" ht="74.400000000000006" customHeight="1" x14ac:dyDescent="0.3">
      <c r="A10" s="46">
        <v>4</v>
      </c>
      <c r="B10" s="81" t="s">
        <v>95</v>
      </c>
      <c r="C10" s="82" t="s">
        <v>115</v>
      </c>
      <c r="D10" s="82" t="s">
        <v>96</v>
      </c>
      <c r="E10" s="82" t="s">
        <v>121</v>
      </c>
      <c r="F10" s="86" t="s">
        <v>97</v>
      </c>
      <c r="G10" s="82" t="s">
        <v>116</v>
      </c>
      <c r="H10" s="86" t="s">
        <v>97</v>
      </c>
      <c r="I10" s="37"/>
      <c r="J10" s="57"/>
      <c r="AY10" s="34" t="s">
        <v>52</v>
      </c>
    </row>
    <row r="11" spans="1:55" s="33" customFormat="1" ht="86.4" x14ac:dyDescent="0.3">
      <c r="A11" s="46">
        <v>5</v>
      </c>
      <c r="B11" s="79" t="s">
        <v>98</v>
      </c>
      <c r="C11" s="77" t="s">
        <v>92</v>
      </c>
      <c r="D11" s="79" t="s">
        <v>99</v>
      </c>
      <c r="E11" s="74" t="s">
        <v>127</v>
      </c>
      <c r="F11" s="74" t="s">
        <v>100</v>
      </c>
      <c r="G11" s="74" t="s">
        <v>127</v>
      </c>
      <c r="H11" s="87" t="s">
        <v>107</v>
      </c>
      <c r="I11" s="37"/>
      <c r="J11" s="57"/>
      <c r="U11" s="32"/>
    </row>
    <row r="12" spans="1:55" s="33" customFormat="1" ht="129.6" x14ac:dyDescent="0.3">
      <c r="A12" s="46">
        <v>6</v>
      </c>
      <c r="B12" s="79" t="s">
        <v>106</v>
      </c>
      <c r="C12" s="77" t="s">
        <v>92</v>
      </c>
      <c r="D12" s="78" t="s">
        <v>93</v>
      </c>
      <c r="E12" s="74" t="s">
        <v>117</v>
      </c>
      <c r="F12" s="88" t="s">
        <v>118</v>
      </c>
      <c r="G12" s="74" t="s">
        <v>117</v>
      </c>
      <c r="H12" s="87" t="s">
        <v>108</v>
      </c>
      <c r="I12" s="37"/>
      <c r="J12" s="57"/>
      <c r="U12" s="32"/>
    </row>
    <row r="13" spans="1:55" s="33" customFormat="1" ht="26.4" customHeight="1" x14ac:dyDescent="0.3">
      <c r="A13" s="104" t="s">
        <v>120</v>
      </c>
      <c r="B13" s="105"/>
      <c r="C13" s="105"/>
      <c r="D13" s="105"/>
      <c r="E13" s="105"/>
      <c r="F13" s="105"/>
      <c r="G13" s="105"/>
      <c r="H13" s="105"/>
      <c r="I13" s="105"/>
      <c r="J13" s="106"/>
      <c r="K13" s="32"/>
      <c r="L13" s="32"/>
      <c r="M13" s="32"/>
      <c r="N13" s="32"/>
      <c r="O13" s="32"/>
      <c r="P13" s="32"/>
      <c r="Q13" s="32"/>
      <c r="R13" s="32"/>
      <c r="S13" s="32"/>
      <c r="T13" s="32"/>
      <c r="U13" s="32"/>
      <c r="V13" s="32"/>
      <c r="W13" s="32"/>
      <c r="X13" s="32"/>
      <c r="Y13" s="32"/>
      <c r="Z13" s="32"/>
      <c r="AA13" s="32"/>
      <c r="AB13" s="32"/>
      <c r="AC13" s="32"/>
      <c r="AD13" s="32"/>
      <c r="AE13" s="32"/>
      <c r="AF13" s="32"/>
      <c r="AG13" s="32"/>
      <c r="AH13" s="32"/>
      <c r="AI13" s="32"/>
      <c r="AJ13" s="32"/>
      <c r="AK13" s="32"/>
      <c r="AL13" s="32"/>
      <c r="AM13" s="32"/>
      <c r="AN13" s="32"/>
      <c r="AO13" s="32"/>
      <c r="AP13" s="32"/>
      <c r="AQ13" s="32"/>
      <c r="AR13" s="32"/>
      <c r="AS13" s="32"/>
      <c r="AT13" s="32"/>
      <c r="AU13" s="32"/>
      <c r="AV13" s="32"/>
      <c r="AW13" s="32"/>
      <c r="AX13" s="32"/>
      <c r="AY13" s="34"/>
      <c r="AZ13" s="34"/>
    </row>
    <row r="14" spans="1:55" s="33" customFormat="1" ht="82.8" x14ac:dyDescent="0.3">
      <c r="A14" s="46"/>
      <c r="B14" s="77" t="s">
        <v>104</v>
      </c>
      <c r="C14" s="77" t="s">
        <v>92</v>
      </c>
      <c r="D14" s="78" t="s">
        <v>93</v>
      </c>
      <c r="E14" s="73" t="s">
        <v>123</v>
      </c>
      <c r="F14" s="73" t="s">
        <v>111</v>
      </c>
      <c r="G14" s="73" t="s">
        <v>123</v>
      </c>
      <c r="H14" s="86" t="s">
        <v>133</v>
      </c>
      <c r="I14" s="37"/>
      <c r="J14" s="57"/>
    </row>
    <row r="15" spans="1:55" s="85" customFormat="1" ht="25.2" customHeight="1" x14ac:dyDescent="0.3">
      <c r="A15" s="76"/>
      <c r="B15" s="81" t="s">
        <v>105</v>
      </c>
      <c r="C15" s="82" t="s">
        <v>130</v>
      </c>
      <c r="D15" s="80" t="s">
        <v>81</v>
      </c>
      <c r="E15" s="80" t="s">
        <v>81</v>
      </c>
      <c r="F15" s="80" t="s">
        <v>81</v>
      </c>
      <c r="G15" s="80" t="s">
        <v>81</v>
      </c>
      <c r="H15" s="82" t="s">
        <v>94</v>
      </c>
      <c r="I15" s="83"/>
      <c r="J15" s="84"/>
    </row>
    <row r="16" spans="1:55" s="33" customFormat="1" ht="39.6" x14ac:dyDescent="0.3">
      <c r="A16" s="46"/>
      <c r="B16" s="81" t="s">
        <v>95</v>
      </c>
      <c r="C16" s="82" t="s">
        <v>131</v>
      </c>
      <c r="D16" s="82" t="s">
        <v>96</v>
      </c>
      <c r="E16" s="82" t="s">
        <v>122</v>
      </c>
      <c r="F16" s="86" t="s">
        <v>125</v>
      </c>
      <c r="G16" s="82" t="s">
        <v>116</v>
      </c>
      <c r="H16" s="86" t="s">
        <v>125</v>
      </c>
      <c r="I16" s="37"/>
      <c r="J16" s="57"/>
      <c r="U16" s="32"/>
    </row>
    <row r="17" spans="1:10" s="33" customFormat="1" ht="36.6" customHeight="1" x14ac:dyDescent="0.3">
      <c r="A17" s="46"/>
      <c r="B17" s="79" t="s">
        <v>98</v>
      </c>
      <c r="C17" s="77" t="s">
        <v>92</v>
      </c>
      <c r="D17" s="79" t="s">
        <v>99</v>
      </c>
      <c r="E17" s="74" t="s">
        <v>128</v>
      </c>
      <c r="F17" s="74" t="s">
        <v>100</v>
      </c>
      <c r="G17" s="74" t="s">
        <v>128</v>
      </c>
      <c r="H17" s="87" t="s">
        <v>126</v>
      </c>
      <c r="I17" s="37"/>
      <c r="J17" s="57"/>
    </row>
    <row r="18" spans="1:10" s="33" customFormat="1" ht="129.6" x14ac:dyDescent="0.3">
      <c r="A18" s="46"/>
      <c r="B18" s="79" t="s">
        <v>134</v>
      </c>
      <c r="C18" s="77" t="s">
        <v>92</v>
      </c>
      <c r="D18" s="78" t="s">
        <v>93</v>
      </c>
      <c r="E18" s="74" t="s">
        <v>135</v>
      </c>
      <c r="F18" s="88" t="s">
        <v>129</v>
      </c>
      <c r="G18" s="74" t="s">
        <v>136</v>
      </c>
      <c r="H18" s="87"/>
      <c r="I18" s="37"/>
      <c r="J18" s="57"/>
    </row>
    <row r="19" spans="1:10" s="33" customFormat="1" x14ac:dyDescent="0.3">
      <c r="A19" s="46"/>
      <c r="B19" s="47"/>
      <c r="C19" s="47"/>
      <c r="D19" s="47"/>
      <c r="E19" s="48"/>
      <c r="F19" s="47"/>
      <c r="G19" s="48"/>
      <c r="H19" s="47"/>
      <c r="I19" s="37"/>
      <c r="J19" s="57"/>
    </row>
    <row r="20" spans="1:10" s="33" customFormat="1" ht="23.25" customHeight="1" x14ac:dyDescent="0.3">
      <c r="A20" s="46"/>
      <c r="B20" s="47"/>
      <c r="C20" s="47"/>
      <c r="D20" s="47"/>
      <c r="E20" s="48"/>
      <c r="F20" s="47"/>
      <c r="G20" s="48"/>
      <c r="H20" s="47"/>
      <c r="I20" s="37"/>
      <c r="J20" s="57"/>
    </row>
    <row r="21" spans="1:10" s="33" customFormat="1" ht="30" customHeight="1" x14ac:dyDescent="0.3">
      <c r="A21" s="46"/>
      <c r="B21" s="47"/>
      <c r="C21" s="47"/>
      <c r="D21" s="47"/>
      <c r="E21" s="48"/>
      <c r="F21" s="47"/>
      <c r="G21" s="48"/>
      <c r="H21" s="47"/>
      <c r="I21" s="37"/>
      <c r="J21" s="57"/>
    </row>
    <row r="22" spans="1:10" s="33" customFormat="1" x14ac:dyDescent="0.3">
      <c r="E22" s="59"/>
    </row>
    <row r="24" spans="1:10" s="33" customFormat="1" x14ac:dyDescent="0.3">
      <c r="E24" s="59"/>
    </row>
    <row r="25" spans="1:10" s="33" customFormat="1" ht="111.75" customHeight="1" x14ac:dyDescent="0.3">
      <c r="E25" s="59"/>
    </row>
    <row r="26" spans="1:10" s="33" customFormat="1" ht="111.75" customHeight="1" x14ac:dyDescent="0.3">
      <c r="E26" s="59"/>
    </row>
  </sheetData>
  <mergeCells count="6">
    <mergeCell ref="A13:J13"/>
    <mergeCell ref="B1:D1"/>
    <mergeCell ref="B2:D2"/>
    <mergeCell ref="B3:D3"/>
    <mergeCell ref="B4:H4"/>
    <mergeCell ref="A6:J6"/>
  </mergeCells>
  <phoneticPr fontId="47" type="noConversion"/>
  <dataValidations count="2">
    <dataValidation type="list" allowBlank="1" showInputMessage="1" showErrorMessage="1" sqref="B3:D3" xr:uid="{00000000-0002-0000-0200-000000000000}">
      <formula1>$BA$1:$BA$10</formula1>
    </dataValidation>
    <dataValidation type="list" allowBlank="1" showInputMessage="1" showErrorMessage="1" sqref="I7:I12 I14:I21" xr:uid="{00000000-0002-0000-0200-000001000000}">
      <formula1>$BB$1:$BB$5</formula1>
    </dataValidation>
  </dataValidations>
  <pageMargins left="0.75" right="0.75" top="1" bottom="1" header="0.5" footer="0.5"/>
  <pageSetup paperSize="9" scale="13"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FF0000"/>
  </sheetPr>
  <dimension ref="A1:B12"/>
  <sheetViews>
    <sheetView workbookViewId="0"/>
  </sheetViews>
  <sheetFormatPr defaultRowHeight="13.2" outlineLevelRow="1" x14ac:dyDescent="0.25"/>
  <cols>
    <col min="1" max="1" width="27.109375" customWidth="1"/>
    <col min="2" max="2" width="59.88671875" style="60" customWidth="1"/>
    <col min="3" max="3" width="24.44140625" customWidth="1"/>
  </cols>
  <sheetData>
    <row r="1" spans="1:2" x14ac:dyDescent="0.25">
      <c r="A1" s="61" t="s">
        <v>61</v>
      </c>
      <c r="B1" s="62" t="s">
        <v>0</v>
      </c>
    </row>
    <row r="2" spans="1:2" outlineLevel="1" x14ac:dyDescent="0.25">
      <c r="A2" s="63" t="s">
        <v>55</v>
      </c>
      <c r="B2" s="68" t="str">
        <f>PPRD</f>
        <v>Jun , 2022</v>
      </c>
    </row>
    <row r="3" spans="1:2" x14ac:dyDescent="0.25">
      <c r="A3" s="63" t="s">
        <v>58</v>
      </c>
      <c r="B3" s="64" t="str">
        <f>CRN</f>
        <v xml:space="preserve">CHG228033  </v>
      </c>
    </row>
    <row r="4" spans="1:2" x14ac:dyDescent="0.25">
      <c r="A4" s="63" t="s">
        <v>59</v>
      </c>
      <c r="B4" s="64" t="str">
        <f>MA</f>
        <v>CT</v>
      </c>
    </row>
    <row r="5" spans="1:2" x14ac:dyDescent="0.25">
      <c r="A5" s="63" t="s">
        <v>60</v>
      </c>
      <c r="B5" s="64" t="str">
        <f>Area</f>
        <v>Data</v>
      </c>
    </row>
    <row r="6" spans="1:2" x14ac:dyDescent="0.25">
      <c r="A6" s="63" t="s">
        <v>44</v>
      </c>
      <c r="B6" s="64" t="str">
        <f>Entity</f>
        <v>PE Outbound</v>
      </c>
    </row>
    <row r="7" spans="1:2" x14ac:dyDescent="0.25">
      <c r="A7" s="63" t="s">
        <v>56</v>
      </c>
      <c r="B7" s="65">
        <f>DTested</f>
        <v>44655</v>
      </c>
    </row>
    <row r="8" spans="1:2" x14ac:dyDescent="0.25">
      <c r="A8" s="63" t="s">
        <v>57</v>
      </c>
      <c r="B8" s="66">
        <f>DReviewed</f>
        <v>0</v>
      </c>
    </row>
    <row r="9" spans="1:2" x14ac:dyDescent="0.25">
      <c r="A9" s="63" t="s">
        <v>48</v>
      </c>
      <c r="B9" s="64" t="str">
        <f>TestedBy</f>
        <v>Frank</v>
      </c>
    </row>
    <row r="10" spans="1:2" x14ac:dyDescent="0.25">
      <c r="A10" s="63" t="s">
        <v>51</v>
      </c>
      <c r="B10" s="64">
        <f>ReviewedBy</f>
        <v>0</v>
      </c>
    </row>
    <row r="12" spans="1:2" x14ac:dyDescent="0.25">
      <c r="A12" s="63" t="s">
        <v>62</v>
      </c>
      <c r="B12" s="67" t="s">
        <v>14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213"/>
  <sheetViews>
    <sheetView topLeftCell="A101" workbookViewId="0">
      <selection activeCell="F129" sqref="F129"/>
    </sheetView>
  </sheetViews>
  <sheetFormatPr defaultColWidth="9.109375" defaultRowHeight="13.2" x14ac:dyDescent="0.25"/>
  <cols>
    <col min="1" max="1" width="44" style="72" bestFit="1" customWidth="1"/>
    <col min="2" max="16384" width="9.109375" style="72"/>
  </cols>
  <sheetData>
    <row r="1" spans="1:1" x14ac:dyDescent="0.25">
      <c r="A1" s="71"/>
    </row>
    <row r="2" spans="1:1" s="75" customFormat="1" x14ac:dyDescent="0.25">
      <c r="A2" s="75" t="s">
        <v>84</v>
      </c>
    </row>
    <row r="18" spans="1:1" s="75" customFormat="1" x14ac:dyDescent="0.25">
      <c r="A18" s="75" t="s">
        <v>85</v>
      </c>
    </row>
    <row r="44" spans="1:1" s="75" customFormat="1" x14ac:dyDescent="0.25">
      <c r="A44" s="75" t="s">
        <v>86</v>
      </c>
    </row>
    <row r="48" spans="1:1" ht="13.8" customHeight="1" x14ac:dyDescent="0.25"/>
    <row r="49" spans="1:1" ht="13.8" customHeight="1" x14ac:dyDescent="0.25"/>
    <row r="50" spans="1:1" ht="13.8" customHeight="1" x14ac:dyDescent="0.25"/>
    <row r="51" spans="1:1" ht="13.8" customHeight="1" x14ac:dyDescent="0.25"/>
    <row r="59" spans="1:1" x14ac:dyDescent="0.25">
      <c r="A59" s="71"/>
    </row>
    <row r="63" spans="1:1" s="75" customFormat="1" x14ac:dyDescent="0.25">
      <c r="A63" s="75" t="s">
        <v>87</v>
      </c>
    </row>
    <row r="74" spans="1:1" x14ac:dyDescent="0.25">
      <c r="A74" s="71"/>
    </row>
    <row r="80" spans="1:1" s="75" customFormat="1" x14ac:dyDescent="0.25">
      <c r="A80" s="75" t="s">
        <v>87</v>
      </c>
    </row>
    <row r="97" spans="1:1" s="75" customFormat="1" x14ac:dyDescent="0.25">
      <c r="A97" s="75" t="s">
        <v>124</v>
      </c>
    </row>
    <row r="98" spans="1:1" x14ac:dyDescent="0.25">
      <c r="A98" s="71"/>
    </row>
    <row r="139" spans="1:1" x14ac:dyDescent="0.25">
      <c r="A139" s="71"/>
    </row>
    <row r="178" spans="1:1" x14ac:dyDescent="0.25">
      <c r="A178" s="71"/>
    </row>
    <row r="213" spans="1:1" x14ac:dyDescent="0.25">
      <c r="A213" s="71"/>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20</vt:i4>
      </vt:variant>
    </vt:vector>
  </HeadingPairs>
  <TitlesOfParts>
    <vt:vector size="25" baseType="lpstr">
      <vt:lpstr>Cover</vt:lpstr>
      <vt:lpstr>Version Control</vt:lpstr>
      <vt:lpstr>Test Cycle 1</vt:lpstr>
      <vt:lpstr>AppConfig</vt:lpstr>
      <vt:lpstr>Screenshot</vt:lpstr>
      <vt:lpstr>AppArea</vt:lpstr>
      <vt:lpstr>AppCRN</vt:lpstr>
      <vt:lpstr>AppDReviewed</vt:lpstr>
      <vt:lpstr>AppDTested</vt:lpstr>
      <vt:lpstr>AppEntity</vt:lpstr>
      <vt:lpstr>AppMA</vt:lpstr>
      <vt:lpstr>AppPPRD</vt:lpstr>
      <vt:lpstr>AppReviewedBy</vt:lpstr>
      <vt:lpstr>AppTestedBy</vt:lpstr>
      <vt:lpstr>Area</vt:lpstr>
      <vt:lpstr>CRN</vt:lpstr>
      <vt:lpstr>DReviewed</vt:lpstr>
      <vt:lpstr>DTested</vt:lpstr>
      <vt:lpstr>dTestedBy</vt:lpstr>
      <vt:lpstr>Entity</vt:lpstr>
      <vt:lpstr>MA</vt:lpstr>
      <vt:lpstr>PPRD</vt:lpstr>
      <vt:lpstr>ReviewedBy</vt:lpstr>
      <vt:lpstr>TestedBy</vt:lpstr>
      <vt:lpstr>TestWrkSht1</vt:lpstr>
    </vt:vector>
  </TitlesOfParts>
  <Company>Accenture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agathe.ravilly</dc:creator>
  <cp:lastModifiedBy>Mingoué Tchagou, Frank</cp:lastModifiedBy>
  <cp:lastPrinted>2013-10-17T06:50:38Z</cp:lastPrinted>
  <dcterms:created xsi:type="dcterms:W3CDTF">2006-03-30T08:28:02Z</dcterms:created>
  <dcterms:modified xsi:type="dcterms:W3CDTF">2022-04-07T09:14:35Z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