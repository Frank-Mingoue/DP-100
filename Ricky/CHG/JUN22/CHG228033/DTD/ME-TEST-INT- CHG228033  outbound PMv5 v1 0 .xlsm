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CHG228033\DTD\"/>
    </mc:Choice>
  </mc:AlternateContent>
  <xr:revisionPtr revIDLastSave="0" documentId="13_ncr:1_{27D428BB-6012-4E9C-8AC8-2CC5FD9301BF}" xr6:coauthVersionLast="47" xr6:coauthVersionMax="47" xr10:uidLastSave="{00000000-0000-0000-0000-000000000000}"/>
  <bookViews>
    <workbookView xWindow="-108" yWindow="-108" windowWidth="23256" windowHeight="1245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<sst xmlns="http://schemas.openxmlformats.org/spreadsheetml/2006/main" count="185" uniqueCount="128">
  <si>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</si>
  <si>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</si>
  <si>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</si>
  <si>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</si>
  <si>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</si>
  <si>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</si>
  <si>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</si>
  <si>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</si>
  <si>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</si>
  <si>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</si>
  <si>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</si>
  <si>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</si>
  <si>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</si>
  <si>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</si>
  <si>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</si>
  <si>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</si>
  <si>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</si>
  <si>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</si>
  <si>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</si>
  <si>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</si>
  <si>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</si>
  <si>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</si>
  <si>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</si>
  <si>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</si>
  <si>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</si>
  <si>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</si>
  <si>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</si>
  <si>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</si>
  <si>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</si>
  <si>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</si>
  <si>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</si>
  <si>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</si>
  <si>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</si>
  <si>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</si>
  <si>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</si>
  <si>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</si>
  <si>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</si>
  <si>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</si>
  <si>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</si>
  <si>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</si>
  <si>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</si>
  <si>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</si>
  <si>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</si>
  <si>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</si>
  <si>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</si>
  <si>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</si>
  <si>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</si>
  <si>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</si>
  <si>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</si>
  <si>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</si>
  <si>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</si>
  <si>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</si>
  <si>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</si>
  <si>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</si>
  <si>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</si>
  <si>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</si>
  <si>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</si>
  <si>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</si>
  <si>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</si>
  <si>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</si>
  <si>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</si>
  <si>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</si>
  <si>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</si>
  <si>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</si>
  <si>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</si>
  <si>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</si>
  <si>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</si>
  <si>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</si>
  <si>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</si>
  <si>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</si>
  <si>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</si>
  <si>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</si>
  <si>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</si>
  <si>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</si>
  <si>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</si>
  <si>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</si>
  <si>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</si>
  <si>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</si>
  <si>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</si>
  <si>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</si>
  <si>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</si>
  <si>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N/A</t>
  </si>
  <si>
    <t>Y</t>
  </si>
  <si>
    <t>Frank</t>
  </si>
  <si>
    <t>Screenshot 1</t>
  </si>
  <si>
    <t>Screenshot 2</t>
  </si>
  <si>
    <t>Screenshot 3</t>
  </si>
  <si>
    <t>Screenshot 4</t>
  </si>
  <si>
    <t>CT</t>
  </si>
  <si>
    <t xml:space="preserve">CHG228033  </t>
  </si>
  <si>
    <t>Jun , 2022</t>
  </si>
  <si>
    <t>Reset test data</t>
  </si>
  <si>
    <t>Run following script</t>
  </si>
  <si>
    <t>OLTP DB</t>
  </si>
  <si>
    <t>Workflow run successfully.</t>
  </si>
  <si>
    <t>Check outbound field</t>
  </si>
  <si>
    <t>Go to the server \\MRUINFO961\Interfaces_IP14\Kazakhstan\OUNP</t>
  </si>
  <si>
    <t>Server</t>
  </si>
  <si>
    <t>1 file KZPM0401_20190712_xx.txt should be generated.</t>
  </si>
  <si>
    <t>Refer to screenshot 2</t>
  </si>
  <si>
    <t>Check if new entry is inserted on the WC_ETL_FILES_G table.</t>
  </si>
  <si>
    <t>OLAP DB</t>
  </si>
  <si>
    <t>SELECT *
FROM WC_ETL_FILES_G
WHERE  SUBSTRING(FILENAME,3,2)='PM'
AND ETL_PROC_WID IN (select ETL_PROC_WID FROM W_PARAM_G)</t>
  </si>
  <si>
    <t>1 record should be inserted</t>
  </si>
  <si>
    <t>Repeat step 1</t>
  </si>
  <si>
    <t>Run the worklet 'JTI_DWH_ETLComplete_Incremental.Load_EIM'</t>
  </si>
  <si>
    <t>Worklet run successfully.</t>
  </si>
  <si>
    <t>Check if the outbounds file are populated correctly</t>
  </si>
  <si>
    <t xml:space="preserve"> TMEC: RI – Contract Enhancements V2</t>
  </si>
  <si>
    <t>SELECT 
AGREE_NUM, 
TMPL.NAME, 
ACC.NAME  AS ACCOUNT_NAME, 
ITM.X_PAYMENT_SEQ_NUM,--X_PAYMENT_SEQ_NUM, --CHG228033
SSP.PAY_STAT_CD,--X_PAID_TYPE_CD, --CHG228033
--X_PAY_PERC_NUM, --CHG228033
--X_EXP_PAY_DT, --CHG228033
SSP.ACTL_PAY_DT, -- X_OBSERVATION_DT, --CHG228033
SSP.PAY_AMT, --X_ACT_AMT, --CHG228033
LAST_NAME, 
FST_NAME, 
CASE WHEN D.CON_PER_ID IS NULL	THEN 'N' ELSE 'Y' END AS PR_CONTACT_FLG, --ACC.PR_CON_ID changed as per CHG229045 
X_GIFT_CARD_NUM, --'Dummy',
C.X_ATTRIB_3,
D.NAME    AGR_NAME, 
B.NAME    TARGET_ACCNT_BU, 
ACC.LOC   TARGET_ACCNT_LOC, 
ACC.NAME  TARGET_ACCNT_NAME, 
D.REV_NUM AGR_REV_NUM, 
B1.NAME   AGR_BU, 
ITM.TYPE  TYPE, 
ITM.NAME,
ITM.ROW_ID,
CON_X.ATTRIB_38, --C.X_ATTRIB_2 changed as per INC2226195 
--ITM.X_PAY_AMOUNT_NUM, --CHG090663 --removed as per CHG228033
ISNULL(SSP.X_PLAN_AMT_NUM, ITM.X_PAY_AMOUNT_NUM), --CHG228033
--CHG161158
C.CELL_PH_NUM,
C.X_ATTRIB_14_CD,
CON_X.ATTRIB_37
FROM  S_DOC_AGREE D 
LEFT OUTER JOIN S_ORG_EXT ACC ON D.TARGET_OU_ID = ACC.PAR_ROW_ID 
LEFT OUTER JOIN S_PAYMENT_PLAN TMPL ON D.X_PAYMENT_PLAN_TEMP_ID = TMPL.ROW_ID 
--LEFT OUTER JOIN CX_AGR_PL_ITEM ITM ON ITM.PAR_ROW_ID = D.ROW_ID --removed as per CHG228033
LEFT OUTER JOIN S_SRC_PAYMENT SSP ON SSP.CONTRACT_ID = D.ROW_ID --CHG228033
LEFT OUTER JOIN CX_AGR_PL_ITEM ITM ON ITM.ROW_ID = SSP.X_PAY_PLAN_ID --CHG228033
--LEFT OUTER JOIN S_CONTACT C ON ACC.PR_CON_ID = C.ROW_ID 
LEFT OUTER JOIN S_CONTACT C ON D.CON_PER_ID = C.ROW_ID --CHG229045
LEFT OUTER JOIN S_CONTACT_X CON_X ON C.ROW_ID = CON_X.ROW_ID --INC2226195
LEFT OUTER JOIN S_BU B ON B.ROW_ID = ACC.BU_ID
LEFT OUTER JOIN S_BU B1 ON B1.ROW_ID=D.BU_ID
--LEFT OUTER JOIN S_PER_PAY_PRFL PPP ON PPP.ROW_ID = C.PR_PER_PAY_PRFL_ID
LEFT OUTER JOIN S_PTY_PAY_PRFL PRFL   ON PRFL.ROW_ID = C.PR_PER_PAY_PRFL_ID
WHERE SSP.PAY_STAT_CD = 'To be Paid' --ITM.X_PAID_TYPE_CD='To be Paid' --CHG228033
AND B.NAME ='Kazakhstan, KZ'</t>
  </si>
  <si>
    <t xml:space="preserve">
UPDATE S_SRC_PAYMENT
SET PAY_STAT_CD='To be Paid'
WHERE ROW_ID IN ('1-OAPDP','1-RCHLB','1-RCHLG','1-PFZGH')</t>
  </si>
  <si>
    <t>Run the workflow 'RUN_OUTBOUND_PM_KZ_V5'</t>
  </si>
  <si>
    <t>Refer to screenshot 1</t>
  </si>
  <si>
    <t xml:space="preserve">4 records updated </t>
  </si>
  <si>
    <t>4 records</t>
  </si>
  <si>
    <t>Check if SSP.PAY_AMT, PAY_STAT_CD, ACTL_PAY_DT, X_PLAN_AMT_NUM, value are correctly exported on the outbound file.</t>
  </si>
  <si>
    <t>Check test data</t>
  </si>
  <si>
    <t>select  SSP.PAY_AMT, SSP.PAY_STAT_CD, SSP.ACTL_PAY_DT, SSP.X_PLAN_AMT_NUM, SSP.* from S_SRC_PAYMENT SSP inner join S_DOC_AGREE D on SSP.CONTRACT_ID = D.ROW_ID
WHERE D.BU_ID = '1-5T6SH' AND SSP.PAY_STAT_CD = 'To be Paid'</t>
  </si>
  <si>
    <t>Export data</t>
  </si>
  <si>
    <t>Check if test data have been updated by EIM</t>
  </si>
  <si>
    <t>SELECT IF_ROW_STAT, * FROM EIM_PAYMENT WHERE IF_ROW_BATCH_NUM BETWEEN 17000 AND 17999
SELECT PAY_STAT_CD FROM S_SRC_PAYMENT
WHERE ROW_ID IN ('1-OAPDP','1-RCHLB','1-RCHLG','1-PFZGH')</t>
  </si>
  <si>
    <t xml:space="preserve">  IMPORTED 
Sent to Bank</t>
  </si>
  <si>
    <t>Repeat step 4 , 5and 6</t>
  </si>
  <si>
    <r>
      <t xml:space="preserve">1 record is inserted
</t>
    </r>
    <r>
      <rPr>
        <b/>
        <sz val="11"/>
        <color rgb="FF00B050"/>
        <rFont val="Book Antiqua"/>
        <family val="1"/>
      </rPr>
      <t>Refer to screenshot 3</t>
    </r>
  </si>
  <si>
    <r>
      <t xml:space="preserve">
</t>
    </r>
    <r>
      <rPr>
        <b/>
        <sz val="11"/>
        <color rgb="FF00B050"/>
        <rFont val="Book Antiqua"/>
        <family val="1"/>
      </rPr>
      <t>Refer to screenshot 4</t>
    </r>
  </si>
  <si>
    <t>RUN_OUTBOUND_PM_KZ_V5</t>
  </si>
  <si>
    <t>PM Outbound</t>
  </si>
  <si>
    <t xml:space="preserve">FDE_INT_PAYMENT_EXPORT_V5_KZ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</si>
</sst>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1"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1"/>
      <name val="Book Antiqua"/>
      <family val="1"/>
    </font>
    <font>
      <b/>
      <sz val="10"/>
      <color rgb="FF00B050"/>
      <name val="Arial"/>
      <family val="2"/>
    </font>
    <font>
      <b/>
      <sz val="11"/>
      <color rgb="FF00B050"/>
      <name val="Book Antiqua"/>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
      <patternFill patternType="solid">
        <fgColor theme="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16">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0" fontId="30" fillId="29" borderId="10" xfId="37" applyFont="1" applyFill="1" applyBorder="1" applyAlignment="1">
      <alignment vertical="top"/>
    </xf>
    <xf numFmtId="0" fontId="38" fillId="29" borderId="10" xfId="37" applyFill="1" applyBorder="1" applyAlignment="1">
      <alignment vertical="top" wrapText="1"/>
    </xf>
    <xf numFmtId="0" fontId="38" fillId="29" borderId="10" xfId="37" applyFill="1" applyBorder="1" applyAlignment="1">
      <alignment horizontal="left" vertical="top" wrapText="1"/>
    </xf>
    <xf numFmtId="0" fontId="38" fillId="0" borderId="10" xfId="37" applyBorder="1" applyAlignment="1">
      <alignment vertical="top" wrapText="1"/>
    </xf>
    <xf numFmtId="0" fontId="38" fillId="0" borderId="10" xfId="37" applyBorder="1" applyAlignment="1">
      <alignment vertical="top"/>
    </xf>
    <xf numFmtId="0" fontId="3" fillId="0" borderId="10" xfId="0" applyFont="1" applyBorder="1" applyAlignment="1">
      <alignment vertical="top"/>
    </xf>
    <xf numFmtId="0" fontId="38" fillId="0" borderId="10" xfId="0" applyFont="1" applyBorder="1" applyAlignment="1">
      <alignment vertical="top"/>
    </xf>
    <xf numFmtId="0" fontId="3" fillId="0" borderId="10" xfId="0" applyFont="1" applyBorder="1" applyAlignment="1">
      <alignment vertical="top" wrapText="1"/>
    </xf>
    <xf numFmtId="0" fontId="38" fillId="29" borderId="10" xfId="37" applyFont="1" applyFill="1" applyBorder="1" applyAlignment="1">
      <alignment vertical="top" wrapText="1"/>
    </xf>
    <xf numFmtId="0" fontId="38" fillId="29" borderId="10" xfId="37" applyFont="1" applyFill="1" applyBorder="1" applyAlignment="1">
      <alignment horizontal="left" vertical="top" wrapText="1"/>
    </xf>
    <xf numFmtId="0" fontId="38" fillId="29" borderId="10" xfId="37" applyFill="1" applyBorder="1"/>
    <xf numFmtId="0" fontId="30" fillId="29" borderId="10" xfId="37" applyFont="1" applyFill="1" applyBorder="1" applyAlignment="1">
      <alignment wrapText="1"/>
    </xf>
    <xf numFmtId="0" fontId="38" fillId="29" borderId="0" xfId="37" applyFill="1"/>
    <xf numFmtId="0" fontId="49" fillId="0" borderId="10" xfId="0" applyFont="1" applyBorder="1" applyAlignment="1">
      <alignment vertical="top" wrapText="1"/>
    </xf>
    <xf numFmtId="0" fontId="48" fillId="0" borderId="10" xfId="37" applyFont="1" applyBorder="1" applyAlignment="1">
      <alignment horizontal="left" vertical="top" wrapText="1"/>
    </xf>
    <xf numFmtId="0" fontId="50" fillId="0" borderId="10" xfId="37" applyFont="1" applyBorder="1" applyAlignment="1">
      <alignment horizontal="left" vertical="top"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45</xdr:row>
      <xdr:rowOff>135255</xdr:rowOff>
    </xdr:from>
    <xdr:to>
      <xdr:col>12</xdr:col>
      <xdr:colOff>250197</xdr:colOff>
      <xdr:row>60</xdr:row>
      <xdr:rowOff>20650</xdr:rowOff>
    </xdr:to>
    <xdr:pic>
      <xdr:nvPicPr>
        <xdr:cNvPr id="3" name="Picture 2">
          <a:extLst>
            <a:ext uri="{FF2B5EF4-FFF2-40B4-BE49-F238E27FC236}">
              <a16:creationId xmlns:a16="http://schemas.microsoft.com/office/drawing/2014/main" id="{1390C0FF-208A-4242-BC62-529C4F52028A}"/>
            </a:ext>
          </a:extLst>
        </xdr:cNvPr>
        <xdr:cNvPicPr>
          <a:picLocks noChangeAspect="1"/>
        </xdr:cNvPicPr>
      </xdr:nvPicPr>
      <xdr:blipFill>
        <a:blip xmlns:r="http://schemas.openxmlformats.org/officeDocument/2006/relationships" r:embed="rId1"/>
        <a:stretch>
          <a:fillRect/>
        </a:stretch>
      </xdr:blipFill>
      <xdr:spPr>
        <a:xfrm>
          <a:off x="76200" y="6821805"/>
          <a:ext cx="10104762" cy="2443810"/>
        </a:xfrm>
        <a:prstGeom prst="rect">
          <a:avLst/>
        </a:prstGeom>
      </xdr:spPr>
    </xdr:pic>
    <xdr:clientData/>
  </xdr:twoCellAnchor>
  <xdr:twoCellAnchor editAs="oneCell">
    <xdr:from>
      <xdr:col>0</xdr:col>
      <xdr:colOff>0</xdr:colOff>
      <xdr:row>3</xdr:row>
      <xdr:rowOff>76201</xdr:rowOff>
    </xdr:from>
    <xdr:to>
      <xdr:col>13</xdr:col>
      <xdr:colOff>320040</xdr:colOff>
      <xdr:row>15</xdr:row>
      <xdr:rowOff>92929</xdr:rowOff>
    </xdr:to>
    <xdr:pic>
      <xdr:nvPicPr>
        <xdr:cNvPr id="5" name="Picture 4">
          <a:extLst>
            <a:ext uri="{FF2B5EF4-FFF2-40B4-BE49-F238E27FC236}">
              <a16:creationId xmlns:a16="http://schemas.microsoft.com/office/drawing/2014/main" id="{69BEA7E8-B6E4-467A-828B-8BEB0E669A91}"/>
            </a:ext>
          </a:extLst>
        </xdr:cNvPr>
        <xdr:cNvPicPr>
          <a:picLocks noChangeAspect="1"/>
        </xdr:cNvPicPr>
      </xdr:nvPicPr>
      <xdr:blipFill>
        <a:blip xmlns:r="http://schemas.openxmlformats.org/officeDocument/2006/relationships" r:embed="rId2"/>
        <a:stretch>
          <a:fillRect/>
        </a:stretch>
      </xdr:blipFill>
      <xdr:spPr>
        <a:xfrm>
          <a:off x="0" y="590551"/>
          <a:ext cx="10887075" cy="2066508"/>
        </a:xfrm>
        <a:prstGeom prst="rect">
          <a:avLst/>
        </a:prstGeom>
      </xdr:spPr>
    </xdr:pic>
    <xdr:clientData/>
  </xdr:twoCellAnchor>
  <xdr:twoCellAnchor editAs="oneCell">
    <xdr:from>
      <xdr:col>0</xdr:col>
      <xdr:colOff>131446</xdr:colOff>
      <xdr:row>18</xdr:row>
      <xdr:rowOff>106681</xdr:rowOff>
    </xdr:from>
    <xdr:to>
      <xdr:col>7</xdr:col>
      <xdr:colOff>182881</xdr:colOff>
      <xdr:row>41</xdr:row>
      <xdr:rowOff>16193</xdr:rowOff>
    </xdr:to>
    <xdr:pic>
      <xdr:nvPicPr>
        <xdr:cNvPr id="7" name="Picture 6">
          <a:extLst>
            <a:ext uri="{FF2B5EF4-FFF2-40B4-BE49-F238E27FC236}">
              <a16:creationId xmlns:a16="http://schemas.microsoft.com/office/drawing/2014/main" id="{B8AA4CED-C1F6-46FF-838F-048BD15E198D}"/>
            </a:ext>
          </a:extLst>
        </xdr:cNvPr>
        <xdr:cNvPicPr>
          <a:picLocks noChangeAspect="1"/>
        </xdr:cNvPicPr>
      </xdr:nvPicPr>
      <xdr:blipFill>
        <a:blip xmlns:r="http://schemas.openxmlformats.org/officeDocument/2006/relationships" r:embed="rId3"/>
        <a:stretch>
          <a:fillRect/>
        </a:stretch>
      </xdr:blipFill>
      <xdr:spPr>
        <a:xfrm>
          <a:off x="131446" y="3192781"/>
          <a:ext cx="6842760" cy="3852862"/>
        </a:xfrm>
        <a:prstGeom prst="rect">
          <a:avLst/>
        </a:prstGeom>
      </xdr:spPr>
    </xdr:pic>
    <xdr:clientData/>
  </xdr:twoCellAnchor>
  <xdr:twoCellAnchor editAs="oneCell">
    <xdr:from>
      <xdr:col>0</xdr:col>
      <xdr:colOff>0</xdr:colOff>
      <xdr:row>64</xdr:row>
      <xdr:rowOff>1</xdr:rowOff>
    </xdr:from>
    <xdr:to>
      <xdr:col>16</xdr:col>
      <xdr:colOff>132052</xdr:colOff>
      <xdr:row>73</xdr:row>
      <xdr:rowOff>95251</xdr:rowOff>
    </xdr:to>
    <xdr:pic>
      <xdr:nvPicPr>
        <xdr:cNvPr id="8" name="Picture 7">
          <a:extLst>
            <a:ext uri="{FF2B5EF4-FFF2-40B4-BE49-F238E27FC236}">
              <a16:creationId xmlns:a16="http://schemas.microsoft.com/office/drawing/2014/main" id="{D149F3FA-70CF-42B6-AFF0-6FF45F2EE952}"/>
            </a:ext>
          </a:extLst>
        </xdr:cNvPr>
        <xdr:cNvPicPr>
          <a:picLocks noChangeAspect="1"/>
        </xdr:cNvPicPr>
      </xdr:nvPicPr>
      <xdr:blipFill>
        <a:blip xmlns:r="http://schemas.openxmlformats.org/officeDocument/2006/relationships" r:embed="rId4"/>
        <a:stretch>
          <a:fillRect/>
        </a:stretch>
      </xdr:blipFill>
      <xdr:spPr>
        <a:xfrm>
          <a:off x="0" y="10972801"/>
          <a:ext cx="12581227" cy="1638300"/>
        </a:xfrm>
        <a:prstGeom prst="rect">
          <a:avLst/>
        </a:prstGeom>
      </xdr:spPr>
    </xdr:pic>
    <xdr:clientData/>
  </xdr:twoCellAnchor>
  <xdr:twoCellAnchor editAs="oneCell">
    <xdr:from>
      <xdr:col>0</xdr:col>
      <xdr:colOff>57150</xdr:colOff>
      <xdr:row>74</xdr:row>
      <xdr:rowOff>47625</xdr:rowOff>
    </xdr:from>
    <xdr:to>
      <xdr:col>3</xdr:col>
      <xdr:colOff>578520</xdr:colOff>
      <xdr:row>84</xdr:row>
      <xdr:rowOff>108364</xdr:rowOff>
    </xdr:to>
    <xdr:pic>
      <xdr:nvPicPr>
        <xdr:cNvPr id="9" name="Picture 8">
          <a:extLst>
            <a:ext uri="{FF2B5EF4-FFF2-40B4-BE49-F238E27FC236}">
              <a16:creationId xmlns:a16="http://schemas.microsoft.com/office/drawing/2014/main" id="{AF7B0C1E-C26D-44B2-BDAE-EC7847B0A830}"/>
            </a:ext>
          </a:extLst>
        </xdr:cNvPr>
        <xdr:cNvPicPr>
          <a:picLocks noChangeAspect="1"/>
        </xdr:cNvPicPr>
      </xdr:nvPicPr>
      <xdr:blipFill>
        <a:blip xmlns:r="http://schemas.openxmlformats.org/officeDocument/2006/relationships" r:embed="rId5"/>
        <a:stretch>
          <a:fillRect/>
        </a:stretch>
      </xdr:blipFill>
      <xdr:spPr>
        <a:xfrm>
          <a:off x="57150" y="12734925"/>
          <a:ext cx="4798095" cy="17752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76" zoomScale="66" workbookViewId="0">
      <selection activeCell="Q28" sqref="Q28"/>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96" t="s">
        <v>2</v>
      </c>
      <c r="B13" s="96"/>
      <c r="C13" s="96"/>
      <c r="D13" s="96"/>
      <c r="E13" s="96"/>
      <c r="F13" s="96"/>
      <c r="G13" s="96"/>
      <c r="H13" s="96"/>
      <c r="I13" s="96"/>
      <c r="J13" s="96"/>
      <c r="K13" s="96"/>
      <c r="L13" s="96"/>
      <c r="M13" s="96"/>
      <c r="N13" s="96"/>
      <c r="O13" s="96"/>
      <c r="P13" s="96"/>
      <c r="Q13" s="96"/>
      <c r="R13" s="96"/>
      <c r="S13" s="96"/>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7" t="s">
        <v>17</v>
      </c>
      <c r="B18" s="97"/>
      <c r="C18" s="97"/>
      <c r="D18" s="97"/>
      <c r="E18" s="97"/>
      <c r="F18" s="97"/>
      <c r="G18" s="97"/>
      <c r="H18" s="97"/>
      <c r="I18" s="97"/>
      <c r="J18" s="97"/>
      <c r="K18" s="97"/>
      <c r="L18" s="97"/>
      <c r="M18" s="97"/>
      <c r="N18" s="97"/>
      <c r="O18" s="97"/>
      <c r="P18" s="97"/>
      <c r="Q18" s="97"/>
      <c r="R18" s="97"/>
      <c r="S18" s="97"/>
    </row>
    <row r="19" spans="1:19" s="15" customFormat="1" ht="40.65" customHeight="1" x14ac:dyDescent="0.25">
      <c r="A19" s="98" t="s">
        <v>1</v>
      </c>
      <c r="B19" s="98"/>
      <c r="C19" s="98"/>
      <c r="D19" s="98"/>
      <c r="E19" s="98"/>
      <c r="F19" s="98"/>
      <c r="G19" s="98"/>
      <c r="H19" s="98"/>
      <c r="I19" s="98"/>
      <c r="J19" s="98"/>
      <c r="K19" s="98"/>
      <c r="L19" s="98"/>
      <c r="M19" s="98"/>
      <c r="N19" s="98"/>
      <c r="O19" s="98"/>
      <c r="P19" s="98"/>
      <c r="Q19" s="98"/>
      <c r="R19" s="98"/>
      <c r="S19" s="98"/>
    </row>
    <row r="20" spans="1:19" s="15" customFormat="1" ht="13.8" x14ac:dyDescent="0.25">
      <c r="A20" s="16"/>
      <c r="B20" s="16"/>
      <c r="C20" s="16"/>
      <c r="D20" s="16"/>
      <c r="E20" s="16"/>
      <c r="F20" s="16"/>
      <c r="G20" s="16"/>
      <c r="H20" s="16"/>
      <c r="I20" s="16"/>
      <c r="J20" s="16"/>
    </row>
    <row r="21" spans="1:19" s="15" customFormat="1" ht="58.65" customHeight="1" x14ac:dyDescent="0.25">
      <c r="A21" s="99" t="s">
        <v>73</v>
      </c>
      <c r="B21" s="99"/>
      <c r="C21" s="99"/>
      <c r="D21" s="99"/>
      <c r="E21" s="99"/>
      <c r="F21" s="99"/>
      <c r="G21" s="99"/>
      <c r="H21" s="99"/>
      <c r="I21" s="99"/>
      <c r="J21" s="6"/>
      <c r="K21" s="100" t="s">
        <v>89</v>
      </c>
      <c r="L21" s="100"/>
      <c r="M21" s="100"/>
      <c r="N21" s="100"/>
      <c r="O21" s="100"/>
      <c r="P21" s="100"/>
      <c r="Q21" s="100"/>
      <c r="R21" s="100"/>
      <c r="S21" s="100"/>
    </row>
    <row r="22" spans="1:19" s="15" customFormat="1" ht="13.8" x14ac:dyDescent="0.25">
      <c r="A22" s="16"/>
      <c r="B22" s="16"/>
      <c r="C22" s="16"/>
      <c r="D22" s="16"/>
      <c r="E22" s="16"/>
      <c r="F22" s="16"/>
      <c r="G22" s="16"/>
      <c r="H22" s="16"/>
      <c r="I22" s="16"/>
      <c r="J22" s="16"/>
    </row>
    <row r="23" spans="1:19" s="15" customFormat="1" ht="70.2" customHeight="1" x14ac:dyDescent="0.25">
      <c r="A23" s="103" t="s">
        <v>18</v>
      </c>
      <c r="B23" s="103"/>
      <c r="C23" s="103"/>
      <c r="D23" s="103"/>
      <c r="E23" s="103"/>
      <c r="F23" s="103"/>
      <c r="G23" s="103"/>
      <c r="H23" s="103"/>
      <c r="I23" s="103"/>
      <c r="J23" s="7"/>
      <c r="K23" s="104" t="s">
        <v>108</v>
      </c>
      <c r="L23" s="104"/>
      <c r="M23" s="104"/>
      <c r="N23" s="104"/>
      <c r="O23" s="104"/>
      <c r="P23" s="104"/>
      <c r="Q23" s="104"/>
      <c r="R23" s="104"/>
      <c r="S23" s="104"/>
    </row>
    <row r="24" spans="1:19" s="15" customFormat="1" ht="13.8" x14ac:dyDescent="0.25">
      <c r="A24" s="16"/>
      <c r="B24" s="16"/>
      <c r="C24" s="16"/>
      <c r="D24" s="16"/>
      <c r="E24" s="16"/>
      <c r="F24" s="16"/>
      <c r="G24" s="16"/>
      <c r="H24" s="16"/>
      <c r="I24" s="16"/>
      <c r="J24" s="16"/>
    </row>
    <row r="25" spans="1:19" s="15" customFormat="1" ht="70.2" customHeight="1" x14ac:dyDescent="0.25">
      <c r="A25" s="105" t="s">
        <v>3</v>
      </c>
      <c r="B25" s="105"/>
      <c r="C25" s="105"/>
      <c r="D25" s="105"/>
      <c r="E25" s="105"/>
      <c r="F25" s="105"/>
      <c r="G25" s="105"/>
      <c r="H25" s="105"/>
      <c r="I25" s="105"/>
      <c r="J25" s="7"/>
      <c r="K25" s="106" t="s">
        <v>88</v>
      </c>
      <c r="L25" s="106"/>
      <c r="M25" s="106"/>
      <c r="N25" s="106"/>
      <c r="O25" s="106"/>
      <c r="P25" s="106"/>
      <c r="Q25" s="106"/>
      <c r="R25" s="106"/>
      <c r="S25" s="106"/>
    </row>
    <row r="26" spans="1:19" s="15" customFormat="1" ht="13.8" x14ac:dyDescent="0.25">
      <c r="A26" s="16"/>
      <c r="B26" s="16"/>
      <c r="C26" s="16"/>
      <c r="D26" s="16"/>
      <c r="E26" s="16"/>
      <c r="F26" s="16"/>
      <c r="G26" s="16"/>
      <c r="H26" s="16"/>
      <c r="I26" s="16"/>
      <c r="J26" s="16"/>
    </row>
    <row r="27" spans="1:19" ht="27" customHeight="1" x14ac:dyDescent="0.25">
      <c r="A27" s="101" t="s">
        <v>13</v>
      </c>
      <c r="B27" s="101"/>
      <c r="C27" s="101"/>
      <c r="D27" s="101"/>
      <c r="E27" s="101"/>
      <c r="F27" s="101"/>
      <c r="G27" s="101"/>
      <c r="H27" s="101"/>
      <c r="I27" s="101"/>
      <c r="K27" s="102" t="s">
        <v>19</v>
      </c>
      <c r="L27" s="102"/>
      <c r="M27" s="102"/>
      <c r="N27" s="102"/>
      <c r="O27" s="102"/>
      <c r="P27" s="102"/>
      <c r="Q27" s="102"/>
      <c r="R27" s="102"/>
      <c r="S27" s="102"/>
    </row>
    <row r="28" spans="1:19" ht="27" customHeight="1" x14ac:dyDescent="0.25">
      <c r="A28" s="101"/>
      <c r="B28" s="101"/>
      <c r="C28" s="101"/>
      <c r="D28" s="101"/>
      <c r="E28" s="101"/>
      <c r="F28" s="101"/>
      <c r="G28" s="101"/>
      <c r="H28" s="101"/>
      <c r="I28" s="101"/>
      <c r="K28" s="102"/>
      <c r="L28" s="102"/>
      <c r="M28" s="102"/>
      <c r="N28" s="102"/>
      <c r="O28" s="17"/>
      <c r="P28" s="17"/>
      <c r="Q28" s="17"/>
      <c r="R28" s="17"/>
      <c r="S28" s="17"/>
    </row>
    <row r="29" spans="1:19" ht="27" customHeight="1" x14ac:dyDescent="0.25">
      <c r="A29" s="101"/>
      <c r="B29" s="101"/>
      <c r="C29" s="101"/>
      <c r="D29" s="101"/>
      <c r="E29" s="101"/>
      <c r="F29" s="101"/>
      <c r="G29" s="101"/>
      <c r="H29" s="101"/>
      <c r="I29" s="101"/>
      <c r="K29" s="102"/>
      <c r="L29" s="102"/>
      <c r="M29" s="102"/>
      <c r="N29" s="102"/>
      <c r="O29" s="102"/>
      <c r="P29" s="102"/>
      <c r="Q29" s="102"/>
      <c r="R29" s="102"/>
      <c r="S29" s="102"/>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44658</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9" workbookViewId="0">
      <selection activeCell="C17" sqref="C17:C29"/>
    </sheetView>
  </sheetViews>
  <sheetFormatPr defaultColWidth="8" defaultRowHeight="13.2" x14ac:dyDescent="0.25"/>
  <cols>
    <col min="1" max="1" width="54.109375" style="2" customWidth="1"/>
    <col min="2" max="2" width="86.44140625" style="49" customWidth="1"/>
    <col min="3" max="3" width="25.109375" style="2" bestFit="1" customWidth="1"/>
    <col min="4" max="16384" width="8" style="2"/>
  </cols>
  <sheetData>
    <row r="1" spans="1:3" hidden="1" x14ac:dyDescent="0.25">
      <c r="A1" s="1" t="s">
        <v>5</v>
      </c>
    </row>
    <row r="2" spans="1:3" hidden="1" x14ac:dyDescent="0.25">
      <c r="A2" s="3" t="s">
        <v>20</v>
      </c>
      <c r="B2" s="50" t="s">
        <v>6</v>
      </c>
    </row>
    <row r="3" spans="1:3" hidden="1" x14ac:dyDescent="0.25">
      <c r="A3" s="3" t="s">
        <v>20</v>
      </c>
      <c r="B3" s="50" t="s">
        <v>6</v>
      </c>
    </row>
    <row r="4" spans="1:3" hidden="1" x14ac:dyDescent="0.25">
      <c r="A4" s="3" t="s">
        <v>21</v>
      </c>
      <c r="B4" s="50" t="s">
        <v>7</v>
      </c>
    </row>
    <row r="5" spans="1:3" hidden="1" x14ac:dyDescent="0.25">
      <c r="A5" s="3" t="s">
        <v>22</v>
      </c>
      <c r="B5" s="50" t="s">
        <v>7</v>
      </c>
    </row>
    <row r="6" spans="1:3" x14ac:dyDescent="0.25">
      <c r="A6" s="5"/>
      <c r="B6" s="51"/>
      <c r="C6" s="4"/>
    </row>
    <row r="7" spans="1:3" x14ac:dyDescent="0.25">
      <c r="A7" s="30"/>
      <c r="B7" s="51"/>
      <c r="C7" s="4"/>
    </row>
    <row r="8" spans="1:3" ht="28.2" x14ac:dyDescent="0.25">
      <c r="A8" s="107" t="s">
        <v>1</v>
      </c>
      <c r="B8" s="107"/>
      <c r="C8" s="29" t="s">
        <v>8</v>
      </c>
    </row>
    <row r="9" spans="1:3" x14ac:dyDescent="0.25">
      <c r="A9" s="4"/>
      <c r="B9" s="51"/>
      <c r="C9" s="4"/>
    </row>
    <row r="10" spans="1:3" x14ac:dyDescent="0.25">
      <c r="A10" s="5" t="s">
        <v>9</v>
      </c>
      <c r="B10" s="108" t="s">
        <v>10</v>
      </c>
      <c r="C10" s="108"/>
    </row>
    <row r="11" spans="1:3" x14ac:dyDescent="0.25">
      <c r="A11" s="25" t="s">
        <v>11</v>
      </c>
      <c r="B11" s="21" t="s">
        <v>90</v>
      </c>
      <c r="C11" s="22"/>
    </row>
    <row r="12" spans="1:3" x14ac:dyDescent="0.25">
      <c r="A12" s="30"/>
      <c r="B12" s="51"/>
      <c r="C12" s="4"/>
    </row>
    <row r="13" spans="1:3" x14ac:dyDescent="0.25">
      <c r="A13" s="30"/>
      <c r="B13" s="51"/>
      <c r="C13" s="4"/>
    </row>
    <row r="14" spans="1:3" ht="19.649999999999999" customHeight="1" x14ac:dyDescent="0.25">
      <c r="A14" s="26" t="str">
        <f>CONCATENATE("To be Performed by Tester : ",'Test Cycle 1'!H2)</f>
        <v>To be Performed by Tester : Frank</v>
      </c>
      <c r="B14" s="52"/>
      <c r="C14" s="4"/>
    </row>
    <row r="15" spans="1:3" ht="21.9" customHeight="1" x14ac:dyDescent="0.3">
      <c r="A15" s="31" t="s">
        <v>23</v>
      </c>
      <c r="B15" s="109"/>
      <c r="C15" s="110"/>
    </row>
    <row r="16" spans="1:3" ht="39.75" customHeight="1" x14ac:dyDescent="0.25">
      <c r="A16" s="28" t="s">
        <v>24</v>
      </c>
      <c r="B16" s="28" t="s">
        <v>12</v>
      </c>
      <c r="C16" s="23" t="s">
        <v>25</v>
      </c>
    </row>
    <row r="17" spans="1:3" x14ac:dyDescent="0.25">
      <c r="A17" s="24" t="s">
        <v>26</v>
      </c>
      <c r="B17" s="53"/>
      <c r="C17" s="27" t="s">
        <v>82</v>
      </c>
    </row>
    <row r="18" spans="1:3" x14ac:dyDescent="0.25">
      <c r="A18" s="24" t="s">
        <v>27</v>
      </c>
      <c r="B18" s="53"/>
      <c r="C18" s="27" t="s">
        <v>82</v>
      </c>
    </row>
    <row r="19" spans="1:3" x14ac:dyDescent="0.25">
      <c r="A19" s="24" t="s">
        <v>28</v>
      </c>
      <c r="B19" s="53"/>
      <c r="C19" s="27" t="s">
        <v>81</v>
      </c>
    </row>
    <row r="20" spans="1:3" x14ac:dyDescent="0.25">
      <c r="A20" s="24" t="s">
        <v>75</v>
      </c>
      <c r="B20" s="54"/>
      <c r="C20" s="27" t="s">
        <v>81</v>
      </c>
    </row>
    <row r="21" spans="1:3" x14ac:dyDescent="0.25">
      <c r="A21" s="24" t="s">
        <v>76</v>
      </c>
      <c r="B21" s="53"/>
      <c r="C21" s="27" t="s">
        <v>81</v>
      </c>
    </row>
    <row r="22" spans="1:3" x14ac:dyDescent="0.25">
      <c r="A22" s="24" t="s">
        <v>78</v>
      </c>
      <c r="B22" s="53"/>
      <c r="C22" s="27" t="s">
        <v>81</v>
      </c>
    </row>
    <row r="23" spans="1:3" x14ac:dyDescent="0.25">
      <c r="A23" s="24" t="s">
        <v>77</v>
      </c>
      <c r="B23" s="58"/>
      <c r="C23" s="27" t="s">
        <v>82</v>
      </c>
    </row>
    <row r="24" spans="1:3" x14ac:dyDescent="0.25">
      <c r="A24" s="24" t="s">
        <v>29</v>
      </c>
      <c r="B24" s="53"/>
      <c r="C24" s="27" t="s">
        <v>81</v>
      </c>
    </row>
    <row r="25" spans="1:3" x14ac:dyDescent="0.25">
      <c r="A25" s="24" t="s">
        <v>30</v>
      </c>
      <c r="B25" s="53"/>
      <c r="C25" s="27" t="s">
        <v>82</v>
      </c>
    </row>
    <row r="26" spans="1:3" ht="26.4" x14ac:dyDescent="0.25">
      <c r="A26" s="24" t="s">
        <v>31</v>
      </c>
      <c r="B26" s="27"/>
      <c r="C26" s="27" t="s">
        <v>82</v>
      </c>
    </row>
    <row r="27" spans="1:3" x14ac:dyDescent="0.25">
      <c r="A27" s="24" t="s">
        <v>54</v>
      </c>
      <c r="B27" s="27"/>
      <c r="C27" s="27" t="s">
        <v>81</v>
      </c>
    </row>
    <row r="28" spans="1:3" x14ac:dyDescent="0.25">
      <c r="A28" s="24" t="s">
        <v>79</v>
      </c>
      <c r="B28" s="53"/>
      <c r="C28" s="27" t="s">
        <v>82</v>
      </c>
    </row>
    <row r="29" spans="1:3" x14ac:dyDescent="0.25">
      <c r="A29" s="24" t="s">
        <v>80</v>
      </c>
      <c r="B29" s="53"/>
      <c r="C29" s="27" t="s">
        <v>81</v>
      </c>
    </row>
    <row r="30" spans="1:3" x14ac:dyDescent="0.25">
      <c r="A30" s="43"/>
      <c r="B30" s="55"/>
      <c r="C30" s="44"/>
    </row>
    <row r="31" spans="1:3" x14ac:dyDescent="0.25">
      <c r="A31" s="45"/>
      <c r="B31" s="56"/>
      <c r="C31" s="45"/>
    </row>
    <row r="32" spans="1:3" x14ac:dyDescent="0.25">
      <c r="A32" s="42" t="str">
        <f>CONCATENATE("To be Performed by Reviewer : ",'Test Cycle 1'!H3)</f>
        <v xml:space="preserve">To be Performed by Reviewer : </v>
      </c>
      <c r="B32" s="52"/>
      <c r="C32" s="4"/>
    </row>
    <row r="33" spans="1:3" ht="14.4" x14ac:dyDescent="0.3">
      <c r="A33" s="31" t="s">
        <v>23</v>
      </c>
      <c r="B33" s="109"/>
      <c r="C33" s="110"/>
    </row>
    <row r="34" spans="1:3" ht="26.4" x14ac:dyDescent="0.25">
      <c r="A34" s="28" t="s">
        <v>24</v>
      </c>
      <c r="B34" s="28"/>
      <c r="C34" s="23" t="s">
        <v>25</v>
      </c>
    </row>
    <row r="35" spans="1:3" x14ac:dyDescent="0.25">
      <c r="A35" s="24" t="s">
        <v>32</v>
      </c>
      <c r="B35" s="53"/>
      <c r="C35" s="27"/>
    </row>
    <row r="36" spans="1:3" x14ac:dyDescent="0.25">
      <c r="A36" s="24" t="s">
        <v>33</v>
      </c>
      <c r="B36" s="53"/>
      <c r="C36" s="27"/>
    </row>
    <row r="37" spans="1:3" x14ac:dyDescent="0.25">
      <c r="A37" s="24" t="s">
        <v>74</v>
      </c>
      <c r="B37" s="53"/>
      <c r="C37" s="27"/>
    </row>
    <row r="38" spans="1:3" x14ac:dyDescent="0.25">
      <c r="A38" s="24" t="s">
        <v>34</v>
      </c>
      <c r="B38" s="53"/>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6"/>
  <sheetViews>
    <sheetView tabSelected="1" zoomScale="70" zoomScaleNormal="70" workbookViewId="0">
      <selection activeCell="E7" sqref="E7"/>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9"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111" t="s">
        <v>127</v>
      </c>
      <c r="C1" s="112"/>
      <c r="D1" s="112"/>
      <c r="E1" s="70" t="s">
        <v>44</v>
      </c>
      <c r="F1" s="36" t="s">
        <v>126</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111" t="s">
        <v>125</v>
      </c>
      <c r="C2" s="112"/>
      <c r="D2" s="112"/>
      <c r="E2" s="70" t="s">
        <v>47</v>
      </c>
      <c r="F2" s="38">
        <v>44655</v>
      </c>
      <c r="G2" s="35" t="s">
        <v>48</v>
      </c>
      <c r="H2" s="41" t="s">
        <v>83</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49</v>
      </c>
      <c r="B3" s="113" t="s">
        <v>37</v>
      </c>
      <c r="C3" s="113"/>
      <c r="D3" s="113"/>
      <c r="E3" s="70" t="s">
        <v>50</v>
      </c>
      <c r="F3" s="39"/>
      <c r="G3" s="35" t="s">
        <v>51</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53</v>
      </c>
      <c r="B4" s="114" t="s">
        <v>107</v>
      </c>
      <c r="C4" s="115"/>
      <c r="D4" s="115"/>
      <c r="E4" s="115"/>
      <c r="F4" s="115"/>
      <c r="G4" s="115"/>
      <c r="H4" s="115"/>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9" t="s">
        <v>65</v>
      </c>
      <c r="B5" s="69" t="s">
        <v>66</v>
      </c>
      <c r="C5" s="69" t="s">
        <v>67</v>
      </c>
      <c r="D5" s="69" t="s">
        <v>68</v>
      </c>
      <c r="E5" s="69" t="s">
        <v>69</v>
      </c>
      <c r="F5" s="69" t="s">
        <v>70</v>
      </c>
      <c r="G5" s="69" t="s">
        <v>71</v>
      </c>
      <c r="H5" s="69" t="s">
        <v>72</v>
      </c>
      <c r="I5" s="69" t="s">
        <v>63</v>
      </c>
      <c r="J5" s="69" t="s">
        <v>64</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99" customHeight="1" x14ac:dyDescent="0.3">
      <c r="A6" s="46">
        <v>1</v>
      </c>
      <c r="B6" s="81" t="s">
        <v>91</v>
      </c>
      <c r="C6" s="81" t="s">
        <v>92</v>
      </c>
      <c r="D6" s="82" t="s">
        <v>93</v>
      </c>
      <c r="E6" s="48" t="s">
        <v>110</v>
      </c>
      <c r="F6" s="48" t="s">
        <v>113</v>
      </c>
      <c r="G6" s="76" t="s">
        <v>109</v>
      </c>
      <c r="H6" s="47" t="s">
        <v>114</v>
      </c>
      <c r="I6" s="37"/>
      <c r="J6" s="40"/>
      <c r="AY6" s="34" t="s">
        <v>45</v>
      </c>
    </row>
    <row r="7" spans="1:55" s="33" customFormat="1" ht="99" customHeight="1" x14ac:dyDescent="0.3">
      <c r="A7" s="46">
        <v>2</v>
      </c>
      <c r="B7" s="81" t="s">
        <v>116</v>
      </c>
      <c r="C7" s="81" t="s">
        <v>92</v>
      </c>
      <c r="D7" s="82" t="s">
        <v>93</v>
      </c>
      <c r="E7" s="76" t="s">
        <v>117</v>
      </c>
      <c r="F7" s="76" t="s">
        <v>113</v>
      </c>
      <c r="G7" s="76" t="s">
        <v>117</v>
      </c>
      <c r="H7" s="93" t="s">
        <v>112</v>
      </c>
      <c r="I7" s="37"/>
      <c r="J7" s="40"/>
      <c r="AY7" s="34"/>
    </row>
    <row r="8" spans="1:55" s="33" customFormat="1" ht="116.25" customHeight="1" x14ac:dyDescent="0.3">
      <c r="A8" s="46">
        <v>3</v>
      </c>
      <c r="B8" s="86" t="s">
        <v>118</v>
      </c>
      <c r="C8" s="87" t="s">
        <v>111</v>
      </c>
      <c r="D8" s="85" t="s">
        <v>81</v>
      </c>
      <c r="E8" s="85" t="s">
        <v>81</v>
      </c>
      <c r="F8" s="85" t="s">
        <v>81</v>
      </c>
      <c r="G8" s="85" t="s">
        <v>81</v>
      </c>
      <c r="H8" s="87" t="s">
        <v>94</v>
      </c>
      <c r="I8" s="37"/>
      <c r="J8" s="40"/>
      <c r="AY8" s="34"/>
    </row>
    <row r="9" spans="1:55" s="33" customFormat="1" ht="74.400000000000006" customHeight="1" x14ac:dyDescent="0.3">
      <c r="A9" s="46">
        <v>4</v>
      </c>
      <c r="B9" s="86" t="s">
        <v>95</v>
      </c>
      <c r="C9" s="87" t="s">
        <v>96</v>
      </c>
      <c r="D9" s="87" t="s">
        <v>97</v>
      </c>
      <c r="E9" s="87" t="s">
        <v>98</v>
      </c>
      <c r="F9" s="93" t="s">
        <v>99</v>
      </c>
      <c r="G9" s="87" t="s">
        <v>115</v>
      </c>
      <c r="H9" s="93" t="s">
        <v>99</v>
      </c>
      <c r="I9" s="37"/>
      <c r="J9" s="57"/>
      <c r="AY9" s="34" t="s">
        <v>52</v>
      </c>
    </row>
    <row r="10" spans="1:55" s="33" customFormat="1" ht="86.4" x14ac:dyDescent="0.3">
      <c r="A10" s="46">
        <v>5</v>
      </c>
      <c r="B10" s="84" t="s">
        <v>100</v>
      </c>
      <c r="C10" s="81" t="s">
        <v>92</v>
      </c>
      <c r="D10" s="84" t="s">
        <v>101</v>
      </c>
      <c r="E10" s="77" t="s">
        <v>102</v>
      </c>
      <c r="F10" s="77" t="s">
        <v>103</v>
      </c>
      <c r="G10" s="77" t="s">
        <v>102</v>
      </c>
      <c r="H10" s="94" t="s">
        <v>123</v>
      </c>
      <c r="I10" s="37"/>
      <c r="J10" s="57"/>
      <c r="U10" s="32"/>
    </row>
    <row r="11" spans="1:55" s="33" customFormat="1" ht="129.6" x14ac:dyDescent="0.3">
      <c r="A11" s="46">
        <v>6</v>
      </c>
      <c r="B11" s="84" t="s">
        <v>119</v>
      </c>
      <c r="C11" s="81" t="s">
        <v>92</v>
      </c>
      <c r="D11" s="82" t="s">
        <v>93</v>
      </c>
      <c r="E11" s="77" t="s">
        <v>120</v>
      </c>
      <c r="F11" s="95" t="s">
        <v>121</v>
      </c>
      <c r="G11" s="77" t="s">
        <v>120</v>
      </c>
      <c r="H11" s="94" t="s">
        <v>124</v>
      </c>
      <c r="I11" s="37"/>
      <c r="J11" s="57"/>
      <c r="U11" s="32"/>
    </row>
    <row r="12" spans="1:55" s="33" customFormat="1" x14ac:dyDescent="0.3">
      <c r="A12" s="46">
        <v>7</v>
      </c>
      <c r="B12" s="84" t="s">
        <v>104</v>
      </c>
      <c r="C12" s="85" t="s">
        <v>81</v>
      </c>
      <c r="D12" s="85" t="s">
        <v>81</v>
      </c>
      <c r="E12" s="85" t="s">
        <v>81</v>
      </c>
      <c r="F12" s="85" t="s">
        <v>81</v>
      </c>
      <c r="G12" s="85" t="s">
        <v>81</v>
      </c>
      <c r="H12" s="85" t="s">
        <v>81</v>
      </c>
      <c r="I12" s="37"/>
      <c r="J12" s="57"/>
      <c r="U12" s="32"/>
    </row>
    <row r="13" spans="1:55" s="33" customFormat="1" ht="128.4" customHeight="1" x14ac:dyDescent="0.3">
      <c r="A13" s="46">
        <v>8</v>
      </c>
      <c r="B13" s="83" t="s">
        <v>105</v>
      </c>
      <c r="C13" s="85" t="s">
        <v>81</v>
      </c>
      <c r="D13" s="85" t="s">
        <v>81</v>
      </c>
      <c r="E13" s="85" t="s">
        <v>81</v>
      </c>
      <c r="F13" s="85" t="s">
        <v>81</v>
      </c>
      <c r="G13" s="85" t="s">
        <v>81</v>
      </c>
      <c r="H13" s="87" t="s">
        <v>106</v>
      </c>
      <c r="I13" s="37"/>
      <c r="J13" s="57"/>
      <c r="U13" s="32"/>
    </row>
    <row r="14" spans="1:55" s="33" customFormat="1" x14ac:dyDescent="0.3">
      <c r="A14" s="46">
        <v>9</v>
      </c>
      <c r="B14" s="84" t="s">
        <v>122</v>
      </c>
      <c r="C14" s="85" t="s">
        <v>81</v>
      </c>
      <c r="D14" s="85" t="s">
        <v>81</v>
      </c>
      <c r="E14" s="85" t="s">
        <v>81</v>
      </c>
      <c r="F14" s="85" t="s">
        <v>81</v>
      </c>
      <c r="G14" s="85" t="s">
        <v>81</v>
      </c>
      <c r="H14" s="85" t="s">
        <v>81</v>
      </c>
      <c r="I14" s="37"/>
      <c r="J14" s="57"/>
    </row>
    <row r="15" spans="1:55" s="92" customFormat="1" ht="25.2" customHeight="1" x14ac:dyDescent="0.3">
      <c r="A15" s="80">
        <v>10</v>
      </c>
      <c r="B15" s="88"/>
      <c r="C15" s="89"/>
      <c r="D15" s="82"/>
      <c r="E15" s="89"/>
      <c r="F15" s="89"/>
      <c r="G15" s="89"/>
      <c r="H15" s="89"/>
      <c r="I15" s="90"/>
      <c r="J15" s="91"/>
    </row>
    <row r="16" spans="1:55" s="33" customFormat="1" x14ac:dyDescent="0.3">
      <c r="A16" s="46"/>
      <c r="B16" s="73"/>
      <c r="C16" s="74"/>
      <c r="D16" s="47"/>
      <c r="E16" s="76"/>
      <c r="F16" s="75"/>
      <c r="G16" s="76"/>
      <c r="H16" s="75"/>
      <c r="I16" s="37"/>
      <c r="J16" s="57"/>
      <c r="U16" s="32"/>
    </row>
    <row r="17" spans="1:10" s="33" customFormat="1" ht="36.6" customHeight="1" x14ac:dyDescent="0.3">
      <c r="A17" s="46"/>
      <c r="B17" s="78"/>
      <c r="C17" s="47"/>
      <c r="D17" s="47"/>
      <c r="E17" s="48"/>
      <c r="F17" s="47"/>
      <c r="G17" s="48"/>
      <c r="H17" s="47"/>
      <c r="I17" s="37"/>
      <c r="J17" s="57"/>
    </row>
    <row r="18" spans="1:10" s="33" customFormat="1" x14ac:dyDescent="0.3">
      <c r="A18" s="46"/>
      <c r="B18" s="47"/>
      <c r="C18" s="47"/>
      <c r="D18" s="47"/>
      <c r="E18" s="48"/>
      <c r="F18" s="47"/>
      <c r="G18" s="48"/>
      <c r="H18" s="47"/>
      <c r="I18" s="37"/>
      <c r="J18" s="57"/>
    </row>
    <row r="19" spans="1:10" s="33" customFormat="1" x14ac:dyDescent="0.3">
      <c r="A19" s="46"/>
      <c r="B19" s="47"/>
      <c r="C19" s="47"/>
      <c r="D19" s="47"/>
      <c r="E19" s="48"/>
      <c r="F19" s="47"/>
      <c r="G19" s="48"/>
      <c r="H19" s="47"/>
      <c r="I19" s="37"/>
      <c r="J19" s="57"/>
    </row>
    <row r="20" spans="1:10" s="33" customFormat="1" ht="23.25" customHeight="1" x14ac:dyDescent="0.3">
      <c r="A20" s="46"/>
      <c r="B20" s="47"/>
      <c r="C20" s="47"/>
      <c r="D20" s="47"/>
      <c r="E20" s="48"/>
      <c r="F20" s="47"/>
      <c r="G20" s="48"/>
      <c r="H20" s="47"/>
      <c r="I20" s="37"/>
      <c r="J20" s="57"/>
    </row>
    <row r="21" spans="1:10" s="33" customFormat="1" ht="30" customHeight="1" x14ac:dyDescent="0.3">
      <c r="A21" s="46"/>
      <c r="B21" s="47"/>
      <c r="C21" s="47"/>
      <c r="D21" s="47"/>
      <c r="E21" s="48"/>
      <c r="F21" s="47"/>
      <c r="G21" s="48"/>
      <c r="H21" s="47"/>
      <c r="I21" s="37"/>
      <c r="J21" s="57"/>
    </row>
    <row r="22" spans="1:10" s="33" customFormat="1" x14ac:dyDescent="0.3">
      <c r="E22" s="59"/>
    </row>
    <row r="24" spans="1:10" s="33" customFormat="1" x14ac:dyDescent="0.3">
      <c r="E24" s="59"/>
    </row>
    <row r="25" spans="1:10" s="33" customFormat="1" ht="111.75" customHeight="1" x14ac:dyDescent="0.3">
      <c r="E25" s="59"/>
    </row>
    <row r="26" spans="1:10" s="33" customFormat="1" ht="111.75" customHeight="1" x14ac:dyDescent="0.3">
      <c r="E26" s="59"/>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$BA$1:$BA$9</formula1>
    </dataValidation>
    <dataValidation type="list" allowBlank="1" showInputMessage="1" showErrorMessage="1" sqref="I6:I21" xr:uid="{00000000-0002-0000-0200-000001000000}">
      <formula1>$BB$1:$BB$5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0" customWidth="1"/>
    <col min="3" max="3" width="24.44140625" customWidth="1"/>
  </cols>
  <sheetData>
    <row r="1" spans="1:2" x14ac:dyDescent="0.25">
      <c r="A1" s="61" t="s">
        <v>61</v>
      </c>
      <c r="B1" s="62" t="s">
        <v>0</v>
      </c>
    </row>
    <row r="2" spans="1:2" outlineLevel="1" x14ac:dyDescent="0.25">
      <c r="A2" s="63" t="s">
        <v>55</v>
      </c>
      <c r="B2" s="68" t="str">
        <f>PPRD</f>
        <v>Jun , 2022</v>
      </c>
    </row>
    <row r="3" spans="1:2" x14ac:dyDescent="0.25">
      <c r="A3" s="63" t="s">
        <v>58</v>
      </c>
      <c r="B3" s="64" t="str">
        <f>CRN</f>
        <v xml:space="preserve">CHG228033  </v>
      </c>
    </row>
    <row r="4" spans="1:2" x14ac:dyDescent="0.25">
      <c r="A4" s="63" t="s">
        <v>59</v>
      </c>
      <c r="B4" s="64" t="str">
        <f>MA</f>
        <v>CT</v>
      </c>
    </row>
    <row r="5" spans="1:2" x14ac:dyDescent="0.25">
      <c r="A5" s="63" t="s">
        <v>60</v>
      </c>
      <c r="B5" s="64" t="str">
        <f>Area</f>
        <v>Data</v>
      </c>
    </row>
    <row r="6" spans="1:2" x14ac:dyDescent="0.25">
      <c r="A6" s="63" t="s">
        <v>44</v>
      </c>
      <c r="B6" s="64" t="str">
        <f>Entity</f>
        <v>PM Outbound</v>
      </c>
    </row>
    <row r="7" spans="1:2" x14ac:dyDescent="0.25">
      <c r="A7" s="63" t="s">
        <v>56</v>
      </c>
      <c r="B7" s="65">
        <f>DTested</f>
        <v>44655</v>
      </c>
    </row>
    <row r="8" spans="1:2" x14ac:dyDescent="0.25">
      <c r="A8" s="63" t="s">
        <v>57</v>
      </c>
      <c r="B8" s="66">
        <f>DReviewed</f>
        <v>0</v>
      </c>
    </row>
    <row r="9" spans="1:2" x14ac:dyDescent="0.25">
      <c r="A9" s="63" t="s">
        <v>48</v>
      </c>
      <c r="B9" s="64" t="str">
        <f>TestedBy</f>
        <v>Frank</v>
      </c>
    </row>
    <row r="10" spans="1:2" x14ac:dyDescent="0.25">
      <c r="A10" s="63" t="s">
        <v>51</v>
      </c>
      <c r="B10" s="64">
        <f>ReviewedBy</f>
        <v>0</v>
      </c>
    </row>
    <row r="12" spans="1:2" x14ac:dyDescent="0.25">
      <c r="A12" s="63" t="s">
        <v>62</v>
      </c>
      <c r="B12" s="67"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4"/>
  <sheetViews>
    <sheetView topLeftCell="A55" workbookViewId="0">
      <selection activeCell="G80" sqref="G80"/>
    </sheetView>
  </sheetViews>
  <sheetFormatPr defaultColWidth="9.109375" defaultRowHeight="13.2" x14ac:dyDescent="0.25"/>
  <cols>
    <col min="1" max="1" width="44" style="72" bestFit="1" customWidth="1"/>
    <col min="2" max="16384" width="9.109375" style="72"/>
  </cols>
  <sheetData>
    <row r="1" spans="1:1" x14ac:dyDescent="0.25">
      <c r="A1" s="71"/>
    </row>
    <row r="2" spans="1:1" s="79" customFormat="1" x14ac:dyDescent="0.25">
      <c r="A2" s="79" t="s">
        <v>84</v>
      </c>
    </row>
    <row r="18" spans="1:1" s="79" customFormat="1" x14ac:dyDescent="0.25">
      <c r="A18" s="79" t="s">
        <v>85</v>
      </c>
    </row>
    <row r="44" spans="1:1" s="79" customFormat="1" x14ac:dyDescent="0.25">
      <c r="A44" s="79" t="s">
        <v>86</v>
      </c>
    </row>
    <row r="48" spans="1:1" ht="13.8" customHeight="1" x14ac:dyDescent="0.25"/>
    <row r="49" spans="1:1" ht="13.8" customHeight="1" x14ac:dyDescent="0.25"/>
    <row r="50" spans="1:1" ht="13.8" customHeight="1" x14ac:dyDescent="0.25"/>
    <row r="51" spans="1:1" ht="13.8" customHeight="1" x14ac:dyDescent="0.25"/>
    <row r="59" spans="1:1" x14ac:dyDescent="0.25">
      <c r="A59" s="71"/>
    </row>
    <row r="63" spans="1:1" s="79" customFormat="1" x14ac:dyDescent="0.25">
      <c r="A63" s="79" t="s">
        <v>87</v>
      </c>
    </row>
    <row r="74" spans="1:1" x14ac:dyDescent="0.25">
      <c r="A74" s="71"/>
    </row>
    <row r="109" spans="1:1" x14ac:dyDescent="0.25">
      <c r="A109" s="71"/>
    </row>
    <row r="150" spans="1:1" x14ac:dyDescent="0.25">
      <c r="A150" s="71"/>
    </row>
    <row r="189" spans="1:1" x14ac:dyDescent="0.25">
      <c r="A189" s="71"/>
    </row>
    <row r="224" spans="1:1" x14ac:dyDescent="0.25">
      <c r="A224" s="71"/>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2022-04-07T09:13:27Z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