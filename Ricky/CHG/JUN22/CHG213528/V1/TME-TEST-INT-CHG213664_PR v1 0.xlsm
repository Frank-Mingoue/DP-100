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664\03_Build\"/>
    </mc:Choice>
  </mc:AlternateContent>
  <xr:revisionPtr revIDLastSave="0" documentId="13_ncr:1_{AD8F3754-37BB-4DA2-BE68-5B0FE895861A}" xr6:coauthVersionLast="46" xr6:coauthVersionMax="46" xr10:uidLastSave="{00000000-0000-0000-0000-000000000000}"/>
  <bookViews>
    <workbookView xWindow="20370" yWindow="-120" windowWidth="24240" windowHeight="13140" tabRatio="926"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<sst xmlns="http://schemas.openxmlformats.org/spreadsheetml/2006/main" count="220" uniqueCount="129">
  <si>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</si>
  <si>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</si>
  <si>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</si>
  <si>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</si>
  <si>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</si>
  <si>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</si>
  <si>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</si>
  <si>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</si>
  <si>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</si>
  <si>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</si>
  <si>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</si>
  <si>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</si>
  <si>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</si>
  <si>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</si>
  <si>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</si>
  <si>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</si>
  <si>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</si>
  <si>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</si>
  <si>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</si>
  <si>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</si>
  <si>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</si>
  <si>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</si>
  <si>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</si>
  <si>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</si>
  <si>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</si>
  <si>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</si>
  <si>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</si>
  <si>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</si>
  <si>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</si>
  <si>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</si>
  <si>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</si>
  <si>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</si>
  <si>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</si>
  <si>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</si>
  <si>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</si>
  <si>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</si>
  <si>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</si>
  <si>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</si>
  <si>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</si>
  <si>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</si>
  <si>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</si>
  <si>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</si>
  <si>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</si>
  <si>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</si>
  <si>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</si>
  <si>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</si>
  <si>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</si>
  <si>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</si>
  <si>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</si>
  <si>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</si>
  <si>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</si>
  <si>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</si>
  <si>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</si>
  <si>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</si>
  <si>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</si>
  <si>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</si>
  <si>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</si>
  <si>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</si>
  <si>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</si>
  <si>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</si>
  <si>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</si>
  <si>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</si>
  <si>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</si>
  <si>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</si>
  <si>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</si>
  <si>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</si>
  <si>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</si>
  <si>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</si>
  <si>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</si>
  <si>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</si>
  <si>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</si>
  <si>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</si>
  <si>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</si>
  <si>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</si>
  <si>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</si>
  <si>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</si>
  <si>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</si>
  <si>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</si>
  <si>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</si>
  <si>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</si>
  <si>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</si>
  <si>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</si>
  <si>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</si>
  <si>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Reset data</t>
  </si>
  <si>
    <t>1. Run the following script to delete the test data.
2. Delete Error table.</t>
  </si>
  <si>
    <t>2 records should be deleted.</t>
  </si>
  <si>
    <t>Informatica Server</t>
  </si>
  <si>
    <t>Flat file should be correctly placed</t>
  </si>
  <si>
    <t>N/A</t>
  </si>
  <si>
    <t>Execute Worklet</t>
  </si>
  <si>
    <t>Open Workflow Manager
Open EIM_INTERFACE folder
Open workflow RUN_EIM_PROCESS_GENERIC
Execute Session wrk_Pre_Etl_java
 Then  check if file is corectly registered by Java.</t>
  </si>
  <si>
    <t>Informatica
SIEBEL_OLAP_DEV81</t>
  </si>
  <si>
    <t xml:space="preserve"> A new record should be  added to WC_ETL_FILES_G with PICK_UP_DATE equal to current date.</t>
  </si>
  <si>
    <t xml:space="preserve"> A new record is added to WC_ETL_FILES_G with PICK_UP_DATE equal to current date.</t>
  </si>
  <si>
    <t xml:space="preserve">Run the worklet 'EIM_INTERFACE--&gt;
RUN_EIM_PROCESS_GENERIC--&gt;"wrk_Products_Interface_Generic" </t>
  </si>
  <si>
    <t>SIEBEL_OLTP_DEV14</t>
  </si>
  <si>
    <t>Sales Application</t>
  </si>
  <si>
    <t xml:space="preserve">Place Flat file for data load
</t>
  </si>
  <si>
    <t>Place ESPR1801_20211114_10.txt flat file in IUNP folder on \\10.186.26.22\Interfaces_IP14\Spain\IUNP</t>
  </si>
  <si>
    <t>J:\General\04_RELEASE_MANAGEMENT\2021-06-Release PROD FEB22\04_Release Docs\003-Data\Data Regression\UAT-0\ESPR1801_20211114_10.txt</t>
  </si>
  <si>
    <t xml:space="preserve">SELECT *
FROM WC_ETL_FILES_G
WHERE FILENAME LIKE 'ESPR1801_20211114_10%'
</t>
  </si>
  <si>
    <t xml:space="preserve">Check Valid Errors
</t>
  </si>
  <si>
    <t>Launch Script to verify Length, Numeric, Boolean &amp; LOV Check</t>
  </si>
  <si>
    <t>Refer to Screenshot 1:
24 records returned with Length Check
3 records returned with NUM Check
1 record returned with BOOLEAN Check
20 records returned with LOV Check</t>
  </si>
  <si>
    <t>1 record returned from each query
IF_ROW_STAT='IMPORTED'
Values populated correctly as per Screenshot 2</t>
  </si>
  <si>
    <t xml:space="preserve">Data base check </t>
  </si>
  <si>
    <t>SELECT FIELD_NAME,FIELD_VALUE,FAILURE_DESCRIPTION,* FROM WC_ERRORS_G WHERE FILE_NAME LIKE 'ESPR1801_20211114_10%' ORDER BY 3 ASC</t>
  </si>
  <si>
    <t>Screenshot 1</t>
  </si>
  <si>
    <t>SELECT IF_ROW_STAT,* FROM EIM_PROD_INT WHERE IF_ROW_BATCH_NUM=100000000
SELECT IF_ROW_STAT,* FROM EIM_PRDINT_DTL WHERE IF_ROW_BATCH_NUM=100000000
SELECT 	ATTRIB_10,
	X_OD_GLB_BUS_CTGRY_CD,
	X_OD_BRAND_FMLY_CD,
	X_OD_BRAND_SUBFMLY_CD,
	X_OD_BRAND_FMLY_TYPE_CD,
	ATTRIB_34,
	ATTRIB_35,
	ATTRIB_40,
	X_OD_PROD_BAG_CD,
	X_OD_PROD_WIDTH_CD,
	X_OD_FLAVOR_CD,
	X_OD_FLAVOR_GRP_CD,
	X_OD_RRP_UNIT_CD,
	X_OD_RRP_PCKGNG_UNIT_CD,
	X_OD_RRP_PROD_CD,
	ATTRIB_17,
	ATTRIB_18,
	ATTRIB_19,
	X_OD_PROD_GRP_CD,
	X_OD_PROD_CD,
	X_OD_LINE_EXT_CD,
	X_OD_VARIANT_CD,
	X_PROD_INTEGRATION_CD,
	X_BASIS_UOM_CD,
	* FROM S_PROD_INT_X WHERE PAR_ROW_ID IN (SELECT ROW_ID FROM S_PROD_INT WHERE PART_NUM='CHG213664_Valid_Product')</t>
  </si>
  <si>
    <t>Check on sales application</t>
  </si>
  <si>
    <r>
      <rPr>
        <sz val="10"/>
        <rFont val="Arial"/>
        <family val="2"/>
      </rPr>
      <t xml:space="preserve">1. Login on Sales Application as CSTADMESN. 
2. Go to Administration - Product
3. Query: Created=Today()
4. The 2 products are displayed.
</t>
    </r>
    <r>
      <rPr>
        <sz val="10"/>
        <color rgb="FFFF0000"/>
        <rFont val="Arial"/>
        <family val="2"/>
      </rPr>
      <t xml:space="preserve">
</t>
    </r>
  </si>
  <si>
    <t>Execution successful</t>
  </si>
  <si>
    <t>Open Workflow Manager
Open EC4U folder
Open workflow JTI_DWH_ETLComplete_Incremental
Execute Load_EIM
 Then  check if file is corectly registered by Java.</t>
  </si>
  <si>
    <t>Wait for wrk_Products_Interface_Generic to complete</t>
  </si>
  <si>
    <t>DELETE FROM S_PROD_INT_X WHERE PAR_ROW_ID IN (SELECT ROW_ID FROM S_PROD_INT WHERE PART_NUM='CHG213664_Valid_Product')
DELETE FROM S_PROD_INT WHERE PART_NUM='CHG213664_Valid_Product'
DELETE FROM WC_ERRORS_G WHERE FILE_NAME LIKE 'ESPR1801_20211114_10%'</t>
  </si>
  <si>
    <t xml:space="preserve">Check if 1 records has been created  in table  S_PROD_INT and S_PROD_INT_X tables.
</t>
  </si>
  <si>
    <t>Screenshot 2</t>
  </si>
  <si>
    <r>
      <rPr>
        <sz val="10"/>
        <rFont val="Arial"/>
        <family val="2"/>
      </rPr>
      <t xml:space="preserve">1. Login on Sales Application as CSTADMESN. 
2. Go to Administration - Product
3. Query: Created=Today()
1 Product correctly loaded 
</t>
    </r>
    <r>
      <rPr>
        <sz val="10"/>
        <color rgb="FFFF0000"/>
        <rFont val="Arial"/>
        <family val="2"/>
      </rPr>
      <t xml:space="preserve">
</t>
    </r>
  </si>
  <si>
    <t>CHG213664</t>
  </si>
  <si>
    <t>(Data) CHG213664 - TMEC: MD - Product</t>
  </si>
  <si>
    <t>CT</t>
  </si>
  <si>
    <t>Y</t>
  </si>
  <si>
    <t>N</t>
  </si>
  <si>
    <t>FDE_INT_PRODUCT_PRE_GENERIC,
FDE_INT_PRODUCTS_GENERIC,
Shortcut_to_FDE_INT_PRODUCT_PRE_GENERIC,
Shortcut_to_FDE_INT_PRODUCTS_GENERIC,
FDE_INT_PRODUCT_ELIGIBILITY_PRE_GENERIC,
FDE_INT_PRODUCT_ELIGIBILITY_PRE,
FDE_INT_PRODUCT_ELIGIBILITY,
Shortcut_to_FDE_INT_PRODUCT_ELIGIBILITY_PRE_GENERIC,
Shortcut_to_FDE_INT_PRODUCT_ELIGIBILITY_PRE_GENERIC,
Shortcut_to_FDE_INT_PRODUCT_ELIGIBILITY</t>
  </si>
  <si>
    <t>RUN_EIM_PROCESS_GENERIC,
JTI_DWH_ETLComplete_Incremental,
RUN_EIM_PROCESS_JAVA</t>
  </si>
  <si>
    <t>Rhishna</t>
  </si>
  <si>
    <t>Product, Product Eligibility</t>
  </si>
  <si>
    <t>15/11/2021</t>
  </si>
  <si>
    <t>Check if 24 fields correctly populated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</si>
</sst>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10"/>
      <color theme="1"/>
      <name val="Arial"/>
      <family val="2"/>
    </font>
    <font>
      <sz val="10"/>
      <color theme="1"/>
      <name val="Book Antiqua"/>
      <family val="1"/>
    </font>
    <font>
      <sz val="10"/>
      <color rgb="FFFF0000"/>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0"/>
        <bgColor indexed="64"/>
      </patternFill>
    </fill>
    <fill>
      <patternFill patternType="solid">
        <fgColor rgb="FFFFFF0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2" fillId="0" borderId="0" applyNumberFormat="0" applyFill="0" applyBorder="0" applyAlignment="0" applyProtection="0">
      <alignment vertical="top"/>
      <protection locked="0"/>
    </xf>
    <xf numFmtId="0" fontId="43" fillId="0" borderId="0"/>
    <xf numFmtId="0" fontId="2" fillId="0" borderId="0"/>
    <xf numFmtId="0" fontId="43" fillId="0" borderId="0"/>
    <xf numFmtId="0" fontId="43"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6">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2"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15" fontId="44" fillId="0" borderId="10" xfId="32" applyNumberFormat="1" applyFont="1" applyBorder="1" applyAlignment="1" applyProtection="1">
      <alignment horizontal="left" vertical="center" wrapText="1"/>
    </xf>
    <xf numFmtId="0" fontId="37" fillId="0" borderId="0" xfId="37" applyAlignment="1">
      <alignment horizontal="left" vertical="top"/>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29" fillId="28" borderId="10" xfId="37" applyFont="1" applyFill="1" applyBorder="1" applyAlignment="1">
      <alignment vertical="top"/>
    </xf>
    <xf numFmtId="0" fontId="2" fillId="0" borderId="10" xfId="0" applyFont="1" applyBorder="1" applyAlignment="1">
      <alignment vertical="top" wrapText="1"/>
    </xf>
    <xf numFmtId="0" fontId="0" fillId="0" borderId="10" xfId="0" applyBorder="1" applyAlignment="1">
      <alignment vertical="top"/>
    </xf>
    <xf numFmtId="0" fontId="37" fillId="28" borderId="10" xfId="37" applyFill="1" applyBorder="1"/>
    <xf numFmtId="0" fontId="37" fillId="28" borderId="10" xfId="37" applyFill="1" applyBorder="1" applyAlignment="1">
      <alignment vertical="top" wrapText="1"/>
    </xf>
    <xf numFmtId="0" fontId="37" fillId="28" borderId="10" xfId="37" applyFill="1" applyBorder="1" applyAlignment="1">
      <alignment horizontal="left" vertical="top" wrapText="1"/>
    </xf>
    <xf numFmtId="0" fontId="0" fillId="28" borderId="10" xfId="0" applyFill="1" applyBorder="1" applyAlignment="1">
      <alignment vertical="top"/>
    </xf>
    <xf numFmtId="0" fontId="37" fillId="0" borderId="10" xfId="0" applyFont="1" applyBorder="1" applyAlignment="1">
      <alignment vertical="top"/>
    </xf>
    <xf numFmtId="0" fontId="0" fillId="0" borderId="10" xfId="0" applyBorder="1" applyAlignment="1">
      <alignment vertical="top" wrapText="1"/>
    </xf>
    <xf numFmtId="0" fontId="46" fillId="0" borderId="10" xfId="0" applyFont="1" applyBorder="1" applyAlignment="1">
      <alignment vertical="top" wrapText="1"/>
    </xf>
    <xf numFmtId="0" fontId="37" fillId="0" borderId="10" xfId="0" applyFont="1" applyBorder="1" applyAlignment="1">
      <alignment vertical="top" wrapText="1"/>
    </xf>
    <xf numFmtId="0" fontId="46" fillId="0" borderId="10" xfId="0" applyFont="1" applyBorder="1" applyAlignment="1">
      <alignment vertical="top"/>
    </xf>
    <xf numFmtId="0" fontId="47" fillId="0" borderId="10" xfId="37" applyFont="1" applyBorder="1" applyAlignment="1">
      <alignment horizontal="left" vertical="top" wrapText="1"/>
    </xf>
    <xf numFmtId="0" fontId="48" fillId="0" borderId="10" xfId="0" applyFont="1" applyBorder="1" applyAlignment="1">
      <alignment vertical="top"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3"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xf numFmtId="0" fontId="29" fillId="29" borderId="10" xfId="37" applyFont="1" applyFill="1" applyBorder="1" applyAlignment="1">
      <alignment vertical="top" wrapText="1"/>
    </xf>
    <xf numFmtId="0" fontId="37" fillId="29" borderId="10" xfId="0" applyFont="1" applyFill="1" applyBorder="1" applyAlignment="1">
      <alignment vertical="top"/>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0</xdr:rowOff>
    </xdr:from>
    <xdr:to>
      <xdr:col>9</xdr:col>
      <xdr:colOff>132357</xdr:colOff>
      <xdr:row>57</xdr:row>
      <xdr:rowOff>142687</xdr:rowOff>
    </xdr:to>
    <xdr:grpSp>
      <xdr:nvGrpSpPr>
        <xdr:cNvPr id="5" name="Group 4">
          <a:extLst>
            <a:ext uri="{FF2B5EF4-FFF2-40B4-BE49-F238E27FC236}">
              <a16:creationId xmlns:a16="http://schemas.microsoft.com/office/drawing/2014/main" id="{C963D918-5B3A-4200-A44D-2B1863DA8C81}"/>
            </a:ext>
          </a:extLst>
        </xdr:cNvPr>
        <xdr:cNvGrpSpPr/>
      </xdr:nvGrpSpPr>
      <xdr:grpSpPr>
        <a:xfrm>
          <a:off x="0" y="485775"/>
          <a:ext cx="7942857" cy="8886637"/>
          <a:chOff x="0" y="485775"/>
          <a:chExt cx="7942857" cy="8886637"/>
        </a:xfrm>
      </xdr:grpSpPr>
      <xdr:pic>
        <xdr:nvPicPr>
          <xdr:cNvPr id="2" name="Picture 1">
            <a:extLst>
              <a:ext uri="{FF2B5EF4-FFF2-40B4-BE49-F238E27FC236}">
                <a16:creationId xmlns:a16="http://schemas.microsoft.com/office/drawing/2014/main" id="{E3D33918-5556-4A84-B5FC-D511D2CC5A5E}"/>
              </a:ext>
            </a:extLst>
          </xdr:cNvPr>
          <xdr:cNvPicPr>
            <a:picLocks noChangeAspect="1"/>
          </xdr:cNvPicPr>
        </xdr:nvPicPr>
        <xdr:blipFill>
          <a:blip xmlns:r="http://schemas.openxmlformats.org/officeDocument/2006/relationships" r:embed="rId1"/>
          <a:stretch>
            <a:fillRect/>
          </a:stretch>
        </xdr:blipFill>
        <xdr:spPr>
          <a:xfrm>
            <a:off x="0" y="485775"/>
            <a:ext cx="7942857" cy="3780952"/>
          </a:xfrm>
          <a:prstGeom prst="rect">
            <a:avLst/>
          </a:prstGeom>
        </xdr:spPr>
      </xdr:pic>
      <xdr:pic>
        <xdr:nvPicPr>
          <xdr:cNvPr id="3" name="Picture 2">
            <a:extLst>
              <a:ext uri="{FF2B5EF4-FFF2-40B4-BE49-F238E27FC236}">
                <a16:creationId xmlns:a16="http://schemas.microsoft.com/office/drawing/2014/main" id="{1B50E85E-6AC1-48A6-8A85-3EA8D4586A5B}"/>
              </a:ext>
            </a:extLst>
          </xdr:cNvPr>
          <xdr:cNvPicPr>
            <a:picLocks noChangeAspect="1"/>
          </xdr:cNvPicPr>
        </xdr:nvPicPr>
        <xdr:blipFill>
          <a:blip xmlns:r="http://schemas.openxmlformats.org/officeDocument/2006/relationships" r:embed="rId2"/>
          <a:stretch>
            <a:fillRect/>
          </a:stretch>
        </xdr:blipFill>
        <xdr:spPr>
          <a:xfrm>
            <a:off x="38100" y="4229100"/>
            <a:ext cx="7847619" cy="3628571"/>
          </a:xfrm>
          <a:prstGeom prst="rect">
            <a:avLst/>
          </a:prstGeom>
        </xdr:spPr>
      </xdr:pic>
      <xdr:pic>
        <xdr:nvPicPr>
          <xdr:cNvPr id="4" name="Picture 3">
            <a:extLst>
              <a:ext uri="{FF2B5EF4-FFF2-40B4-BE49-F238E27FC236}">
                <a16:creationId xmlns:a16="http://schemas.microsoft.com/office/drawing/2014/main" id="{27EF3243-6822-4578-BFF5-09CB23832ED8}"/>
              </a:ext>
            </a:extLst>
          </xdr:cNvPr>
          <xdr:cNvPicPr>
            <a:picLocks noChangeAspect="1"/>
          </xdr:cNvPicPr>
        </xdr:nvPicPr>
        <xdr:blipFill>
          <a:blip xmlns:r="http://schemas.openxmlformats.org/officeDocument/2006/relationships" r:embed="rId3"/>
          <a:stretch>
            <a:fillRect/>
          </a:stretch>
        </xdr:blipFill>
        <xdr:spPr>
          <a:xfrm>
            <a:off x="9525" y="7867650"/>
            <a:ext cx="7857143" cy="1504762"/>
          </a:xfrm>
          <a:prstGeom prst="rect">
            <a:avLst/>
          </a:prstGeom>
        </xdr:spPr>
      </xdr:pic>
    </xdr:grpSp>
    <xdr:clientData/>
  </xdr:twoCellAnchor>
  <xdr:twoCellAnchor editAs="oneCell">
    <xdr:from>
      <xdr:col>0</xdr:col>
      <xdr:colOff>0</xdr:colOff>
      <xdr:row>69</xdr:row>
      <xdr:rowOff>9525</xdr:rowOff>
    </xdr:from>
    <xdr:to>
      <xdr:col>9</xdr:col>
      <xdr:colOff>208548</xdr:colOff>
      <xdr:row>71</xdr:row>
      <xdr:rowOff>114246</xdr:rowOff>
    </xdr:to>
    <xdr:pic>
      <xdr:nvPicPr>
        <xdr:cNvPr id="6" name="Picture 5">
          <a:extLst>
            <a:ext uri="{FF2B5EF4-FFF2-40B4-BE49-F238E27FC236}">
              <a16:creationId xmlns:a16="http://schemas.microsoft.com/office/drawing/2014/main" id="{1DBFACE8-585F-4F50-9A3C-8402C178BAC3}"/>
            </a:ext>
          </a:extLst>
        </xdr:cNvPr>
        <xdr:cNvPicPr>
          <a:picLocks noChangeAspect="1"/>
        </xdr:cNvPicPr>
      </xdr:nvPicPr>
      <xdr:blipFill>
        <a:blip xmlns:r="http://schemas.openxmlformats.org/officeDocument/2006/relationships" r:embed="rId4"/>
        <a:stretch>
          <a:fillRect/>
        </a:stretch>
      </xdr:blipFill>
      <xdr:spPr>
        <a:xfrm>
          <a:off x="0" y="11182350"/>
          <a:ext cx="8019048" cy="428571"/>
        </a:xfrm>
        <a:prstGeom prst="rect">
          <a:avLst/>
        </a:prstGeom>
      </xdr:spPr>
    </xdr:pic>
    <xdr:clientData/>
  </xdr:twoCellAnchor>
  <xdr:twoCellAnchor editAs="oneCell">
    <xdr:from>
      <xdr:col>0</xdr:col>
      <xdr:colOff>19050</xdr:colOff>
      <xdr:row>72</xdr:row>
      <xdr:rowOff>28575</xdr:rowOff>
    </xdr:from>
    <xdr:to>
      <xdr:col>7</xdr:col>
      <xdr:colOff>561083</xdr:colOff>
      <xdr:row>74</xdr:row>
      <xdr:rowOff>152344</xdr:rowOff>
    </xdr:to>
    <xdr:pic>
      <xdr:nvPicPr>
        <xdr:cNvPr id="7" name="Picture 6">
          <a:extLst>
            <a:ext uri="{FF2B5EF4-FFF2-40B4-BE49-F238E27FC236}">
              <a16:creationId xmlns:a16="http://schemas.microsoft.com/office/drawing/2014/main" id="{950E86D2-E593-4DB9-BFB8-1F2B39D23C4E}"/>
            </a:ext>
          </a:extLst>
        </xdr:cNvPr>
        <xdr:cNvPicPr>
          <a:picLocks noChangeAspect="1"/>
        </xdr:cNvPicPr>
      </xdr:nvPicPr>
      <xdr:blipFill>
        <a:blip xmlns:r="http://schemas.openxmlformats.org/officeDocument/2006/relationships" r:embed="rId5"/>
        <a:stretch>
          <a:fillRect/>
        </a:stretch>
      </xdr:blipFill>
      <xdr:spPr>
        <a:xfrm>
          <a:off x="19050" y="11687175"/>
          <a:ext cx="7133333" cy="447619"/>
        </a:xfrm>
        <a:prstGeom prst="rect">
          <a:avLst/>
        </a:prstGeom>
      </xdr:spPr>
    </xdr:pic>
    <xdr:clientData/>
  </xdr:twoCellAnchor>
  <xdr:twoCellAnchor editAs="oneCell">
    <xdr:from>
      <xdr:col>0</xdr:col>
      <xdr:colOff>0</xdr:colOff>
      <xdr:row>76</xdr:row>
      <xdr:rowOff>9525</xdr:rowOff>
    </xdr:from>
    <xdr:to>
      <xdr:col>9</xdr:col>
      <xdr:colOff>265690</xdr:colOff>
      <xdr:row>78</xdr:row>
      <xdr:rowOff>133294</xdr:rowOff>
    </xdr:to>
    <xdr:pic>
      <xdr:nvPicPr>
        <xdr:cNvPr id="8" name="Picture 7">
          <a:extLst>
            <a:ext uri="{FF2B5EF4-FFF2-40B4-BE49-F238E27FC236}">
              <a16:creationId xmlns:a16="http://schemas.microsoft.com/office/drawing/2014/main" id="{8587BC28-EFB9-4841-A25C-45EA767FAF4D}"/>
            </a:ext>
          </a:extLst>
        </xdr:cNvPr>
        <xdr:cNvPicPr>
          <a:picLocks noChangeAspect="1"/>
        </xdr:cNvPicPr>
      </xdr:nvPicPr>
      <xdr:blipFill>
        <a:blip xmlns:r="http://schemas.openxmlformats.org/officeDocument/2006/relationships" r:embed="rId6"/>
        <a:stretch>
          <a:fillRect/>
        </a:stretch>
      </xdr:blipFill>
      <xdr:spPr>
        <a:xfrm>
          <a:off x="0" y="12315825"/>
          <a:ext cx="8076190" cy="447619"/>
        </a:xfrm>
        <a:prstGeom prst="rect">
          <a:avLst/>
        </a:prstGeom>
      </xdr:spPr>
    </xdr:pic>
    <xdr:clientData/>
  </xdr:twoCellAnchor>
  <xdr:twoCellAnchor>
    <xdr:from>
      <xdr:col>0</xdr:col>
      <xdr:colOff>0</xdr:colOff>
      <xdr:row>79</xdr:row>
      <xdr:rowOff>85725</xdr:rowOff>
    </xdr:from>
    <xdr:to>
      <xdr:col>12</xdr:col>
      <xdr:colOff>609446</xdr:colOff>
      <xdr:row>82</xdr:row>
      <xdr:rowOff>123768</xdr:rowOff>
    </xdr:to>
    <xdr:grpSp>
      <xdr:nvGrpSpPr>
        <xdr:cNvPr id="13" name="Group 12">
          <a:extLst>
            <a:ext uri="{FF2B5EF4-FFF2-40B4-BE49-F238E27FC236}">
              <a16:creationId xmlns:a16="http://schemas.microsoft.com/office/drawing/2014/main" id="{EC1BDF91-4B1B-4286-AB1C-292F40C6EE35}"/>
            </a:ext>
          </a:extLst>
        </xdr:cNvPr>
        <xdr:cNvGrpSpPr/>
      </xdr:nvGrpSpPr>
      <xdr:grpSpPr>
        <a:xfrm>
          <a:off x="0" y="12877800"/>
          <a:ext cx="10248746" cy="523818"/>
          <a:chOff x="0" y="12877800"/>
          <a:chExt cx="10248746" cy="523818"/>
        </a:xfrm>
      </xdr:grpSpPr>
      <xdr:grpSp>
        <xdr:nvGrpSpPr>
          <xdr:cNvPr id="11" name="Group 10">
            <a:extLst>
              <a:ext uri="{FF2B5EF4-FFF2-40B4-BE49-F238E27FC236}">
                <a16:creationId xmlns:a16="http://schemas.microsoft.com/office/drawing/2014/main" id="{0EB80A45-C771-4AC4-B04B-7E11CAEA2B9E}"/>
              </a:ext>
            </a:extLst>
          </xdr:cNvPr>
          <xdr:cNvGrpSpPr/>
        </xdr:nvGrpSpPr>
        <xdr:grpSpPr>
          <a:xfrm>
            <a:off x="0" y="12934950"/>
            <a:ext cx="9076938" cy="466668"/>
            <a:chOff x="0" y="12944475"/>
            <a:chExt cx="9076938" cy="466668"/>
          </a:xfrm>
        </xdr:grpSpPr>
        <xdr:pic>
          <xdr:nvPicPr>
            <xdr:cNvPr id="9" name="Picture 8">
              <a:extLst>
                <a:ext uri="{FF2B5EF4-FFF2-40B4-BE49-F238E27FC236}">
                  <a16:creationId xmlns:a16="http://schemas.microsoft.com/office/drawing/2014/main" id="{DAF450B2-1BA7-408D-9755-4C64126F946A}"/>
                </a:ext>
              </a:extLst>
            </xdr:cNvPr>
            <xdr:cNvPicPr>
              <a:picLocks noChangeAspect="1"/>
            </xdr:cNvPicPr>
          </xdr:nvPicPr>
          <xdr:blipFill>
            <a:blip xmlns:r="http://schemas.openxmlformats.org/officeDocument/2006/relationships" r:embed="rId7"/>
            <a:stretch>
              <a:fillRect/>
            </a:stretch>
          </xdr:blipFill>
          <xdr:spPr>
            <a:xfrm>
              <a:off x="0" y="12954000"/>
              <a:ext cx="6009524" cy="457143"/>
            </a:xfrm>
            <a:prstGeom prst="rect">
              <a:avLst/>
            </a:prstGeom>
          </xdr:spPr>
        </xdr:pic>
        <xdr:pic>
          <xdr:nvPicPr>
            <xdr:cNvPr id="10" name="Picture 9">
              <a:extLst>
                <a:ext uri="{FF2B5EF4-FFF2-40B4-BE49-F238E27FC236}">
                  <a16:creationId xmlns:a16="http://schemas.microsoft.com/office/drawing/2014/main" id="{DA44976D-D69A-455B-A376-58628512078C}"/>
                </a:ext>
              </a:extLst>
            </xdr:cNvPr>
            <xdr:cNvPicPr>
              <a:picLocks noChangeAspect="1"/>
            </xdr:cNvPicPr>
          </xdr:nvPicPr>
          <xdr:blipFill>
            <a:blip xmlns:r="http://schemas.openxmlformats.org/officeDocument/2006/relationships" r:embed="rId8"/>
            <a:stretch>
              <a:fillRect/>
            </a:stretch>
          </xdr:blipFill>
          <xdr:spPr>
            <a:xfrm>
              <a:off x="5981700" y="12944475"/>
              <a:ext cx="3095238" cy="390476"/>
            </a:xfrm>
            <a:prstGeom prst="rect">
              <a:avLst/>
            </a:prstGeom>
          </xdr:spPr>
        </xdr:pic>
      </xdr:grpSp>
      <xdr:pic>
        <xdr:nvPicPr>
          <xdr:cNvPr id="12" name="Picture 11">
            <a:extLst>
              <a:ext uri="{FF2B5EF4-FFF2-40B4-BE49-F238E27FC236}">
                <a16:creationId xmlns:a16="http://schemas.microsoft.com/office/drawing/2014/main" id="{DE58B6CE-3EBF-4D98-B0F4-73FC8BE2E117}"/>
              </a:ext>
            </a:extLst>
          </xdr:cNvPr>
          <xdr:cNvPicPr>
            <a:picLocks noChangeAspect="1"/>
          </xdr:cNvPicPr>
        </xdr:nvPicPr>
        <xdr:blipFill>
          <a:blip xmlns:r="http://schemas.openxmlformats.org/officeDocument/2006/relationships" r:embed="rId9"/>
          <a:stretch>
            <a:fillRect/>
          </a:stretch>
        </xdr:blipFill>
        <xdr:spPr>
          <a:xfrm>
            <a:off x="9020175" y="12877800"/>
            <a:ext cx="1228571" cy="495238"/>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abSelected="1" zoomScale="66" workbookViewId="0">
      <selection activeCell="K25" sqref="K25:S25"/>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84" t="s">
        <v>2</v>
      </c>
      <c r="B13" s="84"/>
      <c r="C13" s="84"/>
      <c r="D13" s="84"/>
      <c r="E13" s="84"/>
      <c r="F13" s="84"/>
      <c r="G13" s="84"/>
      <c r="H13" s="84"/>
      <c r="I13" s="84"/>
      <c r="J13" s="84"/>
      <c r="K13" s="84"/>
      <c r="L13" s="84"/>
      <c r="M13" s="84"/>
      <c r="N13" s="84"/>
      <c r="O13" s="84"/>
      <c r="P13" s="84"/>
      <c r="Q13" s="84"/>
      <c r="R13" s="84"/>
      <c r="S13" s="84"/>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85" t="s">
        <v>17</v>
      </c>
      <c r="B18" s="85"/>
      <c r="C18" s="85"/>
      <c r="D18" s="85"/>
      <c r="E18" s="85"/>
      <c r="F18" s="85"/>
      <c r="G18" s="85"/>
      <c r="H18" s="85"/>
      <c r="I18" s="85"/>
      <c r="J18" s="85"/>
      <c r="K18" s="85"/>
      <c r="L18" s="85"/>
      <c r="M18" s="85"/>
      <c r="N18" s="85"/>
      <c r="O18" s="85"/>
      <c r="P18" s="85"/>
      <c r="Q18" s="85"/>
      <c r="R18" s="85"/>
      <c r="S18" s="85"/>
    </row>
    <row r="19" spans="1:19" s="15" customFormat="1" ht="40.700000000000003" customHeight="1" x14ac:dyDescent="0.2">
      <c r="A19" s="86" t="s">
        <v>1</v>
      </c>
      <c r="B19" s="86"/>
      <c r="C19" s="86"/>
      <c r="D19" s="86"/>
      <c r="E19" s="86"/>
      <c r="F19" s="86"/>
      <c r="G19" s="86"/>
      <c r="H19" s="86"/>
      <c r="I19" s="86"/>
      <c r="J19" s="86"/>
      <c r="K19" s="86"/>
      <c r="L19" s="86"/>
      <c r="M19" s="86"/>
      <c r="N19" s="86"/>
      <c r="O19" s="86"/>
      <c r="P19" s="86"/>
      <c r="Q19" s="86"/>
      <c r="R19" s="86"/>
      <c r="S19" s="86"/>
    </row>
    <row r="20" spans="1:19" s="15" customFormat="1" ht="13.5" x14ac:dyDescent="0.2">
      <c r="A20" s="16"/>
      <c r="B20" s="16"/>
      <c r="C20" s="16"/>
      <c r="D20" s="16"/>
      <c r="E20" s="16"/>
      <c r="F20" s="16"/>
      <c r="G20" s="16"/>
      <c r="H20" s="16"/>
      <c r="I20" s="16"/>
      <c r="J20" s="16"/>
    </row>
    <row r="21" spans="1:19" s="15" customFormat="1" ht="58.7" customHeight="1" x14ac:dyDescent="0.2">
      <c r="A21" s="87" t="s">
        <v>74</v>
      </c>
      <c r="B21" s="87"/>
      <c r="C21" s="87"/>
      <c r="D21" s="87"/>
      <c r="E21" s="87"/>
      <c r="F21" s="87"/>
      <c r="G21" s="87"/>
      <c r="H21" s="87"/>
      <c r="I21" s="87"/>
      <c r="J21" s="6"/>
      <c r="K21" s="88" t="s">
        <v>118</v>
      </c>
      <c r="L21" s="88"/>
      <c r="M21" s="88"/>
      <c r="N21" s="88"/>
      <c r="O21" s="88"/>
      <c r="P21" s="88"/>
      <c r="Q21" s="88"/>
      <c r="R21" s="88"/>
      <c r="S21" s="88"/>
    </row>
    <row r="22" spans="1:19" s="15" customFormat="1" ht="13.5" x14ac:dyDescent="0.2">
      <c r="A22" s="16"/>
      <c r="B22" s="16"/>
      <c r="C22" s="16"/>
      <c r="D22" s="16"/>
      <c r="E22" s="16"/>
      <c r="F22" s="16"/>
      <c r="G22" s="16"/>
      <c r="H22" s="16"/>
      <c r="I22" s="16"/>
      <c r="J22" s="16"/>
    </row>
    <row r="23" spans="1:19" s="15" customFormat="1" ht="70.150000000000006" customHeight="1" x14ac:dyDescent="0.2">
      <c r="A23" s="91" t="s">
        <v>18</v>
      </c>
      <c r="B23" s="91"/>
      <c r="C23" s="91"/>
      <c r="D23" s="91"/>
      <c r="E23" s="91"/>
      <c r="F23" s="91"/>
      <c r="G23" s="91"/>
      <c r="H23" s="91"/>
      <c r="I23" s="91"/>
      <c r="J23" s="7"/>
      <c r="K23" s="92" t="s">
        <v>119</v>
      </c>
      <c r="L23" s="92"/>
      <c r="M23" s="92"/>
      <c r="N23" s="92"/>
      <c r="O23" s="92"/>
      <c r="P23" s="92"/>
      <c r="Q23" s="92"/>
      <c r="R23" s="92"/>
      <c r="S23" s="92"/>
    </row>
    <row r="24" spans="1:19" s="15" customFormat="1" ht="13.5" x14ac:dyDescent="0.2">
      <c r="A24" s="16"/>
      <c r="B24" s="16"/>
      <c r="C24" s="16"/>
      <c r="D24" s="16"/>
      <c r="E24" s="16"/>
      <c r="F24" s="16"/>
      <c r="G24" s="16"/>
      <c r="H24" s="16"/>
      <c r="I24" s="16"/>
      <c r="J24" s="16"/>
    </row>
    <row r="25" spans="1:19" s="15" customFormat="1" ht="70.150000000000006" customHeight="1" x14ac:dyDescent="0.2">
      <c r="A25" s="93" t="s">
        <v>3</v>
      </c>
      <c r="B25" s="93"/>
      <c r="C25" s="93"/>
      <c r="D25" s="93"/>
      <c r="E25" s="93"/>
      <c r="F25" s="93"/>
      <c r="G25" s="93"/>
      <c r="H25" s="93"/>
      <c r="I25" s="93"/>
      <c r="J25" s="7"/>
      <c r="K25" s="94" t="s">
        <v>120</v>
      </c>
      <c r="L25" s="94"/>
      <c r="M25" s="94"/>
      <c r="N25" s="94"/>
      <c r="O25" s="94"/>
      <c r="P25" s="94"/>
      <c r="Q25" s="94"/>
      <c r="R25" s="94"/>
      <c r="S25" s="94"/>
    </row>
    <row r="26" spans="1:19" s="15" customFormat="1" ht="13.5" x14ac:dyDescent="0.2">
      <c r="A26" s="16"/>
      <c r="B26" s="16"/>
      <c r="C26" s="16"/>
      <c r="D26" s="16"/>
      <c r="E26" s="16"/>
      <c r="F26" s="16"/>
      <c r="G26" s="16"/>
      <c r="H26" s="16"/>
      <c r="I26" s="16"/>
      <c r="J26" s="16"/>
    </row>
    <row r="27" spans="1:19" ht="27" customHeight="1" x14ac:dyDescent="0.2">
      <c r="A27" s="89" t="s">
        <v>13</v>
      </c>
      <c r="B27" s="89"/>
      <c r="C27" s="89"/>
      <c r="D27" s="89"/>
      <c r="E27" s="89"/>
      <c r="F27" s="89"/>
      <c r="G27" s="89"/>
      <c r="H27" s="89"/>
      <c r="I27" s="89"/>
      <c r="K27" s="90" t="s">
        <v>19</v>
      </c>
      <c r="L27" s="90"/>
      <c r="M27" s="90"/>
      <c r="N27" s="90"/>
      <c r="O27" s="90"/>
      <c r="P27" s="90"/>
      <c r="Q27" s="90"/>
      <c r="R27" s="90"/>
      <c r="S27" s="90"/>
    </row>
    <row r="28" spans="1:19" ht="27" customHeight="1" x14ac:dyDescent="0.2">
      <c r="A28" s="89"/>
      <c r="B28" s="89"/>
      <c r="C28" s="89"/>
      <c r="D28" s="89"/>
      <c r="E28" s="89"/>
      <c r="F28" s="89"/>
      <c r="G28" s="89"/>
      <c r="H28" s="89"/>
      <c r="I28" s="89"/>
      <c r="K28" s="90"/>
      <c r="L28" s="90"/>
      <c r="M28" s="90"/>
      <c r="N28" s="90"/>
      <c r="O28" s="17"/>
      <c r="P28" s="17"/>
      <c r="Q28" s="17"/>
      <c r="R28" s="17"/>
      <c r="S28" s="17"/>
    </row>
    <row r="29" spans="1:19" ht="27" customHeight="1" x14ac:dyDescent="0.2">
      <c r="A29" s="89"/>
      <c r="B29" s="89"/>
      <c r="C29" s="89"/>
      <c r="D29" s="89"/>
      <c r="E29" s="89"/>
      <c r="F29" s="89"/>
      <c r="G29" s="89"/>
      <c r="H29" s="89"/>
      <c r="I29" s="89"/>
      <c r="K29" s="90"/>
      <c r="L29" s="90"/>
      <c r="M29" s="90"/>
      <c r="N29" s="90"/>
      <c r="O29" s="90"/>
      <c r="P29" s="90"/>
      <c r="Q29" s="90"/>
      <c r="R29" s="90"/>
      <c r="S29" s="90"/>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44515</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6" workbookViewId="0">
      <selection activeCell="C27" sqref="C27"/>
    </sheetView>
  </sheetViews>
  <sheetFormatPr defaultColWidth="8" defaultRowHeight="12.75" x14ac:dyDescent="0.2"/>
  <cols>
    <col min="1" max="1" width="54.140625" style="2" customWidth="1"/>
    <col min="2" max="2" width="86.42578125" style="47" customWidth="1"/>
    <col min="3" max="3" width="25.140625" style="2" bestFit="1" customWidth="1"/>
    <col min="4" max="16384" width="8" style="2"/>
  </cols>
  <sheetData>
    <row r="1" spans="1:3" hidden="1" x14ac:dyDescent="0.2">
      <c r="A1" s="1" t="s">
        <v>5</v>
      </c>
    </row>
    <row r="2" spans="1:3" hidden="1" x14ac:dyDescent="0.2">
      <c r="A2" s="3" t="s">
        <v>20</v>
      </c>
      <c r="B2" s="48" t="s">
        <v>6</v>
      </c>
    </row>
    <row r="3" spans="1:3" hidden="1" x14ac:dyDescent="0.2">
      <c r="A3" s="3" t="s">
        <v>20</v>
      </c>
      <c r="B3" s="48" t="s">
        <v>6</v>
      </c>
    </row>
    <row r="4" spans="1:3" hidden="1" x14ac:dyDescent="0.2">
      <c r="A4" s="3" t="s">
        <v>21</v>
      </c>
      <c r="B4" s="48" t="s">
        <v>7</v>
      </c>
    </row>
    <row r="5" spans="1:3" hidden="1" x14ac:dyDescent="0.2">
      <c r="A5" s="3" t="s">
        <v>22</v>
      </c>
      <c r="B5" s="48" t="s">
        <v>7</v>
      </c>
    </row>
    <row r="6" spans="1:3" x14ac:dyDescent="0.2">
      <c r="A6" s="5"/>
      <c r="B6" s="49"/>
      <c r="C6" s="4"/>
    </row>
    <row r="7" spans="1:3" x14ac:dyDescent="0.2">
      <c r="A7" s="30"/>
      <c r="B7" s="49"/>
      <c r="C7" s="4"/>
    </row>
    <row r="8" spans="1:3" ht="27.75" x14ac:dyDescent="0.2">
      <c r="A8" s="95" t="s">
        <v>1</v>
      </c>
      <c r="B8" s="95"/>
      <c r="C8" s="29" t="s">
        <v>8</v>
      </c>
    </row>
    <row r="9" spans="1:3" x14ac:dyDescent="0.2">
      <c r="A9" s="4"/>
      <c r="B9" s="49"/>
      <c r="C9" s="4"/>
    </row>
    <row r="10" spans="1:3" x14ac:dyDescent="0.2">
      <c r="A10" s="5" t="s">
        <v>9</v>
      </c>
      <c r="B10" s="96" t="s">
        <v>10</v>
      </c>
      <c r="C10" s="96"/>
    </row>
    <row r="11" spans="1:3" x14ac:dyDescent="0.2">
      <c r="A11" s="25" t="s">
        <v>11</v>
      </c>
      <c r="B11" s="21" t="s">
        <v>80</v>
      </c>
      <c r="C11" s="22"/>
    </row>
    <row r="12" spans="1:3" x14ac:dyDescent="0.2">
      <c r="A12" s="30"/>
      <c r="B12" s="49"/>
      <c r="C12" s="4"/>
    </row>
    <row r="13" spans="1:3" x14ac:dyDescent="0.2">
      <c r="A13" s="30"/>
      <c r="B13" s="49"/>
      <c r="C13" s="4"/>
    </row>
    <row r="14" spans="1:3" ht="19.7" customHeight="1" x14ac:dyDescent="0.2">
      <c r="A14" s="26" t="str">
        <f>CONCATENATE("To be Performed by Tester : ",'Test Cycle 1'!H2)</f>
        <v>To be Performed by Tester : Rhishna</v>
      </c>
      <c r="B14" s="50"/>
      <c r="C14" s="4"/>
    </row>
    <row r="15" spans="1:3" ht="21.95" customHeight="1" x14ac:dyDescent="0.25">
      <c r="A15" s="31" t="s">
        <v>23</v>
      </c>
      <c r="B15" s="97"/>
      <c r="C15" s="98"/>
    </row>
    <row r="16" spans="1:3" ht="39.75" customHeight="1" x14ac:dyDescent="0.2">
      <c r="A16" s="28" t="s">
        <v>24</v>
      </c>
      <c r="B16" s="28" t="s">
        <v>12</v>
      </c>
      <c r="C16" s="23" t="s">
        <v>25</v>
      </c>
    </row>
    <row r="17" spans="1:3" x14ac:dyDescent="0.2">
      <c r="A17" s="24" t="s">
        <v>26</v>
      </c>
      <c r="B17" s="51"/>
      <c r="C17" s="27" t="s">
        <v>121</v>
      </c>
    </row>
    <row r="18" spans="1:3" x14ac:dyDescent="0.2">
      <c r="A18" s="24" t="s">
        <v>27</v>
      </c>
      <c r="B18" s="51"/>
      <c r="C18" s="27" t="s">
        <v>121</v>
      </c>
    </row>
    <row r="19" spans="1:3" x14ac:dyDescent="0.2">
      <c r="A19" s="24" t="s">
        <v>28</v>
      </c>
      <c r="B19" s="51"/>
      <c r="C19" s="27" t="s">
        <v>122</v>
      </c>
    </row>
    <row r="20" spans="1:3" x14ac:dyDescent="0.2">
      <c r="A20" s="24" t="s">
        <v>76</v>
      </c>
      <c r="B20" s="52"/>
      <c r="C20" s="27" t="s">
        <v>121</v>
      </c>
    </row>
    <row r="21" spans="1:3" x14ac:dyDescent="0.2">
      <c r="A21" s="24" t="s">
        <v>77</v>
      </c>
      <c r="B21" s="51"/>
      <c r="C21" s="27" t="s">
        <v>122</v>
      </c>
    </row>
    <row r="22" spans="1:3" x14ac:dyDescent="0.2">
      <c r="A22" s="24" t="s">
        <v>79</v>
      </c>
      <c r="B22" s="51"/>
      <c r="C22" s="27" t="s">
        <v>121</v>
      </c>
    </row>
    <row r="23" spans="1:3" x14ac:dyDescent="0.2">
      <c r="A23" s="24" t="s">
        <v>78</v>
      </c>
      <c r="B23" s="55"/>
      <c r="C23" s="27" t="s">
        <v>121</v>
      </c>
    </row>
    <row r="24" spans="1:3" x14ac:dyDescent="0.2">
      <c r="A24" s="24" t="s">
        <v>29</v>
      </c>
      <c r="B24" s="51"/>
      <c r="C24" s="27" t="s">
        <v>122</v>
      </c>
    </row>
    <row r="25" spans="1:3" x14ac:dyDescent="0.2">
      <c r="A25" s="24" t="s">
        <v>30</v>
      </c>
      <c r="B25" s="51"/>
      <c r="C25" s="27" t="s">
        <v>121</v>
      </c>
    </row>
    <row r="26" spans="1:3" ht="25.5" x14ac:dyDescent="0.2">
      <c r="A26" s="24" t="s">
        <v>31</v>
      </c>
      <c r="B26" s="27"/>
      <c r="C26" s="27" t="s">
        <v>121</v>
      </c>
    </row>
    <row r="27" spans="1:3" x14ac:dyDescent="0.2">
      <c r="A27" s="24" t="s">
        <v>55</v>
      </c>
      <c r="B27" s="27"/>
      <c r="C27" s="27" t="s">
        <v>121</v>
      </c>
    </row>
    <row r="28" spans="1:3" x14ac:dyDescent="0.2">
      <c r="A28" s="24" t="s">
        <v>81</v>
      </c>
      <c r="B28" s="51"/>
      <c r="C28" s="27" t="s">
        <v>121</v>
      </c>
    </row>
    <row r="29" spans="1:3" x14ac:dyDescent="0.2">
      <c r="A29" s="24" t="s">
        <v>82</v>
      </c>
      <c r="B29" s="51"/>
      <c r="C29" s="27" t="s">
        <v>122</v>
      </c>
    </row>
    <row r="30" spans="1:3" x14ac:dyDescent="0.2">
      <c r="A30" s="42"/>
      <c r="B30" s="53"/>
      <c r="C30" s="43"/>
    </row>
    <row r="31" spans="1:3" x14ac:dyDescent="0.2">
      <c r="A31" s="44"/>
      <c r="B31" s="54"/>
      <c r="C31" s="44"/>
    </row>
    <row r="32" spans="1:3" x14ac:dyDescent="0.2">
      <c r="A32" s="41" t="str">
        <f>CONCATENATE("To be Performed by Reviewer : ",'Test Cycle 1'!H3)</f>
        <v xml:space="preserve">To be Performed by Reviewer : </v>
      </c>
      <c r="B32" s="50"/>
      <c r="C32" s="4"/>
    </row>
    <row r="33" spans="1:3" ht="15" x14ac:dyDescent="0.25">
      <c r="A33" s="31" t="s">
        <v>23</v>
      </c>
      <c r="B33" s="97"/>
      <c r="C33" s="98"/>
    </row>
    <row r="34" spans="1:3" ht="25.5" x14ac:dyDescent="0.2">
      <c r="A34" s="28" t="s">
        <v>24</v>
      </c>
      <c r="B34" s="28"/>
      <c r="C34" s="23" t="s">
        <v>25</v>
      </c>
    </row>
    <row r="35" spans="1:3" x14ac:dyDescent="0.2">
      <c r="A35" s="24" t="s">
        <v>32</v>
      </c>
      <c r="B35" s="51"/>
      <c r="C35" s="27"/>
    </row>
    <row r="36" spans="1:3" x14ac:dyDescent="0.2">
      <c r="A36" s="24" t="s">
        <v>33</v>
      </c>
      <c r="B36" s="51"/>
      <c r="C36" s="27"/>
    </row>
    <row r="37" spans="1:3" x14ac:dyDescent="0.2">
      <c r="A37" s="24" t="s">
        <v>75</v>
      </c>
      <c r="B37" s="51"/>
      <c r="C37" s="27"/>
    </row>
    <row r="38" spans="1:3" x14ac:dyDescent="0.2">
      <c r="A38" s="24" t="s">
        <v>34</v>
      </c>
      <c r="B38" s="51"/>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1"/>
  <sheetViews>
    <sheetView zoomScale="70" zoomScaleNormal="70" workbookViewId="0">
      <selection activeCell="B4" sqref="B4:H4"/>
    </sheetView>
  </sheetViews>
  <sheetFormatPr defaultColWidth="9.140625" defaultRowHeight="16.5" x14ac:dyDescent="0.3"/>
  <cols>
    <col min="1" max="1" width="22.85546875" style="33" customWidth="1"/>
    <col min="2" max="2" width="37.140625" style="33" customWidth="1"/>
    <col min="3" max="3" width="54.28515625" style="33" customWidth="1"/>
    <col min="4" max="4" width="23.42578125" style="33" bestFit="1" customWidth="1"/>
    <col min="5" max="5" width="41.42578125" style="56" customWidth="1"/>
    <col min="6" max="6" width="36.85546875" style="33" customWidth="1"/>
    <col min="7" max="7" width="39.42578125" style="33" customWidth="1"/>
    <col min="8" max="8" width="36.85546875" style="33" customWidth="1"/>
    <col min="9" max="9" width="25" style="33" customWidth="1"/>
    <col min="10" max="10" width="23.42578125" style="33" customWidth="1"/>
    <col min="11" max="11" width="32" style="33" customWidth="1"/>
    <col min="12" max="12" width="30.85546875" style="33" customWidth="1"/>
    <col min="13" max="22" width="9.140625" style="32"/>
    <col min="23" max="23" width="17.140625" style="32" bestFit="1" customWidth="1"/>
    <col min="24" max="24" width="9.140625" style="32"/>
    <col min="25" max="25" width="14.28515625" style="32" bestFit="1" customWidth="1"/>
    <col min="26" max="48" width="9.140625" style="32"/>
    <col min="49" max="49" width="9" style="32" customWidth="1"/>
    <col min="50" max="52" width="9.140625" style="32" hidden="1" customWidth="1"/>
    <col min="53" max="53" width="27.7109375" style="32" customWidth="1"/>
    <col min="54" max="16384" width="9.140625" style="32"/>
  </cols>
  <sheetData>
    <row r="1" spans="1:55" s="33" customFormat="1" x14ac:dyDescent="0.3">
      <c r="A1" s="35" t="s">
        <v>43</v>
      </c>
      <c r="B1" s="99" t="s">
        <v>123</v>
      </c>
      <c r="C1" s="100"/>
      <c r="D1" s="100"/>
      <c r="E1" s="67" t="s">
        <v>44</v>
      </c>
      <c r="F1" s="36" t="s">
        <v>126</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124</v>
      </c>
      <c r="C2" s="100"/>
      <c r="D2" s="100"/>
      <c r="E2" s="67" t="s">
        <v>47</v>
      </c>
      <c r="F2" s="38" t="s">
        <v>127</v>
      </c>
      <c r="G2" s="35" t="s">
        <v>48</v>
      </c>
      <c r="H2" s="40" t="s">
        <v>125</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41</v>
      </c>
      <c r="C3" s="101"/>
      <c r="D3" s="101"/>
      <c r="E3" s="67"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7" customHeight="1" x14ac:dyDescent="0.3">
      <c r="A4" s="35" t="s">
        <v>54</v>
      </c>
      <c r="B4" s="102" t="s">
        <v>128</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6" t="s">
        <v>66</v>
      </c>
      <c r="B5" s="66" t="s">
        <v>67</v>
      </c>
      <c r="C5" s="66" t="s">
        <v>68</v>
      </c>
      <c r="D5" s="66" t="s">
        <v>69</v>
      </c>
      <c r="E5" s="66" t="s">
        <v>70</v>
      </c>
      <c r="F5" s="66" t="s">
        <v>71</v>
      </c>
      <c r="G5" s="66" t="s">
        <v>72</v>
      </c>
      <c r="H5" s="66" t="s">
        <v>73</v>
      </c>
      <c r="I5" s="66" t="s">
        <v>64</v>
      </c>
      <c r="J5" s="66"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148.5" x14ac:dyDescent="0.3">
      <c r="A6" s="70">
        <v>1</v>
      </c>
      <c r="B6" s="70" t="s">
        <v>83</v>
      </c>
      <c r="C6" s="45" t="s">
        <v>84</v>
      </c>
      <c r="D6" s="71" t="s">
        <v>95</v>
      </c>
      <c r="E6" s="46" t="s">
        <v>114</v>
      </c>
      <c r="F6" s="71" t="s">
        <v>85</v>
      </c>
      <c r="G6" s="46" t="s">
        <v>114</v>
      </c>
      <c r="H6" s="71" t="s">
        <v>85</v>
      </c>
      <c r="I6" s="72"/>
      <c r="J6" s="73"/>
      <c r="AY6" s="34" t="s">
        <v>45</v>
      </c>
    </row>
    <row r="7" spans="1:55" s="33" customFormat="1" ht="82.5" x14ac:dyDescent="0.3">
      <c r="A7" s="70">
        <v>2</v>
      </c>
      <c r="B7" s="74" t="s">
        <v>97</v>
      </c>
      <c r="C7" s="74" t="s">
        <v>98</v>
      </c>
      <c r="D7" s="75" t="s">
        <v>86</v>
      </c>
      <c r="E7" s="75" t="s">
        <v>99</v>
      </c>
      <c r="F7" s="75" t="s">
        <v>87</v>
      </c>
      <c r="G7" s="75" t="s">
        <v>99</v>
      </c>
      <c r="H7" s="75" t="s">
        <v>87</v>
      </c>
      <c r="I7" s="76"/>
      <c r="J7" s="73"/>
      <c r="AY7" s="34" t="s">
        <v>49</v>
      </c>
    </row>
    <row r="8" spans="1:55" s="33" customFormat="1" ht="76.5" x14ac:dyDescent="0.3">
      <c r="A8" s="70">
        <v>3</v>
      </c>
      <c r="B8" s="77" t="s">
        <v>89</v>
      </c>
      <c r="C8" s="71" t="s">
        <v>90</v>
      </c>
      <c r="D8" s="71" t="s">
        <v>91</v>
      </c>
      <c r="E8" s="71" t="s">
        <v>100</v>
      </c>
      <c r="F8" s="78" t="s">
        <v>92</v>
      </c>
      <c r="G8" s="71" t="s">
        <v>100</v>
      </c>
      <c r="H8" s="78" t="s">
        <v>93</v>
      </c>
      <c r="I8" s="72"/>
      <c r="J8" s="73"/>
      <c r="AY8" s="34" t="s">
        <v>53</v>
      </c>
    </row>
    <row r="9" spans="1:55" s="33" customFormat="1" ht="38.25" x14ac:dyDescent="0.3">
      <c r="A9" s="70">
        <v>4</v>
      </c>
      <c r="B9" s="77" t="s">
        <v>89</v>
      </c>
      <c r="C9" s="71" t="s">
        <v>94</v>
      </c>
      <c r="D9" s="71" t="s">
        <v>95</v>
      </c>
      <c r="E9" s="78" t="s">
        <v>88</v>
      </c>
      <c r="F9" s="71" t="s">
        <v>111</v>
      </c>
      <c r="G9" s="78" t="s">
        <v>88</v>
      </c>
      <c r="H9" s="71" t="s">
        <v>111</v>
      </c>
      <c r="I9" s="72"/>
      <c r="J9" s="73"/>
      <c r="U9" s="32"/>
    </row>
    <row r="10" spans="1:55" s="33" customFormat="1" ht="102" x14ac:dyDescent="0.3">
      <c r="A10" s="70">
        <v>5</v>
      </c>
      <c r="B10" s="80" t="s">
        <v>101</v>
      </c>
      <c r="C10" s="71" t="s">
        <v>102</v>
      </c>
      <c r="D10" s="71" t="s">
        <v>95</v>
      </c>
      <c r="E10" s="79" t="s">
        <v>106</v>
      </c>
      <c r="F10" s="79" t="s">
        <v>103</v>
      </c>
      <c r="G10" s="79" t="s">
        <v>106</v>
      </c>
      <c r="H10" s="79" t="s">
        <v>103</v>
      </c>
      <c r="I10" s="81"/>
      <c r="J10" s="73"/>
    </row>
    <row r="11" spans="1:55" s="33" customFormat="1" ht="181.5" customHeight="1" x14ac:dyDescent="0.3">
      <c r="A11" s="70">
        <v>6</v>
      </c>
      <c r="B11" s="45" t="s">
        <v>105</v>
      </c>
      <c r="C11" s="71" t="s">
        <v>115</v>
      </c>
      <c r="D11" s="71" t="s">
        <v>95</v>
      </c>
      <c r="E11" s="82" t="s">
        <v>108</v>
      </c>
      <c r="F11" s="79" t="s">
        <v>104</v>
      </c>
      <c r="G11" s="82" t="s">
        <v>108</v>
      </c>
      <c r="H11" s="79" t="s">
        <v>104</v>
      </c>
      <c r="I11" s="81"/>
      <c r="J11" s="73"/>
    </row>
    <row r="12" spans="1:55" s="33" customFormat="1" ht="153" x14ac:dyDescent="0.3">
      <c r="A12" s="70">
        <v>7</v>
      </c>
      <c r="B12" s="104" t="s">
        <v>109</v>
      </c>
      <c r="C12" s="83" t="s">
        <v>117</v>
      </c>
      <c r="D12" s="78" t="s">
        <v>96</v>
      </c>
      <c r="E12" s="71" t="s">
        <v>88</v>
      </c>
      <c r="F12" s="71" t="s">
        <v>88</v>
      </c>
      <c r="G12" s="71" t="s">
        <v>88</v>
      </c>
      <c r="H12" s="71" t="s">
        <v>88</v>
      </c>
      <c r="I12" s="72"/>
      <c r="J12" s="73"/>
    </row>
    <row r="13" spans="1:55" s="33" customFormat="1" ht="148.5" x14ac:dyDescent="0.3">
      <c r="A13" s="70">
        <v>8</v>
      </c>
      <c r="B13" s="45" t="s">
        <v>83</v>
      </c>
      <c r="C13" s="45" t="s">
        <v>84</v>
      </c>
      <c r="D13" s="71" t="s">
        <v>95</v>
      </c>
      <c r="E13" s="46" t="s">
        <v>114</v>
      </c>
      <c r="F13" s="71" t="s">
        <v>85</v>
      </c>
      <c r="G13" s="46" t="s">
        <v>114</v>
      </c>
      <c r="H13" s="71" t="s">
        <v>85</v>
      </c>
      <c r="I13" s="72"/>
      <c r="J13" s="73"/>
    </row>
    <row r="14" spans="1:55" s="33" customFormat="1" ht="82.5" x14ac:dyDescent="0.3">
      <c r="A14" s="70">
        <v>9</v>
      </c>
      <c r="B14" s="74" t="s">
        <v>97</v>
      </c>
      <c r="C14" s="74" t="s">
        <v>98</v>
      </c>
      <c r="D14" s="75" t="s">
        <v>86</v>
      </c>
      <c r="E14" s="75" t="s">
        <v>99</v>
      </c>
      <c r="F14" s="75" t="s">
        <v>87</v>
      </c>
      <c r="G14" s="75" t="s">
        <v>99</v>
      </c>
      <c r="H14" s="75" t="s">
        <v>87</v>
      </c>
      <c r="I14" s="72"/>
      <c r="J14" s="73"/>
    </row>
    <row r="15" spans="1:55" s="33" customFormat="1" ht="76.5" x14ac:dyDescent="0.3">
      <c r="A15" s="70">
        <v>10</v>
      </c>
      <c r="B15" s="77" t="s">
        <v>89</v>
      </c>
      <c r="C15" s="71" t="s">
        <v>112</v>
      </c>
      <c r="D15" s="71" t="s">
        <v>91</v>
      </c>
      <c r="E15" s="71" t="s">
        <v>100</v>
      </c>
      <c r="F15" s="78" t="s">
        <v>92</v>
      </c>
      <c r="G15" s="71" t="s">
        <v>100</v>
      </c>
      <c r="H15" s="78" t="s">
        <v>93</v>
      </c>
      <c r="I15" s="72"/>
      <c r="J15" s="73"/>
    </row>
    <row r="16" spans="1:55" s="33" customFormat="1" x14ac:dyDescent="0.3">
      <c r="A16" s="70">
        <v>11</v>
      </c>
      <c r="B16" s="77" t="s">
        <v>89</v>
      </c>
      <c r="C16" s="71" t="s">
        <v>113</v>
      </c>
      <c r="D16" s="71" t="s">
        <v>95</v>
      </c>
      <c r="E16" s="78" t="s">
        <v>88</v>
      </c>
      <c r="F16" s="71" t="s">
        <v>111</v>
      </c>
      <c r="G16" s="78" t="s">
        <v>88</v>
      </c>
      <c r="H16" s="71" t="s">
        <v>111</v>
      </c>
      <c r="I16" s="72"/>
      <c r="J16" s="73"/>
    </row>
    <row r="17" spans="1:10" s="33" customFormat="1" ht="102" x14ac:dyDescent="0.3">
      <c r="A17" s="70">
        <v>12</v>
      </c>
      <c r="B17" s="77" t="s">
        <v>101</v>
      </c>
      <c r="C17" s="71" t="s">
        <v>102</v>
      </c>
      <c r="D17" s="71" t="s">
        <v>95</v>
      </c>
      <c r="E17" s="71" t="s">
        <v>106</v>
      </c>
      <c r="F17" s="71" t="s">
        <v>103</v>
      </c>
      <c r="G17" s="78" t="s">
        <v>106</v>
      </c>
      <c r="H17" s="71" t="s">
        <v>103</v>
      </c>
      <c r="I17" s="72"/>
      <c r="J17" s="73"/>
    </row>
    <row r="18" spans="1:10" s="33" customFormat="1" ht="409.5" x14ac:dyDescent="0.3">
      <c r="A18" s="70">
        <v>13</v>
      </c>
      <c r="B18" s="77" t="s">
        <v>105</v>
      </c>
      <c r="C18" s="71" t="s">
        <v>115</v>
      </c>
      <c r="D18" s="71" t="s">
        <v>95</v>
      </c>
      <c r="E18" s="78" t="s">
        <v>108</v>
      </c>
      <c r="F18" s="71" t="s">
        <v>104</v>
      </c>
      <c r="G18" s="78" t="s">
        <v>108</v>
      </c>
      <c r="H18" s="71" t="s">
        <v>104</v>
      </c>
      <c r="I18" s="72"/>
      <c r="J18" s="73"/>
    </row>
    <row r="19" spans="1:10" s="33" customFormat="1" ht="38.25" x14ac:dyDescent="0.3">
      <c r="A19" s="70">
        <v>14</v>
      </c>
      <c r="B19" s="105" t="s">
        <v>109</v>
      </c>
      <c r="C19" s="71" t="s">
        <v>110</v>
      </c>
      <c r="D19" s="71" t="s">
        <v>96</v>
      </c>
      <c r="E19" s="78" t="s">
        <v>88</v>
      </c>
      <c r="F19" s="71" t="s">
        <v>88</v>
      </c>
      <c r="G19" s="78" t="s">
        <v>88</v>
      </c>
      <c r="H19" s="71" t="s">
        <v>88</v>
      </c>
      <c r="I19" s="72"/>
      <c r="J19" s="73"/>
    </row>
    <row r="20" spans="1:10" s="33" customFormat="1" ht="111.75" customHeight="1" x14ac:dyDescent="0.3">
      <c r="E20" s="56"/>
    </row>
    <row r="21" spans="1:10" s="33" customFormat="1" ht="111.75" customHeight="1" x14ac:dyDescent="0.3">
      <c r="E21" s="56"/>
    </row>
  </sheetData>
  <mergeCells count="4">
    <mergeCell ref="B1:D1"/>
    <mergeCell ref="B2:D2"/>
    <mergeCell ref="B3:D3"/>
    <mergeCell ref="B4:H4"/>
  </mergeCells>
  <dataValidations count="2">
    <dataValidation type="list" allowBlank="1" showInputMessage="1" showErrorMessage="1" sqref="B3:D3" xr:uid="{00000000-0002-0000-0200-000000000000}">
      <formula1>$BA$1:$BA$8</formula1>
    </dataValidation>
    <dataValidation type="list" allowBlank="1" showInputMessage="1" showErrorMessage="1" sqref="I6:K16" xr:uid="{2A23FC2A-DA69-4DCC-BA7C-6EF9EF051EC0}">
      <formula1>$BC$1:$BC$5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75" outlineLevelRow="1" x14ac:dyDescent="0.2"/>
  <cols>
    <col min="1" max="1" width="27.140625" customWidth="1"/>
    <col min="2" max="2" width="59.85546875" style="57" customWidth="1"/>
    <col min="3" max="3" width="24.42578125" customWidth="1"/>
  </cols>
  <sheetData>
    <row r="1" spans="1:2" x14ac:dyDescent="0.2">
      <c r="A1" s="58" t="s">
        <v>62</v>
      </c>
      <c r="B1" s="59" t="s">
        <v>0</v>
      </c>
    </row>
    <row r="2" spans="1:2" outlineLevel="1" x14ac:dyDescent="0.2">
      <c r="A2" s="60" t="s">
        <v>56</v>
      </c>
      <c r="B2" s="65" t="str">
        <f>PPRD</f>
        <v>Jun , 2021</v>
      </c>
    </row>
    <row r="3" spans="1:2" x14ac:dyDescent="0.2">
      <c r="A3" s="60" t="s">
        <v>59</v>
      </c>
      <c r="B3" s="61" t="str">
        <f>CRN</f>
        <v>CHG213664</v>
      </c>
    </row>
    <row r="4" spans="1:2" x14ac:dyDescent="0.2">
      <c r="A4" s="60" t="s">
        <v>60</v>
      </c>
      <c r="B4" s="61" t="str">
        <f>MA</f>
        <v>CT</v>
      </c>
    </row>
    <row r="5" spans="1:2" x14ac:dyDescent="0.2">
      <c r="A5" s="60" t="s">
        <v>61</v>
      </c>
      <c r="B5" s="61" t="str">
        <f>Area</f>
        <v>Data</v>
      </c>
    </row>
    <row r="6" spans="1:2" x14ac:dyDescent="0.2">
      <c r="A6" s="60" t="s">
        <v>44</v>
      </c>
      <c r="B6" s="61" t="str">
        <f>Entity</f>
        <v>Product, Product Eligibility</v>
      </c>
    </row>
    <row r="7" spans="1:2" x14ac:dyDescent="0.2">
      <c r="A7" s="60" t="s">
        <v>57</v>
      </c>
      <c r="B7" s="62" t="str">
        <f>DTested</f>
        <v>15/11/2021</v>
      </c>
    </row>
    <row r="8" spans="1:2" x14ac:dyDescent="0.2">
      <c r="A8" s="60" t="s">
        <v>58</v>
      </c>
      <c r="B8" s="63">
        <f>DReviewed</f>
        <v>0</v>
      </c>
    </row>
    <row r="9" spans="1:2" x14ac:dyDescent="0.2">
      <c r="A9" s="60" t="s">
        <v>48</v>
      </c>
      <c r="B9" s="61" t="str">
        <f>TestedBy</f>
        <v>Rhishna</v>
      </c>
    </row>
    <row r="10" spans="1:2" x14ac:dyDescent="0.2">
      <c r="A10" s="60" t="s">
        <v>52</v>
      </c>
      <c r="B10" s="61">
        <f>ReviewedBy</f>
        <v>0</v>
      </c>
    </row>
    <row r="12" spans="1:2" x14ac:dyDescent="0.2">
      <c r="A12" s="60" t="s">
        <v>63</v>
      </c>
      <c r="B12" s="64"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55" workbookViewId="0">
      <selection activeCell="L81" sqref="L81"/>
    </sheetView>
  </sheetViews>
  <sheetFormatPr defaultColWidth="9.140625" defaultRowHeight="12.75" x14ac:dyDescent="0.2"/>
  <cols>
    <col min="1" max="1" width="44" style="69" bestFit="1" customWidth="1"/>
    <col min="2" max="16384" width="9.140625" style="69"/>
  </cols>
  <sheetData>
    <row r="1" spans="1:1" x14ac:dyDescent="0.2">
      <c r="A1" s="68" t="s">
        <v>107</v>
      </c>
    </row>
    <row r="30" spans="1:1" x14ac:dyDescent="0.2">
      <c r="A30" s="68"/>
    </row>
    <row r="55" spans="1:1" x14ac:dyDescent="0.2">
      <c r="A55" s="68"/>
    </row>
    <row r="68" spans="1:1" x14ac:dyDescent="0.2">
      <c r="A68" s="68" t="s">
        <v>116</v>
      </c>
    </row>
    <row r="70" spans="1:1" x14ac:dyDescent="0.2">
      <c r="A70" s="68"/>
    </row>
    <row r="105" spans="1:1" x14ac:dyDescent="0.2">
      <c r="A105" s="68"/>
    </row>
    <row r="146" spans="1:1" x14ac:dyDescent="0.2">
      <c r="A146" s="68"/>
    </row>
    <row r="185" spans="1:1" x14ac:dyDescent="0.2">
      <c r="A185" s="68"/>
    </row>
    <row r="220" spans="1:1" x14ac:dyDescent="0.2">
      <c r="A220" s="68"/>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Ramen, Rhishna</cp:lastModifiedBy>
  <cp:lastPrinted>2013-10-17T06:50:38Z</cp:lastPrinted>
  <dcterms:created xsi:type="dcterms:W3CDTF">2006-03-30T08:28:02Z</dcterms:created>
  <dcterms:modified xsi:type="dcterms:W3CDTF">2021-11-15T13:22:52Z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