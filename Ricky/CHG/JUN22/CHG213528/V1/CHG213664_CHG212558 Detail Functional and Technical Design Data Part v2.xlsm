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628" codeName="{00000000-0000-0000-0000-000000000000}"/>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3664\02-Design\"/>
    </mc:Choice>
  </mc:AlternateContent>
  <xr:revisionPtr revIDLastSave="0" documentId="13_ncr:1_{25563756-3D63-46C4-AC78-05D9039B7D83}" xr6:coauthVersionLast="47" xr6:coauthVersionMax="47" xr10:uidLastSave="{00000000-0000-0000-0000-000000000000}"/>
  <bookViews>
    <workbookView xWindow="20370" yWindow="-120" windowWidth="24240" windowHeight="13140" tabRatio="893" firstSheet="7" activeTab="7"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16" l="1"/>
  <c r="Y11" i="16"/>
  <c r="Y10" i="16"/>
  <c r="Y9" i="16"/>
  <c r="Y8" i="16"/>
  <c r="Y5" i="16" l="1"/>
  <c r="Y6" i="16"/>
  <c r="Y7" i="16"/>
  <c r="Y4" i="16"/>
  <c r="B15" i="3" l="1"/>
  <c r="B38" i="7"/>
  <c r="B8" i="21" l="1"/>
  <c r="B3" i="21"/>
  <c r="B9" i="21"/>
  <c r="B10" i="21"/>
  <c r="C17" i="21"/>
  <c r="C24" i="12" l="1"/>
  <c r="D8" i="1" l="1"/>
  <c r="D7" i="1"/>
  <c r="D6" i="1"/>
  <c r="D5" i="1"/>
  <c r="D4" i="1"/>
  <c r="D3" i="1"/>
  <c r="B38" i="11"/>
  <c r="B7" i="21" l="1"/>
  <c r="C27" i="12"/>
  <c r="G27"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<sst xmlns="http://schemas.openxmlformats.org/spreadsheetml/2006/main" count="1354" uniqueCount="362">
  <si>
    <t>Trade Marketing Excellence Programme</t>
  </si>
  <si>
    <t>DATA</t>
  </si>
  <si>
    <t>Technical Design Mapping, Workflow &amp; Stored Procedure</t>
  </si>
  <si>
    <t>CHG/INC:</t>
  </si>
  <si>
    <t>CHG213664</t>
  </si>
  <si>
    <t xml:space="preserve">        Title:</t>
  </si>
  <si>
    <t>(Data) CHG213664 - TMEC: MD - Product</t>
  </si>
  <si>
    <t>Planned Prod Release Date:</t>
  </si>
  <si>
    <t>Feb, 2022</t>
  </si>
  <si>
    <t xml:space="preserve">  Market Affected:</t>
  </si>
  <si>
    <t>CT</t>
  </si>
  <si>
    <t>Date:</t>
  </si>
  <si>
    <t>Status:</t>
  </si>
  <si>
    <t xml:space="preserve">Draft </t>
  </si>
  <si>
    <t>Reviewer Control Section</t>
  </si>
  <si>
    <t>Completed</t>
  </si>
  <si>
    <t>Failed</t>
  </si>
  <si>
    <t>Name</t>
  </si>
  <si>
    <t>First Name</t>
  </si>
  <si>
    <t>Function</t>
  </si>
  <si>
    <t>Document Version</t>
  </si>
  <si>
    <t>Date</t>
  </si>
  <si>
    <t>Status</t>
  </si>
  <si>
    <t>Comments</t>
  </si>
  <si>
    <t>In Progress</t>
  </si>
  <si>
    <t>Ramen</t>
  </si>
  <si>
    <t>Rhishna</t>
  </si>
  <si>
    <t>Developer</t>
  </si>
  <si>
    <t>Created based on FD_CHG213664_TMEC_MD_Product_v1.2 &amp; FD_CHG212558_TMEC_MD_Product_Unit_Of_Measure_v1.1</t>
  </si>
  <si>
    <t>Not Started</t>
  </si>
  <si>
    <t>Modified section 3.0 Mapping to reduce number of fields &amp; reduce testing estimates</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</si>
  <si>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</si>
  <si>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</si>
  <si>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</si>
  <si>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</si>
  <si>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</si>
  <si>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</si>
  <si>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</si>
  <si>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</si>
  <si>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</si>
  <si>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</si>
  <si>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</si>
  <si>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</si>
  <si>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</si>
  <si>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</si>
  <si>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</si>
  <si>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</si>
  <si>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</si>
  <si>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</si>
  <si>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</si>
  <si>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</si>
  <si>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</si>
  <si>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</si>
  <si>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</si>
  <si>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</si>
  <si>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</si>
  <si>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</si>
  <si>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</si>
  <si>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TME Phase 2 - HLFD Interface Products Version 18.0</t>
  </si>
  <si>
    <t>TME - HLFD Interface Product Eligibility In OLTP Version 2.0</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</si>
  <si>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</si>
  <si>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</si>
  <si>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</si>
  <si>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</si>
  <si>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</si>
  <si>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</si>
  <si>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</si>
  <si>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</si>
  <si>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</si>
  <si>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</si>
  <si>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</si>
  <si>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NA</t>
  </si>
  <si>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</si>
  <si>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</si>
  <si>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</si>
  <si>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</si>
  <si>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</si>
  <si>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</si>
  <si>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</si>
  <si>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</si>
  <si>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Passed</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</si>
  <si>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</si>
  <si>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</si>
  <si>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</si>
  <si>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</si>
  <si>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</si>
  <si>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</si>
  <si>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</si>
  <si>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</si>
  <si>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</si>
  <si>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</si>
  <si>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</si>
  <si>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</si>
  <si>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</si>
  <si>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</si>
  <si>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</si>
  <si>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</si>
  <si>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</si>
  <si>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</si>
  <si>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</si>
  <si>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</si>
  <si>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</si>
  <si>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</si>
  <si>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</si>
  <si>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</si>
  <si>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</si>
  <si>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</si>
  <si>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</si>
  <si>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</si>
  <si>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</si>
  <si>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</si>
  <si>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</si>
  <si>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</si>
  <si>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</si>
  <si>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</si>
  <si>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</si>
  <si>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</si>
  <si>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</si>
  <si>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</si>
  <si>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</si>
  <si>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</si>
  <si>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</si>
  <si>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</si>
  <si>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</si>
  <si>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</si>
  <si>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</si>
  <si>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</si>
  <si>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</si>
  <si>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</si>
  <si>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</si>
  <si>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</si>
  <si>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</si>
  <si>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</si>
  <si>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</si>
  <si>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</si>
  <si>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</si>
  <si>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</si>
  <si>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</si>
  <si>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</si>
  <si>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</si>
  <si>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</si>
  <si>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</si>
  <si>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</si>
  <si>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</si>
  <si>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</si>
  <si>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</si>
  <si>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</si>
  <si>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</si>
  <si>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</si>
  <si>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</si>
  <si>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</si>
  <si>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</si>
  <si>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</si>
  <si>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</si>
  <si>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</si>
  <si>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</si>
  <si>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</si>
  <si>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</si>
  <si>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</si>
  <si>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</si>
  <si>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</si>
  <si>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</si>
  <si>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</si>
  <si>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</si>
  <si>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</si>
  <si>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</si>
  <si>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</si>
  <si>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</si>
  <si>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</si>
  <si>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</si>
  <si>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</si>
  <si>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</si>
  <si>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</si>
  <si>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</si>
  <si>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PRODUCT_TXT_GROUPED</t>
  </si>
  <si>
    <t>Informatica Definition</t>
  </si>
  <si>
    <t>Add new fields</t>
  </si>
  <si>
    <t>Vardecimal compression should be applied for OLAP</t>
  </si>
  <si>
    <t>PRE_EIM_PROD_INT</t>
  </si>
  <si>
    <t>OLTP</t>
  </si>
  <si>
    <t>When populating WC_FF_ENTITY_DETAILS, populate COUNTRY with value from WC_FF_COUNTRY_LANG_ID</t>
  </si>
  <si>
    <t>Columns</t>
  </si>
  <si>
    <t>Column Name</t>
  </si>
  <si>
    <t>Data Type</t>
  </si>
  <si>
    <t>Default column value</t>
  </si>
  <si>
    <t>ATTRIB_10</t>
  </si>
  <si>
    <t>NVARCHAR(1)</t>
  </si>
  <si>
    <t>X_OD_GLB_BUS_CTGRY_CD</t>
  </si>
  <si>
    <t>NVARCHAR(30)</t>
  </si>
  <si>
    <t>X_OD_BRAND_FMLY_CD</t>
  </si>
  <si>
    <t>X_OD_BRAND_SUBFMLY_CD</t>
  </si>
  <si>
    <t>X_OD_BRAND_FMLY_TYPE_CD</t>
  </si>
  <si>
    <t>ATTRIB_34</t>
  </si>
  <si>
    <t>NVARCHAR(50)</t>
  </si>
  <si>
    <t>ATTRIB_35</t>
  </si>
  <si>
    <t>ATTRIB_40</t>
  </si>
  <si>
    <t>X_OD_PROD_BAG_CD</t>
  </si>
  <si>
    <t>X_OD_PROD_WIDTH_CD</t>
  </si>
  <si>
    <t>X_OD_FLAVOR_CD</t>
  </si>
  <si>
    <t>X_OD_FLAVOR_GRP_CD</t>
  </si>
  <si>
    <t>X_OD_RRP_UNIT_CD</t>
  </si>
  <si>
    <t>X_OD_RRP_PCKGNG_UNIT_CD</t>
  </si>
  <si>
    <t>X_OD_RRP_PROD_CD</t>
  </si>
  <si>
    <t>ATTRIB_17</t>
  </si>
  <si>
    <t>NUMERIC(22,7)</t>
  </si>
  <si>
    <t>ATTRIB_18</t>
  </si>
  <si>
    <t>ATTRIB_19</t>
  </si>
  <si>
    <t>X_OD_PROD_GRP_CD</t>
  </si>
  <si>
    <t>X_OD_PROD_CD</t>
  </si>
  <si>
    <t>X_OD_LINE_EXT_CD</t>
  </si>
  <si>
    <t>X_OD_VARIANT_CD</t>
  </si>
  <si>
    <t>X_PROD_INTEGRATION_CD</t>
  </si>
  <si>
    <t>X_BASIS_UOM_CD</t>
  </si>
  <si>
    <t>Added as per CHG212558</t>
  </si>
  <si>
    <t>PROD_ELIGIBILITY</t>
  </si>
  <si>
    <t>ATTRIB_03</t>
  </si>
  <si>
    <t>ATTRIB_14</t>
  </si>
  <si>
    <t>ATTRIB_15</t>
  </si>
  <si>
    <t>X_OD_BRAND_FMLY</t>
  </si>
  <si>
    <t>Index</t>
  </si>
  <si>
    <t>Index Name</t>
  </si>
  <si>
    <t>Type of Index</t>
  </si>
  <si>
    <t>Columns on which index need to be applied</t>
  </si>
  <si>
    <t>Included</t>
  </si>
  <si>
    <t>CCSI Impact(MSSQL Only)</t>
  </si>
  <si>
    <t>Impacted Merge table</t>
  </si>
  <si>
    <t>Mandays</t>
  </si>
  <si>
    <t>IFB &amp; PHP</t>
  </si>
  <si>
    <t>PHP/Java</t>
  </si>
  <si>
    <t>File Name</t>
  </si>
  <si>
    <t>WC_FF_ENTITY_DATA</t>
  </si>
  <si>
    <t>Add entity PR18 &amp; EL02</t>
  </si>
  <si>
    <t>WC_FF_ENTITY_DETAILS</t>
  </si>
  <si>
    <t>WC_FF_ENTITY_PARAM</t>
  </si>
  <si>
    <t>IFBs</t>
  </si>
  <si>
    <t>Ifb Name</t>
  </si>
  <si>
    <t>IFA_ENU_PR_Poducts.ifb</t>
  </si>
  <si>
    <t>add new fields in section [Import EIM_PRDINT_DTL]
S_PROD_INT_X.ATTRIB_10,\
S_PROD_INT_X.X_OD_GLB_BUS_CTGRY_CD,\
S_PROD_INT_X.X_OD_BRAND_FMLY_CD,\
S_PROD_INT_X.X_OD_BRAND_SUBFMLY_CD,\
S_PROD_INT_X.X_OD_BRAND_FMLY_TYPE_CD,\
S_PROD_INT_X.ATTRIB_34,\
S_PROD_INT_X.ATTRIB_35,\
S_PROD_INT_X.ATTRIB_40,\
S_PROD_INT_X.X_OD_PROD_BAG_CD,\
S_PROD_INT_X.X_OD_PROD_WIDTH_CD,\
S_PROD_INT_X.X_OD_FLAVOR_CD,\
S_PROD_INT_X.X_OD_FLAVOR_GRP_CD,\
S_PROD_INT_X.X_OD_RRP_UNIT_CD,\
S_PROD_INT_X.X_OD_RRP_PCKGNG_UNIT_CD,\
S_PROD_INT_X.X_OD_RRP_PROD_CD,\
S_PROD_INT_X.ATTRIB_17,\
S_PROD_INT_X.ATTRIB_18,\
S_PROD_INT_X.ATTRIB_19,\
S_PROD_INT_X.X_OD_PROD_GRP_CD,\
S_PROD_INT_X.X_OD_PROD_CD,\
S_PROD_INT_X.X_OD_LINE_EXT_CD,\
S_PROD_INT_X.X_OD_VARIANT_CD,\
S_PROD_INT_X.X_PROD_INTEGRATION_CD,\
S_PROD_INT_X.X_BASIC_UOM_CD</t>
  </si>
  <si>
    <t>IFA_XXX_EL_Product_Eligibility.ifb</t>
  </si>
  <si>
    <t>Add new fields in section [Import EIM_PRDINT_DTL]
S_PROD_INT_XM.ATTRIB_03,\
S_PROD_INT_XM.ATTRIB_14,\
S_PROD_INT_XM.ATTRIB_15</t>
  </si>
  <si>
    <t>Parameter Files</t>
  </si>
  <si>
    <t>Configuration File (*.ini)</t>
  </si>
  <si>
    <t>Bat Files</t>
  </si>
  <si>
    <t xml:space="preserve">Mapping </t>
  </si>
  <si>
    <t>Folder Name</t>
  </si>
  <si>
    <t>Mapping Name</t>
  </si>
  <si>
    <t>EIM_INTERFACE</t>
  </si>
  <si>
    <t>FDE_INT_PRODUCT_PRE_GENERIC</t>
  </si>
  <si>
    <t>add 24 new fields</t>
  </si>
  <si>
    <t>EC4U</t>
  </si>
  <si>
    <t>Shortcut_to_FDE_INT_PRODUCT_PRE_GENERIC</t>
  </si>
  <si>
    <t xml:space="preserve">Impacted </t>
  </si>
  <si>
    <t>FDE_INT_PRODUCTS_GENERIC</t>
  </si>
  <si>
    <t>Shortcut_to_FDE_INT_PRODUCTS_GENERIC</t>
  </si>
  <si>
    <t>FDE_INT_PRODUCT_ELIGIBILITY_PRE</t>
  </si>
  <si>
    <t>add 3 new fields</t>
  </si>
  <si>
    <t>Shortcut_to_FDE_INT_PRODUCT_ELIGIBILITY_PRE</t>
  </si>
  <si>
    <t>FDE_INT_PRODUCT_ELIGIBILITY</t>
  </si>
  <si>
    <t>Shortcut_to_FDE_INT_PRODUCT_ELIGIBILITY</t>
  </si>
  <si>
    <t>Mapping Details</t>
  </si>
  <si>
    <t>Source Table</t>
  </si>
  <si>
    <t>Instance Name</t>
  </si>
  <si>
    <t>Source Column</t>
  </si>
  <si>
    <t>Datatype</t>
  </si>
  <si>
    <t>Target Table</t>
  </si>
  <si>
    <t>Target Column</t>
  </si>
  <si>
    <t>Functional
Summary</t>
  </si>
  <si>
    <t>Transformations</t>
  </si>
  <si>
    <t>Import source &amp; target table</t>
  </si>
  <si>
    <t>Length &amp; Boolean check</t>
  </si>
  <si>
    <t>Length Check</t>
  </si>
  <si>
    <t>Length &amp; Numeric Check</t>
  </si>
  <si>
    <t>EIM_PRDINT_DTL</t>
  </si>
  <si>
    <t>LOV check : JTI_GLOBAL_BUSINESS_CATEGORY</t>
  </si>
  <si>
    <t>LOV check : JTI_OD_BRAND_FAMILY</t>
  </si>
  <si>
    <t>LOV check : JTI_OD_BRAND_SUBFAMILY</t>
  </si>
  <si>
    <t>LOV check : JTI_BRAND_FAMILY_TYPE</t>
  </si>
  <si>
    <t>LOV check : JTI_DESCRIPTOR</t>
  </si>
  <si>
    <t>LOV check : JTI_OD_STNDR_TEMP</t>
  </si>
  <si>
    <t>LOV check : JTI_PRODUCT_COLOR</t>
  </si>
  <si>
    <t>LOV check : JTI_PR_BAG_TYPE</t>
  </si>
  <si>
    <t>LOV check : JTI_PROD_WIDTH</t>
  </si>
  <si>
    <t>LOV check : JTI_FLAVOR_TYPE</t>
  </si>
  <si>
    <t>LOV check : JTI_FLAVOR_TYPE_GROUP</t>
  </si>
  <si>
    <t>LOV check : JTI_RRP_UNIT</t>
  </si>
  <si>
    <t>LOV check : JTI_RRP_PACKAGING_UNIT</t>
  </si>
  <si>
    <t>LOV check : JTI_RRP_PRODUCT_TYPE</t>
  </si>
  <si>
    <t>LOV check : JTI_ONED_PRODUCT_GROUP</t>
  </si>
  <si>
    <t>LOV check : JTI_ONED_PRODUCT_TYPE</t>
  </si>
  <si>
    <t>LOV check : JTI_LINE_EXTENSION</t>
  </si>
  <si>
    <t>LOV check : JTI_VARIANT</t>
  </si>
  <si>
    <t>LOV check : JTI_PROD_ECOSYSTEM_INT</t>
  </si>
  <si>
    <t>LOV check : JTI_PR_UOM</t>
  </si>
  <si>
    <t>PRE_EIM_PRDINT_DTL</t>
  </si>
  <si>
    <t>LOV check : JTI_ORDER_CATEGORY</t>
  </si>
  <si>
    <t>Session , worklet &amp; workflow</t>
  </si>
  <si>
    <t>Workflow</t>
  </si>
  <si>
    <t>Worflow Name</t>
  </si>
  <si>
    <t>RUN_EIM_PROCESS_GENERIC</t>
  </si>
  <si>
    <t>To validate</t>
  </si>
  <si>
    <t>JTI_DWH_ETLComplete_Incremental
JTI_OLTP_EIM
JTI_OLTP_and_OLAP_Product_Load
JTI_OLTP_OLAP_Intraday</t>
  </si>
  <si>
    <t>RUN_EIM_PROCESS_JAVA</t>
  </si>
  <si>
    <t>JTI_DWH_ETLComplete_Incremental
JTI_OLTP_EIM</t>
  </si>
  <si>
    <t>Worklet</t>
  </si>
  <si>
    <t>Worklet Name</t>
  </si>
  <si>
    <t>Load_EIM.wrk_Products_Interface_Generic</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</si>
  <si>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</si>
  <si>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</si>
  <si>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</si>
  <si>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</si>
  <si>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</si>
  <si>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</si>
  <si>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</si>
  <si>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</si>
  <si>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</si>
  <si>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</si>
  <si>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</si>
  <si>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</si>
  <si>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</si>
  <si>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</si>
  <si>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</si>
  <si>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</si>
  <si>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</si>
  <si>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</si>
  <si>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</si>
  <si>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</si>
  <si>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</si>
  <si>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</si>
  <si>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</si>
  <si>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 xml:space="preserve">
RUN_EIM_PROCESS_GENERIC</t>
  </si>
  <si>
    <t>wrk_Products_Interface_Generic</t>
  </si>
  <si>
    <t>s_FDE_INT_PRODUCT_PRE_GENERIC</t>
  </si>
  <si>
    <t>To Validate</t>
  </si>
  <si>
    <t>s_FDE_INT_PRODUCTS_GENERIC</t>
  </si>
  <si>
    <t>JTI_DWH_ETLComplete_Incrementa
JTI_OLTP_EIM
JTI_OLTP_and_OLAP_Product_Load
JTI_OLTP_OLAP_Intraday</t>
  </si>
  <si>
    <t>s_FDE_INT_PRODUCT_ELIGIBILITY_PRE</t>
  </si>
  <si>
    <t>s_FDE_INT_PRODUCT_ELIGIBILITY</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</si>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</sst>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_B_F_-;\-* #,##0.00\ _B_F_-;_-* &quot;-&quot;??\ _B_F_-;_-@_-"/>
    <numFmt numFmtId="165" formatCode="mm/dd/yy"/>
    <numFmt numFmtId="166" formatCode="0.0"/>
    <numFmt numFmtId="167" formatCode="dd/mm/yy"/>
    <numFmt numFmtId="168" formatCode="mmm\-yyyy"/>
  </numFmts>
  <fonts count="67">
    <font>
      <sz val="10"/>
      <name val="Arial"/>
    </font>
    <font>
      <sz val="11"/>
      <color theme="1"/>
      <name val="Calibri"/>
      <family val="2"/>
      <scheme val="minor"/>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name val="Arial"/>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9" tint="0.39997558519241921"/>
      <name val="Arial"/>
      <family val="2"/>
    </font>
    <font>
      <sz val="11"/>
      <color rgb="FF9C5700"/>
      <name val="Calibri"/>
      <family val="2"/>
      <scheme val="minor"/>
    </font>
    <font>
      <sz val="10"/>
      <color theme="3" tint="0.39997558519241921"/>
      <name val="Arial"/>
      <family val="2"/>
    </font>
  </fonts>
  <fills count="6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4">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ashed">
        <color indexed="64"/>
      </left>
      <right style="dashed">
        <color indexed="64"/>
      </right>
      <top style="dashed">
        <color indexed="64"/>
      </top>
      <bottom style="dashed">
        <color indexed="64"/>
      </bottom>
      <diagonal/>
    </border>
    <border>
      <left style="thin">
        <color indexed="64"/>
      </left>
      <right style="thin">
        <color indexed="64"/>
      </right>
      <top/>
      <bottom/>
      <diagonal/>
    </border>
  </borders>
  <cellStyleXfs count="164">
    <xf numFmtId="0" fontId="0" fillId="0" borderId="0"/>
    <xf numFmtId="0" fontId="14" fillId="2"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5"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5" fillId="12"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9" borderId="0" applyNumberFormat="0" applyBorder="0" applyAlignment="0" applyProtection="0"/>
    <xf numFmtId="0" fontId="16" fillId="20" borderId="1" applyNumberFormat="0" applyAlignment="0" applyProtection="0"/>
    <xf numFmtId="0" fontId="17" fillId="20" borderId="2" applyNumberFormat="0" applyAlignment="0" applyProtection="0"/>
    <xf numFmtId="164" fontId="2" fillId="0" borderId="0" applyFont="0" applyFill="0" applyBorder="0" applyAlignment="0" applyProtection="0"/>
    <xf numFmtId="0" fontId="18" fillId="7" borderId="2" applyNumberFormat="0" applyAlignment="0" applyProtection="0"/>
    <xf numFmtId="0" fontId="19" fillId="0" borderId="3" applyNumberFormat="0" applyFill="0" applyAlignment="0" applyProtection="0"/>
    <xf numFmtId="0" fontId="20" fillId="0" borderId="0" applyNumberFormat="0" applyFill="0" applyBorder="0" applyAlignment="0" applyProtection="0"/>
    <xf numFmtId="0" fontId="21" fillId="4" borderId="0" applyNumberFormat="0" applyBorder="0" applyAlignment="0" applyProtection="0"/>
    <xf numFmtId="0" fontId="4" fillId="0" borderId="0" applyNumberFormat="0" applyFill="0" applyBorder="0" applyAlignment="0" applyProtection="0">
      <alignment vertical="top"/>
      <protection locked="0"/>
    </xf>
    <xf numFmtId="0" fontId="22" fillId="21" borderId="0" applyNumberFormat="0" applyBorder="0" applyAlignment="0" applyProtection="0"/>
    <xf numFmtId="0" fontId="2" fillId="0" borderId="0" applyAlignment="0"/>
    <xf numFmtId="0" fontId="13" fillId="22" borderId="4" applyNumberFormat="0" applyFont="0" applyAlignment="0" applyProtection="0"/>
    <xf numFmtId="0" fontId="23" fillId="3" borderId="0" applyNumberFormat="0" applyBorder="0" applyAlignment="0" applyProtection="0"/>
    <xf numFmtId="0" fontId="13" fillId="0" borderId="0"/>
    <xf numFmtId="0" fontId="24" fillId="0" borderId="0" applyNumberFormat="0" applyFill="0" applyBorder="0" applyAlignment="0" applyProtection="0"/>
    <xf numFmtId="0" fontId="25" fillId="0" borderId="5" applyNumberFormat="0" applyFill="0" applyAlignment="0" applyProtection="0"/>
    <xf numFmtId="0" fontId="26" fillId="0" borderId="6" applyNumberFormat="0" applyFill="0" applyAlignment="0" applyProtection="0"/>
    <xf numFmtId="0" fontId="27" fillId="0" borderId="7" applyNumberFormat="0" applyFill="0" applyAlignment="0" applyProtection="0"/>
    <xf numFmtId="0" fontId="27" fillId="0" borderId="0" applyNumberFormat="0" applyFill="0" applyBorder="0" applyAlignment="0" applyProtection="0"/>
    <xf numFmtId="0" fontId="28" fillId="0" borderId="8" applyNumberFormat="0" applyFill="0" applyAlignment="0" applyProtection="0"/>
    <xf numFmtId="0" fontId="29" fillId="0" borderId="0" applyNumberFormat="0" applyFill="0" applyBorder="0" applyAlignment="0" applyProtection="0"/>
    <xf numFmtId="0" fontId="30" fillId="23" borderId="9" applyNumberFormat="0" applyAlignment="0" applyProtection="0"/>
    <xf numFmtId="0" fontId="2" fillId="0" borderId="0"/>
    <xf numFmtId="0" fontId="49" fillId="0" borderId="0" applyNumberFormat="0" applyFill="0" applyBorder="0" applyAlignment="0" applyProtection="0"/>
    <xf numFmtId="0" fontId="50" fillId="0" borderId="33" applyNumberFormat="0" applyFill="0" applyAlignment="0" applyProtection="0"/>
    <xf numFmtId="0" fontId="51" fillId="0" borderId="34" applyNumberFormat="0" applyFill="0" applyAlignment="0" applyProtection="0"/>
    <xf numFmtId="0" fontId="52" fillId="0" borderId="35" applyNumberFormat="0" applyFill="0" applyAlignment="0" applyProtection="0"/>
    <xf numFmtId="0" fontId="52" fillId="0" borderId="0" applyNumberFormat="0" applyFill="0" applyBorder="0" applyAlignment="0" applyProtection="0"/>
    <xf numFmtId="0" fontId="53" fillId="35" borderId="0" applyNumberFormat="0" applyBorder="0" applyAlignment="0" applyProtection="0"/>
    <xf numFmtId="0" fontId="54" fillId="36" borderId="0" applyNumberFormat="0" applyBorder="0" applyAlignment="0" applyProtection="0"/>
    <xf numFmtId="0" fontId="55" fillId="37" borderId="36" applyNumberFormat="0" applyAlignment="0" applyProtection="0"/>
    <xf numFmtId="0" fontId="56" fillId="38" borderId="37" applyNumberFormat="0" applyAlignment="0" applyProtection="0"/>
    <xf numFmtId="0" fontId="57" fillId="38" borderId="36" applyNumberFormat="0" applyAlignment="0" applyProtection="0"/>
    <xf numFmtId="0" fontId="58" fillId="0" borderId="38" applyNumberFormat="0" applyFill="0" applyAlignment="0" applyProtection="0"/>
    <xf numFmtId="0" fontId="59" fillId="39" borderId="39" applyNumberFormat="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2" fillId="0" borderId="41" applyNumberFormat="0" applyFill="0" applyAlignment="0" applyProtection="0"/>
    <xf numFmtId="0" fontId="63"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63"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63"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63" fillId="53"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63" fillId="57"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63" fillId="61"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2" fillId="0" borderId="0" applyAlignment="0"/>
    <xf numFmtId="0" fontId="2" fillId="0" borderId="0" applyAlignment="0"/>
    <xf numFmtId="0" fontId="2" fillId="22" borderId="4" applyNumberFormat="0" applyFont="0" applyAlignment="0" applyProtection="0"/>
    <xf numFmtId="0" fontId="2" fillId="0" borderId="0"/>
    <xf numFmtId="0" fontId="2" fillId="0" borderId="0" applyAlignment="0"/>
    <xf numFmtId="0" fontId="2" fillId="0" borderId="0" applyAlignment="0"/>
    <xf numFmtId="0" fontId="22" fillId="21" borderId="0" applyNumberFormat="0" applyBorder="0" applyAlignment="0" applyProtection="0"/>
    <xf numFmtId="0" fontId="2" fillId="22" borderId="4" applyNumberFormat="0" applyFont="0" applyAlignment="0" applyProtection="0"/>
    <xf numFmtId="0" fontId="2" fillId="0" borderId="0"/>
    <xf numFmtId="0" fontId="2" fillId="0" borderId="0" applyAlignment="0"/>
    <xf numFmtId="0" fontId="1" fillId="0" borderId="0"/>
    <xf numFmtId="0" fontId="65" fillId="65" borderId="0" applyNumberFormat="0" applyBorder="0" applyAlignment="0" applyProtection="0"/>
    <xf numFmtId="0" fontId="1" fillId="40" borderId="40" applyNumberFormat="0" applyFont="0" applyAlignment="0" applyProtection="0"/>
    <xf numFmtId="0" fontId="1" fillId="0" borderId="0"/>
    <xf numFmtId="0" fontId="1" fillId="40" borderId="40" applyNumberFormat="0" applyFont="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0" borderId="0"/>
    <xf numFmtId="0" fontId="1" fillId="40" borderId="40" applyNumberFormat="0" applyFont="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0" borderId="0"/>
    <xf numFmtId="0" fontId="1" fillId="40" borderId="40" applyNumberFormat="0" applyFont="0" applyAlignment="0" applyProtection="0"/>
    <xf numFmtId="0" fontId="1" fillId="0" borderId="0"/>
    <xf numFmtId="0" fontId="1" fillId="40" borderId="40" applyNumberFormat="0" applyFont="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0" borderId="0"/>
    <xf numFmtId="0" fontId="1" fillId="40" borderId="40" applyNumberFormat="0" applyFont="0" applyAlignment="0" applyProtection="0"/>
    <xf numFmtId="0" fontId="48" fillId="0" borderId="0" applyAlignment="0"/>
  </cellStyleXfs>
  <cellXfs count="155">
    <xf numFmtId="0" fontId="0" fillId="0" borderId="0" xfId="0"/>
    <xf numFmtId="164" fontId="5" fillId="0" borderId="0" xfId="27" applyFont="1"/>
    <xf numFmtId="164" fontId="2" fillId="0" borderId="0" xfId="27"/>
    <xf numFmtId="164" fontId="10" fillId="0" borderId="0" xfId="27" applyFont="1"/>
    <xf numFmtId="165" fontId="10" fillId="0" borderId="0" xfId="27" applyNumberFormat="1" applyFont="1" applyAlignment="1">
      <alignment horizontal="left"/>
    </xf>
    <xf numFmtId="164" fontId="10" fillId="0" borderId="0" xfId="27" applyFont="1" applyAlignment="1">
      <alignment horizontal="left" vertical="top"/>
    </xf>
    <xf numFmtId="164" fontId="32" fillId="0" borderId="0" xfId="27" applyFont="1"/>
    <xf numFmtId="0" fontId="8" fillId="0" borderId="0" xfId="34" applyFont="1" applyAlignment="1">
      <alignment vertical="top"/>
    </xf>
    <xf numFmtId="0" fontId="5" fillId="0" borderId="0" xfId="34" applyFont="1" applyAlignment="1">
      <alignment vertical="top"/>
    </xf>
    <xf numFmtId="0" fontId="11" fillId="0" borderId="0" xfId="34" applyFont="1" applyAlignment="1">
      <alignment vertical="top"/>
    </xf>
    <xf numFmtId="0" fontId="12" fillId="24" borderId="10" xfId="34" applyFont="1" applyFill="1" applyBorder="1" applyAlignment="1">
      <alignment horizontal="left" vertical="top"/>
    </xf>
    <xf numFmtId="0" fontId="5" fillId="0" borderId="10" xfId="34" applyFont="1" applyBorder="1" applyAlignment="1">
      <alignment horizontal="left" vertical="top"/>
    </xf>
    <xf numFmtId="16" fontId="5" fillId="25" borderId="10" xfId="34" applyNumberFormat="1" applyFont="1" applyFill="1" applyBorder="1" applyAlignment="1">
      <alignment horizontal="left" vertical="top" wrapText="1"/>
    </xf>
    <xf numFmtId="0" fontId="0" fillId="0" borderId="10" xfId="0" applyBorder="1"/>
    <xf numFmtId="0" fontId="34" fillId="26" borderId="10" xfId="0" applyFont="1" applyFill="1" applyBorder="1"/>
    <xf numFmtId="0" fontId="34" fillId="0" borderId="0" xfId="0" applyFont="1"/>
    <xf numFmtId="0" fontId="34" fillId="26" borderId="11" xfId="0" applyFont="1" applyFill="1" applyBorder="1"/>
    <xf numFmtId="0" fontId="34" fillId="25" borderId="12" xfId="0" applyFont="1" applyFill="1" applyBorder="1"/>
    <xf numFmtId="0" fontId="34" fillId="25" borderId="12" xfId="0" applyFont="1" applyFill="1" applyBorder="1" applyAlignment="1">
      <alignment horizontal="center"/>
    </xf>
    <xf numFmtId="0" fontId="0" fillId="0" borderId="10" xfId="0" applyBorder="1" applyAlignment="1">
      <alignment horizontal="center"/>
    </xf>
    <xf numFmtId="0" fontId="35" fillId="0" borderId="10" xfId="0" applyFont="1" applyBorder="1"/>
    <xf numFmtId="0" fontId="36" fillId="27" borderId="10" xfId="0" applyFont="1" applyFill="1" applyBorder="1"/>
    <xf numFmtId="0" fontId="0" fillId="0" borderId="10" xfId="0" applyBorder="1" applyAlignment="1">
      <alignment wrapText="1"/>
    </xf>
    <xf numFmtId="0" fontId="0" fillId="0" borderId="0" xfId="0" applyAlignment="1">
      <alignment wrapText="1"/>
    </xf>
    <xf numFmtId="0" fontId="34" fillId="25" borderId="15" xfId="0" applyFont="1" applyFill="1" applyBorder="1" applyAlignment="1">
      <alignment wrapText="1"/>
    </xf>
    <xf numFmtId="0" fontId="34" fillId="25" borderId="10" xfId="0" applyFont="1" applyFill="1" applyBorder="1" applyAlignment="1">
      <alignment wrapText="1"/>
    </xf>
    <xf numFmtId="0" fontId="34" fillId="25" borderId="14" xfId="0" applyFont="1" applyFill="1" applyBorder="1" applyAlignment="1">
      <alignment wrapText="1"/>
    </xf>
    <xf numFmtId="0" fontId="2" fillId="0" borderId="10" xfId="0" applyFont="1" applyBorder="1" applyAlignment="1">
      <alignment wrapText="1"/>
    </xf>
    <xf numFmtId="0" fontId="34" fillId="26" borderId="10" xfId="0" applyFont="1" applyFill="1" applyBorder="1" applyAlignment="1">
      <alignment wrapText="1"/>
    </xf>
    <xf numFmtId="0" fontId="34" fillId="0" borderId="0" xfId="0" applyFont="1" applyAlignment="1">
      <alignment wrapText="1"/>
    </xf>
    <xf numFmtId="0" fontId="36" fillId="27" borderId="10" xfId="0" applyFont="1" applyFill="1" applyBorder="1" applyAlignment="1">
      <alignment wrapText="1"/>
    </xf>
    <xf numFmtId="0" fontId="35" fillId="0" borderId="10" xfId="0" applyFont="1" applyBorder="1" applyAlignment="1">
      <alignment wrapText="1"/>
    </xf>
    <xf numFmtId="0" fontId="34"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4" fillId="25" borderId="15" xfId="0" applyFont="1" applyFill="1" applyBorder="1" applyAlignment="1">
      <alignment horizontal="left" wrapText="1"/>
    </xf>
    <xf numFmtId="0" fontId="0" fillId="30" borderId="0" xfId="0" applyFill="1"/>
    <xf numFmtId="0" fontId="2" fillId="30" borderId="0" xfId="0" applyFont="1" applyFill="1"/>
    <xf numFmtId="0" fontId="39" fillId="30" borderId="10" xfId="0" applyFont="1" applyFill="1" applyBorder="1"/>
    <xf numFmtId="0" fontId="0" fillId="30" borderId="10" xfId="0" applyFill="1" applyBorder="1"/>
    <xf numFmtId="0" fontId="2" fillId="0" borderId="10" xfId="0" applyFont="1" applyBorder="1" applyAlignment="1">
      <alignment horizontal="center"/>
    </xf>
    <xf numFmtId="0" fontId="2" fillId="0" borderId="10" xfId="0" applyFont="1" applyBorder="1"/>
    <xf numFmtId="0" fontId="36" fillId="26" borderId="10" xfId="0" applyFont="1" applyFill="1" applyBorder="1"/>
    <xf numFmtId="0" fontId="36" fillId="26" borderId="10" xfId="0" applyFont="1" applyFill="1" applyBorder="1" applyAlignment="1">
      <alignment wrapText="1"/>
    </xf>
    <xf numFmtId="0" fontId="36" fillId="26" borderId="11" xfId="0" applyFont="1" applyFill="1" applyBorder="1"/>
    <xf numFmtId="0" fontId="36" fillId="26" borderId="11" xfId="0" applyFont="1" applyFill="1" applyBorder="1" applyAlignment="1">
      <alignment wrapText="1"/>
    </xf>
    <xf numFmtId="0" fontId="35" fillId="0" borderId="0" xfId="0" applyFont="1"/>
    <xf numFmtId="0" fontId="36"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9"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4" fillId="25" borderId="15" xfId="0" applyFont="1" applyFill="1" applyBorder="1" applyAlignment="1">
      <alignment horizontal="center"/>
    </xf>
    <xf numFmtId="0" fontId="2" fillId="0" borderId="0" xfId="0" applyFont="1"/>
    <xf numFmtId="0" fontId="0" fillId="32" borderId="0" xfId="0" applyFill="1"/>
    <xf numFmtId="0" fontId="37" fillId="32" borderId="0" xfId="0" applyFont="1" applyFill="1"/>
    <xf numFmtId="0" fontId="4"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2" fillId="32" borderId="10" xfId="0" applyFont="1" applyFill="1" applyBorder="1"/>
    <xf numFmtId="0" fontId="36" fillId="26" borderId="29" xfId="0" applyFont="1" applyFill="1" applyBorder="1"/>
    <xf numFmtId="0" fontId="36" fillId="26" borderId="31" xfId="0" applyFont="1" applyFill="1" applyBorder="1"/>
    <xf numFmtId="0" fontId="45" fillId="33" borderId="0" xfId="0" applyFont="1" applyFill="1"/>
    <xf numFmtId="0" fontId="45" fillId="33" borderId="0" xfId="0" applyFont="1" applyFill="1" applyAlignment="1">
      <alignment horizontal="center"/>
    </xf>
    <xf numFmtId="0" fontId="39"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2" fillId="34" borderId="10" xfId="0" quotePrefix="1" applyNumberFormat="1" applyFont="1" applyFill="1" applyBorder="1" applyAlignment="1">
      <alignment horizontal="center"/>
    </xf>
    <xf numFmtId="0" fontId="2" fillId="34" borderId="10" xfId="0" applyFont="1" applyFill="1" applyBorder="1" applyAlignment="1">
      <alignment horizontal="center"/>
    </xf>
    <xf numFmtId="164" fontId="7" fillId="0" borderId="0" xfId="27" applyFont="1" applyAlignment="1">
      <alignment horizontal="center"/>
    </xf>
    <xf numFmtId="0" fontId="0" fillId="0" borderId="0" xfId="0" applyAlignment="1">
      <alignment horizontal="center"/>
    </xf>
    <xf numFmtId="14" fontId="2" fillId="34" borderId="10" xfId="0" applyNumberFormat="1" applyFont="1" applyFill="1" applyBorder="1" applyAlignment="1">
      <alignment horizontal="center"/>
    </xf>
    <xf numFmtId="0" fontId="31" fillId="0" borderId="0" xfId="0" applyFont="1" applyAlignment="1">
      <alignment horizontal="left"/>
    </xf>
    <xf numFmtId="0" fontId="46" fillId="30" borderId="0" xfId="0" applyFont="1" applyFill="1"/>
    <xf numFmtId="0" fontId="47" fillId="30" borderId="0" xfId="0" applyFont="1" applyFill="1"/>
    <xf numFmtId="164" fontId="31" fillId="0" borderId="0" xfId="27" applyFont="1" applyAlignment="1"/>
    <xf numFmtId="14" fontId="31" fillId="0" borderId="0" xfId="27" applyNumberFormat="1" applyFont="1"/>
    <xf numFmtId="164" fontId="7" fillId="0" borderId="0" xfId="27" applyFont="1" applyAlignment="1"/>
    <xf numFmtId="0" fontId="2" fillId="0" borderId="30" xfId="0" applyFont="1" applyBorder="1"/>
    <xf numFmtId="0" fontId="2" fillId="0" borderId="32" xfId="0" applyFont="1" applyBorder="1"/>
    <xf numFmtId="167" fontId="5" fillId="0" borderId="19" xfId="34" applyNumberFormat="1" applyFont="1" applyBorder="1" applyAlignment="1">
      <alignment horizontal="left" vertical="top"/>
    </xf>
    <xf numFmtId="0" fontId="2" fillId="0" borderId="0" xfId="34" applyAlignment="1">
      <alignment vertical="top"/>
    </xf>
    <xf numFmtId="0" fontId="5" fillId="0" borderId="0" xfId="34" applyFont="1" applyAlignment="1">
      <alignment horizontal="center" vertical="top"/>
    </xf>
    <xf numFmtId="0" fontId="2" fillId="0" borderId="10" xfId="46" applyBorder="1"/>
    <xf numFmtId="0" fontId="2" fillId="0" borderId="10" xfId="46" applyBorder="1" applyAlignment="1">
      <alignment horizontal="left" vertical="top" wrapText="1"/>
    </xf>
    <xf numFmtId="0" fontId="2" fillId="0" borderId="10" xfId="0" applyFont="1" applyBorder="1" applyAlignment="1">
      <alignment vertical="center"/>
    </xf>
    <xf numFmtId="0" fontId="2" fillId="0" borderId="10" xfId="0" applyFont="1" applyBorder="1" applyAlignment="1">
      <alignment vertical="center" wrapText="1"/>
    </xf>
    <xf numFmtId="0" fontId="0" fillId="0" borderId="10" xfId="0" applyBorder="1" applyAlignment="1">
      <alignment vertical="center"/>
    </xf>
    <xf numFmtId="0" fontId="2" fillId="0" borderId="0" xfId="46"/>
    <xf numFmtId="0" fontId="2" fillId="0" borderId="0" xfId="0" applyFont="1" applyAlignment="1">
      <alignment vertical="center"/>
    </xf>
    <xf numFmtId="0" fontId="2" fillId="0" borderId="0" xfId="0" applyFont="1" applyAlignment="1">
      <alignment vertical="center" wrapText="1"/>
    </xf>
    <xf numFmtId="0" fontId="64" fillId="0" borderId="10" xfId="0" applyFont="1" applyBorder="1"/>
    <xf numFmtId="0" fontId="66" fillId="0" borderId="43" xfId="0" applyFont="1" applyBorder="1"/>
    <xf numFmtId="0" fontId="2" fillId="32" borderId="42" xfId="163" applyFont="1" applyFill="1" applyBorder="1" applyAlignment="1">
      <alignment horizontal="left"/>
    </xf>
    <xf numFmtId="0" fontId="66" fillId="0" borderId="10" xfId="0" applyFont="1" applyBorder="1"/>
    <xf numFmtId="0" fontId="2" fillId="0" borderId="0" xfId="34" applyAlignment="1">
      <alignment horizontal="left"/>
    </xf>
    <xf numFmtId="164" fontId="6" fillId="0" borderId="16" xfId="27" applyFont="1" applyBorder="1" applyAlignment="1">
      <alignment horizontal="center"/>
    </xf>
    <xf numFmtId="164" fontId="7" fillId="0" borderId="0" xfId="27" applyFont="1" applyAlignment="1">
      <alignment horizontal="center"/>
    </xf>
    <xf numFmtId="164" fontId="9" fillId="0" borderId="0" xfId="27" applyFont="1" applyAlignment="1">
      <alignment horizontal="center"/>
    </xf>
    <xf numFmtId="164" fontId="8" fillId="0" borderId="0" xfId="27" applyFont="1" applyAlignment="1">
      <alignment horizontal="center"/>
    </xf>
    <xf numFmtId="0" fontId="0" fillId="0" borderId="0" xfId="0" applyAlignment="1">
      <alignment horizontal="center"/>
    </xf>
    <xf numFmtId="164" fontId="31" fillId="0" borderId="0" xfId="27" applyFont="1" applyAlignment="1"/>
    <xf numFmtId="164" fontId="31" fillId="0" borderId="0" xfId="27" applyFont="1" applyAlignment="1">
      <alignment horizontal="center"/>
    </xf>
    <xf numFmtId="164" fontId="31" fillId="0" borderId="0" xfId="27" applyFont="1" applyAlignment="1">
      <alignment horizontal="left"/>
    </xf>
    <xf numFmtId="0" fontId="33" fillId="27" borderId="10" xfId="34" applyFont="1" applyFill="1" applyBorder="1" applyAlignment="1">
      <alignment horizontal="center" vertical="top"/>
    </xf>
    <xf numFmtId="0" fontId="5" fillId="0" borderId="10" xfId="34" applyFont="1" applyBorder="1" applyAlignment="1">
      <alignment horizontal="left" vertical="top"/>
    </xf>
    <xf numFmtId="0" fontId="5" fillId="0" borderId="10" xfId="34" applyFont="1" applyBorder="1" applyAlignment="1">
      <alignment horizontal="center" vertical="top"/>
    </xf>
    <xf numFmtId="0" fontId="5" fillId="0" borderId="17" xfId="34" applyFont="1" applyBorder="1" applyAlignment="1">
      <alignment horizontal="left" vertical="top"/>
    </xf>
    <xf numFmtId="0" fontId="5" fillId="0" borderId="18" xfId="34" applyFont="1" applyBorder="1" applyAlignment="1">
      <alignment horizontal="left" vertical="top"/>
    </xf>
    <xf numFmtId="0" fontId="5" fillId="0" borderId="19" xfId="34" applyFont="1" applyBorder="1" applyAlignment="1">
      <alignment horizontal="left" vertical="top"/>
    </xf>
    <xf numFmtId="0" fontId="12" fillId="24" borderId="17" xfId="34" applyFont="1" applyFill="1" applyBorder="1" applyAlignment="1">
      <alignment horizontal="left" vertical="top" wrapText="1"/>
    </xf>
    <xf numFmtId="0" fontId="2" fillId="0" borderId="18" xfId="34" applyBorder="1" applyAlignment="1">
      <alignment vertical="top"/>
    </xf>
    <xf numFmtId="0" fontId="2" fillId="0" borderId="19" xfId="34" applyBorder="1" applyAlignment="1">
      <alignment vertical="top"/>
    </xf>
    <xf numFmtId="0" fontId="12" fillId="24" borderId="17" xfId="34" applyFont="1" applyFill="1" applyBorder="1" applyAlignment="1">
      <alignment horizontal="left" vertical="top"/>
    </xf>
    <xf numFmtId="0" fontId="12" fillId="24" borderId="18" xfId="34" applyFont="1" applyFill="1" applyBorder="1" applyAlignment="1">
      <alignment horizontal="left" vertical="top" wrapText="1"/>
    </xf>
    <xf numFmtId="0" fontId="12" fillId="24" borderId="19" xfId="34" applyFont="1" applyFill="1" applyBorder="1" applyAlignment="1">
      <alignment horizontal="left" vertical="top" wrapText="1"/>
    </xf>
    <xf numFmtId="0" fontId="12" fillId="24" borderId="10" xfId="34" applyFont="1" applyFill="1" applyBorder="1" applyAlignment="1">
      <alignment horizontal="left" vertical="top"/>
    </xf>
    <xf numFmtId="167" fontId="5" fillId="0" borderId="17" xfId="34" applyNumberFormat="1" applyFont="1" applyBorder="1" applyAlignment="1">
      <alignment horizontal="left" vertical="top"/>
    </xf>
    <xf numFmtId="167" fontId="5" fillId="0" borderId="18" xfId="34" applyNumberFormat="1" applyFont="1" applyBorder="1" applyAlignment="1">
      <alignment horizontal="left" vertical="top"/>
    </xf>
    <xf numFmtId="167" fontId="5" fillId="0" borderId="19" xfId="34" applyNumberFormat="1" applyFont="1" applyBorder="1" applyAlignment="1">
      <alignment horizontal="left" vertical="top"/>
    </xf>
    <xf numFmtId="166" fontId="5" fillId="0" borderId="17" xfId="34" applyNumberFormat="1" applyFont="1" applyBorder="1" applyAlignment="1">
      <alignment horizontal="left" vertical="top"/>
    </xf>
    <xf numFmtId="166" fontId="5" fillId="0" borderId="19" xfId="34" applyNumberFormat="1" applyFont="1" applyBorder="1" applyAlignment="1">
      <alignment horizontal="left" vertical="top"/>
    </xf>
    <xf numFmtId="0" fontId="33" fillId="27" borderId="10" xfId="34" applyFont="1" applyFill="1" applyBorder="1" applyAlignment="1">
      <alignment horizontal="left" vertical="top"/>
    </xf>
    <xf numFmtId="0" fontId="2" fillId="28" borderId="17" xfId="0" applyFont="1" applyFill="1" applyBorder="1" applyAlignment="1">
      <alignment horizontal="left" vertical="top" wrapText="1"/>
    </xf>
    <xf numFmtId="0" fontId="2" fillId="28" borderId="18" xfId="0" applyFont="1" applyFill="1" applyBorder="1" applyAlignment="1">
      <alignment horizontal="left" vertical="top" wrapText="1"/>
    </xf>
    <xf numFmtId="0" fontId="2" fillId="28" borderId="19" xfId="0" applyFont="1" applyFill="1" applyBorder="1" applyAlignment="1">
      <alignment horizontal="left" vertical="top" wrapText="1"/>
    </xf>
    <xf numFmtId="0" fontId="2" fillId="28" borderId="10" xfId="0" applyFont="1" applyFill="1" applyBorder="1" applyAlignment="1">
      <alignment horizontal="left" vertical="top" wrapText="1"/>
    </xf>
    <xf numFmtId="0" fontId="33" fillId="28" borderId="17" xfId="34" applyFont="1" applyFill="1" applyBorder="1" applyAlignment="1">
      <alignment horizontal="left" vertical="top"/>
    </xf>
    <xf numFmtId="0" fontId="33" fillId="28" borderId="19" xfId="34" applyFont="1" applyFill="1" applyBorder="1" applyAlignment="1">
      <alignment horizontal="left" vertical="top"/>
    </xf>
    <xf numFmtId="0" fontId="39" fillId="29" borderId="17" xfId="0" applyFont="1" applyFill="1" applyBorder="1" applyAlignment="1">
      <alignment horizontal="center"/>
    </xf>
    <xf numFmtId="0" fontId="39" fillId="29" borderId="18" xfId="0" applyFont="1" applyFill="1" applyBorder="1" applyAlignment="1">
      <alignment horizontal="center"/>
    </xf>
    <xf numFmtId="0" fontId="39" fillId="29" borderId="19" xfId="0" applyFont="1" applyFill="1" applyBorder="1" applyAlignment="1">
      <alignment horizontal="center"/>
    </xf>
    <xf numFmtId="0" fontId="5" fillId="0" borderId="17" xfId="34" applyFont="1" applyBorder="1" applyAlignment="1">
      <alignment horizontal="center" vertical="top"/>
    </xf>
    <xf numFmtId="0" fontId="5" fillId="0" borderId="19" xfId="34" applyFont="1" applyBorder="1" applyAlignment="1">
      <alignment horizontal="center" vertical="top"/>
    </xf>
    <xf numFmtId="0" fontId="38" fillId="0" borderId="0" xfId="0" applyFont="1" applyAlignment="1">
      <alignment wrapText="1"/>
    </xf>
    <xf numFmtId="0" fontId="34" fillId="25" borderId="20" xfId="0" applyFont="1" applyFill="1" applyBorder="1" applyAlignment="1">
      <alignment horizontal="left"/>
    </xf>
    <xf numFmtId="0" fontId="34" fillId="25" borderId="21" xfId="0" applyFont="1" applyFill="1" applyBorder="1" applyAlignment="1">
      <alignment horizontal="left"/>
    </xf>
    <xf numFmtId="0" fontId="34" fillId="25" borderId="22" xfId="0" applyFont="1" applyFill="1" applyBorder="1" applyAlignment="1">
      <alignment horizontal="left"/>
    </xf>
    <xf numFmtId="0" fontId="0" fillId="0" borderId="22" xfId="0" applyBorder="1" applyAlignment="1">
      <alignment horizontal="left"/>
    </xf>
    <xf numFmtId="0" fontId="2" fillId="28" borderId="17" xfId="0" applyFont="1" applyFill="1" applyBorder="1" applyAlignment="1">
      <alignment horizontal="center"/>
    </xf>
    <xf numFmtId="0" fontId="0" fillId="28" borderId="19" xfId="0" applyFill="1" applyBorder="1" applyAlignment="1">
      <alignment horizontal="center"/>
    </xf>
    <xf numFmtId="0" fontId="0" fillId="28" borderId="17" xfId="0" applyFill="1" applyBorder="1" applyAlignment="1">
      <alignment horizontal="center"/>
    </xf>
    <xf numFmtId="0" fontId="34" fillId="31" borderId="17" xfId="0" applyFont="1" applyFill="1" applyBorder="1" applyAlignment="1">
      <alignment horizontal="center"/>
    </xf>
    <xf numFmtId="0" fontId="34" fillId="31" borderId="18" xfId="0" applyFont="1" applyFill="1" applyBorder="1" applyAlignment="1">
      <alignment horizontal="center"/>
    </xf>
    <xf numFmtId="0" fontId="34" fillId="31" borderId="19" xfId="0" applyFont="1" applyFill="1" applyBorder="1" applyAlignment="1">
      <alignment horizontal="center"/>
    </xf>
    <xf numFmtId="0" fontId="34" fillId="31" borderId="10" xfId="0" applyFont="1" applyFill="1" applyBorder="1" applyAlignment="1">
      <alignment horizontal="center"/>
    </xf>
    <xf numFmtId="0" fontId="42" fillId="30" borderId="0" xfId="0" applyFont="1" applyFill="1" applyAlignment="1">
      <alignment horizontal="left" vertical="center" wrapText="1"/>
    </xf>
    <xf numFmtId="0" fontId="34" fillId="25" borderId="13" xfId="0" applyFont="1" applyFill="1" applyBorder="1" applyAlignment="1">
      <alignment horizontal="left"/>
    </xf>
    <xf numFmtId="0" fontId="34" fillId="25" borderId="14" xfId="0" applyFont="1" applyFill="1" applyBorder="1" applyAlignment="1">
      <alignment horizontal="left"/>
    </xf>
    <xf numFmtId="0" fontId="0" fillId="0" borderId="0" xfId="0" applyAlignment="1"/>
  </cellXfs>
  <cellStyles count="164">
    <cellStyle name="20% - Accent1" xfId="63" builtinId="30" customBuiltin="1"/>
    <cellStyle name="20% - Accent1 2" xfId="101" xr:uid="{682A6BA5-10CC-4EB6-8E2A-380956AC327C}"/>
    <cellStyle name="20% - Accent1 2 2" xfId="143" xr:uid="{3601BE2B-617C-46F3-AB7E-1BAB8767590D}"/>
    <cellStyle name="20% - Accent1 3" xfId="121" xr:uid="{752A5515-E09A-4A99-9EAC-5663B7338B39}"/>
    <cellStyle name="20% - Accent2" xfId="67" builtinId="34" customBuiltin="1"/>
    <cellStyle name="20% - Accent2 2" xfId="104" xr:uid="{FDA801B7-009E-4ECF-A21B-E560B8901277}"/>
    <cellStyle name="20% - Accent2 2 2" xfId="146" xr:uid="{2B117CB1-FAF9-47A1-814D-5D621D003315}"/>
    <cellStyle name="20% - Accent2 3" xfId="124" xr:uid="{7CF3042F-98B7-48DB-AEC8-15115D17783F}"/>
    <cellStyle name="20% - Accent3" xfId="71" builtinId="38" customBuiltin="1"/>
    <cellStyle name="20% - Accent3 2" xfId="107" xr:uid="{9DC317D2-A065-4635-A391-68B5E329F941}"/>
    <cellStyle name="20% - Accent3 2 2" xfId="149" xr:uid="{9CA1A654-62D9-4FF4-A429-5B7B3865A703}"/>
    <cellStyle name="20% - Accent3 3" xfId="127" xr:uid="{C2551CC3-E3DD-4FFA-85E8-E4F141B8B8DF}"/>
    <cellStyle name="20% - Accent4" xfId="75" builtinId="42" customBuiltin="1"/>
    <cellStyle name="20% - Accent4 2" xfId="110" xr:uid="{1D6C4DE7-864D-4F84-B9EF-D630644A92B3}"/>
    <cellStyle name="20% - Accent4 2 2" xfId="152" xr:uid="{1E6AFB5C-E7FD-446E-9F2E-656BD4E9DE39}"/>
    <cellStyle name="20% - Accent4 3" xfId="130" xr:uid="{D6DF9939-C5EA-439D-A353-E84DC5F71EDC}"/>
    <cellStyle name="20% - Accent5" xfId="79" builtinId="46" customBuiltin="1"/>
    <cellStyle name="20% - Accent5 2" xfId="113" xr:uid="{356DCA49-40B8-4553-88DC-6AF7C8B75DD2}"/>
    <cellStyle name="20% - Accent5 2 2" xfId="155" xr:uid="{8FB2817C-F650-4926-A5F1-7310F74496CA}"/>
    <cellStyle name="20% - Accent5 3" xfId="133" xr:uid="{1801FE7B-AF1E-4A53-823C-CEEEF37DD07F}"/>
    <cellStyle name="20% - Accent6" xfId="83" builtinId="50" customBuiltin="1"/>
    <cellStyle name="20% - Accent6 2" xfId="116" xr:uid="{A3983FEF-4269-42B1-AA44-6A3A81CD7079}"/>
    <cellStyle name="20% - Accent6 2 2" xfId="158" xr:uid="{596C56CD-C9CD-4145-AC59-E698EFE6836B}"/>
    <cellStyle name="20% - Accent6 3" xfId="136" xr:uid="{8D1A6739-786B-45CC-8AFA-B3A192D8478B}"/>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ccent1" xfId="64" builtinId="31" customBuiltin="1"/>
    <cellStyle name="40% - Accent1 2" xfId="102" xr:uid="{23854E5A-DA43-4E72-8C4F-56BAF1CA938C}"/>
    <cellStyle name="40% - Accent1 2 2" xfId="144" xr:uid="{5CF80C3D-3B4C-4F9F-ACED-E359BD76200E}"/>
    <cellStyle name="40% - Accent1 3" xfId="122" xr:uid="{3E5A7B13-CC12-487C-B296-8652C27BEF0D}"/>
    <cellStyle name="40% - Accent2" xfId="68" builtinId="35" customBuiltin="1"/>
    <cellStyle name="40% - Accent2 2" xfId="105" xr:uid="{37583E24-6332-4E2A-A947-48ED2A8711EB}"/>
    <cellStyle name="40% - Accent2 2 2" xfId="147" xr:uid="{E8C7F955-35E7-4772-95DE-BA810396257B}"/>
    <cellStyle name="40% - Accent2 3" xfId="125" xr:uid="{0A6A16B9-A89D-4E6D-AD57-98B6854B6760}"/>
    <cellStyle name="40% - Accent3" xfId="72" builtinId="39" customBuiltin="1"/>
    <cellStyle name="40% - Accent3 2" xfId="108" xr:uid="{53D66F62-56F7-4D27-ABFA-22D56AF911F6}"/>
    <cellStyle name="40% - Accent3 2 2" xfId="150" xr:uid="{E7310B2C-EA4C-445C-96C7-82C332CEADE8}"/>
    <cellStyle name="40% - Accent3 3" xfId="128" xr:uid="{3CA2DF02-1A28-4A72-A88B-4B5A7A1E234F}"/>
    <cellStyle name="40% - Accent4" xfId="76" builtinId="43" customBuiltin="1"/>
    <cellStyle name="40% - Accent4 2" xfId="111" xr:uid="{039D8BAF-3E1D-48ED-8212-363FEAD18286}"/>
    <cellStyle name="40% - Accent4 2 2" xfId="153" xr:uid="{3E16BC50-990A-4273-B7F9-E1DABC08BD1A}"/>
    <cellStyle name="40% - Accent4 3" xfId="131" xr:uid="{1FD094DF-A745-4845-84CD-170C26375C4F}"/>
    <cellStyle name="40% - Accent5" xfId="80" builtinId="47" customBuiltin="1"/>
    <cellStyle name="40% - Accent5 2" xfId="114" xr:uid="{979F6780-9159-4F88-990E-A1037D7CAFFD}"/>
    <cellStyle name="40% - Accent5 2 2" xfId="156" xr:uid="{00AF7C2B-1DA1-42C5-99CF-8DDAB832799F}"/>
    <cellStyle name="40% - Accent5 3" xfId="134" xr:uid="{9DE8F9CE-7A59-498A-953C-BE4EC2AA4224}"/>
    <cellStyle name="40% - Accent6" xfId="84" builtinId="51" customBuiltin="1"/>
    <cellStyle name="40% - Accent6 2" xfId="117" xr:uid="{B14A0207-2B5F-4F81-A5D7-773A496FA181}"/>
    <cellStyle name="40% - Accent6 2 2" xfId="159" xr:uid="{84BD4FF9-375F-481F-A69C-D58CD462DA95}"/>
    <cellStyle name="40% - Accent6 3" xfId="137" xr:uid="{2CF1B57C-099E-40CA-9339-F99375B72DCE}"/>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ccent1" xfId="65" builtinId="32" customBuiltin="1"/>
    <cellStyle name="60% - Accent1 2" xfId="103" xr:uid="{AE8847B4-99A6-45F5-BD19-BA26613F9942}"/>
    <cellStyle name="60% - Accent1 2 2" xfId="145" xr:uid="{08D539A0-4BDA-4D54-A588-B8216ED1C42E}"/>
    <cellStyle name="60% - Accent1 3" xfId="123" xr:uid="{4FEFCE61-0EE6-43BE-BF27-249D954C71C4}"/>
    <cellStyle name="60% - Accent2" xfId="69" builtinId="36" customBuiltin="1"/>
    <cellStyle name="60% - Accent2 2" xfId="106" xr:uid="{281DD0C9-BE60-49F1-9C44-BF1CF1288F6C}"/>
    <cellStyle name="60% - Accent2 2 2" xfId="148" xr:uid="{A0224994-6B17-47F6-BDE0-1A6094FF02E3}"/>
    <cellStyle name="60% - Accent2 3" xfId="126" xr:uid="{26D87B01-54E8-4006-83E1-A63020437BAD}"/>
    <cellStyle name="60% - Accent3" xfId="73" builtinId="40" customBuiltin="1"/>
    <cellStyle name="60% - Accent3 2" xfId="109" xr:uid="{AD4D7BA8-93C8-4C58-B7EE-F4CB18798A26}"/>
    <cellStyle name="60% - Accent3 2 2" xfId="151" xr:uid="{3068ACE1-32DF-4C0E-A960-FF40486EED8C}"/>
    <cellStyle name="60% - Accent3 3" xfId="129" xr:uid="{7B550347-0897-4E55-B934-8C7AAF857BD6}"/>
    <cellStyle name="60% - Accent4" xfId="77" builtinId="44" customBuiltin="1"/>
    <cellStyle name="60% - Accent4 2" xfId="112" xr:uid="{06212913-BF7C-45F4-92F0-88412064BB7C}"/>
    <cellStyle name="60% - Accent4 2 2" xfId="154" xr:uid="{DAC55419-7EF9-4251-8299-A1FDC6C22EEC}"/>
    <cellStyle name="60% - Accent4 3" xfId="132" xr:uid="{5584E9B9-99D7-40C5-A2DB-ABE464C19D10}"/>
    <cellStyle name="60% - Accent5" xfId="81" builtinId="48" customBuiltin="1"/>
    <cellStyle name="60% - Accent5 2" xfId="115" xr:uid="{18338CA2-2270-4334-AD1A-9DA975173672}"/>
    <cellStyle name="60% - Accent5 2 2" xfId="157" xr:uid="{A10F8EF0-6964-4FF5-87B2-3C4A25448B0E}"/>
    <cellStyle name="60% - Accent5 3" xfId="135" xr:uid="{2AEE4761-7695-4E1F-B8D3-6B4602B7E758}"/>
    <cellStyle name="60% - Accent6" xfId="85" builtinId="52" customBuiltin="1"/>
    <cellStyle name="60% - Accent6 2" xfId="118" xr:uid="{D66A0ABC-7673-4491-AF8A-9B6C8F98EAAE}"/>
    <cellStyle name="60% - Accent6 2 2" xfId="160" xr:uid="{C3FEC652-A024-44C6-8F15-E0EE92F453F9}"/>
    <cellStyle name="60% - Accent6 3" xfId="138" xr:uid="{34E61CC1-68A2-4D56-A689-2019D273C9B5}"/>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ccent1" xfId="62" builtinId="29" customBuiltin="1"/>
    <cellStyle name="Accent2" xfId="66" builtinId="33" customBuiltin="1"/>
    <cellStyle name="Accent3" xfId="70" builtinId="37" customBuiltin="1"/>
    <cellStyle name="Accent4" xfId="74" builtinId="41" customBuiltin="1"/>
    <cellStyle name="Accent5" xfId="78" builtinId="45" customBuiltin="1"/>
    <cellStyle name="Accent6" xfId="82" builtinId="49" customBuiltin="1"/>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ad" xfId="53" builtinId="27" customBuiltin="1"/>
    <cellStyle name="Berechnung" xfId="26" xr:uid="{00000000-0005-0000-0000-000019000000}"/>
    <cellStyle name="Calculation" xfId="56" builtinId="22" customBuiltin="1"/>
    <cellStyle name="Check Cell" xfId="58" builtinId="23" customBuiltin="1"/>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Explanatory Text" xfId="60" builtinId="53" customBuiltin="1"/>
    <cellStyle name="Good" xfId="52" builtinId="26" customBuiltin="1"/>
    <cellStyle name="Gut" xfId="31" xr:uid="{00000000-0005-0000-0000-00001E000000}"/>
    <cellStyle name="Heading 1" xfId="48" builtinId="16" customBuiltin="1"/>
    <cellStyle name="Heading 2" xfId="49" builtinId="17" customBuiltin="1"/>
    <cellStyle name="Heading 3" xfId="50" builtinId="18" customBuiltin="1"/>
    <cellStyle name="Heading 4" xfId="51" builtinId="19" customBuiltin="1"/>
    <cellStyle name="Hyperlink" xfId="32" builtinId="8"/>
    <cellStyle name="Input" xfId="54" builtinId="20" customBuiltin="1"/>
    <cellStyle name="Linked Cell" xfId="57" builtinId="24" customBuiltin="1"/>
    <cellStyle name="Neutral" xfId="33" builtinId="28" customBuiltin="1"/>
    <cellStyle name="Neutral 2" xfId="92" xr:uid="{EE26D221-0328-4D8F-AACA-5C3A796F4E68}"/>
    <cellStyle name="Neutral 3" xfId="97" xr:uid="{660CB4F1-C873-4047-9DF5-C940D48AAE6C}"/>
    <cellStyle name="Normal" xfId="0" builtinId="0"/>
    <cellStyle name="Normal 2" xfId="46" xr:uid="{A1FB8AEC-37EA-4D05-8B29-D18C50996E20}"/>
    <cellStyle name="Normal 2 10" xfId="95" xr:uid="{04F1B527-1668-41F1-9835-3ACC493A380A}"/>
    <cellStyle name="Normal 2 2" xfId="91" xr:uid="{3A0436C6-0D9E-4CD5-8668-AFD5C3DFA793}"/>
    <cellStyle name="Normal 2 3" xfId="87" xr:uid="{04784920-A1B5-4A93-9691-B3AE29EB6FC3}"/>
    <cellStyle name="Normal 3" xfId="90" xr:uid="{AA2CC090-BAE6-488A-BE3F-BFB507F2DCE1}"/>
    <cellStyle name="Normal 4" xfId="96" xr:uid="{27B2E7D5-A333-4165-B669-1A9F5D6902AF}"/>
    <cellStyle name="Normal 4 2" xfId="119" xr:uid="{08E6A792-2440-4E65-81CB-B24E6F7A8934}"/>
    <cellStyle name="Normal 4 2 2" xfId="161" xr:uid="{57C8F2EA-7905-42A8-8803-46DD06145F11}"/>
    <cellStyle name="Normal 4 3" xfId="139" xr:uid="{4C59FFC6-3E39-40DE-9984-67ADDF4A05A5}"/>
    <cellStyle name="Normal 5" xfId="99" xr:uid="{90047014-35B6-4C01-811D-8127AAA7540F}"/>
    <cellStyle name="Normal 5 2" xfId="141" xr:uid="{DF80F9AC-3FAA-434B-9143-855D20DBFB30}"/>
    <cellStyle name="Normal 6" xfId="86" xr:uid="{9854D6E6-1EE0-46E6-81E5-777D467057DC}"/>
    <cellStyle name="Normal 7" xfId="163" xr:uid="{66A58CF5-0169-46DC-8270-D9C05D824DDF}"/>
    <cellStyle name="Normal_Sales DetailedTD_CR_XXXX_Template" xfId="34" xr:uid="{00000000-0005-0000-0000-000022000000}"/>
    <cellStyle name="Note 2" xfId="98" xr:uid="{420A4C4F-912B-431D-A0FB-EC2567E510AF}"/>
    <cellStyle name="Note 2 2" xfId="120" xr:uid="{12D56175-A481-4F52-879E-2B9C0BB1B37B}"/>
    <cellStyle name="Note 2 2 2" xfId="162" xr:uid="{BC3D238F-96D5-4013-8E9A-32E3D1557228}"/>
    <cellStyle name="Note 2 3" xfId="140" xr:uid="{64059F20-F073-4F35-9602-383517914592}"/>
    <cellStyle name="Note 3" xfId="100" xr:uid="{E801447C-A976-48D0-90D3-7CEE61ACB81C}"/>
    <cellStyle name="Note 3 2" xfId="142" xr:uid="{D962EAAC-DADA-4FF6-A622-7DADE71819C7}"/>
    <cellStyle name="Notiz" xfId="35" xr:uid="{00000000-0005-0000-0000-000023000000}"/>
    <cellStyle name="Notiz 2" xfId="93" xr:uid="{949D9D8B-7CE6-4B97-A9A2-D63EB822AF6D}"/>
    <cellStyle name="Notiz 3" xfId="88" xr:uid="{C56D3358-B85C-4CBD-B227-EB6A38CBC0BC}"/>
    <cellStyle name="Output" xfId="55" builtinId="21" customBuiltin="1"/>
    <cellStyle name="Schlecht" xfId="36" xr:uid="{00000000-0005-0000-0000-000024000000}"/>
    <cellStyle name="Standard 2" xfId="37" xr:uid="{00000000-0005-0000-0000-000025000000}"/>
    <cellStyle name="Standard 2 2" xfId="94" xr:uid="{D5104401-58A6-4CF9-9D65-6F6762B69A43}"/>
    <cellStyle name="Standard 2 3" xfId="89" xr:uid="{04AA3C1B-E448-4569-B24D-307B7A20DC64}"/>
    <cellStyle name="Title" xfId="47" builtinId="15" customBuiltin="1"/>
    <cellStyle name="Total" xfId="61" builtinId="25" customBuiltin="1"/>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Warning Text" xfId="59" builtinId="11" customBuiltin="1"/>
    <cellStyle name="Zelle überprüfen" xfId="45" xr:uid="{00000000-0005-0000-0000-00002D000000}"/>
  </cellStyles>
  <dxfs count="0"/>
  <tableStyles count="1" defaultTableStyle="TableStyleMedium9" defaultPivotStyle="PivotStyleLight16">
    <tableStyle name="Invisible" pivot="0" table="0" count="0" xr9:uid="{15DE0E60-6FDE-4A75-9E1E-001608A2526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26" zoomScale="80" zoomScaleNormal="75" workbookViewId="0">
      <selection activeCell="J26" sqref="J26:K26"/>
    </sheetView>
  </sheetViews>
  <sheetFormatPr defaultColWidth="9.140625" defaultRowHeight="12.75"/>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c r="A1" s="1"/>
    </row>
    <row r="10" spans="1:15" ht="13.5">
      <c r="A10" s="1"/>
      <c r="B10" s="1"/>
      <c r="C10" s="1"/>
      <c r="D10" s="1"/>
      <c r="E10" s="1"/>
      <c r="F10" s="1"/>
      <c r="G10" s="1"/>
      <c r="H10" s="1"/>
      <c r="I10" s="1"/>
    </row>
    <row r="11" spans="1:15" ht="13.5">
      <c r="A11" s="1"/>
      <c r="B11" s="1"/>
      <c r="C11" s="1"/>
      <c r="D11" s="1"/>
      <c r="E11" s="1"/>
      <c r="F11" s="1"/>
      <c r="G11" s="1"/>
      <c r="H11" s="1"/>
      <c r="I11" s="1"/>
    </row>
    <row r="12" spans="1:15" ht="13.5">
      <c r="A12" s="1"/>
      <c r="B12" s="1"/>
      <c r="C12" s="1"/>
      <c r="D12" s="1"/>
      <c r="E12" s="1"/>
      <c r="F12" s="1"/>
      <c r="G12" s="1"/>
      <c r="H12" s="1"/>
      <c r="I12" s="1"/>
    </row>
    <row r="13" spans="1:15" ht="32.25" customHeight="1" thickBot="1">
      <c r="A13" s="101" t="s">
        <v>0</v>
      </c>
      <c r="B13" s="101"/>
      <c r="C13" s="101"/>
      <c r="D13" s="101"/>
      <c r="E13" s="101"/>
      <c r="F13" s="101"/>
      <c r="G13" s="101"/>
      <c r="H13" s="101"/>
      <c r="I13" s="101"/>
      <c r="J13" s="101"/>
      <c r="K13" s="101"/>
      <c r="L13" s="101"/>
      <c r="M13" s="101"/>
      <c r="N13" s="101"/>
      <c r="O13" s="101"/>
    </row>
    <row r="14" spans="1:15" ht="14.25" thickTop="1">
      <c r="A14" s="1"/>
      <c r="B14" s="1"/>
      <c r="C14" s="1"/>
      <c r="D14" s="1"/>
      <c r="E14" s="1"/>
      <c r="F14" s="1"/>
      <c r="G14" s="1"/>
      <c r="H14" s="1"/>
      <c r="I14" s="1"/>
    </row>
    <row r="15" spans="1:15" ht="13.5">
      <c r="A15" s="1"/>
      <c r="B15" s="1"/>
      <c r="C15" s="1"/>
      <c r="D15" s="1"/>
      <c r="E15" s="1"/>
      <c r="F15" s="1"/>
      <c r="G15" s="1"/>
      <c r="H15" s="1"/>
      <c r="I15" s="1"/>
    </row>
    <row r="16" spans="1:15" ht="13.5" customHeight="1">
      <c r="A16" s="1"/>
      <c r="B16" s="1"/>
      <c r="C16" s="1"/>
      <c r="D16" s="1"/>
      <c r="E16" s="1"/>
      <c r="F16" s="1"/>
      <c r="G16" s="1"/>
      <c r="H16" s="1"/>
      <c r="I16" s="1"/>
    </row>
    <row r="17" spans="1:15" ht="14.25" customHeight="1">
      <c r="A17" s="1"/>
      <c r="B17" s="1"/>
      <c r="C17" s="1"/>
      <c r="D17" s="1"/>
      <c r="E17" s="1"/>
      <c r="F17" s="1"/>
      <c r="G17" s="1"/>
      <c r="H17" s="1"/>
      <c r="I17" s="1"/>
    </row>
    <row r="18" spans="1:15" ht="13.5">
      <c r="A18" s="1"/>
      <c r="B18" s="1"/>
      <c r="C18" s="1"/>
      <c r="D18" s="1"/>
      <c r="E18" s="1"/>
      <c r="F18" s="1"/>
      <c r="G18" s="1"/>
      <c r="H18" s="1"/>
      <c r="I18" s="1"/>
    </row>
    <row r="19" spans="1:15" ht="13.5">
      <c r="A19" s="1"/>
      <c r="B19" s="1"/>
      <c r="C19" s="1"/>
      <c r="D19" s="1"/>
      <c r="E19" s="1"/>
      <c r="F19" s="1"/>
      <c r="G19" s="1"/>
      <c r="H19" s="1"/>
      <c r="I19" s="1"/>
    </row>
    <row r="20" spans="1:15" ht="30.75">
      <c r="A20" s="102" t="s">
        <v>1</v>
      </c>
      <c r="B20" s="102"/>
      <c r="C20" s="102"/>
      <c r="D20" s="102"/>
      <c r="E20" s="102"/>
      <c r="F20" s="102"/>
      <c r="G20" s="102"/>
      <c r="H20" s="102"/>
      <c r="I20" s="102"/>
      <c r="J20" s="102"/>
      <c r="K20" s="102"/>
      <c r="L20" s="102"/>
      <c r="M20" s="102"/>
      <c r="N20" s="102"/>
      <c r="O20" s="102"/>
    </row>
    <row r="21" spans="1:15" ht="30.75">
      <c r="A21" s="102" t="s">
        <v>2</v>
      </c>
      <c r="B21" s="102"/>
      <c r="C21" s="102"/>
      <c r="D21" s="102"/>
      <c r="E21" s="102"/>
      <c r="F21" s="102"/>
      <c r="G21" s="102"/>
      <c r="H21" s="102"/>
      <c r="I21" s="102"/>
      <c r="J21" s="102"/>
      <c r="K21" s="102"/>
      <c r="L21" s="102"/>
      <c r="M21" s="102"/>
      <c r="N21" s="102"/>
      <c r="O21" s="102"/>
    </row>
    <row r="22" spans="1:15" ht="13.5">
      <c r="A22" s="1"/>
      <c r="B22" s="1"/>
      <c r="C22" s="1"/>
      <c r="D22" s="1"/>
      <c r="E22" s="1"/>
      <c r="F22" s="1"/>
      <c r="G22" s="1"/>
      <c r="H22" s="1"/>
      <c r="I22" s="1"/>
    </row>
    <row r="23" spans="1:15" ht="30.75">
      <c r="A23" s="74"/>
      <c r="B23" s="74"/>
      <c r="C23" s="74"/>
      <c r="D23" s="74"/>
      <c r="E23" s="74"/>
      <c r="F23" s="75"/>
      <c r="G23" s="102" t="s">
        <v>3</v>
      </c>
      <c r="H23" s="105"/>
      <c r="I23" s="77" t="s">
        <v>4</v>
      </c>
      <c r="J23" s="75"/>
      <c r="L23" s="74"/>
      <c r="M23" s="74"/>
      <c r="N23" s="74"/>
      <c r="O23" s="74"/>
    </row>
    <row r="24" spans="1:15" s="6" customFormat="1" ht="27.75" customHeight="1">
      <c r="A24" s="80"/>
      <c r="B24" s="80"/>
      <c r="C24" s="80"/>
      <c r="D24" s="80"/>
      <c r="F24" s="82"/>
      <c r="G24" s="102" t="s">
        <v>5</v>
      </c>
      <c r="H24" s="102"/>
      <c r="I24" s="77" t="s">
        <v>6</v>
      </c>
      <c r="J24" s="80"/>
      <c r="K24" s="80"/>
      <c r="L24" s="80"/>
      <c r="M24" s="80"/>
      <c r="N24" s="80"/>
      <c r="O24" s="80"/>
    </row>
    <row r="25" spans="1:15" ht="27.75">
      <c r="F25" s="107" t="s">
        <v>7</v>
      </c>
      <c r="G25" s="107"/>
      <c r="H25" s="107"/>
      <c r="I25" s="107"/>
      <c r="J25" s="107"/>
      <c r="K25" s="107"/>
      <c r="L25" s="81" t="s">
        <v>8</v>
      </c>
    </row>
    <row r="26" spans="1:15" ht="27.75">
      <c r="F26" s="108" t="s">
        <v>9</v>
      </c>
      <c r="G26" s="108"/>
      <c r="H26" s="108"/>
      <c r="I26" s="108"/>
      <c r="J26" s="106" t="s">
        <v>10</v>
      </c>
      <c r="K26" s="154"/>
    </row>
    <row r="27" spans="1:15" ht="16.5">
      <c r="A27" s="104"/>
      <c r="B27" s="104"/>
      <c r="C27" s="104"/>
      <c r="D27" s="104"/>
      <c r="E27" s="104"/>
      <c r="F27" s="104"/>
      <c r="G27" s="104"/>
      <c r="H27" s="104"/>
      <c r="I27" s="104"/>
    </row>
    <row r="28" spans="1:15" ht="18" customHeight="1">
      <c r="A28" s="103"/>
      <c r="B28" s="103"/>
      <c r="C28" s="103"/>
      <c r="D28" s="103"/>
      <c r="E28" s="103"/>
      <c r="F28" s="103"/>
      <c r="G28" s="103"/>
      <c r="H28" s="103"/>
      <c r="I28" s="103"/>
    </row>
    <row r="37" spans="1:9" ht="18" customHeight="1"/>
    <row r="38" spans="1:9" ht="15.75">
      <c r="A38" s="3" t="s">
        <v>11</v>
      </c>
      <c r="B38" s="4">
        <f ca="1">TODAY()</f>
        <v>44503</v>
      </c>
      <c r="C38" s="1"/>
      <c r="D38" s="1"/>
      <c r="E38" s="1"/>
      <c r="F38" s="1"/>
      <c r="G38" s="1"/>
      <c r="H38" s="1"/>
      <c r="I38" s="1"/>
    </row>
    <row r="39" spans="1:9" ht="15.75">
      <c r="A39" s="3" t="s">
        <v>12</v>
      </c>
      <c r="B39" s="5" t="s">
        <v>13</v>
      </c>
      <c r="C39" s="1"/>
      <c r="D39" s="1"/>
      <c r="E39" s="1"/>
      <c r="F39" s="1"/>
      <c r="G39" s="1"/>
      <c r="H39" s="1"/>
      <c r="I39" s="1"/>
    </row>
    <row r="40" spans="1:9" ht="15.7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topLeftCell="A15" zoomScaleNormal="100" workbookViewId="0">
      <selection activeCell="Q9" sqref="Q8:Q9"/>
    </sheetView>
  </sheetViews>
  <sheetFormatPr defaultColWidth="9.140625" defaultRowHeight="13.5"/>
  <cols>
    <col min="1" max="1" width="7.85546875" style="8" customWidth="1"/>
    <col min="2" max="2" width="22.140625" style="8" customWidth="1"/>
    <col min="3" max="3" width="6.42578125" style="8" customWidth="1"/>
    <col min="4" max="4" width="21.5703125" style="8" customWidth="1"/>
    <col min="5" max="5" width="0.140625" style="8" customWidth="1"/>
    <col min="6" max="6" width="9.140625" style="8" hidden="1" customWidth="1"/>
    <col min="7" max="7" width="19.7109375" style="8" customWidth="1"/>
    <col min="8" max="8" width="9.140625" style="8" hidden="1" customWidth="1"/>
    <col min="9" max="9" width="9.28515625" style="8" hidden="1" customWidth="1"/>
    <col min="10" max="10" width="11.140625" style="8" customWidth="1"/>
    <col min="11" max="11" width="12.42578125" style="8" customWidth="1"/>
    <col min="12" max="12" width="9.140625" style="8" hidden="1" customWidth="1"/>
    <col min="13" max="13" width="28" style="8" customWidth="1"/>
    <col min="14" max="15" width="9.140625" style="8"/>
    <col min="16" max="16" width="15" style="8" customWidth="1"/>
    <col min="17" max="17" width="37.140625" style="8" customWidth="1"/>
    <col min="18" max="24" width="9.140625" style="8"/>
    <col min="25" max="25" width="0" style="8" hidden="1" customWidth="1"/>
    <col min="26" max="16384" width="9.140625" style="8"/>
  </cols>
  <sheetData>
    <row r="1" spans="1:25" ht="16.5">
      <c r="A1" s="7" t="s">
        <v>14</v>
      </c>
      <c r="Y1" s="8" t="s">
        <v>15</v>
      </c>
    </row>
    <row r="2" spans="1:25">
      <c r="A2" s="9"/>
      <c r="F2" s="9"/>
      <c r="Y2" s="8" t="s">
        <v>16</v>
      </c>
    </row>
    <row r="3" spans="1:25" ht="15">
      <c r="A3" s="121" t="s">
        <v>17</v>
      </c>
      <c r="B3" s="121"/>
      <c r="C3" s="121"/>
      <c r="D3" s="121" t="s">
        <v>18</v>
      </c>
      <c r="E3" s="121"/>
      <c r="F3" s="121"/>
      <c r="G3" s="121" t="s">
        <v>19</v>
      </c>
      <c r="H3" s="121"/>
      <c r="I3" s="121"/>
      <c r="J3" s="115" t="s">
        <v>20</v>
      </c>
      <c r="K3" s="119"/>
      <c r="L3" s="120"/>
      <c r="M3" s="121" t="s">
        <v>21</v>
      </c>
      <c r="N3" s="121"/>
      <c r="O3" s="121"/>
      <c r="P3" s="10" t="s">
        <v>22</v>
      </c>
      <c r="Q3" s="10" t="s">
        <v>23</v>
      </c>
      <c r="Y3" s="8" t="s">
        <v>24</v>
      </c>
    </row>
    <row r="4" spans="1:25" ht="67.5">
      <c r="A4" s="112" t="s">
        <v>25</v>
      </c>
      <c r="B4" s="113"/>
      <c r="C4" s="114"/>
      <c r="D4" s="112" t="s">
        <v>26</v>
      </c>
      <c r="E4" s="114"/>
      <c r="F4" s="11"/>
      <c r="G4" s="110" t="s">
        <v>27</v>
      </c>
      <c r="H4" s="110"/>
      <c r="I4" s="110"/>
      <c r="J4" s="125">
        <v>1</v>
      </c>
      <c r="K4" s="126"/>
      <c r="L4" s="11"/>
      <c r="M4" s="122">
        <v>44490</v>
      </c>
      <c r="N4" s="123"/>
      <c r="O4" s="124"/>
      <c r="P4" s="85" t="s">
        <v>15</v>
      </c>
      <c r="Q4" s="12" t="s">
        <v>28</v>
      </c>
      <c r="U4" s="100"/>
      <c r="Y4" s="8" t="s">
        <v>29</v>
      </c>
    </row>
    <row r="5" spans="1:25" ht="40.5">
      <c r="A5" s="112" t="s">
        <v>25</v>
      </c>
      <c r="B5" s="113"/>
      <c r="C5" s="114"/>
      <c r="D5" s="112" t="s">
        <v>26</v>
      </c>
      <c r="E5" s="114"/>
      <c r="F5" s="11"/>
      <c r="G5" s="110" t="s">
        <v>27</v>
      </c>
      <c r="H5" s="110"/>
      <c r="I5" s="110"/>
      <c r="J5" s="125">
        <v>2</v>
      </c>
      <c r="K5" s="126"/>
      <c r="L5" s="11"/>
      <c r="M5" s="122">
        <v>44503</v>
      </c>
      <c r="N5" s="123"/>
      <c r="O5" s="124"/>
      <c r="P5" s="85" t="s">
        <v>15</v>
      </c>
      <c r="Q5" s="12" t="s">
        <v>30</v>
      </c>
      <c r="U5" s="100"/>
    </row>
    <row r="7" spans="1:25" ht="16.5">
      <c r="A7" s="7" t="s">
        <v>31</v>
      </c>
      <c r="B7" s="7"/>
      <c r="C7" s="7"/>
      <c r="D7" s="7"/>
      <c r="F7" s="9"/>
    </row>
    <row r="9" spans="1:25" ht="29.25" customHeight="1">
      <c r="A9" s="118" t="s">
        <v>17</v>
      </c>
      <c r="B9" s="117"/>
      <c r="C9" s="118" t="s">
        <v>18</v>
      </c>
      <c r="D9" s="117"/>
      <c r="E9" s="118" t="s">
        <v>19</v>
      </c>
      <c r="F9" s="116"/>
      <c r="G9" s="117"/>
      <c r="H9" s="115" t="s">
        <v>20</v>
      </c>
      <c r="I9" s="116"/>
      <c r="J9" s="117"/>
      <c r="K9" s="118" t="s">
        <v>21</v>
      </c>
      <c r="L9" s="117"/>
      <c r="M9" s="118" t="s">
        <v>32</v>
      </c>
      <c r="N9" s="116"/>
      <c r="O9" s="117"/>
      <c r="P9" s="86"/>
    </row>
    <row r="10" spans="1:25">
      <c r="A10" s="111"/>
      <c r="B10" s="111"/>
      <c r="C10" s="111"/>
      <c r="D10" s="111"/>
      <c r="E10" s="111"/>
      <c r="F10" s="111"/>
      <c r="G10" s="111"/>
      <c r="H10" s="111"/>
      <c r="I10" s="111"/>
      <c r="J10" s="111"/>
      <c r="K10" s="111"/>
      <c r="L10" s="111"/>
      <c r="M10" s="111"/>
      <c r="N10" s="111"/>
      <c r="O10" s="111"/>
      <c r="P10" s="87"/>
    </row>
    <row r="11" spans="1:25">
      <c r="A11" s="111"/>
      <c r="B11" s="111"/>
      <c r="C11" s="111"/>
      <c r="D11" s="111"/>
      <c r="E11" s="111"/>
      <c r="F11" s="111"/>
      <c r="G11" s="111"/>
      <c r="H11" s="111"/>
      <c r="I11" s="111"/>
      <c r="J11" s="111"/>
      <c r="K11" s="111"/>
      <c r="L11" s="111"/>
      <c r="M11" s="111"/>
      <c r="N11" s="111"/>
      <c r="O11" s="111"/>
      <c r="P11" s="87"/>
    </row>
    <row r="12" spans="1:25">
      <c r="A12" s="111"/>
      <c r="B12" s="111"/>
      <c r="C12" s="111"/>
      <c r="D12" s="111"/>
      <c r="E12" s="111"/>
      <c r="F12" s="111"/>
      <c r="G12" s="111"/>
      <c r="H12" s="111"/>
      <c r="I12" s="111"/>
      <c r="J12" s="111"/>
      <c r="K12" s="111"/>
      <c r="L12" s="111"/>
      <c r="M12" s="111"/>
      <c r="N12" s="111"/>
      <c r="O12" s="111"/>
      <c r="P12" s="87"/>
    </row>
    <row r="13" spans="1:25">
      <c r="A13" s="111"/>
      <c r="B13" s="111"/>
      <c r="C13" s="111"/>
      <c r="D13" s="111"/>
      <c r="E13" s="111"/>
      <c r="F13" s="111"/>
      <c r="G13" s="111"/>
      <c r="H13" s="111"/>
      <c r="I13" s="111"/>
      <c r="J13" s="111"/>
      <c r="K13" s="111"/>
      <c r="L13" s="111"/>
      <c r="M13" s="111"/>
      <c r="N13" s="111"/>
      <c r="O13" s="111"/>
      <c r="P13" s="87"/>
    </row>
    <row r="14" spans="1:25">
      <c r="A14" s="111"/>
      <c r="B14" s="111"/>
      <c r="C14" s="111"/>
      <c r="D14" s="111"/>
      <c r="E14" s="111"/>
      <c r="F14" s="111"/>
      <c r="G14" s="111"/>
      <c r="H14" s="111"/>
      <c r="I14" s="111"/>
      <c r="J14" s="111"/>
      <c r="K14" s="111"/>
      <c r="L14" s="111"/>
      <c r="M14" s="111"/>
      <c r="N14" s="111"/>
      <c r="O14" s="111"/>
      <c r="P14" s="87"/>
    </row>
    <row r="15" spans="1:25">
      <c r="A15" s="111"/>
      <c r="B15" s="111"/>
      <c r="C15" s="111"/>
      <c r="D15" s="111"/>
      <c r="E15" s="111"/>
      <c r="F15" s="111"/>
      <c r="G15" s="111"/>
      <c r="H15" s="111"/>
      <c r="I15" s="111"/>
      <c r="J15" s="111"/>
      <c r="K15" s="111"/>
      <c r="L15" s="111"/>
      <c r="M15" s="111"/>
      <c r="N15" s="111"/>
      <c r="O15" s="111"/>
      <c r="P15" s="87"/>
    </row>
    <row r="16" spans="1:25">
      <c r="A16" s="111"/>
      <c r="B16" s="111"/>
      <c r="C16" s="111"/>
      <c r="D16" s="111"/>
      <c r="E16" s="111"/>
      <c r="F16" s="111"/>
      <c r="G16" s="111"/>
      <c r="H16" s="111"/>
      <c r="I16" s="111"/>
      <c r="J16" s="111"/>
      <c r="K16" s="111"/>
      <c r="L16" s="111"/>
      <c r="M16" s="111"/>
      <c r="N16" s="111"/>
      <c r="O16" s="111"/>
      <c r="P16" s="87"/>
    </row>
    <row r="17" spans="1:16">
      <c r="A17" s="111"/>
      <c r="B17" s="111"/>
      <c r="C17" s="111"/>
      <c r="D17" s="111"/>
      <c r="E17" s="111"/>
      <c r="F17" s="111"/>
      <c r="G17" s="111"/>
      <c r="H17" s="111"/>
      <c r="I17" s="111"/>
      <c r="J17" s="111"/>
      <c r="K17" s="111"/>
      <c r="L17" s="111"/>
      <c r="M17" s="111"/>
      <c r="N17" s="111"/>
      <c r="O17" s="111"/>
      <c r="P17" s="87"/>
    </row>
    <row r="20" spans="1:16" ht="15">
      <c r="A20" s="109" t="s">
        <v>33</v>
      </c>
      <c r="B20" s="109"/>
      <c r="C20" s="109" t="s">
        <v>34</v>
      </c>
      <c r="D20" s="109"/>
    </row>
    <row r="21" spans="1:16">
      <c r="A21" s="110" t="s">
        <v>35</v>
      </c>
      <c r="B21" s="110"/>
      <c r="C21" s="111"/>
      <c r="D21" s="111"/>
    </row>
    <row r="22" spans="1:16">
      <c r="A22" s="110" t="s">
        <v>36</v>
      </c>
      <c r="B22" s="110"/>
      <c r="C22" s="111">
        <v>0</v>
      </c>
      <c r="D22" s="111"/>
    </row>
    <row r="23" spans="1:16">
      <c r="A23" s="110" t="s">
        <v>37</v>
      </c>
      <c r="B23" s="110"/>
      <c r="C23" s="111">
        <v>0.1</v>
      </c>
      <c r="D23" s="111"/>
    </row>
    <row r="24" spans="1:16">
      <c r="A24" s="110" t="s">
        <v>38</v>
      </c>
      <c r="B24" s="110"/>
      <c r="C24" s="111">
        <f>'1.0 DB Schema'!B84+'2.0 Ifb &amp; PHP'!B38+'3.0 Mapping'!B15+'4.0 Worklet &amp; workflow'!B20+'5.0 Stored Procedure'!B10+'4.1 Session Details'!B15</f>
        <v>1.0607500000000001</v>
      </c>
      <c r="D24" s="111"/>
    </row>
    <row r="25" spans="1:16">
      <c r="A25" s="110" t="s">
        <v>39</v>
      </c>
      <c r="B25" s="110"/>
      <c r="C25" s="111">
        <v>0.75</v>
      </c>
      <c r="D25" s="111"/>
    </row>
    <row r="26" spans="1:16">
      <c r="A26" s="110" t="s">
        <v>40</v>
      </c>
      <c r="B26" s="110"/>
      <c r="C26" s="137">
        <v>0.375</v>
      </c>
      <c r="D26" s="138"/>
    </row>
    <row r="27" spans="1:16" ht="15">
      <c r="A27" s="127" t="s">
        <v>41</v>
      </c>
      <c r="B27" s="127"/>
      <c r="C27" s="109">
        <f>SUM(C21:E26)</f>
        <v>2.2857500000000002</v>
      </c>
      <c r="D27" s="109"/>
      <c r="G27" s="8">
        <f>C27*8</f>
        <v>18.286000000000001</v>
      </c>
    </row>
    <row r="30" spans="1:16">
      <c r="B30" s="134" t="s">
        <v>42</v>
      </c>
      <c r="C30" s="135"/>
      <c r="D30" s="135"/>
      <c r="E30" s="135"/>
      <c r="F30" s="135"/>
      <c r="G30" s="135"/>
      <c r="H30" s="135"/>
      <c r="I30" s="135"/>
      <c r="J30" s="135"/>
      <c r="K30" s="135"/>
      <c r="L30" s="135"/>
      <c r="M30" s="136"/>
    </row>
    <row r="31" spans="1:16" ht="33.75" customHeight="1">
      <c r="B31" s="132" t="s">
        <v>35</v>
      </c>
      <c r="C31" s="133"/>
      <c r="D31" s="131" t="s">
        <v>43</v>
      </c>
      <c r="E31" s="131"/>
      <c r="F31" s="131"/>
      <c r="G31" s="131"/>
      <c r="H31" s="131"/>
      <c r="I31" s="131"/>
      <c r="J31" s="131"/>
      <c r="K31" s="131"/>
      <c r="L31" s="131"/>
      <c r="M31" s="131"/>
    </row>
    <row r="32" spans="1:16" ht="39.75" customHeight="1">
      <c r="B32" s="132" t="s">
        <v>36</v>
      </c>
      <c r="C32" s="133"/>
      <c r="D32" s="131" t="s">
        <v>44</v>
      </c>
      <c r="E32" s="131"/>
      <c r="F32" s="131"/>
      <c r="G32" s="131"/>
      <c r="H32" s="131"/>
      <c r="I32" s="131"/>
      <c r="J32" s="131"/>
      <c r="K32" s="131"/>
      <c r="L32" s="131"/>
      <c r="M32" s="131"/>
    </row>
    <row r="33" spans="2:13" ht="236.25" customHeight="1">
      <c r="B33" s="132" t="s">
        <v>37</v>
      </c>
      <c r="C33" s="133"/>
      <c r="D33" s="131" t="s">
        <v>45</v>
      </c>
      <c r="E33" s="131"/>
      <c r="F33" s="131"/>
      <c r="G33" s="131"/>
      <c r="H33" s="131"/>
      <c r="I33" s="131"/>
      <c r="J33" s="131"/>
      <c r="K33" s="131"/>
      <c r="L33" s="131"/>
      <c r="M33" s="131"/>
    </row>
    <row r="34" spans="2:13" ht="15">
      <c r="B34" s="132" t="s">
        <v>38</v>
      </c>
      <c r="C34" s="133"/>
      <c r="D34" s="131" t="s">
        <v>46</v>
      </c>
      <c r="E34" s="131"/>
      <c r="F34" s="131"/>
      <c r="G34" s="131"/>
      <c r="H34" s="131"/>
      <c r="I34" s="131"/>
      <c r="J34" s="131"/>
      <c r="K34" s="131"/>
      <c r="L34" s="131"/>
      <c r="M34" s="131"/>
    </row>
    <row r="35" spans="2:13" ht="52.5" customHeight="1">
      <c r="B35" s="132" t="s">
        <v>39</v>
      </c>
      <c r="C35" s="133"/>
      <c r="D35" s="128" t="s">
        <v>47</v>
      </c>
      <c r="E35" s="129"/>
      <c r="F35" s="129"/>
      <c r="G35" s="129"/>
      <c r="H35" s="129"/>
      <c r="I35" s="129"/>
      <c r="J35" s="129"/>
      <c r="K35" s="129"/>
      <c r="L35" s="129"/>
      <c r="M35" s="130"/>
    </row>
    <row r="36" spans="2:13" ht="34.5" customHeight="1">
      <c r="B36" s="132" t="s">
        <v>40</v>
      </c>
      <c r="C36" s="133"/>
      <c r="D36" s="131" t="s">
        <v>48</v>
      </c>
      <c r="E36" s="131"/>
      <c r="F36" s="131"/>
      <c r="G36" s="131"/>
      <c r="H36" s="131"/>
      <c r="I36" s="131"/>
      <c r="J36" s="131"/>
      <c r="K36" s="131"/>
      <c r="L36" s="131"/>
      <c r="M36" s="131"/>
    </row>
    <row r="37" spans="2:13" ht="29.25" customHeight="1"/>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0"/>
  <sheetViews>
    <sheetView workbookViewId="0">
      <selection activeCell="J26" sqref="J26:K26"/>
    </sheetView>
  </sheetViews>
  <sheetFormatPr defaultColWidth="11.42578125" defaultRowHeight="12.75"/>
  <cols>
    <col min="1" max="1" width="4.28515625" style="34" customWidth="1"/>
    <col min="2" max="2" width="87.42578125" style="23" customWidth="1"/>
    <col min="3" max="3" width="10.7109375" style="23" customWidth="1"/>
    <col min="4" max="16384" width="11.42578125" style="23"/>
  </cols>
  <sheetData>
    <row r="1" spans="1:2" ht="13.5" thickBot="1">
      <c r="A1" s="139" t="s">
        <v>49</v>
      </c>
      <c r="B1" s="139"/>
    </row>
    <row r="2" spans="1:2">
      <c r="A2" s="32"/>
      <c r="B2" s="26" t="s">
        <v>50</v>
      </c>
    </row>
    <row r="3" spans="1:2">
      <c r="A3" s="33"/>
      <c r="B3" s="22"/>
    </row>
    <row r="5" spans="1:2">
      <c r="A5" s="32" t="s">
        <v>51</v>
      </c>
      <c r="B5" s="25" t="s">
        <v>52</v>
      </c>
    </row>
    <row r="6" spans="1:2">
      <c r="A6" s="33">
        <v>1</v>
      </c>
      <c r="B6" s="22"/>
    </row>
    <row r="7" spans="1:2">
      <c r="A7" s="33">
        <v>2</v>
      </c>
      <c r="B7" s="22"/>
    </row>
    <row r="8" spans="1:2">
      <c r="A8" s="33">
        <v>3</v>
      </c>
      <c r="B8" s="22"/>
    </row>
    <row r="9" spans="1:2">
      <c r="A9" s="33" t="s">
        <v>53</v>
      </c>
      <c r="B9" s="22"/>
    </row>
    <row r="10" spans="1:2">
      <c r="A10" s="33" t="s">
        <v>54</v>
      </c>
      <c r="B10" s="22"/>
    </row>
    <row r="12" spans="1:2">
      <c r="A12" s="32" t="s">
        <v>51</v>
      </c>
      <c r="B12" s="25" t="s">
        <v>55</v>
      </c>
    </row>
    <row r="13" spans="1:2">
      <c r="A13" s="33">
        <v>4</v>
      </c>
      <c r="B13" s="22"/>
    </row>
    <row r="15" spans="1:2">
      <c r="A15" s="32" t="s">
        <v>51</v>
      </c>
      <c r="B15" s="25" t="s">
        <v>56</v>
      </c>
    </row>
    <row r="16" spans="1:2">
      <c r="A16" s="33">
        <v>5</v>
      </c>
      <c r="B16" s="22"/>
    </row>
    <row r="17" spans="1:2" ht="13.5" thickBot="1"/>
    <row r="18" spans="1:2">
      <c r="A18" s="35" t="s">
        <v>51</v>
      </c>
      <c r="B18" s="24" t="s">
        <v>57</v>
      </c>
    </row>
    <row r="19" spans="1:2">
      <c r="A19" s="33">
        <v>6</v>
      </c>
      <c r="B19" s="22" t="s">
        <v>58</v>
      </c>
    </row>
    <row r="20" spans="1:2">
      <c r="A20" s="33">
        <v>7</v>
      </c>
      <c r="B20" s="22" t="s">
        <v>59</v>
      </c>
    </row>
  </sheetData>
  <mergeCells count="1">
    <mergeCell ref="A1:B1"/>
  </mergeCells>
  <phoneticPr fontId="3"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topLeftCell="A8" workbookViewId="0">
      <selection activeCell="C14" sqref="C14"/>
    </sheetView>
  </sheetViews>
  <sheetFormatPr defaultRowHeight="12.75"/>
  <cols>
    <col min="1" max="1" width="43.85546875" bestFit="1" customWidth="1"/>
    <col min="2" max="2" width="99.85546875" bestFit="1" customWidth="1"/>
    <col min="3" max="3" width="20.42578125" customWidth="1"/>
    <col min="4" max="4" width="25" customWidth="1"/>
    <col min="18" max="18" width="11" customWidth="1"/>
  </cols>
  <sheetData>
    <row r="1" spans="1:18" ht="13.5" thickBot="1">
      <c r="A1" s="140" t="s">
        <v>60</v>
      </c>
      <c r="B1" s="141"/>
      <c r="C1" s="141"/>
      <c r="D1" s="142"/>
      <c r="M1" s="48" t="s">
        <v>61</v>
      </c>
      <c r="N1" s="49"/>
      <c r="O1" s="49"/>
      <c r="P1" s="49"/>
      <c r="Q1" s="49"/>
      <c r="R1" s="50"/>
    </row>
    <row r="2" spans="1:18" ht="13.5" thickBot="1">
      <c r="C2" s="23"/>
      <c r="M2" s="51" t="s">
        <v>62</v>
      </c>
      <c r="N2" s="36"/>
      <c r="O2" s="36"/>
      <c r="P2" s="36"/>
      <c r="Q2" s="36"/>
      <c r="R2" s="52"/>
    </row>
    <row r="3" spans="1:18">
      <c r="A3" s="57" t="s">
        <v>63</v>
      </c>
      <c r="B3" s="29"/>
      <c r="C3" s="29"/>
      <c r="M3" s="51" t="s">
        <v>64</v>
      </c>
      <c r="N3" s="36"/>
      <c r="O3" s="36"/>
      <c r="P3" s="36"/>
      <c r="Q3" s="36"/>
      <c r="R3" s="52"/>
    </row>
    <row r="4" spans="1:18" ht="25.5" customHeight="1">
      <c r="A4" s="14" t="s">
        <v>65</v>
      </c>
      <c r="B4" s="14" t="s">
        <v>66</v>
      </c>
      <c r="C4" s="28" t="s">
        <v>22</v>
      </c>
      <c r="D4" s="28" t="s">
        <v>67</v>
      </c>
      <c r="M4" s="53" t="s">
        <v>68</v>
      </c>
      <c r="N4" s="36"/>
      <c r="O4" s="36"/>
      <c r="P4" s="36"/>
      <c r="Q4" s="36"/>
      <c r="R4" s="52"/>
    </row>
    <row r="5" spans="1:18" ht="128.25" thickBot="1">
      <c r="A5" s="41" t="s">
        <v>69</v>
      </c>
      <c r="B5" s="27" t="s">
        <v>70</v>
      </c>
      <c r="C5" s="13" t="s">
        <v>71</v>
      </c>
      <c r="D5" s="13"/>
      <c r="M5" s="54"/>
      <c r="N5" s="55"/>
      <c r="O5" s="55"/>
      <c r="P5" s="55"/>
      <c r="Q5" s="55"/>
      <c r="R5" s="56"/>
    </row>
    <row r="6" spans="1:18">
      <c r="A6" s="41" t="s">
        <v>72</v>
      </c>
      <c r="B6" s="41" t="s">
        <v>73</v>
      </c>
      <c r="C6" s="13" t="s">
        <v>71</v>
      </c>
      <c r="D6" s="13"/>
    </row>
    <row r="7" spans="1:18">
      <c r="A7" s="41" t="s">
        <v>74</v>
      </c>
      <c r="B7" s="41" t="s">
        <v>75</v>
      </c>
      <c r="C7" s="13" t="s">
        <v>71</v>
      </c>
      <c r="D7" s="13"/>
    </row>
    <row r="8" spans="1:18" ht="89.25">
      <c r="A8" s="41" t="s">
        <v>76</v>
      </c>
      <c r="B8" s="27" t="s">
        <v>77</v>
      </c>
      <c r="C8" s="13" t="s">
        <v>71</v>
      </c>
      <c r="D8" s="13"/>
    </row>
    <row r="9" spans="1:18">
      <c r="A9" s="41" t="s">
        <v>78</v>
      </c>
      <c r="B9" s="41" t="s">
        <v>79</v>
      </c>
      <c r="C9" s="13" t="s">
        <v>80</v>
      </c>
      <c r="D9" s="13"/>
    </row>
    <row r="10" spans="1:18">
      <c r="A10" s="41" t="s">
        <v>81</v>
      </c>
      <c r="B10" s="13"/>
      <c r="C10" s="13" t="s">
        <v>71</v>
      </c>
      <c r="D10" s="13"/>
    </row>
    <row r="11" spans="1:18">
      <c r="A11" s="41" t="s">
        <v>82</v>
      </c>
      <c r="B11" s="41" t="s">
        <v>83</v>
      </c>
      <c r="C11" s="13" t="s">
        <v>80</v>
      </c>
      <c r="D11" s="13"/>
    </row>
    <row r="12" spans="1:18">
      <c r="A12" s="41" t="s">
        <v>84</v>
      </c>
      <c r="B12" s="41" t="s">
        <v>85</v>
      </c>
      <c r="C12" s="13" t="s">
        <v>71</v>
      </c>
      <c r="D12" s="13"/>
    </row>
    <row r="13" spans="1:18">
      <c r="A13" s="41" t="s">
        <v>86</v>
      </c>
      <c r="B13" s="41" t="s">
        <v>87</v>
      </c>
      <c r="C13" s="13" t="s">
        <v>71</v>
      </c>
      <c r="D13" s="13"/>
    </row>
    <row r="14" spans="1:18">
      <c r="A14" s="41" t="s">
        <v>88</v>
      </c>
      <c r="B14" s="41" t="s">
        <v>89</v>
      </c>
      <c r="C14" s="13" t="s">
        <v>80</v>
      </c>
      <c r="D14" s="13"/>
    </row>
    <row r="15" spans="1:18">
      <c r="A15" s="41" t="s">
        <v>90</v>
      </c>
      <c r="B15" s="41" t="s">
        <v>91</v>
      </c>
      <c r="C15" s="13" t="s">
        <v>71</v>
      </c>
      <c r="D15" s="13"/>
    </row>
    <row r="16" spans="1:18">
      <c r="A16" s="41" t="s">
        <v>92</v>
      </c>
      <c r="B16" s="41" t="s">
        <v>93</v>
      </c>
      <c r="C16" s="13" t="s">
        <v>71</v>
      </c>
      <c r="D16" s="13"/>
    </row>
    <row r="17" spans="1:4">
      <c r="A17" s="41" t="s">
        <v>94</v>
      </c>
      <c r="B17" s="41" t="s">
        <v>95</v>
      </c>
      <c r="C17" s="13" t="s">
        <v>71</v>
      </c>
      <c r="D17" s="13"/>
    </row>
    <row r="18" spans="1:4">
      <c r="A18" s="41" t="s">
        <v>96</v>
      </c>
      <c r="B18" s="41" t="s">
        <v>97</v>
      </c>
      <c r="C18" s="13" t="s">
        <v>71</v>
      </c>
      <c r="D18" s="13"/>
    </row>
    <row r="19" spans="1:4">
      <c r="A19" s="41" t="s">
        <v>98</v>
      </c>
      <c r="B19" s="41" t="s">
        <v>99</v>
      </c>
      <c r="C19" s="13" t="s">
        <v>71</v>
      </c>
      <c r="D19" s="13"/>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cols>
    <col min="1" max="1" width="55.28515625" customWidth="1"/>
    <col min="2" max="2" width="70.7109375" customWidth="1"/>
    <col min="3" max="3" width="26.5703125" customWidth="1"/>
  </cols>
  <sheetData>
    <row r="1" spans="1:3">
      <c r="A1" s="67" t="s">
        <v>100</v>
      </c>
      <c r="B1" s="68" t="s">
        <v>101</v>
      </c>
    </row>
    <row r="2" spans="1:3">
      <c r="A2" s="69" t="s">
        <v>102</v>
      </c>
      <c r="B2" s="70" t="str">
        <f>PPRD</f>
        <v>Feb, 2022</v>
      </c>
      <c r="C2" s="58"/>
    </row>
    <row r="3" spans="1:3">
      <c r="A3" s="69" t="s">
        <v>103</v>
      </c>
      <c r="B3" s="71" t="str">
        <f>CRNIRN</f>
        <v>CHG213664</v>
      </c>
      <c r="C3" s="58"/>
    </row>
    <row r="4" spans="1:3">
      <c r="A4" s="69" t="s">
        <v>104</v>
      </c>
      <c r="B4" s="71" t="str">
        <f>MA</f>
        <v>CT</v>
      </c>
      <c r="C4" s="58"/>
    </row>
    <row r="5" spans="1:3">
      <c r="A5" s="69" t="s">
        <v>105</v>
      </c>
      <c r="B5" s="71" t="s">
        <v>106</v>
      </c>
    </row>
    <row r="6" spans="1:3">
      <c r="A6" s="69" t="s">
        <v>107</v>
      </c>
      <c r="B6" s="73" t="s">
        <v>108</v>
      </c>
    </row>
    <row r="7" spans="1:3">
      <c r="A7" s="69" t="s">
        <v>109</v>
      </c>
      <c r="B7" s="76">
        <f>DevDReviewed</f>
        <v>44490</v>
      </c>
      <c r="C7" s="58"/>
    </row>
    <row r="8" spans="1:3">
      <c r="A8" s="69" t="s">
        <v>110</v>
      </c>
      <c r="B8" s="73" t="str">
        <f>DevNameReviewed</f>
        <v>RhishnaRamen</v>
      </c>
      <c r="C8" s="58"/>
    </row>
    <row r="9" spans="1:3">
      <c r="A9" s="69" t="s">
        <v>111</v>
      </c>
      <c r="B9" s="72">
        <f>DateReviewed</f>
        <v>44503</v>
      </c>
      <c r="C9" s="58"/>
    </row>
    <row r="10" spans="1:3">
      <c r="A10" s="69" t="s">
        <v>112</v>
      </c>
      <c r="B10" s="73" t="str">
        <f>ReviewedBy</f>
        <v>RhishnaRamen</v>
      </c>
      <c r="C10" s="58"/>
    </row>
    <row r="17" spans="3:3">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5" sqref="D5"/>
    </sheetView>
  </sheetViews>
  <sheetFormatPr defaultColWidth="9.140625" defaultRowHeight="12.75"/>
  <cols>
    <col min="1" max="1" width="19.42578125" style="59" customWidth="1"/>
    <col min="2" max="2" width="42.5703125" style="59" customWidth="1"/>
    <col min="3" max="3" width="50.85546875" style="59" customWidth="1"/>
    <col min="4" max="4" width="27.42578125" style="59" customWidth="1"/>
    <col min="5" max="5" width="32.28515625" style="59" customWidth="1"/>
    <col min="6" max="16384" width="9.140625" style="59"/>
  </cols>
  <sheetData>
    <row r="1" spans="1:5" ht="13.5" thickBot="1">
      <c r="A1" s="140" t="s">
        <v>113</v>
      </c>
      <c r="B1" s="141"/>
      <c r="C1" s="141"/>
      <c r="D1" s="143"/>
    </row>
    <row r="2" spans="1:5">
      <c r="B2" s="14" t="s">
        <v>114</v>
      </c>
      <c r="C2" s="14" t="s">
        <v>115</v>
      </c>
      <c r="D2" s="14" t="s">
        <v>116</v>
      </c>
      <c r="E2" s="60"/>
    </row>
    <row r="3" spans="1:5" ht="38.25">
      <c r="B3" s="61" t="s">
        <v>117</v>
      </c>
      <c r="C3" s="62" t="s">
        <v>118</v>
      </c>
      <c r="D3" s="63" t="str">
        <f>IF(ISBLANK('1.0 DB Schema'!B84)=FALSE,"Impacted","Not Impacted")</f>
        <v>Impacted</v>
      </c>
    </row>
    <row r="4" spans="1:5" ht="25.5">
      <c r="B4" s="61" t="s">
        <v>119</v>
      </c>
      <c r="C4" s="62" t="s">
        <v>120</v>
      </c>
      <c r="D4" s="63" t="str">
        <f>IF(ISBLANK('2.0 Ifb &amp; PHP'!B38)=FALSE,"Impacted","Not Impacted")</f>
        <v>Impacted</v>
      </c>
    </row>
    <row r="5" spans="1:5" ht="38.25">
      <c r="B5" s="61" t="s">
        <v>121</v>
      </c>
      <c r="C5" s="62" t="s">
        <v>122</v>
      </c>
      <c r="D5" s="63" t="str">
        <f>IF(ISBLANK('3.0 Mapping'!B15)=FALSE,"Impacted","Not Impacted")</f>
        <v>Impacted</v>
      </c>
    </row>
    <row r="6" spans="1:5" ht="25.5">
      <c r="B6" s="61" t="s">
        <v>123</v>
      </c>
      <c r="C6" s="62" t="s">
        <v>124</v>
      </c>
      <c r="D6" s="63" t="str">
        <f>IF(ISBLANK('4.0 Worklet &amp; workflow'!B20)=FALSE,"Impacted","Not Impacted")</f>
        <v>Impacted</v>
      </c>
    </row>
    <row r="7" spans="1:5" ht="25.5">
      <c r="B7" s="61" t="s">
        <v>125</v>
      </c>
      <c r="C7" s="62" t="s">
        <v>126</v>
      </c>
      <c r="D7" s="63" t="str">
        <f>IF(ISBLANK('5.0 Stored Procedure'!B10)=FALSE,"Impacted","Not Impacted")</f>
        <v>Not Impacted</v>
      </c>
    </row>
    <row r="8" spans="1:5" ht="25.5">
      <c r="B8" s="61" t="s">
        <v>127</v>
      </c>
      <c r="C8" s="62" t="s">
        <v>128</v>
      </c>
      <c r="D8" s="63" t="str">
        <f>IF(ISBLANK('6.0 Data Update'!E5)=FALSE,"Impacted","Not Impacted")</f>
        <v>Not Impacted</v>
      </c>
    </row>
    <row r="10" spans="1:5" ht="13.5" thickBot="1"/>
    <row r="11" spans="1:5" ht="13.5" thickBot="1">
      <c r="B11" s="17" t="s">
        <v>129</v>
      </c>
    </row>
    <row r="12" spans="1:5">
      <c r="B12" s="14" t="s">
        <v>130</v>
      </c>
      <c r="C12" s="14" t="s">
        <v>131</v>
      </c>
      <c r="D12" s="14" t="s">
        <v>132</v>
      </c>
    </row>
    <row r="13" spans="1:5">
      <c r="B13" s="63" t="s">
        <v>133</v>
      </c>
      <c r="C13" s="63" t="s">
        <v>134</v>
      </c>
      <c r="D13" s="64" t="s">
        <v>135</v>
      </c>
    </row>
    <row r="14" spans="1:5">
      <c r="B14" s="63" t="s">
        <v>136</v>
      </c>
      <c r="C14" s="64" t="s">
        <v>137</v>
      </c>
      <c r="D14" s="63" t="s">
        <v>138</v>
      </c>
    </row>
    <row r="15" spans="1:5">
      <c r="B15" s="63" t="s">
        <v>139</v>
      </c>
      <c r="C15" s="63" t="s">
        <v>140</v>
      </c>
      <c r="D15" s="63" t="s">
        <v>141</v>
      </c>
    </row>
    <row r="16" spans="1:5">
      <c r="B16" s="63" t="s">
        <v>142</v>
      </c>
      <c r="C16" s="63" t="s">
        <v>143</v>
      </c>
      <c r="D16" s="63" t="s">
        <v>144</v>
      </c>
    </row>
    <row r="17" spans="2:4">
      <c r="B17" s="63" t="s">
        <v>145</v>
      </c>
      <c r="C17" s="64" t="s">
        <v>146</v>
      </c>
      <c r="D17" s="63" t="s">
        <v>147</v>
      </c>
    </row>
    <row r="18" spans="2:4">
      <c r="B18" s="63" t="s">
        <v>148</v>
      </c>
      <c r="C18" s="63" t="s">
        <v>149</v>
      </c>
      <c r="D18" s="63" t="s">
        <v>150</v>
      </c>
    </row>
    <row r="19" spans="2:4">
      <c r="B19" s="63" t="s">
        <v>151</v>
      </c>
      <c r="C19" s="63" t="s">
        <v>152</v>
      </c>
      <c r="D19" s="63" t="s">
        <v>153</v>
      </c>
    </row>
    <row r="20" spans="2:4">
      <c r="B20" s="63" t="s">
        <v>154</v>
      </c>
      <c r="C20" s="64" t="s">
        <v>155</v>
      </c>
      <c r="D20" s="63" t="s">
        <v>156</v>
      </c>
    </row>
    <row r="21" spans="2:4">
      <c r="B21" s="63" t="s">
        <v>157</v>
      </c>
      <c r="C21" s="64" t="s">
        <v>158</v>
      </c>
      <c r="D21" s="63" t="s">
        <v>159</v>
      </c>
    </row>
    <row r="22" spans="2:4">
      <c r="B22" s="63" t="s">
        <v>160</v>
      </c>
      <c r="C22" s="64" t="s">
        <v>161</v>
      </c>
      <c r="D22" s="63" t="s">
        <v>162</v>
      </c>
    </row>
    <row r="23" spans="2:4">
      <c r="B23" s="63" t="s">
        <v>163</v>
      </c>
      <c r="C23" s="63" t="s">
        <v>164</v>
      </c>
      <c r="D23" s="63" t="s">
        <v>165</v>
      </c>
    </row>
    <row r="24" spans="2:4">
      <c r="B24" s="63" t="s">
        <v>166</v>
      </c>
      <c r="C24" s="63"/>
      <c r="D24" s="63"/>
    </row>
  </sheetData>
  <mergeCells count="1">
    <mergeCell ref="A1:D1"/>
  </mergeCells>
  <phoneticPr fontId="3"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84"/>
  <sheetViews>
    <sheetView topLeftCell="A71" workbookViewId="0">
      <selection activeCell="B33" sqref="B33"/>
    </sheetView>
  </sheetViews>
  <sheetFormatPr defaultRowHeight="12.75"/>
  <cols>
    <col min="1" max="1" width="31.85546875" bestFit="1" customWidth="1"/>
    <col min="2" max="2" width="28.7109375" bestFit="1" customWidth="1"/>
    <col min="3" max="3" width="41.425781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4" ht="13.5" thickBot="1">
      <c r="A1" s="140" t="s">
        <v>167</v>
      </c>
      <c r="B1" s="141"/>
      <c r="C1" s="142"/>
    </row>
    <row r="2" spans="1:24" ht="15.75" thickBot="1">
      <c r="E2" s="79" t="s">
        <v>168</v>
      </c>
      <c r="F2" s="36"/>
      <c r="G2" s="36"/>
      <c r="H2" s="36"/>
      <c r="I2" s="36"/>
      <c r="J2" s="36"/>
      <c r="K2" s="36"/>
      <c r="W2" s="58"/>
    </row>
    <row r="3" spans="1:24" ht="13.5" thickBot="1">
      <c r="A3" s="17" t="s">
        <v>169</v>
      </c>
      <c r="B3" s="15"/>
      <c r="C3" s="15"/>
      <c r="E3" s="37" t="s">
        <v>170</v>
      </c>
      <c r="F3" s="36"/>
      <c r="G3" s="36"/>
      <c r="H3" s="36"/>
      <c r="I3" s="36"/>
      <c r="J3" s="36"/>
      <c r="K3" s="36"/>
      <c r="X3" s="58"/>
    </row>
    <row r="4" spans="1:24">
      <c r="A4" s="16" t="s">
        <v>171</v>
      </c>
      <c r="B4" s="14" t="s">
        <v>172</v>
      </c>
      <c r="C4" s="14" t="s">
        <v>67</v>
      </c>
      <c r="E4" s="37" t="s">
        <v>173</v>
      </c>
      <c r="F4" s="37"/>
      <c r="G4" s="37"/>
      <c r="H4" s="37"/>
      <c r="I4" s="37"/>
      <c r="J4" s="36"/>
      <c r="K4" s="36"/>
    </row>
    <row r="5" spans="1:24">
      <c r="A5" s="41" t="s">
        <v>174</v>
      </c>
      <c r="B5" s="41" t="s">
        <v>175</v>
      </c>
      <c r="C5" s="41" t="s">
        <v>176</v>
      </c>
      <c r="E5" s="37" t="s">
        <v>177</v>
      </c>
      <c r="F5" s="37"/>
      <c r="G5" s="37"/>
      <c r="H5" s="37"/>
      <c r="I5" s="37"/>
      <c r="J5" s="36"/>
      <c r="K5" s="36"/>
    </row>
    <row r="6" spans="1:24">
      <c r="A6" s="41" t="s">
        <v>178</v>
      </c>
      <c r="B6" s="41" t="s">
        <v>179</v>
      </c>
      <c r="C6" s="41" t="s">
        <v>176</v>
      </c>
      <c r="E6" s="78" t="s">
        <v>180</v>
      </c>
      <c r="F6" s="36"/>
      <c r="G6" s="36"/>
      <c r="H6" s="36"/>
      <c r="I6" s="36"/>
      <c r="J6" s="36"/>
      <c r="K6" s="36"/>
      <c r="X6" s="58"/>
    </row>
    <row r="7" spans="1:24">
      <c r="A7" s="13"/>
      <c r="B7" s="13"/>
      <c r="C7" s="13"/>
    </row>
    <row r="8" spans="1:24" ht="13.5" thickBot="1">
      <c r="X8" s="58"/>
    </row>
    <row r="9" spans="1:24" ht="13.5" thickBot="1">
      <c r="A9" s="17" t="s">
        <v>181</v>
      </c>
      <c r="X9" s="58"/>
    </row>
    <row r="10" spans="1:24">
      <c r="A10" s="16" t="s">
        <v>171</v>
      </c>
      <c r="B10" s="14" t="s">
        <v>182</v>
      </c>
      <c r="C10" s="14" t="s">
        <v>183</v>
      </c>
      <c r="D10" s="14" t="s">
        <v>172</v>
      </c>
      <c r="E10" s="14" t="s">
        <v>184</v>
      </c>
      <c r="F10" s="14" t="s">
        <v>67</v>
      </c>
      <c r="X10" s="58"/>
    </row>
    <row r="11" spans="1:24">
      <c r="A11" s="41" t="s">
        <v>174</v>
      </c>
      <c r="B11" s="41" t="s">
        <v>185</v>
      </c>
      <c r="C11" s="41" t="s">
        <v>186</v>
      </c>
      <c r="D11" s="41" t="s">
        <v>175</v>
      </c>
      <c r="E11" s="41"/>
      <c r="F11" s="41"/>
    </row>
    <row r="12" spans="1:24">
      <c r="A12" s="41" t="s">
        <v>174</v>
      </c>
      <c r="B12" s="41" t="s">
        <v>187</v>
      </c>
      <c r="C12" s="41" t="s">
        <v>188</v>
      </c>
      <c r="D12" s="41" t="s">
        <v>175</v>
      </c>
      <c r="E12" s="41"/>
      <c r="F12" s="41"/>
    </row>
    <row r="13" spans="1:24">
      <c r="A13" s="41" t="s">
        <v>174</v>
      </c>
      <c r="B13" s="41" t="s">
        <v>189</v>
      </c>
      <c r="C13" s="41" t="s">
        <v>188</v>
      </c>
      <c r="D13" s="41" t="s">
        <v>175</v>
      </c>
      <c r="E13" s="41"/>
      <c r="F13" s="41"/>
    </row>
    <row r="14" spans="1:24">
      <c r="A14" s="41" t="s">
        <v>174</v>
      </c>
      <c r="B14" s="41" t="s">
        <v>190</v>
      </c>
      <c r="C14" s="41" t="s">
        <v>188</v>
      </c>
      <c r="D14" s="41" t="s">
        <v>175</v>
      </c>
      <c r="E14" s="41"/>
      <c r="F14" s="41"/>
    </row>
    <row r="15" spans="1:24">
      <c r="A15" s="41" t="s">
        <v>174</v>
      </c>
      <c r="B15" s="98" t="s">
        <v>191</v>
      </c>
      <c r="C15" s="41" t="s">
        <v>188</v>
      </c>
      <c r="D15" s="41" t="s">
        <v>175</v>
      </c>
      <c r="E15" s="41"/>
      <c r="F15" s="41"/>
    </row>
    <row r="16" spans="1:24">
      <c r="A16" s="41" t="s">
        <v>174</v>
      </c>
      <c r="B16" s="41" t="s">
        <v>192</v>
      </c>
      <c r="C16" s="41" t="s">
        <v>193</v>
      </c>
      <c r="D16" s="41" t="s">
        <v>175</v>
      </c>
      <c r="E16" s="41"/>
      <c r="F16" s="41"/>
    </row>
    <row r="17" spans="1:6">
      <c r="A17" s="41" t="s">
        <v>174</v>
      </c>
      <c r="B17" s="41" t="s">
        <v>194</v>
      </c>
      <c r="C17" s="41" t="s">
        <v>193</v>
      </c>
      <c r="D17" s="41" t="s">
        <v>175</v>
      </c>
      <c r="E17" s="41"/>
      <c r="F17" s="41"/>
    </row>
    <row r="18" spans="1:6">
      <c r="A18" s="41" t="s">
        <v>174</v>
      </c>
      <c r="B18" s="41" t="s">
        <v>195</v>
      </c>
      <c r="C18" s="41" t="s">
        <v>193</v>
      </c>
      <c r="D18" s="41" t="s">
        <v>175</v>
      </c>
      <c r="E18" s="41"/>
      <c r="F18" s="41"/>
    </row>
    <row r="19" spans="1:6">
      <c r="A19" s="41" t="s">
        <v>174</v>
      </c>
      <c r="B19" s="41" t="s">
        <v>196</v>
      </c>
      <c r="C19" s="41" t="s">
        <v>188</v>
      </c>
      <c r="D19" s="41" t="s">
        <v>175</v>
      </c>
      <c r="E19" s="41"/>
      <c r="F19" s="41"/>
    </row>
    <row r="20" spans="1:6">
      <c r="A20" s="41" t="s">
        <v>174</v>
      </c>
      <c r="B20" s="41" t="s">
        <v>197</v>
      </c>
      <c r="C20" s="41" t="s">
        <v>188</v>
      </c>
      <c r="D20" s="41" t="s">
        <v>175</v>
      </c>
      <c r="E20" s="41"/>
      <c r="F20" s="41"/>
    </row>
    <row r="21" spans="1:6">
      <c r="A21" s="41" t="s">
        <v>174</v>
      </c>
      <c r="B21" s="41" t="s">
        <v>198</v>
      </c>
      <c r="C21" s="41" t="s">
        <v>188</v>
      </c>
      <c r="D21" s="41" t="s">
        <v>175</v>
      </c>
      <c r="E21" s="41"/>
      <c r="F21" s="41"/>
    </row>
    <row r="22" spans="1:6">
      <c r="A22" s="41" t="s">
        <v>174</v>
      </c>
      <c r="B22" s="41" t="s">
        <v>199</v>
      </c>
      <c r="C22" s="41" t="s">
        <v>188</v>
      </c>
      <c r="D22" s="41" t="s">
        <v>175</v>
      </c>
      <c r="E22" s="41"/>
      <c r="F22" s="41"/>
    </row>
    <row r="23" spans="1:6">
      <c r="A23" s="41" t="s">
        <v>174</v>
      </c>
      <c r="B23" s="41" t="s">
        <v>200</v>
      </c>
      <c r="C23" s="41" t="s">
        <v>188</v>
      </c>
      <c r="D23" s="41" t="s">
        <v>175</v>
      </c>
      <c r="E23" s="41"/>
      <c r="F23" s="41"/>
    </row>
    <row r="24" spans="1:6">
      <c r="A24" s="41" t="s">
        <v>174</v>
      </c>
      <c r="B24" s="41" t="s">
        <v>201</v>
      </c>
      <c r="C24" s="41" t="s">
        <v>188</v>
      </c>
      <c r="D24" s="41" t="s">
        <v>175</v>
      </c>
      <c r="E24" s="41"/>
      <c r="F24" s="41"/>
    </row>
    <row r="25" spans="1:6">
      <c r="A25" s="41" t="s">
        <v>174</v>
      </c>
      <c r="B25" s="41" t="s">
        <v>202</v>
      </c>
      <c r="C25" s="41" t="s">
        <v>188</v>
      </c>
      <c r="D25" s="41" t="s">
        <v>175</v>
      </c>
      <c r="E25" s="41"/>
      <c r="F25" s="41"/>
    </row>
    <row r="26" spans="1:6">
      <c r="A26" s="41" t="s">
        <v>174</v>
      </c>
      <c r="B26" s="41" t="s">
        <v>203</v>
      </c>
      <c r="C26" s="41" t="s">
        <v>204</v>
      </c>
      <c r="D26" s="41" t="s">
        <v>175</v>
      </c>
      <c r="E26" s="41"/>
      <c r="F26" s="41"/>
    </row>
    <row r="27" spans="1:6">
      <c r="A27" s="41" t="s">
        <v>174</v>
      </c>
      <c r="B27" s="41" t="s">
        <v>205</v>
      </c>
      <c r="C27" s="41" t="s">
        <v>204</v>
      </c>
      <c r="D27" s="41" t="s">
        <v>175</v>
      </c>
      <c r="E27" s="41"/>
      <c r="F27" s="41"/>
    </row>
    <row r="28" spans="1:6">
      <c r="A28" s="41" t="s">
        <v>174</v>
      </c>
      <c r="B28" s="41" t="s">
        <v>206</v>
      </c>
      <c r="C28" s="41" t="s">
        <v>204</v>
      </c>
      <c r="D28" s="41" t="s">
        <v>175</v>
      </c>
      <c r="E28" s="41"/>
      <c r="F28" s="41"/>
    </row>
    <row r="29" spans="1:6">
      <c r="A29" s="41" t="s">
        <v>174</v>
      </c>
      <c r="B29" s="41" t="s">
        <v>207</v>
      </c>
      <c r="C29" s="41" t="s">
        <v>188</v>
      </c>
      <c r="D29" s="41" t="s">
        <v>175</v>
      </c>
      <c r="E29" s="41"/>
      <c r="F29" s="41"/>
    </row>
    <row r="30" spans="1:6">
      <c r="A30" s="41" t="s">
        <v>174</v>
      </c>
      <c r="B30" s="41" t="s">
        <v>208</v>
      </c>
      <c r="C30" s="41" t="s">
        <v>188</v>
      </c>
      <c r="D30" s="41" t="s">
        <v>175</v>
      </c>
      <c r="E30" s="41"/>
      <c r="F30" s="41"/>
    </row>
    <row r="31" spans="1:6">
      <c r="A31" s="41" t="s">
        <v>174</v>
      </c>
      <c r="B31" s="41" t="s">
        <v>209</v>
      </c>
      <c r="C31" s="41" t="s">
        <v>188</v>
      </c>
      <c r="D31" s="41" t="s">
        <v>175</v>
      </c>
      <c r="E31" s="41"/>
      <c r="F31" s="41"/>
    </row>
    <row r="32" spans="1:6">
      <c r="A32" s="41" t="s">
        <v>174</v>
      </c>
      <c r="B32" s="41" t="s">
        <v>210</v>
      </c>
      <c r="C32" s="41" t="s">
        <v>188</v>
      </c>
      <c r="D32" s="41" t="s">
        <v>175</v>
      </c>
      <c r="E32" s="41"/>
      <c r="F32" s="41"/>
    </row>
    <row r="33" spans="1:6">
      <c r="A33" s="41" t="s">
        <v>174</v>
      </c>
      <c r="B33" s="41" t="s">
        <v>211</v>
      </c>
      <c r="C33" s="41" t="s">
        <v>188</v>
      </c>
      <c r="D33" s="41" t="s">
        <v>175</v>
      </c>
      <c r="E33" s="41"/>
      <c r="F33" s="41"/>
    </row>
    <row r="34" spans="1:6">
      <c r="A34" s="41" t="s">
        <v>174</v>
      </c>
      <c r="B34" s="41" t="s">
        <v>212</v>
      </c>
      <c r="C34" s="41" t="s">
        <v>188</v>
      </c>
      <c r="D34" s="41" t="s">
        <v>175</v>
      </c>
      <c r="E34" s="41"/>
      <c r="F34" s="99" t="s">
        <v>213</v>
      </c>
    </row>
    <row r="35" spans="1:6">
      <c r="A35" s="41"/>
      <c r="B35" s="41"/>
      <c r="C35" s="41"/>
      <c r="D35" s="41"/>
      <c r="E35" s="41"/>
      <c r="F35" s="41"/>
    </row>
    <row r="36" spans="1:6">
      <c r="A36" s="41"/>
      <c r="B36" s="41"/>
      <c r="C36" s="41"/>
      <c r="D36" s="41"/>
      <c r="E36" s="41"/>
      <c r="F36" s="41"/>
    </row>
    <row r="37" spans="1:6">
      <c r="A37" s="41" t="s">
        <v>214</v>
      </c>
      <c r="B37" s="41" t="s">
        <v>215</v>
      </c>
      <c r="C37" s="41" t="s">
        <v>188</v>
      </c>
      <c r="D37" s="41" t="s">
        <v>175</v>
      </c>
      <c r="E37" s="41"/>
      <c r="F37" s="41"/>
    </row>
    <row r="38" spans="1:6">
      <c r="A38" s="41" t="s">
        <v>214</v>
      </c>
      <c r="B38" s="41" t="s">
        <v>216</v>
      </c>
      <c r="C38" s="41" t="s">
        <v>204</v>
      </c>
      <c r="D38" s="41" t="s">
        <v>175</v>
      </c>
      <c r="E38" s="41"/>
      <c r="F38" s="41"/>
    </row>
    <row r="39" spans="1:6">
      <c r="A39" s="41" t="s">
        <v>214</v>
      </c>
      <c r="B39" s="41" t="s">
        <v>217</v>
      </c>
      <c r="C39" s="41" t="s">
        <v>204</v>
      </c>
      <c r="D39" s="41" t="s">
        <v>175</v>
      </c>
      <c r="E39" s="41"/>
      <c r="F39" s="41"/>
    </row>
    <row r="40" spans="1:6">
      <c r="A40" s="41"/>
      <c r="B40" s="41"/>
      <c r="C40" s="41"/>
      <c r="D40" s="41"/>
      <c r="E40" s="41"/>
      <c r="F40" s="41"/>
    </row>
    <row r="41" spans="1:6">
      <c r="A41" s="41"/>
      <c r="B41" s="41"/>
      <c r="C41" s="41"/>
      <c r="D41" s="41"/>
      <c r="E41" s="41"/>
      <c r="F41" s="41"/>
    </row>
    <row r="42" spans="1:6">
      <c r="A42" s="41" t="s">
        <v>178</v>
      </c>
      <c r="B42" s="41" t="s">
        <v>185</v>
      </c>
      <c r="C42" s="41" t="s">
        <v>186</v>
      </c>
      <c r="D42" s="41" t="s">
        <v>179</v>
      </c>
      <c r="E42" s="41"/>
      <c r="F42" s="41"/>
    </row>
    <row r="43" spans="1:6">
      <c r="A43" s="41" t="s">
        <v>178</v>
      </c>
      <c r="B43" s="41" t="s">
        <v>187</v>
      </c>
      <c r="C43" s="41" t="s">
        <v>188</v>
      </c>
      <c r="D43" s="41" t="s">
        <v>179</v>
      </c>
      <c r="E43" s="41"/>
      <c r="F43" s="41"/>
    </row>
    <row r="44" spans="1:6">
      <c r="A44" s="41" t="s">
        <v>178</v>
      </c>
      <c r="B44" s="96" t="s">
        <v>218</v>
      </c>
      <c r="C44" s="41" t="s">
        <v>188</v>
      </c>
      <c r="D44" s="41" t="s">
        <v>179</v>
      </c>
      <c r="E44" s="41"/>
      <c r="F44" s="41"/>
    </row>
    <row r="45" spans="1:6">
      <c r="A45" s="41" t="s">
        <v>178</v>
      </c>
      <c r="B45" s="41" t="s">
        <v>190</v>
      </c>
      <c r="C45" s="41" t="s">
        <v>188</v>
      </c>
      <c r="D45" s="41" t="s">
        <v>179</v>
      </c>
      <c r="E45" s="41"/>
      <c r="F45" s="41"/>
    </row>
    <row r="46" spans="1:6">
      <c r="A46" s="41" t="s">
        <v>178</v>
      </c>
      <c r="B46" s="41" t="s">
        <v>189</v>
      </c>
      <c r="C46" s="41" t="s">
        <v>188</v>
      </c>
      <c r="D46" s="41" t="s">
        <v>179</v>
      </c>
      <c r="E46" s="41"/>
      <c r="F46" s="41"/>
    </row>
    <row r="47" spans="1:6">
      <c r="A47" s="41" t="s">
        <v>178</v>
      </c>
      <c r="B47" s="41" t="s">
        <v>192</v>
      </c>
      <c r="C47" s="41" t="s">
        <v>193</v>
      </c>
      <c r="D47" s="41" t="s">
        <v>179</v>
      </c>
      <c r="E47" s="41"/>
      <c r="F47" s="41"/>
    </row>
    <row r="48" spans="1:6">
      <c r="A48" s="41" t="s">
        <v>178</v>
      </c>
      <c r="B48" s="41" t="s">
        <v>194</v>
      </c>
      <c r="C48" s="41" t="s">
        <v>193</v>
      </c>
      <c r="D48" s="41" t="s">
        <v>179</v>
      </c>
      <c r="E48" s="41"/>
      <c r="F48" s="41"/>
    </row>
    <row r="49" spans="1:6">
      <c r="A49" s="41" t="s">
        <v>178</v>
      </c>
      <c r="B49" s="41" t="s">
        <v>195</v>
      </c>
      <c r="C49" s="41" t="s">
        <v>193</v>
      </c>
      <c r="D49" s="41" t="s">
        <v>179</v>
      </c>
      <c r="E49" s="41"/>
      <c r="F49" s="41"/>
    </row>
    <row r="50" spans="1:6">
      <c r="A50" s="41" t="s">
        <v>178</v>
      </c>
      <c r="B50" s="41" t="s">
        <v>196</v>
      </c>
      <c r="C50" s="41" t="s">
        <v>188</v>
      </c>
      <c r="D50" s="41" t="s">
        <v>179</v>
      </c>
      <c r="E50" s="41"/>
      <c r="F50" s="41"/>
    </row>
    <row r="51" spans="1:6">
      <c r="A51" s="41" t="s">
        <v>178</v>
      </c>
      <c r="B51" s="41" t="s">
        <v>197</v>
      </c>
      <c r="C51" s="41" t="s">
        <v>188</v>
      </c>
      <c r="D51" s="41" t="s">
        <v>179</v>
      </c>
      <c r="E51" s="41"/>
      <c r="F51" s="41"/>
    </row>
    <row r="52" spans="1:6">
      <c r="A52" s="41" t="s">
        <v>178</v>
      </c>
      <c r="B52" s="41" t="s">
        <v>198</v>
      </c>
      <c r="C52" s="41" t="s">
        <v>188</v>
      </c>
      <c r="D52" s="41" t="s">
        <v>179</v>
      </c>
      <c r="E52" s="41"/>
      <c r="F52" s="41"/>
    </row>
    <row r="53" spans="1:6">
      <c r="A53" s="41" t="s">
        <v>178</v>
      </c>
      <c r="B53" s="41" t="s">
        <v>199</v>
      </c>
      <c r="C53" s="41" t="s">
        <v>188</v>
      </c>
      <c r="D53" s="41" t="s">
        <v>179</v>
      </c>
      <c r="E53" s="41"/>
      <c r="F53" s="41"/>
    </row>
    <row r="54" spans="1:6">
      <c r="A54" s="41" t="s">
        <v>178</v>
      </c>
      <c r="B54" s="41" t="s">
        <v>200</v>
      </c>
      <c r="C54" s="41" t="s">
        <v>188</v>
      </c>
      <c r="D54" s="41" t="s">
        <v>179</v>
      </c>
      <c r="E54" s="41"/>
      <c r="F54" s="41"/>
    </row>
    <row r="55" spans="1:6">
      <c r="A55" s="41" t="s">
        <v>178</v>
      </c>
      <c r="B55" s="41" t="s">
        <v>201</v>
      </c>
      <c r="C55" s="41" t="s">
        <v>188</v>
      </c>
      <c r="D55" s="41" t="s">
        <v>179</v>
      </c>
      <c r="E55" s="41"/>
      <c r="F55" s="41"/>
    </row>
    <row r="56" spans="1:6">
      <c r="A56" s="41" t="s">
        <v>178</v>
      </c>
      <c r="B56" s="41" t="s">
        <v>202</v>
      </c>
      <c r="C56" s="41" t="s">
        <v>188</v>
      </c>
      <c r="D56" s="41" t="s">
        <v>179</v>
      </c>
      <c r="E56" s="41"/>
      <c r="F56" s="41"/>
    </row>
    <row r="57" spans="1:6">
      <c r="A57" s="41" t="s">
        <v>178</v>
      </c>
      <c r="B57" s="41" t="s">
        <v>203</v>
      </c>
      <c r="C57" s="41" t="s">
        <v>204</v>
      </c>
      <c r="D57" s="41" t="s">
        <v>179</v>
      </c>
      <c r="E57" s="41"/>
      <c r="F57" s="41"/>
    </row>
    <row r="58" spans="1:6">
      <c r="A58" s="41" t="s">
        <v>178</v>
      </c>
      <c r="B58" s="41" t="s">
        <v>205</v>
      </c>
      <c r="C58" s="41" t="s">
        <v>204</v>
      </c>
      <c r="D58" s="41" t="s">
        <v>179</v>
      </c>
      <c r="E58" s="41"/>
      <c r="F58" s="41"/>
    </row>
    <row r="59" spans="1:6">
      <c r="A59" s="41" t="s">
        <v>178</v>
      </c>
      <c r="B59" s="41" t="s">
        <v>206</v>
      </c>
      <c r="C59" s="41" t="s">
        <v>204</v>
      </c>
      <c r="D59" s="41" t="s">
        <v>179</v>
      </c>
      <c r="E59" s="41"/>
      <c r="F59" s="41"/>
    </row>
    <row r="60" spans="1:6">
      <c r="A60" s="41" t="s">
        <v>178</v>
      </c>
      <c r="B60" s="41" t="s">
        <v>207</v>
      </c>
      <c r="C60" s="41" t="s">
        <v>188</v>
      </c>
      <c r="D60" s="41" t="s">
        <v>179</v>
      </c>
      <c r="E60" s="41"/>
      <c r="F60" s="41"/>
    </row>
    <row r="61" spans="1:6">
      <c r="A61" s="41" t="s">
        <v>178</v>
      </c>
      <c r="B61" s="41" t="s">
        <v>208</v>
      </c>
      <c r="C61" s="41" t="s">
        <v>188</v>
      </c>
      <c r="D61" s="41" t="s">
        <v>179</v>
      </c>
      <c r="E61" s="41"/>
      <c r="F61" s="41"/>
    </row>
    <row r="62" spans="1:6">
      <c r="A62" s="41" t="s">
        <v>178</v>
      </c>
      <c r="B62" s="41" t="s">
        <v>209</v>
      </c>
      <c r="C62" s="41" t="s">
        <v>188</v>
      </c>
      <c r="D62" s="41" t="s">
        <v>179</v>
      </c>
      <c r="E62" s="41"/>
      <c r="F62" s="41"/>
    </row>
    <row r="63" spans="1:6">
      <c r="A63" s="41" t="s">
        <v>178</v>
      </c>
      <c r="B63" s="41" t="s">
        <v>210</v>
      </c>
      <c r="C63" s="41" t="s">
        <v>188</v>
      </c>
      <c r="D63" s="41" t="s">
        <v>179</v>
      </c>
      <c r="E63" s="41"/>
      <c r="F63" s="41"/>
    </row>
    <row r="64" spans="1:6">
      <c r="A64" s="41" t="s">
        <v>178</v>
      </c>
      <c r="B64" s="41" t="s">
        <v>211</v>
      </c>
      <c r="C64" s="41" t="s">
        <v>188</v>
      </c>
      <c r="D64" s="41" t="s">
        <v>179</v>
      </c>
      <c r="E64" s="41"/>
      <c r="F64" s="41"/>
    </row>
    <row r="65" spans="1:27">
      <c r="A65" s="41" t="s">
        <v>178</v>
      </c>
      <c r="B65" s="41" t="s">
        <v>212</v>
      </c>
      <c r="C65" s="41" t="s">
        <v>188</v>
      </c>
      <c r="D65" s="41" t="s">
        <v>179</v>
      </c>
      <c r="E65" s="41"/>
      <c r="F65" s="99" t="s">
        <v>213</v>
      </c>
    </row>
    <row r="66" spans="1:27">
      <c r="A66" s="41"/>
      <c r="B66" s="41"/>
      <c r="C66" s="41"/>
      <c r="D66" s="41"/>
      <c r="E66" s="41"/>
      <c r="F66" s="99"/>
    </row>
    <row r="67" spans="1:27">
      <c r="A67" s="41" t="s">
        <v>178</v>
      </c>
      <c r="B67" s="41" t="s">
        <v>215</v>
      </c>
      <c r="C67" s="41" t="s">
        <v>188</v>
      </c>
      <c r="D67" s="41" t="s">
        <v>179</v>
      </c>
      <c r="E67" s="41"/>
      <c r="F67" s="41"/>
    </row>
    <row r="68" spans="1:27">
      <c r="A68" s="41" t="s">
        <v>178</v>
      </c>
      <c r="B68" s="41" t="s">
        <v>216</v>
      </c>
      <c r="C68" s="41" t="s">
        <v>204</v>
      </c>
      <c r="D68" s="41" t="s">
        <v>179</v>
      </c>
      <c r="E68" s="41"/>
      <c r="F68" s="41"/>
    </row>
    <row r="69" spans="1:27">
      <c r="A69" s="41" t="s">
        <v>178</v>
      </c>
      <c r="B69" s="41" t="s">
        <v>217</v>
      </c>
      <c r="C69" s="41" t="s">
        <v>204</v>
      </c>
      <c r="D69" s="41" t="s">
        <v>179</v>
      </c>
      <c r="E69" s="41"/>
      <c r="F69" s="41"/>
    </row>
    <row r="70" spans="1:27">
      <c r="A70" s="41"/>
      <c r="B70" s="41"/>
      <c r="C70" s="41"/>
      <c r="D70" s="41"/>
      <c r="E70" s="41"/>
      <c r="F70" s="41"/>
    </row>
    <row r="71" spans="1:27">
      <c r="A71" s="13"/>
      <c r="B71" s="13"/>
      <c r="C71" s="13"/>
      <c r="D71" s="13"/>
      <c r="E71" s="13"/>
      <c r="F71" s="13"/>
    </row>
    <row r="72" spans="1:27" ht="13.5" thickBot="1"/>
    <row r="73" spans="1:27" ht="13.5" thickBot="1">
      <c r="A73" s="17" t="s">
        <v>219</v>
      </c>
    </row>
    <row r="74" spans="1:27">
      <c r="A74" s="16" t="s">
        <v>220</v>
      </c>
      <c r="B74" s="14" t="s">
        <v>221</v>
      </c>
      <c r="C74" s="14" t="s">
        <v>222</v>
      </c>
      <c r="D74" s="14" t="s">
        <v>223</v>
      </c>
    </row>
    <row r="75" spans="1:27">
      <c r="A75" s="41" t="s">
        <v>166</v>
      </c>
      <c r="B75" s="41"/>
      <c r="C75" s="41"/>
      <c r="D75" s="13"/>
      <c r="AA75" s="58"/>
    </row>
    <row r="76" spans="1:27">
      <c r="A76" s="41"/>
      <c r="B76" s="41"/>
      <c r="C76" s="41"/>
      <c r="D76" s="13"/>
      <c r="AA76" s="58"/>
    </row>
    <row r="77" spans="1:27">
      <c r="A77" s="41"/>
      <c r="B77" s="41"/>
      <c r="C77" s="41"/>
      <c r="D77" s="13"/>
    </row>
    <row r="78" spans="1:27" ht="13.5" thickBot="1">
      <c r="A78" s="58"/>
      <c r="B78" s="58"/>
      <c r="C78" s="58"/>
    </row>
    <row r="79" spans="1:27" ht="13.5" thickBot="1">
      <c r="A79" s="17" t="s">
        <v>224</v>
      </c>
      <c r="B79" s="58"/>
      <c r="C79" s="58"/>
    </row>
    <row r="80" spans="1:27">
      <c r="A80" s="16" t="s">
        <v>130</v>
      </c>
      <c r="B80" s="14" t="s">
        <v>225</v>
      </c>
    </row>
    <row r="81" spans="1:29">
      <c r="A81" s="41" t="s">
        <v>166</v>
      </c>
      <c r="B81" s="41"/>
      <c r="AC81" s="58"/>
    </row>
    <row r="82" spans="1:29">
      <c r="A82" s="41"/>
      <c r="B82" s="41"/>
    </row>
    <row r="83" spans="1:29">
      <c r="A83" s="21" t="s">
        <v>33</v>
      </c>
      <c r="B83" s="21" t="s">
        <v>226</v>
      </c>
    </row>
    <row r="84" spans="1:29">
      <c r="A84" s="20"/>
      <c r="B84" s="20">
        <v>0.125</v>
      </c>
    </row>
  </sheetData>
  <mergeCells count="1">
    <mergeCell ref="A1:C1"/>
  </mergeCells>
  <phoneticPr fontId="3"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A81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tabSelected="1" topLeftCell="A12" workbookViewId="0">
      <selection activeCell="C12" sqref="C12"/>
    </sheetView>
  </sheetViews>
  <sheetFormatPr defaultRowHeight="12.75"/>
  <cols>
    <col min="1" max="1" width="28.28515625" bestFit="1" customWidth="1"/>
    <col min="2" max="2" width="36.28515625" style="23" customWidth="1"/>
    <col min="3" max="3" width="32.85546875" customWidth="1"/>
  </cols>
  <sheetData>
    <row r="1" spans="1:3" ht="13.5" thickBot="1">
      <c r="A1" s="140" t="s">
        <v>227</v>
      </c>
      <c r="B1" s="141"/>
      <c r="C1" s="142"/>
    </row>
    <row r="2" spans="1:3" ht="13.5" thickBot="1"/>
    <row r="3" spans="1:3" ht="13.5" thickBot="1">
      <c r="A3" s="18" t="s">
        <v>228</v>
      </c>
      <c r="B3" s="29"/>
    </row>
    <row r="4" spans="1:3">
      <c r="A4" s="16" t="s">
        <v>229</v>
      </c>
      <c r="B4" s="28" t="s">
        <v>67</v>
      </c>
    </row>
    <row r="5" spans="1:3">
      <c r="A5" s="13" t="s">
        <v>230</v>
      </c>
      <c r="B5" s="27" t="s">
        <v>231</v>
      </c>
      <c r="C5">
        <v>0.02</v>
      </c>
    </row>
    <row r="6" spans="1:3">
      <c r="A6" s="13" t="s">
        <v>232</v>
      </c>
      <c r="B6" s="27" t="s">
        <v>231</v>
      </c>
      <c r="C6">
        <v>0.02</v>
      </c>
    </row>
    <row r="7" spans="1:3">
      <c r="A7" s="13" t="s">
        <v>233</v>
      </c>
      <c r="B7" s="27" t="s">
        <v>231</v>
      </c>
      <c r="C7">
        <v>0.02</v>
      </c>
    </row>
    <row r="8" spans="1:3">
      <c r="A8" s="13"/>
      <c r="B8" s="22"/>
    </row>
    <row r="9" spans="1:3" ht="13.5" thickBot="1"/>
    <row r="10" spans="1:3" ht="13.5" thickBot="1">
      <c r="A10" s="18" t="s">
        <v>234</v>
      </c>
      <c r="B10" s="29"/>
      <c r="C10" s="15"/>
    </row>
    <row r="11" spans="1:3">
      <c r="A11" s="16" t="s">
        <v>235</v>
      </c>
      <c r="B11" s="28" t="s">
        <v>67</v>
      </c>
    </row>
    <row r="12" spans="1:3" ht="409.6">
      <c r="A12" s="41" t="s">
        <v>236</v>
      </c>
      <c r="B12" s="27" t="s">
        <v>237</v>
      </c>
      <c r="C12">
        <v>3.125E-2</v>
      </c>
    </row>
    <row r="13" spans="1:3" ht="63.75">
      <c r="A13" s="13" t="s">
        <v>238</v>
      </c>
      <c r="B13" s="22" t="s">
        <v>239</v>
      </c>
      <c r="C13">
        <v>6.25E-2</v>
      </c>
    </row>
    <row r="14" spans="1:3">
      <c r="A14" s="13"/>
      <c r="B14" s="22"/>
    </row>
    <row r="15" spans="1:3" ht="13.5" thickBot="1"/>
    <row r="16" spans="1:3" ht="13.5" thickBot="1">
      <c r="A16" s="18" t="s">
        <v>240</v>
      </c>
    </row>
    <row r="17" spans="1:2">
      <c r="A17" s="16" t="s">
        <v>229</v>
      </c>
      <c r="B17" s="28" t="s">
        <v>67</v>
      </c>
    </row>
    <row r="18" spans="1:2">
      <c r="A18" s="41" t="s">
        <v>166</v>
      </c>
      <c r="B18" s="22"/>
    </row>
    <row r="19" spans="1:2">
      <c r="A19" s="13"/>
      <c r="B19" s="22"/>
    </row>
    <row r="20" spans="1:2">
      <c r="A20" s="13"/>
      <c r="B20" s="22"/>
    </row>
    <row r="21" spans="1:2">
      <c r="A21" s="13"/>
      <c r="B21" s="22"/>
    </row>
    <row r="22" spans="1:2" ht="13.5" thickBot="1"/>
    <row r="23" spans="1:2" ht="13.5" thickBot="1">
      <c r="A23" s="18" t="s">
        <v>241</v>
      </c>
    </row>
    <row r="24" spans="1:2">
      <c r="A24" s="16" t="s">
        <v>229</v>
      </c>
      <c r="B24" s="28" t="s">
        <v>67</v>
      </c>
    </row>
    <row r="25" spans="1:2">
      <c r="A25" s="41" t="s">
        <v>166</v>
      </c>
      <c r="B25" s="22"/>
    </row>
    <row r="26" spans="1:2">
      <c r="A26" s="13"/>
      <c r="B26" s="22"/>
    </row>
    <row r="27" spans="1:2">
      <c r="A27" s="13"/>
      <c r="B27" s="22"/>
    </row>
    <row r="28" spans="1:2">
      <c r="A28" s="13"/>
      <c r="B28" s="22"/>
    </row>
    <row r="29" spans="1:2" ht="13.5" thickBot="1"/>
    <row r="30" spans="1:2" ht="13.5" thickBot="1">
      <c r="A30" s="18" t="s">
        <v>242</v>
      </c>
    </row>
    <row r="31" spans="1:2">
      <c r="A31" s="16" t="s">
        <v>229</v>
      </c>
      <c r="B31" s="28" t="s">
        <v>67</v>
      </c>
    </row>
    <row r="32" spans="1:2">
      <c r="A32" s="41" t="s">
        <v>166</v>
      </c>
      <c r="B32" s="22"/>
    </row>
    <row r="33" spans="1:2">
      <c r="A33" s="13"/>
      <c r="B33" s="22"/>
    </row>
    <row r="34" spans="1:2">
      <c r="A34" s="13"/>
      <c r="B34" s="22"/>
    </row>
    <row r="35" spans="1:2">
      <c r="A35" s="13"/>
      <c r="B35" s="22"/>
    </row>
    <row r="37" spans="1:2">
      <c r="A37" s="21" t="s">
        <v>33</v>
      </c>
      <c r="B37" s="30" t="s">
        <v>226</v>
      </c>
    </row>
    <row r="38" spans="1:2">
      <c r="A38" s="20"/>
      <c r="B38" s="31">
        <f>SUM(C4:C32)</f>
        <v>0.15375</v>
      </c>
    </row>
  </sheetData>
  <mergeCells count="1">
    <mergeCell ref="A1:C1"/>
  </mergeCells>
  <phoneticPr fontId="3"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5"/>
  <sheetViews>
    <sheetView workbookViewId="0">
      <selection activeCell="D8" sqref="D8"/>
    </sheetView>
  </sheetViews>
  <sheetFormatPr defaultRowHeight="12.75"/>
  <cols>
    <col min="1" max="1" width="19.140625" customWidth="1"/>
    <col min="2" max="2" width="40.42578125" bestFit="1" customWidth="1"/>
    <col min="3" max="3" width="15.42578125" bestFit="1" customWidth="1"/>
  </cols>
  <sheetData>
    <row r="1" spans="1:4" ht="13.5" thickBot="1">
      <c r="A1" s="140" t="s">
        <v>243</v>
      </c>
      <c r="B1" s="141"/>
      <c r="C1" s="142"/>
    </row>
    <row r="3" spans="1:4">
      <c r="A3" s="14" t="s">
        <v>244</v>
      </c>
      <c r="B3" s="14" t="s">
        <v>245</v>
      </c>
      <c r="C3" s="14" t="s">
        <v>67</v>
      </c>
    </row>
    <row r="4" spans="1:4">
      <c r="A4" s="41" t="s">
        <v>246</v>
      </c>
      <c r="B4" s="41" t="s">
        <v>247</v>
      </c>
      <c r="C4" s="41" t="s">
        <v>248</v>
      </c>
      <c r="D4">
        <v>0.25</v>
      </c>
    </row>
    <row r="5" spans="1:4">
      <c r="A5" s="13" t="s">
        <v>249</v>
      </c>
      <c r="B5" s="41" t="s">
        <v>250</v>
      </c>
      <c r="C5" s="13" t="s">
        <v>251</v>
      </c>
    </row>
    <row r="6" spans="1:4">
      <c r="A6" s="41" t="s">
        <v>246</v>
      </c>
      <c r="B6" s="13" t="s">
        <v>252</v>
      </c>
      <c r="C6" s="41" t="s">
        <v>248</v>
      </c>
      <c r="D6">
        <v>0.25</v>
      </c>
    </row>
    <row r="7" spans="1:4">
      <c r="A7" s="13" t="s">
        <v>249</v>
      </c>
      <c r="B7" s="13" t="s">
        <v>253</v>
      </c>
      <c r="C7" s="13" t="s">
        <v>251</v>
      </c>
    </row>
    <row r="8" spans="1:4">
      <c r="A8" s="41" t="s">
        <v>246</v>
      </c>
      <c r="B8" s="41" t="s">
        <v>254</v>
      </c>
      <c r="C8" s="41" t="s">
        <v>255</v>
      </c>
      <c r="D8">
        <v>0.125</v>
      </c>
    </row>
    <row r="9" spans="1:4">
      <c r="A9" s="13" t="s">
        <v>249</v>
      </c>
      <c r="B9" s="41" t="s">
        <v>256</v>
      </c>
      <c r="C9" s="13" t="s">
        <v>251</v>
      </c>
    </row>
    <row r="10" spans="1:4">
      <c r="A10" s="41" t="s">
        <v>246</v>
      </c>
      <c r="B10" s="13" t="s">
        <v>257</v>
      </c>
      <c r="C10" s="41" t="s">
        <v>255</v>
      </c>
      <c r="D10">
        <v>0.125</v>
      </c>
    </row>
    <row r="11" spans="1:4">
      <c r="A11" s="13" t="s">
        <v>249</v>
      </c>
      <c r="B11" s="13" t="s">
        <v>258</v>
      </c>
      <c r="C11" s="13" t="s">
        <v>251</v>
      </c>
    </row>
    <row r="14" spans="1:4">
      <c r="A14" s="21" t="s">
        <v>33</v>
      </c>
      <c r="B14" s="21" t="s">
        <v>226</v>
      </c>
    </row>
    <row r="15" spans="1:4">
      <c r="A15" s="20"/>
      <c r="B15" s="20">
        <f>SUM(D4:D11)</f>
        <v>0.75</v>
      </c>
    </row>
  </sheetData>
  <mergeCells count="1">
    <mergeCell ref="A1:C1"/>
  </mergeCells>
  <phoneticPr fontId="3"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K80"/>
  <sheetViews>
    <sheetView topLeftCell="A10" workbookViewId="0">
      <selection activeCell="B3" sqref="B3:C3"/>
    </sheetView>
  </sheetViews>
  <sheetFormatPr defaultRowHeight="12.75"/>
  <cols>
    <col min="1" max="2" width="24.5703125" bestFit="1" customWidth="1"/>
    <col min="3" max="3" width="43.7109375" bestFit="1" customWidth="1"/>
    <col min="4" max="4" width="15.5703125" bestFit="1" customWidth="1"/>
    <col min="5" max="5" width="24.42578125" customWidth="1"/>
    <col min="6" max="6" width="15" bestFit="1" customWidth="1"/>
    <col min="7" max="7" width="23.42578125" customWidth="1"/>
    <col min="8" max="8" width="15.42578125" customWidth="1"/>
    <col min="9" max="9" width="21.140625" bestFit="1" customWidth="1"/>
    <col min="10" max="10" width="24" customWidth="1"/>
  </cols>
  <sheetData>
    <row r="1" spans="1:10" ht="13.5" thickBot="1">
      <c r="A1" s="140" t="s">
        <v>259</v>
      </c>
      <c r="B1" s="141"/>
      <c r="C1" s="141"/>
      <c r="D1" s="142"/>
    </row>
    <row r="3" spans="1:10">
      <c r="A3" s="14" t="s">
        <v>245</v>
      </c>
      <c r="B3" s="144" t="s">
        <v>247</v>
      </c>
      <c r="C3" s="145"/>
      <c r="I3" s="23"/>
    </row>
    <row r="4" spans="1:10">
      <c r="I4" s="23"/>
    </row>
    <row r="5" spans="1:10" ht="25.5">
      <c r="A5" s="14" t="s">
        <v>260</v>
      </c>
      <c r="B5" s="14" t="s">
        <v>261</v>
      </c>
      <c r="C5" s="14" t="s">
        <v>262</v>
      </c>
      <c r="D5" s="14" t="s">
        <v>263</v>
      </c>
      <c r="E5" s="14" t="s">
        <v>264</v>
      </c>
      <c r="F5" s="14" t="s">
        <v>261</v>
      </c>
      <c r="G5" s="14" t="s">
        <v>265</v>
      </c>
      <c r="H5" s="14" t="s">
        <v>263</v>
      </c>
      <c r="I5" s="28" t="s">
        <v>266</v>
      </c>
      <c r="J5" s="14" t="s">
        <v>267</v>
      </c>
    </row>
    <row r="6" spans="1:10" ht="25.5">
      <c r="A6" s="13"/>
      <c r="B6" s="13"/>
      <c r="C6" s="13"/>
      <c r="D6" s="13"/>
      <c r="E6" s="88"/>
      <c r="F6" s="88"/>
      <c r="G6" s="88"/>
      <c r="H6" s="88"/>
      <c r="I6" s="89" t="s">
        <v>268</v>
      </c>
      <c r="J6" s="13"/>
    </row>
    <row r="7" spans="1:10" ht="25.5">
      <c r="A7" s="13" t="s">
        <v>174</v>
      </c>
      <c r="B7" s="13" t="s">
        <v>174</v>
      </c>
      <c r="C7" s="41" t="s">
        <v>185</v>
      </c>
      <c r="D7" s="41" t="s">
        <v>186</v>
      </c>
      <c r="E7" s="41" t="s">
        <v>178</v>
      </c>
      <c r="F7" s="41" t="s">
        <v>178</v>
      </c>
      <c r="G7" s="41" t="s">
        <v>185</v>
      </c>
      <c r="H7" s="41" t="s">
        <v>186</v>
      </c>
      <c r="I7" s="89" t="s">
        <v>269</v>
      </c>
      <c r="J7" s="13"/>
    </row>
    <row r="8" spans="1:10">
      <c r="A8" s="13" t="s">
        <v>174</v>
      </c>
      <c r="B8" s="13" t="s">
        <v>174</v>
      </c>
      <c r="C8" s="41" t="s">
        <v>187</v>
      </c>
      <c r="D8" s="41" t="s">
        <v>188</v>
      </c>
      <c r="E8" s="41" t="s">
        <v>178</v>
      </c>
      <c r="F8" s="41" t="s">
        <v>178</v>
      </c>
      <c r="G8" s="41" t="s">
        <v>187</v>
      </c>
      <c r="H8" s="41" t="s">
        <v>188</v>
      </c>
      <c r="I8" s="41" t="s">
        <v>270</v>
      </c>
      <c r="J8" s="13"/>
    </row>
    <row r="9" spans="1:10">
      <c r="A9" s="13" t="s">
        <v>174</v>
      </c>
      <c r="B9" s="13" t="s">
        <v>174</v>
      </c>
      <c r="C9" s="41" t="s">
        <v>189</v>
      </c>
      <c r="D9" s="41" t="s">
        <v>188</v>
      </c>
      <c r="E9" s="41" t="s">
        <v>178</v>
      </c>
      <c r="F9" s="41" t="s">
        <v>178</v>
      </c>
      <c r="G9" s="41" t="s">
        <v>189</v>
      </c>
      <c r="H9" s="41" t="s">
        <v>188</v>
      </c>
      <c r="I9" s="41" t="s">
        <v>270</v>
      </c>
      <c r="J9" s="13"/>
    </row>
    <row r="10" spans="1:10">
      <c r="A10" s="13" t="s">
        <v>174</v>
      </c>
      <c r="B10" s="13" t="s">
        <v>174</v>
      </c>
      <c r="C10" s="41" t="s">
        <v>190</v>
      </c>
      <c r="D10" s="41" t="s">
        <v>188</v>
      </c>
      <c r="E10" s="41" t="s">
        <v>178</v>
      </c>
      <c r="F10" s="41" t="s">
        <v>178</v>
      </c>
      <c r="G10" s="41" t="s">
        <v>190</v>
      </c>
      <c r="H10" s="41" t="s">
        <v>188</v>
      </c>
      <c r="I10" s="41" t="s">
        <v>270</v>
      </c>
      <c r="J10" s="13"/>
    </row>
    <row r="11" spans="1:10">
      <c r="A11" s="13" t="s">
        <v>174</v>
      </c>
      <c r="B11" s="13" t="s">
        <v>174</v>
      </c>
      <c r="C11" s="41" t="s">
        <v>191</v>
      </c>
      <c r="D11" s="41" t="s">
        <v>188</v>
      </c>
      <c r="E11" s="41" t="s">
        <v>178</v>
      </c>
      <c r="F11" s="41" t="s">
        <v>178</v>
      </c>
      <c r="G11" s="41" t="s">
        <v>191</v>
      </c>
      <c r="H11" s="41" t="s">
        <v>188</v>
      </c>
      <c r="I11" s="41" t="s">
        <v>270</v>
      </c>
      <c r="J11" s="13"/>
    </row>
    <row r="12" spans="1:10">
      <c r="A12" s="13" t="s">
        <v>174</v>
      </c>
      <c r="B12" s="13" t="s">
        <v>174</v>
      </c>
      <c r="C12" s="41" t="s">
        <v>192</v>
      </c>
      <c r="D12" s="41" t="s">
        <v>193</v>
      </c>
      <c r="E12" s="41" t="s">
        <v>178</v>
      </c>
      <c r="F12" s="41" t="s">
        <v>178</v>
      </c>
      <c r="G12" s="41" t="s">
        <v>192</v>
      </c>
      <c r="H12" s="41" t="s">
        <v>193</v>
      </c>
      <c r="I12" s="41" t="s">
        <v>270</v>
      </c>
      <c r="J12" s="13"/>
    </row>
    <row r="13" spans="1:10">
      <c r="A13" s="13" t="s">
        <v>174</v>
      </c>
      <c r="B13" s="13" t="s">
        <v>174</v>
      </c>
      <c r="C13" s="41" t="s">
        <v>194</v>
      </c>
      <c r="D13" s="41" t="s">
        <v>193</v>
      </c>
      <c r="E13" s="41" t="s">
        <v>178</v>
      </c>
      <c r="F13" s="41" t="s">
        <v>178</v>
      </c>
      <c r="G13" s="41" t="s">
        <v>194</v>
      </c>
      <c r="H13" s="41" t="s">
        <v>193</v>
      </c>
      <c r="I13" s="41" t="s">
        <v>270</v>
      </c>
      <c r="J13" s="13"/>
    </row>
    <row r="14" spans="1:10">
      <c r="A14" s="13" t="s">
        <v>174</v>
      </c>
      <c r="B14" s="13" t="s">
        <v>174</v>
      </c>
      <c r="C14" s="41" t="s">
        <v>195</v>
      </c>
      <c r="D14" s="41" t="s">
        <v>193</v>
      </c>
      <c r="E14" s="41" t="s">
        <v>178</v>
      </c>
      <c r="F14" s="41" t="s">
        <v>178</v>
      </c>
      <c r="G14" s="41" t="s">
        <v>195</v>
      </c>
      <c r="H14" s="41" t="s">
        <v>193</v>
      </c>
      <c r="I14" s="41" t="s">
        <v>270</v>
      </c>
      <c r="J14" s="13"/>
    </row>
    <row r="15" spans="1:10">
      <c r="A15" s="13" t="s">
        <v>174</v>
      </c>
      <c r="B15" s="13" t="s">
        <v>174</v>
      </c>
      <c r="C15" s="41" t="s">
        <v>196</v>
      </c>
      <c r="D15" s="41" t="s">
        <v>188</v>
      </c>
      <c r="E15" s="41" t="s">
        <v>178</v>
      </c>
      <c r="F15" s="41" t="s">
        <v>178</v>
      </c>
      <c r="G15" s="41" t="s">
        <v>196</v>
      </c>
      <c r="H15" s="41" t="s">
        <v>188</v>
      </c>
      <c r="I15" s="41" t="s">
        <v>270</v>
      </c>
      <c r="J15" s="13"/>
    </row>
    <row r="16" spans="1:10" ht="12.75" customHeight="1">
      <c r="A16" s="13" t="s">
        <v>174</v>
      </c>
      <c r="B16" s="13" t="s">
        <v>174</v>
      </c>
      <c r="C16" s="41" t="s">
        <v>197</v>
      </c>
      <c r="D16" s="41" t="s">
        <v>188</v>
      </c>
      <c r="E16" s="41" t="s">
        <v>178</v>
      </c>
      <c r="F16" s="41" t="s">
        <v>178</v>
      </c>
      <c r="G16" s="41" t="s">
        <v>197</v>
      </c>
      <c r="H16" s="41" t="s">
        <v>188</v>
      </c>
      <c r="I16" s="41" t="s">
        <v>270</v>
      </c>
      <c r="J16" s="13"/>
    </row>
    <row r="17" spans="1:11" ht="12.75" customHeight="1">
      <c r="A17" s="13" t="s">
        <v>174</v>
      </c>
      <c r="B17" s="13" t="s">
        <v>174</v>
      </c>
      <c r="C17" s="41" t="s">
        <v>198</v>
      </c>
      <c r="D17" s="41" t="s">
        <v>188</v>
      </c>
      <c r="E17" s="41" t="s">
        <v>178</v>
      </c>
      <c r="F17" s="41" t="s">
        <v>178</v>
      </c>
      <c r="G17" s="41" t="s">
        <v>198</v>
      </c>
      <c r="H17" s="41" t="s">
        <v>188</v>
      </c>
      <c r="I17" s="41" t="s">
        <v>270</v>
      </c>
      <c r="J17" s="13"/>
    </row>
    <row r="18" spans="1:11" ht="12.75" customHeight="1">
      <c r="A18" s="13" t="s">
        <v>174</v>
      </c>
      <c r="B18" s="13" t="s">
        <v>174</v>
      </c>
      <c r="C18" s="41" t="s">
        <v>199</v>
      </c>
      <c r="D18" s="41" t="s">
        <v>188</v>
      </c>
      <c r="E18" s="41" t="s">
        <v>178</v>
      </c>
      <c r="F18" s="41" t="s">
        <v>178</v>
      </c>
      <c r="G18" s="41" t="s">
        <v>199</v>
      </c>
      <c r="H18" s="41" t="s">
        <v>188</v>
      </c>
      <c r="I18" s="41" t="s">
        <v>270</v>
      </c>
      <c r="J18" s="13"/>
    </row>
    <row r="19" spans="1:11" ht="12.75" customHeight="1">
      <c r="A19" s="13" t="s">
        <v>174</v>
      </c>
      <c r="B19" s="13" t="s">
        <v>174</v>
      </c>
      <c r="C19" s="41" t="s">
        <v>200</v>
      </c>
      <c r="D19" s="41" t="s">
        <v>188</v>
      </c>
      <c r="E19" s="41" t="s">
        <v>178</v>
      </c>
      <c r="F19" s="41" t="s">
        <v>178</v>
      </c>
      <c r="G19" s="41" t="s">
        <v>200</v>
      </c>
      <c r="H19" s="41" t="s">
        <v>188</v>
      </c>
      <c r="I19" s="41" t="s">
        <v>270</v>
      </c>
      <c r="J19" s="13"/>
    </row>
    <row r="20" spans="1:11">
      <c r="A20" s="13" t="s">
        <v>174</v>
      </c>
      <c r="B20" s="13" t="s">
        <v>174</v>
      </c>
      <c r="C20" s="41" t="s">
        <v>201</v>
      </c>
      <c r="D20" s="41" t="s">
        <v>188</v>
      </c>
      <c r="E20" s="41" t="s">
        <v>178</v>
      </c>
      <c r="F20" s="41" t="s">
        <v>178</v>
      </c>
      <c r="G20" s="41" t="s">
        <v>201</v>
      </c>
      <c r="H20" s="41" t="s">
        <v>188</v>
      </c>
      <c r="I20" s="41" t="s">
        <v>270</v>
      </c>
      <c r="J20" s="13"/>
    </row>
    <row r="21" spans="1:11">
      <c r="A21" s="13" t="s">
        <v>174</v>
      </c>
      <c r="B21" s="13" t="s">
        <v>174</v>
      </c>
      <c r="C21" s="41" t="s">
        <v>202</v>
      </c>
      <c r="D21" s="41" t="s">
        <v>188</v>
      </c>
      <c r="E21" s="41" t="s">
        <v>178</v>
      </c>
      <c r="F21" s="41" t="s">
        <v>178</v>
      </c>
      <c r="G21" s="41" t="s">
        <v>202</v>
      </c>
      <c r="H21" s="41" t="s">
        <v>188</v>
      </c>
      <c r="I21" s="41" t="s">
        <v>270</v>
      </c>
      <c r="J21" s="13"/>
    </row>
    <row r="22" spans="1:11" ht="25.5">
      <c r="A22" s="13" t="s">
        <v>174</v>
      </c>
      <c r="B22" s="13" t="s">
        <v>174</v>
      </c>
      <c r="C22" s="41" t="s">
        <v>203</v>
      </c>
      <c r="D22" s="41" t="s">
        <v>204</v>
      </c>
      <c r="E22" s="41" t="s">
        <v>178</v>
      </c>
      <c r="F22" s="41" t="s">
        <v>178</v>
      </c>
      <c r="G22" s="41" t="s">
        <v>203</v>
      </c>
      <c r="H22" s="41" t="s">
        <v>204</v>
      </c>
      <c r="I22" s="89" t="s">
        <v>271</v>
      </c>
      <c r="J22" s="13"/>
    </row>
    <row r="23" spans="1:11" ht="25.5">
      <c r="A23" s="13" t="s">
        <v>174</v>
      </c>
      <c r="B23" s="13" t="s">
        <v>174</v>
      </c>
      <c r="C23" s="41" t="s">
        <v>205</v>
      </c>
      <c r="D23" s="41" t="s">
        <v>204</v>
      </c>
      <c r="E23" s="41" t="s">
        <v>178</v>
      </c>
      <c r="F23" s="41" t="s">
        <v>178</v>
      </c>
      <c r="G23" s="41" t="s">
        <v>205</v>
      </c>
      <c r="H23" s="41" t="s">
        <v>204</v>
      </c>
      <c r="I23" s="89" t="s">
        <v>271</v>
      </c>
      <c r="J23" s="13"/>
    </row>
    <row r="24" spans="1:11" ht="25.5">
      <c r="A24" s="13" t="s">
        <v>174</v>
      </c>
      <c r="B24" s="13" t="s">
        <v>174</v>
      </c>
      <c r="C24" s="41" t="s">
        <v>206</v>
      </c>
      <c r="D24" s="41" t="s">
        <v>204</v>
      </c>
      <c r="E24" s="41" t="s">
        <v>178</v>
      </c>
      <c r="F24" s="41" t="s">
        <v>178</v>
      </c>
      <c r="G24" s="41" t="s">
        <v>206</v>
      </c>
      <c r="H24" s="41" t="s">
        <v>204</v>
      </c>
      <c r="I24" s="89" t="s">
        <v>271</v>
      </c>
      <c r="J24" s="13"/>
    </row>
    <row r="25" spans="1:11">
      <c r="A25" s="13" t="s">
        <v>174</v>
      </c>
      <c r="B25" s="13" t="s">
        <v>174</v>
      </c>
      <c r="C25" s="41" t="s">
        <v>207</v>
      </c>
      <c r="D25" s="41" t="s">
        <v>188</v>
      </c>
      <c r="E25" s="41" t="s">
        <v>178</v>
      </c>
      <c r="F25" s="41" t="s">
        <v>178</v>
      </c>
      <c r="G25" s="41" t="s">
        <v>207</v>
      </c>
      <c r="H25" s="41" t="s">
        <v>188</v>
      </c>
      <c r="I25" s="41" t="s">
        <v>270</v>
      </c>
      <c r="J25" s="13"/>
    </row>
    <row r="26" spans="1:11">
      <c r="A26" s="13" t="s">
        <v>174</v>
      </c>
      <c r="B26" s="13" t="s">
        <v>174</v>
      </c>
      <c r="C26" s="41" t="s">
        <v>208</v>
      </c>
      <c r="D26" s="41" t="s">
        <v>188</v>
      </c>
      <c r="E26" s="41" t="s">
        <v>178</v>
      </c>
      <c r="F26" s="41" t="s">
        <v>178</v>
      </c>
      <c r="G26" s="41" t="s">
        <v>208</v>
      </c>
      <c r="H26" s="41" t="s">
        <v>188</v>
      </c>
      <c r="I26" s="41" t="s">
        <v>270</v>
      </c>
      <c r="J26" s="13"/>
    </row>
    <row r="27" spans="1:11">
      <c r="A27" s="13" t="s">
        <v>174</v>
      </c>
      <c r="B27" s="13" t="s">
        <v>174</v>
      </c>
      <c r="C27" s="41" t="s">
        <v>209</v>
      </c>
      <c r="D27" s="41" t="s">
        <v>188</v>
      </c>
      <c r="E27" s="41" t="s">
        <v>178</v>
      </c>
      <c r="F27" s="41" t="s">
        <v>178</v>
      </c>
      <c r="G27" s="41" t="s">
        <v>209</v>
      </c>
      <c r="H27" s="41" t="s">
        <v>188</v>
      </c>
      <c r="I27" s="41" t="s">
        <v>270</v>
      </c>
      <c r="J27" s="13"/>
    </row>
    <row r="28" spans="1:11">
      <c r="A28" s="13" t="s">
        <v>174</v>
      </c>
      <c r="B28" s="13" t="s">
        <v>174</v>
      </c>
      <c r="C28" s="41" t="s">
        <v>210</v>
      </c>
      <c r="D28" s="41" t="s">
        <v>188</v>
      </c>
      <c r="E28" s="41" t="s">
        <v>178</v>
      </c>
      <c r="F28" s="41" t="s">
        <v>178</v>
      </c>
      <c r="G28" s="41" t="s">
        <v>210</v>
      </c>
      <c r="H28" s="41" t="s">
        <v>188</v>
      </c>
      <c r="I28" s="41" t="s">
        <v>270</v>
      </c>
      <c r="J28" s="13"/>
    </row>
    <row r="29" spans="1:11">
      <c r="A29" s="13" t="s">
        <v>174</v>
      </c>
      <c r="B29" s="13" t="s">
        <v>174</v>
      </c>
      <c r="C29" s="41" t="s">
        <v>211</v>
      </c>
      <c r="D29" s="41" t="s">
        <v>188</v>
      </c>
      <c r="E29" s="41" t="s">
        <v>178</v>
      </c>
      <c r="F29" s="41" t="s">
        <v>178</v>
      </c>
      <c r="G29" s="41" t="s">
        <v>211</v>
      </c>
      <c r="H29" s="41" t="s">
        <v>188</v>
      </c>
      <c r="I29" s="41" t="s">
        <v>270</v>
      </c>
      <c r="J29" s="13"/>
    </row>
    <row r="30" spans="1:11">
      <c r="A30" s="13" t="s">
        <v>174</v>
      </c>
      <c r="B30" s="13" t="s">
        <v>174</v>
      </c>
      <c r="C30" s="41" t="s">
        <v>212</v>
      </c>
      <c r="D30" s="41" t="s">
        <v>188</v>
      </c>
      <c r="E30" s="41" t="s">
        <v>178</v>
      </c>
      <c r="F30" s="41" t="s">
        <v>178</v>
      </c>
      <c r="G30" s="41" t="s">
        <v>212</v>
      </c>
      <c r="H30" s="41" t="s">
        <v>188</v>
      </c>
      <c r="I30" s="41" t="s">
        <v>270</v>
      </c>
      <c r="J30" s="13"/>
      <c r="K30" s="97" t="s">
        <v>213</v>
      </c>
    </row>
    <row r="31" spans="1:11">
      <c r="C31" s="93"/>
      <c r="D31" s="94"/>
      <c r="G31" s="93"/>
      <c r="H31" s="94"/>
      <c r="I31" s="95"/>
      <c r="J31" s="95"/>
    </row>
    <row r="32" spans="1:11">
      <c r="C32" s="93"/>
      <c r="D32" s="94"/>
      <c r="G32" s="93"/>
      <c r="H32" s="94"/>
      <c r="I32" s="95"/>
      <c r="J32" s="95"/>
    </row>
    <row r="34" spans="1:10">
      <c r="A34" s="14" t="s">
        <v>245</v>
      </c>
      <c r="B34" s="146" t="s">
        <v>252</v>
      </c>
      <c r="C34" s="145"/>
      <c r="I34" s="23"/>
    </row>
    <row r="35" spans="1:10">
      <c r="I35" s="23"/>
    </row>
    <row r="36" spans="1:10" ht="25.5">
      <c r="A36" s="14" t="s">
        <v>260</v>
      </c>
      <c r="B36" s="14" t="s">
        <v>261</v>
      </c>
      <c r="C36" s="14" t="s">
        <v>262</v>
      </c>
      <c r="D36" s="14" t="s">
        <v>263</v>
      </c>
      <c r="E36" s="14" t="s">
        <v>264</v>
      </c>
      <c r="F36" s="14" t="s">
        <v>261</v>
      </c>
      <c r="G36" s="14" t="s">
        <v>265</v>
      </c>
      <c r="H36" s="14" t="s">
        <v>263</v>
      </c>
      <c r="I36" s="28" t="s">
        <v>266</v>
      </c>
      <c r="J36" s="14" t="s">
        <v>267</v>
      </c>
    </row>
    <row r="37" spans="1:10">
      <c r="A37" s="92"/>
      <c r="B37" s="92"/>
      <c r="C37" s="92"/>
      <c r="D37" s="41"/>
      <c r="E37" s="41"/>
      <c r="F37" s="41"/>
      <c r="G37" s="41"/>
      <c r="H37" s="41"/>
      <c r="I37" s="41" t="s">
        <v>268</v>
      </c>
      <c r="J37" s="90"/>
    </row>
    <row r="38" spans="1:10">
      <c r="A38" s="41" t="s">
        <v>178</v>
      </c>
      <c r="B38" s="41" t="s">
        <v>178</v>
      </c>
      <c r="C38" s="41" t="s">
        <v>185</v>
      </c>
      <c r="D38" s="41" t="s">
        <v>186</v>
      </c>
      <c r="E38" s="41" t="s">
        <v>272</v>
      </c>
      <c r="F38" s="41" t="s">
        <v>272</v>
      </c>
      <c r="G38" s="41" t="s">
        <v>185</v>
      </c>
      <c r="H38" s="41" t="s">
        <v>186</v>
      </c>
      <c r="I38" s="41"/>
      <c r="J38" s="91"/>
    </row>
    <row r="39" spans="1:10">
      <c r="A39" s="41" t="s">
        <v>178</v>
      </c>
      <c r="B39" s="41" t="s">
        <v>178</v>
      </c>
      <c r="C39" s="41" t="s">
        <v>187</v>
      </c>
      <c r="D39" s="41" t="s">
        <v>188</v>
      </c>
      <c r="E39" s="41" t="s">
        <v>272</v>
      </c>
      <c r="F39" s="41" t="s">
        <v>272</v>
      </c>
      <c r="G39" s="41" t="s">
        <v>187</v>
      </c>
      <c r="H39" s="41" t="s">
        <v>188</v>
      </c>
      <c r="I39" s="41" t="s">
        <v>273</v>
      </c>
      <c r="J39" s="91"/>
    </row>
    <row r="40" spans="1:10">
      <c r="A40" s="41" t="s">
        <v>178</v>
      </c>
      <c r="B40" s="41" t="s">
        <v>178</v>
      </c>
      <c r="C40" s="41" t="s">
        <v>189</v>
      </c>
      <c r="D40" s="41" t="s">
        <v>188</v>
      </c>
      <c r="E40" s="41" t="s">
        <v>272</v>
      </c>
      <c r="F40" s="41" t="s">
        <v>272</v>
      </c>
      <c r="G40" s="41" t="s">
        <v>189</v>
      </c>
      <c r="H40" s="41" t="s">
        <v>188</v>
      </c>
      <c r="I40" s="41" t="s">
        <v>274</v>
      </c>
      <c r="J40" s="91"/>
    </row>
    <row r="41" spans="1:10">
      <c r="A41" s="41" t="s">
        <v>178</v>
      </c>
      <c r="B41" s="41" t="s">
        <v>178</v>
      </c>
      <c r="C41" s="41" t="s">
        <v>190</v>
      </c>
      <c r="D41" s="41" t="s">
        <v>188</v>
      </c>
      <c r="E41" s="41" t="s">
        <v>272</v>
      </c>
      <c r="F41" s="41" t="s">
        <v>272</v>
      </c>
      <c r="G41" s="41" t="s">
        <v>190</v>
      </c>
      <c r="H41" s="41" t="s">
        <v>188</v>
      </c>
      <c r="I41" s="41" t="s">
        <v>275</v>
      </c>
      <c r="J41" s="91"/>
    </row>
    <row r="42" spans="1:10">
      <c r="A42" s="41" t="s">
        <v>178</v>
      </c>
      <c r="B42" s="41" t="s">
        <v>178</v>
      </c>
      <c r="C42" s="41" t="s">
        <v>191</v>
      </c>
      <c r="D42" s="41" t="s">
        <v>188</v>
      </c>
      <c r="E42" s="41" t="s">
        <v>272</v>
      </c>
      <c r="F42" s="41" t="s">
        <v>272</v>
      </c>
      <c r="G42" s="41" t="s">
        <v>191</v>
      </c>
      <c r="H42" s="41" t="s">
        <v>188</v>
      </c>
      <c r="I42" s="41" t="s">
        <v>276</v>
      </c>
      <c r="J42" s="91"/>
    </row>
    <row r="43" spans="1:10">
      <c r="A43" s="41" t="s">
        <v>178</v>
      </c>
      <c r="B43" s="41" t="s">
        <v>178</v>
      </c>
      <c r="C43" s="41" t="s">
        <v>192</v>
      </c>
      <c r="D43" s="41" t="s">
        <v>193</v>
      </c>
      <c r="E43" s="41" t="s">
        <v>272</v>
      </c>
      <c r="F43" s="41" t="s">
        <v>272</v>
      </c>
      <c r="G43" s="41" t="s">
        <v>192</v>
      </c>
      <c r="H43" s="41" t="s">
        <v>193</v>
      </c>
      <c r="I43" s="41" t="s">
        <v>277</v>
      </c>
      <c r="J43" s="91"/>
    </row>
    <row r="44" spans="1:10">
      <c r="A44" s="41" t="s">
        <v>178</v>
      </c>
      <c r="B44" s="41" t="s">
        <v>178</v>
      </c>
      <c r="C44" s="41" t="s">
        <v>194</v>
      </c>
      <c r="D44" s="41" t="s">
        <v>193</v>
      </c>
      <c r="E44" s="41" t="s">
        <v>272</v>
      </c>
      <c r="F44" s="41" t="s">
        <v>272</v>
      </c>
      <c r="G44" s="41" t="s">
        <v>194</v>
      </c>
      <c r="H44" s="41" t="s">
        <v>193</v>
      </c>
      <c r="I44" s="41" t="s">
        <v>278</v>
      </c>
      <c r="J44" s="91"/>
    </row>
    <row r="45" spans="1:10">
      <c r="A45" s="41" t="s">
        <v>178</v>
      </c>
      <c r="B45" s="41" t="s">
        <v>178</v>
      </c>
      <c r="C45" s="41" t="s">
        <v>195</v>
      </c>
      <c r="D45" s="41" t="s">
        <v>193</v>
      </c>
      <c r="E45" s="41" t="s">
        <v>272</v>
      </c>
      <c r="F45" s="41" t="s">
        <v>272</v>
      </c>
      <c r="G45" s="41" t="s">
        <v>195</v>
      </c>
      <c r="H45" s="41" t="s">
        <v>193</v>
      </c>
      <c r="I45" s="41" t="s">
        <v>279</v>
      </c>
      <c r="J45" s="91"/>
    </row>
    <row r="46" spans="1:10">
      <c r="A46" s="41" t="s">
        <v>178</v>
      </c>
      <c r="B46" s="41" t="s">
        <v>178</v>
      </c>
      <c r="C46" s="41" t="s">
        <v>196</v>
      </c>
      <c r="D46" s="41" t="s">
        <v>188</v>
      </c>
      <c r="E46" s="41" t="s">
        <v>272</v>
      </c>
      <c r="F46" s="41" t="s">
        <v>272</v>
      </c>
      <c r="G46" s="41" t="s">
        <v>196</v>
      </c>
      <c r="H46" s="41" t="s">
        <v>188</v>
      </c>
      <c r="I46" s="41" t="s">
        <v>280</v>
      </c>
      <c r="J46" s="91"/>
    </row>
    <row r="47" spans="1:10">
      <c r="A47" s="41" t="s">
        <v>178</v>
      </c>
      <c r="B47" s="41" t="s">
        <v>178</v>
      </c>
      <c r="C47" s="41" t="s">
        <v>197</v>
      </c>
      <c r="D47" s="41" t="s">
        <v>188</v>
      </c>
      <c r="E47" s="41" t="s">
        <v>272</v>
      </c>
      <c r="F47" s="41" t="s">
        <v>272</v>
      </c>
      <c r="G47" s="41" t="s">
        <v>197</v>
      </c>
      <c r="H47" s="41" t="s">
        <v>188</v>
      </c>
      <c r="I47" s="41" t="s">
        <v>281</v>
      </c>
      <c r="J47" s="91"/>
    </row>
    <row r="48" spans="1:10">
      <c r="A48" s="41" t="s">
        <v>178</v>
      </c>
      <c r="B48" s="41" t="s">
        <v>178</v>
      </c>
      <c r="C48" s="41" t="s">
        <v>198</v>
      </c>
      <c r="D48" s="41" t="s">
        <v>188</v>
      </c>
      <c r="E48" s="41" t="s">
        <v>272</v>
      </c>
      <c r="F48" s="41" t="s">
        <v>272</v>
      </c>
      <c r="G48" s="41" t="s">
        <v>198</v>
      </c>
      <c r="H48" s="41" t="s">
        <v>188</v>
      </c>
      <c r="I48" s="41" t="s">
        <v>282</v>
      </c>
      <c r="J48" s="91"/>
    </row>
    <row r="49" spans="1:11">
      <c r="A49" s="41" t="s">
        <v>178</v>
      </c>
      <c r="B49" s="41" t="s">
        <v>178</v>
      </c>
      <c r="C49" s="41" t="s">
        <v>199</v>
      </c>
      <c r="D49" s="41" t="s">
        <v>188</v>
      </c>
      <c r="E49" s="41" t="s">
        <v>272</v>
      </c>
      <c r="F49" s="41" t="s">
        <v>272</v>
      </c>
      <c r="G49" s="41" t="s">
        <v>199</v>
      </c>
      <c r="H49" s="41" t="s">
        <v>188</v>
      </c>
      <c r="I49" s="41" t="s">
        <v>283</v>
      </c>
      <c r="J49" s="91"/>
    </row>
    <row r="50" spans="1:11">
      <c r="A50" s="41" t="s">
        <v>178</v>
      </c>
      <c r="B50" s="41" t="s">
        <v>178</v>
      </c>
      <c r="C50" s="41" t="s">
        <v>200</v>
      </c>
      <c r="D50" s="41" t="s">
        <v>188</v>
      </c>
      <c r="E50" s="41" t="s">
        <v>272</v>
      </c>
      <c r="F50" s="41" t="s">
        <v>272</v>
      </c>
      <c r="G50" s="41" t="s">
        <v>200</v>
      </c>
      <c r="H50" s="41" t="s">
        <v>188</v>
      </c>
      <c r="I50" s="41" t="s">
        <v>284</v>
      </c>
      <c r="J50" s="91"/>
    </row>
    <row r="51" spans="1:11">
      <c r="A51" s="41" t="s">
        <v>178</v>
      </c>
      <c r="B51" s="41" t="s">
        <v>178</v>
      </c>
      <c r="C51" s="41" t="s">
        <v>201</v>
      </c>
      <c r="D51" s="41" t="s">
        <v>188</v>
      </c>
      <c r="E51" s="41" t="s">
        <v>272</v>
      </c>
      <c r="F51" s="41" t="s">
        <v>272</v>
      </c>
      <c r="G51" s="41" t="s">
        <v>201</v>
      </c>
      <c r="H51" s="41" t="s">
        <v>188</v>
      </c>
      <c r="I51" s="41" t="s">
        <v>285</v>
      </c>
      <c r="J51" s="91"/>
    </row>
    <row r="52" spans="1:11">
      <c r="A52" s="41" t="s">
        <v>178</v>
      </c>
      <c r="B52" s="41" t="s">
        <v>178</v>
      </c>
      <c r="C52" s="41" t="s">
        <v>202</v>
      </c>
      <c r="D52" s="41" t="s">
        <v>188</v>
      </c>
      <c r="E52" s="41" t="s">
        <v>272</v>
      </c>
      <c r="F52" s="41" t="s">
        <v>272</v>
      </c>
      <c r="G52" s="41" t="s">
        <v>202</v>
      </c>
      <c r="H52" s="41" t="s">
        <v>188</v>
      </c>
      <c r="I52" s="41" t="s">
        <v>286</v>
      </c>
      <c r="J52" s="91"/>
    </row>
    <row r="53" spans="1:11">
      <c r="A53" s="41" t="s">
        <v>178</v>
      </c>
      <c r="B53" s="41" t="s">
        <v>178</v>
      </c>
      <c r="C53" s="41" t="s">
        <v>203</v>
      </c>
      <c r="D53" s="41" t="s">
        <v>204</v>
      </c>
      <c r="E53" s="41" t="s">
        <v>272</v>
      </c>
      <c r="F53" s="41" t="s">
        <v>272</v>
      </c>
      <c r="G53" s="41" t="s">
        <v>203</v>
      </c>
      <c r="H53" s="41" t="s">
        <v>204</v>
      </c>
      <c r="I53" s="41"/>
      <c r="J53" s="91"/>
    </row>
    <row r="54" spans="1:11">
      <c r="A54" s="41" t="s">
        <v>178</v>
      </c>
      <c r="B54" s="41" t="s">
        <v>178</v>
      </c>
      <c r="C54" s="41" t="s">
        <v>205</v>
      </c>
      <c r="D54" s="41" t="s">
        <v>204</v>
      </c>
      <c r="E54" s="41" t="s">
        <v>272</v>
      </c>
      <c r="F54" s="41" t="s">
        <v>272</v>
      </c>
      <c r="G54" s="41" t="s">
        <v>205</v>
      </c>
      <c r="H54" s="41" t="s">
        <v>204</v>
      </c>
      <c r="I54" s="41"/>
      <c r="J54" s="91"/>
    </row>
    <row r="55" spans="1:11">
      <c r="A55" s="41" t="s">
        <v>178</v>
      </c>
      <c r="B55" s="41" t="s">
        <v>178</v>
      </c>
      <c r="C55" s="41" t="s">
        <v>206</v>
      </c>
      <c r="D55" s="41" t="s">
        <v>204</v>
      </c>
      <c r="E55" s="41" t="s">
        <v>272</v>
      </c>
      <c r="F55" s="41" t="s">
        <v>272</v>
      </c>
      <c r="G55" s="41" t="s">
        <v>206</v>
      </c>
      <c r="H55" s="41" t="s">
        <v>204</v>
      </c>
      <c r="I55" s="41"/>
      <c r="J55" s="91"/>
    </row>
    <row r="56" spans="1:11">
      <c r="A56" s="41" t="s">
        <v>178</v>
      </c>
      <c r="B56" s="41" t="s">
        <v>178</v>
      </c>
      <c r="C56" s="41" t="s">
        <v>207</v>
      </c>
      <c r="D56" s="41" t="s">
        <v>188</v>
      </c>
      <c r="E56" s="41" t="s">
        <v>272</v>
      </c>
      <c r="F56" s="41" t="s">
        <v>272</v>
      </c>
      <c r="G56" s="41" t="s">
        <v>207</v>
      </c>
      <c r="H56" s="41" t="s">
        <v>188</v>
      </c>
      <c r="I56" s="41" t="s">
        <v>287</v>
      </c>
      <c r="J56" s="91"/>
    </row>
    <row r="57" spans="1:11">
      <c r="A57" s="41" t="s">
        <v>178</v>
      </c>
      <c r="B57" s="41" t="s">
        <v>178</v>
      </c>
      <c r="C57" s="41" t="s">
        <v>208</v>
      </c>
      <c r="D57" s="41" t="s">
        <v>188</v>
      </c>
      <c r="E57" s="41" t="s">
        <v>272</v>
      </c>
      <c r="F57" s="41" t="s">
        <v>272</v>
      </c>
      <c r="G57" s="41" t="s">
        <v>208</v>
      </c>
      <c r="H57" s="41" t="s">
        <v>188</v>
      </c>
      <c r="I57" s="41" t="s">
        <v>288</v>
      </c>
      <c r="J57" s="91"/>
    </row>
    <row r="58" spans="1:11">
      <c r="A58" s="41" t="s">
        <v>178</v>
      </c>
      <c r="B58" s="41" t="s">
        <v>178</v>
      </c>
      <c r="C58" s="41" t="s">
        <v>209</v>
      </c>
      <c r="D58" s="41" t="s">
        <v>188</v>
      </c>
      <c r="E58" s="41" t="s">
        <v>272</v>
      </c>
      <c r="F58" s="41" t="s">
        <v>272</v>
      </c>
      <c r="G58" s="41" t="s">
        <v>209</v>
      </c>
      <c r="H58" s="41" t="s">
        <v>188</v>
      </c>
      <c r="I58" s="41" t="s">
        <v>289</v>
      </c>
      <c r="J58" s="91"/>
    </row>
    <row r="59" spans="1:11">
      <c r="A59" s="41" t="s">
        <v>178</v>
      </c>
      <c r="B59" s="41" t="s">
        <v>178</v>
      </c>
      <c r="C59" s="41" t="s">
        <v>210</v>
      </c>
      <c r="D59" s="41" t="s">
        <v>188</v>
      </c>
      <c r="E59" s="41" t="s">
        <v>272</v>
      </c>
      <c r="F59" s="41" t="s">
        <v>272</v>
      </c>
      <c r="G59" s="41" t="s">
        <v>210</v>
      </c>
      <c r="H59" s="41" t="s">
        <v>188</v>
      </c>
      <c r="I59" s="41" t="s">
        <v>290</v>
      </c>
      <c r="J59" s="91"/>
    </row>
    <row r="60" spans="1:11">
      <c r="A60" s="41" t="s">
        <v>178</v>
      </c>
      <c r="B60" s="41" t="s">
        <v>178</v>
      </c>
      <c r="C60" s="41" t="s">
        <v>211</v>
      </c>
      <c r="D60" s="41" t="s">
        <v>188</v>
      </c>
      <c r="E60" s="41" t="s">
        <v>272</v>
      </c>
      <c r="F60" s="41" t="s">
        <v>272</v>
      </c>
      <c r="G60" s="41" t="s">
        <v>211</v>
      </c>
      <c r="H60" s="41" t="s">
        <v>188</v>
      </c>
      <c r="I60" s="41" t="s">
        <v>291</v>
      </c>
      <c r="J60" s="91"/>
    </row>
    <row r="61" spans="1:11">
      <c r="A61" s="41" t="s">
        <v>178</v>
      </c>
      <c r="B61" s="41" t="s">
        <v>178</v>
      </c>
      <c r="C61" s="41" t="s">
        <v>212</v>
      </c>
      <c r="D61" s="41" t="s">
        <v>188</v>
      </c>
      <c r="E61" s="41" t="s">
        <v>272</v>
      </c>
      <c r="F61" s="41" t="s">
        <v>272</v>
      </c>
      <c r="G61" s="41" t="s">
        <v>212</v>
      </c>
      <c r="H61" s="41" t="s">
        <v>188</v>
      </c>
      <c r="I61" s="41" t="s">
        <v>292</v>
      </c>
      <c r="J61" s="91"/>
      <c r="K61" s="97" t="s">
        <v>213</v>
      </c>
    </row>
    <row r="64" spans="1:11">
      <c r="A64" s="14" t="s">
        <v>245</v>
      </c>
      <c r="B64" s="144" t="s">
        <v>254</v>
      </c>
      <c r="C64" s="145"/>
      <c r="I64" s="23"/>
    </row>
    <row r="65" spans="1:10">
      <c r="I65" s="23"/>
    </row>
    <row r="66" spans="1:10" ht="25.5">
      <c r="A66" s="14" t="s">
        <v>260</v>
      </c>
      <c r="B66" s="14" t="s">
        <v>261</v>
      </c>
      <c r="C66" s="14" t="s">
        <v>262</v>
      </c>
      <c r="D66" s="14" t="s">
        <v>263</v>
      </c>
      <c r="E66" s="14" t="s">
        <v>264</v>
      </c>
      <c r="F66" s="14" t="s">
        <v>261</v>
      </c>
      <c r="G66" s="14" t="s">
        <v>265</v>
      </c>
      <c r="H66" s="14" t="s">
        <v>263</v>
      </c>
      <c r="I66" s="28" t="s">
        <v>266</v>
      </c>
      <c r="J66" s="14" t="s">
        <v>267</v>
      </c>
    </row>
    <row r="67" spans="1:10" ht="25.5">
      <c r="A67" s="13"/>
      <c r="B67" s="13"/>
      <c r="C67" s="13"/>
      <c r="D67" s="13"/>
      <c r="E67" s="88"/>
      <c r="F67" s="88"/>
      <c r="G67" s="88"/>
      <c r="H67" s="88"/>
      <c r="I67" s="89" t="s">
        <v>268</v>
      </c>
      <c r="J67" s="13"/>
    </row>
    <row r="68" spans="1:10">
      <c r="A68" s="41" t="s">
        <v>214</v>
      </c>
      <c r="B68" s="41" t="s">
        <v>214</v>
      </c>
      <c r="C68" s="41" t="s">
        <v>215</v>
      </c>
      <c r="D68" s="41" t="s">
        <v>188</v>
      </c>
      <c r="E68" s="41" t="s">
        <v>293</v>
      </c>
      <c r="F68" s="41" t="s">
        <v>293</v>
      </c>
      <c r="G68" s="41" t="s">
        <v>215</v>
      </c>
      <c r="H68" s="41" t="s">
        <v>188</v>
      </c>
      <c r="I68" s="41" t="s">
        <v>270</v>
      </c>
      <c r="J68" s="13"/>
    </row>
    <row r="69" spans="1:10" ht="25.5">
      <c r="A69" s="41" t="s">
        <v>214</v>
      </c>
      <c r="B69" s="41" t="s">
        <v>214</v>
      </c>
      <c r="C69" s="41" t="s">
        <v>216</v>
      </c>
      <c r="D69" s="41" t="s">
        <v>204</v>
      </c>
      <c r="E69" s="41" t="s">
        <v>293</v>
      </c>
      <c r="F69" s="41" t="s">
        <v>293</v>
      </c>
      <c r="G69" s="41" t="s">
        <v>216</v>
      </c>
      <c r="H69" s="41" t="s">
        <v>204</v>
      </c>
      <c r="I69" s="89" t="s">
        <v>271</v>
      </c>
      <c r="J69" s="13"/>
    </row>
    <row r="70" spans="1:10" ht="25.5">
      <c r="A70" s="41" t="s">
        <v>214</v>
      </c>
      <c r="B70" s="41" t="s">
        <v>214</v>
      </c>
      <c r="C70" s="41" t="s">
        <v>217</v>
      </c>
      <c r="D70" s="41" t="s">
        <v>204</v>
      </c>
      <c r="E70" s="41" t="s">
        <v>293</v>
      </c>
      <c r="F70" s="41" t="s">
        <v>293</v>
      </c>
      <c r="G70" s="41" t="s">
        <v>217</v>
      </c>
      <c r="H70" s="41" t="s">
        <v>204</v>
      </c>
      <c r="I70" s="89" t="s">
        <v>271</v>
      </c>
      <c r="J70" s="13"/>
    </row>
    <row r="71" spans="1:10">
      <c r="C71" s="58"/>
      <c r="D71" s="58"/>
      <c r="E71" s="58"/>
      <c r="F71" s="58"/>
      <c r="G71" s="58"/>
      <c r="H71" s="58"/>
    </row>
    <row r="74" spans="1:10">
      <c r="A74" s="14" t="s">
        <v>245</v>
      </c>
      <c r="B74" s="144" t="s">
        <v>257</v>
      </c>
      <c r="C74" s="145"/>
      <c r="I74" s="23"/>
    </row>
    <row r="75" spans="1:10">
      <c r="I75" s="23"/>
    </row>
    <row r="76" spans="1:10" ht="25.5">
      <c r="A76" s="14" t="s">
        <v>260</v>
      </c>
      <c r="B76" s="14" t="s">
        <v>261</v>
      </c>
      <c r="C76" s="14" t="s">
        <v>262</v>
      </c>
      <c r="D76" s="14" t="s">
        <v>263</v>
      </c>
      <c r="E76" s="14" t="s">
        <v>264</v>
      </c>
      <c r="F76" s="14" t="s">
        <v>261</v>
      </c>
      <c r="G76" s="14" t="s">
        <v>265</v>
      </c>
      <c r="H76" s="14" t="s">
        <v>263</v>
      </c>
      <c r="I76" s="28" t="s">
        <v>266</v>
      </c>
      <c r="J76" s="14" t="s">
        <v>267</v>
      </c>
    </row>
    <row r="77" spans="1:10" ht="25.5">
      <c r="A77" s="13"/>
      <c r="B77" s="13"/>
      <c r="C77" s="13"/>
      <c r="D77" s="13"/>
      <c r="E77" s="88"/>
      <c r="F77" s="88"/>
      <c r="G77" s="88"/>
      <c r="H77" s="88"/>
      <c r="I77" s="89" t="s">
        <v>268</v>
      </c>
      <c r="J77" s="13"/>
    </row>
    <row r="78" spans="1:10">
      <c r="A78" s="41" t="s">
        <v>293</v>
      </c>
      <c r="B78" s="41" t="s">
        <v>293</v>
      </c>
      <c r="C78" s="41" t="s">
        <v>215</v>
      </c>
      <c r="D78" s="41" t="s">
        <v>188</v>
      </c>
      <c r="E78" s="41" t="s">
        <v>272</v>
      </c>
      <c r="F78" s="41" t="s">
        <v>272</v>
      </c>
      <c r="G78" s="41" t="s">
        <v>215</v>
      </c>
      <c r="H78" s="41" t="s">
        <v>188</v>
      </c>
      <c r="I78" s="41" t="s">
        <v>294</v>
      </c>
      <c r="J78" s="13"/>
    </row>
    <row r="79" spans="1:10">
      <c r="A79" s="41" t="s">
        <v>293</v>
      </c>
      <c r="B79" s="41" t="s">
        <v>293</v>
      </c>
      <c r="C79" s="41" t="s">
        <v>216</v>
      </c>
      <c r="D79" s="41" t="s">
        <v>204</v>
      </c>
      <c r="E79" s="41" t="s">
        <v>272</v>
      </c>
      <c r="F79" s="41" t="s">
        <v>272</v>
      </c>
      <c r="G79" s="41" t="s">
        <v>216</v>
      </c>
      <c r="H79" s="41" t="s">
        <v>204</v>
      </c>
      <c r="I79" s="13"/>
      <c r="J79" s="13"/>
    </row>
    <row r="80" spans="1:10">
      <c r="A80" s="41" t="s">
        <v>293</v>
      </c>
      <c r="B80" s="41" t="s">
        <v>293</v>
      </c>
      <c r="C80" s="41" t="s">
        <v>217</v>
      </c>
      <c r="D80" s="41" t="s">
        <v>204</v>
      </c>
      <c r="E80" s="41" t="s">
        <v>272</v>
      </c>
      <c r="F80" s="41" t="s">
        <v>272</v>
      </c>
      <c r="G80" s="41" t="s">
        <v>217</v>
      </c>
      <c r="H80" s="41" t="s">
        <v>204</v>
      </c>
      <c r="I80" s="13"/>
      <c r="J80" s="13"/>
    </row>
  </sheetData>
  <mergeCells count="5">
    <mergeCell ref="A1:D1"/>
    <mergeCell ref="B3:C3"/>
    <mergeCell ref="B34:C34"/>
    <mergeCell ref="B64:C64"/>
    <mergeCell ref="B74:C74"/>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0"/>
  <sheetViews>
    <sheetView workbookViewId="0">
      <selection activeCell="C15" sqref="C15:C16"/>
    </sheetView>
  </sheetViews>
  <sheetFormatPr defaultRowHeight="12.75"/>
  <cols>
    <col min="1" max="1" width="18.5703125" customWidth="1"/>
    <col min="2" max="2" width="32.42578125" customWidth="1"/>
    <col min="3" max="3" width="24.85546875" bestFit="1" customWidth="1"/>
    <col min="4" max="4" width="31.5703125" customWidth="1"/>
    <col min="5" max="5" width="25.5703125" bestFit="1" customWidth="1"/>
    <col min="6" max="6" width="48.42578125" style="23" bestFit="1" customWidth="1"/>
  </cols>
  <sheetData>
    <row r="1" spans="1:5" ht="13.5" thickBot="1">
      <c r="A1" s="140" t="s">
        <v>295</v>
      </c>
      <c r="B1" s="141"/>
      <c r="C1" s="142"/>
    </row>
    <row r="2" spans="1:5" ht="13.5" thickBot="1"/>
    <row r="3" spans="1:5" ht="13.5" thickBot="1">
      <c r="A3" s="140" t="s">
        <v>296</v>
      </c>
      <c r="B3" s="141"/>
      <c r="C3" s="142"/>
    </row>
    <row r="4" spans="1:5">
      <c r="A4" s="16" t="s">
        <v>244</v>
      </c>
      <c r="B4" s="16" t="s">
        <v>297</v>
      </c>
      <c r="C4" s="16" t="s">
        <v>67</v>
      </c>
    </row>
    <row r="5" spans="1:5">
      <c r="A5" s="41" t="s">
        <v>246</v>
      </c>
      <c r="B5" s="41" t="s">
        <v>298</v>
      </c>
      <c r="C5" s="41" t="s">
        <v>299</v>
      </c>
    </row>
    <row r="6" spans="1:5" ht="51">
      <c r="A6" s="41" t="s">
        <v>249</v>
      </c>
      <c r="B6" s="91" t="s">
        <v>300</v>
      </c>
      <c r="C6" s="41" t="s">
        <v>299</v>
      </c>
    </row>
    <row r="7" spans="1:5">
      <c r="A7" s="41" t="s">
        <v>246</v>
      </c>
      <c r="B7" s="41" t="s">
        <v>301</v>
      </c>
      <c r="C7" s="41" t="s">
        <v>299</v>
      </c>
    </row>
    <row r="8" spans="1:5" ht="25.5">
      <c r="A8" s="41" t="s">
        <v>249</v>
      </c>
      <c r="B8" s="91" t="s">
        <v>302</v>
      </c>
      <c r="C8" s="41" t="s">
        <v>299</v>
      </c>
    </row>
    <row r="10" spans="1:5" ht="13.5" thickBot="1"/>
    <row r="11" spans="1:5" ht="13.5" thickBot="1">
      <c r="A11" s="140" t="s">
        <v>303</v>
      </c>
      <c r="B11" s="141"/>
      <c r="C11" s="142"/>
    </row>
    <row r="12" spans="1:5">
      <c r="A12" s="16" t="s">
        <v>244</v>
      </c>
      <c r="B12" s="16" t="s">
        <v>297</v>
      </c>
      <c r="C12" s="16" t="s">
        <v>304</v>
      </c>
      <c r="D12" s="14" t="s">
        <v>23</v>
      </c>
      <c r="E12" s="15"/>
    </row>
    <row r="13" spans="1:5">
      <c r="A13" s="41" t="s">
        <v>246</v>
      </c>
      <c r="B13" s="41" t="s">
        <v>298</v>
      </c>
      <c r="C13" s="41" t="s">
        <v>166</v>
      </c>
      <c r="D13" s="41" t="s">
        <v>299</v>
      </c>
    </row>
    <row r="14" spans="1:5" ht="51">
      <c r="A14" s="90" t="s">
        <v>249</v>
      </c>
      <c r="B14" s="91" t="s">
        <v>300</v>
      </c>
      <c r="C14" s="90" t="s">
        <v>305</v>
      </c>
      <c r="D14" s="41" t="s">
        <v>299</v>
      </c>
    </row>
    <row r="15" spans="1:5">
      <c r="A15" s="41" t="s">
        <v>246</v>
      </c>
      <c r="B15" s="41" t="s">
        <v>298</v>
      </c>
      <c r="C15" s="41" t="s">
        <v>166</v>
      </c>
      <c r="D15" s="41" t="s">
        <v>299</v>
      </c>
    </row>
    <row r="16" spans="1:5" ht="25.5">
      <c r="A16" s="41" t="s">
        <v>249</v>
      </c>
      <c r="B16" s="91" t="s">
        <v>302</v>
      </c>
      <c r="C16" s="41" t="s">
        <v>166</v>
      </c>
      <c r="D16" s="41" t="s">
        <v>299</v>
      </c>
    </row>
    <row r="19" spans="1:2">
      <c r="A19" s="21" t="s">
        <v>33</v>
      </c>
      <c r="B19" s="21" t="s">
        <v>226</v>
      </c>
    </row>
    <row r="20" spans="1:2">
      <c r="A20" s="20"/>
      <c r="B20" s="20">
        <v>0</v>
      </c>
    </row>
  </sheetData>
  <mergeCells count="3">
    <mergeCell ref="A1:C1"/>
    <mergeCell ref="A11:C11"/>
    <mergeCell ref="A3:C3"/>
  </mergeCells>
  <phoneticPr fontId="3"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15"/>
  <sheetViews>
    <sheetView topLeftCell="B1" workbookViewId="0">
      <selection activeCell="B16" sqref="B16"/>
    </sheetView>
  </sheetViews>
  <sheetFormatPr defaultRowHeight="12.75"/>
  <cols>
    <col min="1" max="1" width="12.140625" bestFit="1" customWidth="1"/>
    <col min="2" max="2" width="30.7109375" bestFit="1" customWidth="1"/>
    <col min="3" max="3" width="37.42578125" bestFit="1" customWidth="1"/>
    <col min="4" max="4" width="35.28515625" bestFit="1" customWidth="1"/>
    <col min="5" max="5" width="44.140625"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3" bestFit="1" customWidth="1"/>
  </cols>
  <sheetData>
    <row r="1" spans="1:25" ht="13.5" thickBot="1">
      <c r="A1" s="140" t="s">
        <v>306</v>
      </c>
      <c r="B1" s="141"/>
      <c r="C1" s="142"/>
    </row>
    <row r="2" spans="1:25">
      <c r="F2" s="150" t="s">
        <v>307</v>
      </c>
      <c r="G2" s="150"/>
      <c r="H2" s="150"/>
      <c r="I2" s="147" t="s">
        <v>308</v>
      </c>
      <c r="J2" s="148"/>
      <c r="K2" s="148"/>
      <c r="L2" s="147" t="s">
        <v>309</v>
      </c>
      <c r="M2" s="148"/>
      <c r="N2" s="148"/>
      <c r="O2" s="148"/>
      <c r="P2" s="148"/>
      <c r="Q2" s="149"/>
      <c r="R2" s="147" t="s">
        <v>310</v>
      </c>
      <c r="S2" s="148"/>
      <c r="T2" s="148"/>
      <c r="U2" s="149"/>
      <c r="V2" s="147" t="s">
        <v>311</v>
      </c>
      <c r="W2" s="149"/>
    </row>
    <row r="3" spans="1:25" s="46" customFormat="1" ht="34.5">
      <c r="A3" s="42" t="s">
        <v>244</v>
      </c>
      <c r="B3" s="42" t="s">
        <v>297</v>
      </c>
      <c r="C3" s="42" t="s">
        <v>304</v>
      </c>
      <c r="D3" s="42" t="s">
        <v>312</v>
      </c>
      <c r="E3" s="42" t="s">
        <v>121</v>
      </c>
      <c r="F3" s="43" t="s">
        <v>313</v>
      </c>
      <c r="G3" s="43" t="s">
        <v>314</v>
      </c>
      <c r="H3" s="42" t="s">
        <v>315</v>
      </c>
      <c r="I3" s="43" t="s">
        <v>316</v>
      </c>
      <c r="J3" s="43" t="s">
        <v>317</v>
      </c>
      <c r="K3" s="43" t="s">
        <v>318</v>
      </c>
      <c r="L3" s="47" t="s">
        <v>319</v>
      </c>
      <c r="M3" s="47" t="s">
        <v>320</v>
      </c>
      <c r="N3" s="43" t="s">
        <v>321</v>
      </c>
      <c r="O3" s="43" t="s">
        <v>322</v>
      </c>
      <c r="P3" s="43" t="s">
        <v>323</v>
      </c>
      <c r="Q3" s="43" t="s">
        <v>324</v>
      </c>
      <c r="R3" s="44" t="s">
        <v>319</v>
      </c>
      <c r="S3" s="44" t="s">
        <v>320</v>
      </c>
      <c r="T3" s="44" t="s">
        <v>325</v>
      </c>
      <c r="U3" s="45" t="s">
        <v>326</v>
      </c>
      <c r="V3" s="45" t="s">
        <v>327</v>
      </c>
      <c r="W3" s="45" t="s">
        <v>328</v>
      </c>
      <c r="X3" s="43" t="s">
        <v>23</v>
      </c>
    </row>
    <row r="4" spans="1:25">
      <c r="A4" s="41" t="s">
        <v>246</v>
      </c>
      <c r="B4" s="41" t="s">
        <v>329</v>
      </c>
      <c r="C4" s="13" t="s">
        <v>330</v>
      </c>
      <c r="D4" s="41" t="s">
        <v>331</v>
      </c>
      <c r="E4" s="41" t="s">
        <v>247</v>
      </c>
      <c r="F4" s="13" t="s">
        <v>166</v>
      </c>
      <c r="G4" s="13" t="s">
        <v>166</v>
      </c>
      <c r="H4" s="13" t="s">
        <v>166</v>
      </c>
      <c r="I4" s="13" t="s">
        <v>166</v>
      </c>
      <c r="J4" s="13" t="s">
        <v>166</v>
      </c>
      <c r="K4" s="13" t="s">
        <v>166</v>
      </c>
      <c r="L4" s="13" t="s">
        <v>166</v>
      </c>
      <c r="M4" s="13" t="s">
        <v>166</v>
      </c>
      <c r="N4" s="13" t="s">
        <v>166</v>
      </c>
      <c r="O4" s="13" t="s">
        <v>166</v>
      </c>
      <c r="P4" s="13" t="s">
        <v>166</v>
      </c>
      <c r="Q4" s="13" t="s">
        <v>166</v>
      </c>
      <c r="R4" s="13" t="s">
        <v>166</v>
      </c>
      <c r="S4" s="13" t="s">
        <v>166</v>
      </c>
      <c r="T4" s="13" t="s">
        <v>166</v>
      </c>
      <c r="U4" s="13" t="s">
        <v>166</v>
      </c>
      <c r="V4" s="13" t="s">
        <v>166</v>
      </c>
      <c r="W4" s="13" t="s">
        <v>166</v>
      </c>
      <c r="X4" s="22" t="s">
        <v>332</v>
      </c>
      <c r="Y4">
        <f>0.004</f>
        <v>4.0000000000000001E-3</v>
      </c>
    </row>
    <row r="5" spans="1:25">
      <c r="A5" s="41" t="s">
        <v>246</v>
      </c>
      <c r="B5" s="41" t="s">
        <v>298</v>
      </c>
      <c r="C5" s="13" t="s">
        <v>330</v>
      </c>
      <c r="D5" s="41" t="s">
        <v>333</v>
      </c>
      <c r="E5" s="41" t="s">
        <v>252</v>
      </c>
      <c r="F5" s="13" t="s">
        <v>166</v>
      </c>
      <c r="G5" s="13" t="s">
        <v>166</v>
      </c>
      <c r="H5" s="13" t="s">
        <v>166</v>
      </c>
      <c r="I5" s="13" t="s">
        <v>166</v>
      </c>
      <c r="J5" s="13" t="s">
        <v>166</v>
      </c>
      <c r="K5" s="13" t="s">
        <v>166</v>
      </c>
      <c r="L5" s="13" t="s">
        <v>166</v>
      </c>
      <c r="M5" s="13" t="s">
        <v>166</v>
      </c>
      <c r="N5" s="13" t="s">
        <v>166</v>
      </c>
      <c r="O5" s="13" t="s">
        <v>166</v>
      </c>
      <c r="P5" s="13" t="s">
        <v>166</v>
      </c>
      <c r="Q5" s="13" t="s">
        <v>166</v>
      </c>
      <c r="R5" s="13" t="s">
        <v>166</v>
      </c>
      <c r="S5" s="13" t="s">
        <v>166</v>
      </c>
      <c r="T5" s="13" t="s">
        <v>166</v>
      </c>
      <c r="U5" s="13" t="s">
        <v>166</v>
      </c>
      <c r="V5" s="13" t="s">
        <v>166</v>
      </c>
      <c r="W5" s="13" t="s">
        <v>166</v>
      </c>
      <c r="X5" s="22" t="s">
        <v>332</v>
      </c>
      <c r="Y5">
        <f t="shared" ref="Y5:Y11" si="0">0.004</f>
        <v>4.0000000000000001E-3</v>
      </c>
    </row>
    <row r="6" spans="1:25" ht="76.5">
      <c r="A6" s="13" t="s">
        <v>249</v>
      </c>
      <c r="B6" s="27" t="s">
        <v>334</v>
      </c>
      <c r="C6" s="41" t="s">
        <v>305</v>
      </c>
      <c r="D6" s="13" t="s">
        <v>331</v>
      </c>
      <c r="E6" s="41" t="s">
        <v>250</v>
      </c>
      <c r="F6" s="13" t="s">
        <v>166</v>
      </c>
      <c r="G6" s="13" t="s">
        <v>166</v>
      </c>
      <c r="H6" s="13" t="s">
        <v>166</v>
      </c>
      <c r="I6" s="13" t="s">
        <v>166</v>
      </c>
      <c r="J6" s="13" t="s">
        <v>166</v>
      </c>
      <c r="K6" s="13" t="s">
        <v>166</v>
      </c>
      <c r="L6" s="13" t="s">
        <v>166</v>
      </c>
      <c r="M6" s="13" t="s">
        <v>166</v>
      </c>
      <c r="N6" s="13" t="s">
        <v>166</v>
      </c>
      <c r="O6" s="13" t="s">
        <v>166</v>
      </c>
      <c r="P6" s="13" t="s">
        <v>166</v>
      </c>
      <c r="Q6" s="13" t="s">
        <v>166</v>
      </c>
      <c r="R6" s="13" t="s">
        <v>166</v>
      </c>
      <c r="S6" s="13" t="s">
        <v>166</v>
      </c>
      <c r="T6" s="13" t="s">
        <v>166</v>
      </c>
      <c r="U6" s="13" t="s">
        <v>166</v>
      </c>
      <c r="V6" s="13" t="s">
        <v>166</v>
      </c>
      <c r="W6" s="13" t="s">
        <v>166</v>
      </c>
      <c r="X6" s="22" t="s">
        <v>332</v>
      </c>
      <c r="Y6">
        <f t="shared" si="0"/>
        <v>4.0000000000000001E-3</v>
      </c>
    </row>
    <row r="7" spans="1:25" ht="76.5">
      <c r="A7" s="13" t="s">
        <v>249</v>
      </c>
      <c r="B7" s="27" t="s">
        <v>334</v>
      </c>
      <c r="C7" s="41" t="s">
        <v>305</v>
      </c>
      <c r="D7" s="13" t="s">
        <v>333</v>
      </c>
      <c r="E7" s="41" t="s">
        <v>253</v>
      </c>
      <c r="F7" s="13" t="s">
        <v>166</v>
      </c>
      <c r="G7" s="13" t="s">
        <v>166</v>
      </c>
      <c r="H7" s="13" t="s">
        <v>166</v>
      </c>
      <c r="I7" s="13" t="s">
        <v>166</v>
      </c>
      <c r="J7" s="13" t="s">
        <v>166</v>
      </c>
      <c r="K7" s="13" t="s">
        <v>166</v>
      </c>
      <c r="L7" s="13" t="s">
        <v>166</v>
      </c>
      <c r="M7" s="13" t="s">
        <v>166</v>
      </c>
      <c r="N7" s="13" t="s">
        <v>166</v>
      </c>
      <c r="O7" s="13" t="s">
        <v>166</v>
      </c>
      <c r="P7" s="13" t="s">
        <v>166</v>
      </c>
      <c r="Q7" s="13" t="s">
        <v>166</v>
      </c>
      <c r="R7" s="13" t="s">
        <v>166</v>
      </c>
      <c r="S7" s="13" t="s">
        <v>166</v>
      </c>
      <c r="T7" s="13" t="s">
        <v>166</v>
      </c>
      <c r="U7" s="13" t="s">
        <v>166</v>
      </c>
      <c r="V7" s="13" t="s">
        <v>166</v>
      </c>
      <c r="W7" s="13" t="s">
        <v>166</v>
      </c>
      <c r="X7" s="22" t="s">
        <v>332</v>
      </c>
      <c r="Y7">
        <f t="shared" si="0"/>
        <v>4.0000000000000001E-3</v>
      </c>
    </row>
    <row r="8" spans="1:25">
      <c r="A8" s="41" t="s">
        <v>246</v>
      </c>
      <c r="B8" s="41" t="s">
        <v>329</v>
      </c>
      <c r="C8" s="13" t="s">
        <v>330</v>
      </c>
      <c r="D8" s="41" t="s">
        <v>335</v>
      </c>
      <c r="E8" s="41" t="s">
        <v>254</v>
      </c>
      <c r="F8" s="13" t="s">
        <v>166</v>
      </c>
      <c r="G8" s="13" t="s">
        <v>166</v>
      </c>
      <c r="H8" s="13" t="s">
        <v>166</v>
      </c>
      <c r="I8" s="13" t="s">
        <v>166</v>
      </c>
      <c r="J8" s="13" t="s">
        <v>166</v>
      </c>
      <c r="K8" s="13" t="s">
        <v>166</v>
      </c>
      <c r="L8" s="13" t="s">
        <v>166</v>
      </c>
      <c r="M8" s="13" t="s">
        <v>166</v>
      </c>
      <c r="N8" s="13" t="s">
        <v>166</v>
      </c>
      <c r="O8" s="13" t="s">
        <v>166</v>
      </c>
      <c r="P8" s="13" t="s">
        <v>166</v>
      </c>
      <c r="Q8" s="13" t="s">
        <v>166</v>
      </c>
      <c r="R8" s="13" t="s">
        <v>166</v>
      </c>
      <c r="S8" s="13" t="s">
        <v>166</v>
      </c>
      <c r="T8" s="13" t="s">
        <v>166</v>
      </c>
      <c r="U8" s="13" t="s">
        <v>166</v>
      </c>
      <c r="V8" s="13" t="s">
        <v>166</v>
      </c>
      <c r="W8" s="13" t="s">
        <v>166</v>
      </c>
      <c r="X8" s="22" t="s">
        <v>332</v>
      </c>
      <c r="Y8">
        <f>0.004</f>
        <v>4.0000000000000001E-3</v>
      </c>
    </row>
    <row r="9" spans="1:25">
      <c r="A9" s="41" t="s">
        <v>246</v>
      </c>
      <c r="B9" s="41" t="s">
        <v>298</v>
      </c>
      <c r="C9" s="13" t="s">
        <v>330</v>
      </c>
      <c r="D9" s="41" t="s">
        <v>336</v>
      </c>
      <c r="E9" s="13" t="s">
        <v>257</v>
      </c>
      <c r="F9" s="13" t="s">
        <v>166</v>
      </c>
      <c r="G9" s="13" t="s">
        <v>166</v>
      </c>
      <c r="H9" s="13" t="s">
        <v>166</v>
      </c>
      <c r="I9" s="13" t="s">
        <v>166</v>
      </c>
      <c r="J9" s="13" t="s">
        <v>166</v>
      </c>
      <c r="K9" s="13" t="s">
        <v>166</v>
      </c>
      <c r="L9" s="13" t="s">
        <v>166</v>
      </c>
      <c r="M9" s="13" t="s">
        <v>166</v>
      </c>
      <c r="N9" s="13" t="s">
        <v>166</v>
      </c>
      <c r="O9" s="13" t="s">
        <v>166</v>
      </c>
      <c r="P9" s="13" t="s">
        <v>166</v>
      </c>
      <c r="Q9" s="13" t="s">
        <v>166</v>
      </c>
      <c r="R9" s="13" t="s">
        <v>166</v>
      </c>
      <c r="S9" s="13" t="s">
        <v>166</v>
      </c>
      <c r="T9" s="13" t="s">
        <v>166</v>
      </c>
      <c r="U9" s="13" t="s">
        <v>166</v>
      </c>
      <c r="V9" s="13" t="s">
        <v>166</v>
      </c>
      <c r="W9" s="13" t="s">
        <v>166</v>
      </c>
      <c r="X9" s="22" t="s">
        <v>332</v>
      </c>
      <c r="Y9">
        <f t="shared" si="0"/>
        <v>4.0000000000000001E-3</v>
      </c>
    </row>
    <row r="10" spans="1:25" ht="76.5">
      <c r="A10" s="13" t="s">
        <v>249</v>
      </c>
      <c r="B10" s="27" t="s">
        <v>334</v>
      </c>
      <c r="C10" s="41" t="s">
        <v>305</v>
      </c>
      <c r="D10" s="13" t="s">
        <v>335</v>
      </c>
      <c r="E10" s="41" t="s">
        <v>256</v>
      </c>
      <c r="F10" s="13" t="s">
        <v>166</v>
      </c>
      <c r="G10" s="13" t="s">
        <v>166</v>
      </c>
      <c r="H10" s="13" t="s">
        <v>166</v>
      </c>
      <c r="I10" s="13" t="s">
        <v>166</v>
      </c>
      <c r="J10" s="13" t="s">
        <v>166</v>
      </c>
      <c r="K10" s="13" t="s">
        <v>166</v>
      </c>
      <c r="L10" s="13" t="s">
        <v>166</v>
      </c>
      <c r="M10" s="13" t="s">
        <v>166</v>
      </c>
      <c r="N10" s="13" t="s">
        <v>166</v>
      </c>
      <c r="O10" s="13" t="s">
        <v>166</v>
      </c>
      <c r="P10" s="13" t="s">
        <v>166</v>
      </c>
      <c r="Q10" s="13" t="s">
        <v>166</v>
      </c>
      <c r="R10" s="13" t="s">
        <v>166</v>
      </c>
      <c r="S10" s="13" t="s">
        <v>166</v>
      </c>
      <c r="T10" s="13" t="s">
        <v>166</v>
      </c>
      <c r="U10" s="13" t="s">
        <v>166</v>
      </c>
      <c r="V10" s="13" t="s">
        <v>166</v>
      </c>
      <c r="W10" s="13" t="s">
        <v>166</v>
      </c>
      <c r="X10" s="22" t="s">
        <v>332</v>
      </c>
      <c r="Y10">
        <f t="shared" si="0"/>
        <v>4.0000000000000001E-3</v>
      </c>
    </row>
    <row r="11" spans="1:25" ht="76.5">
      <c r="A11" s="13" t="s">
        <v>249</v>
      </c>
      <c r="B11" s="27" t="s">
        <v>334</v>
      </c>
      <c r="C11" s="41" t="s">
        <v>305</v>
      </c>
      <c r="D11" s="41" t="s">
        <v>336</v>
      </c>
      <c r="E11" s="13" t="s">
        <v>258</v>
      </c>
      <c r="F11" s="13" t="s">
        <v>166</v>
      </c>
      <c r="G11" s="13" t="s">
        <v>166</v>
      </c>
      <c r="H11" s="13" t="s">
        <v>166</v>
      </c>
      <c r="I11" s="13" t="s">
        <v>166</v>
      </c>
      <c r="J11" s="13" t="s">
        <v>166</v>
      </c>
      <c r="K11" s="13" t="s">
        <v>166</v>
      </c>
      <c r="L11" s="13" t="s">
        <v>166</v>
      </c>
      <c r="M11" s="13" t="s">
        <v>166</v>
      </c>
      <c r="N11" s="13" t="s">
        <v>166</v>
      </c>
      <c r="O11" s="13" t="s">
        <v>166</v>
      </c>
      <c r="P11" s="13" t="s">
        <v>166</v>
      </c>
      <c r="Q11" s="13" t="s">
        <v>166</v>
      </c>
      <c r="R11" s="13" t="s">
        <v>166</v>
      </c>
      <c r="S11" s="13" t="s">
        <v>166</v>
      </c>
      <c r="T11" s="13" t="s">
        <v>166</v>
      </c>
      <c r="U11" s="13" t="s">
        <v>166</v>
      </c>
      <c r="V11" s="13" t="s">
        <v>166</v>
      </c>
      <c r="W11" s="13" t="s">
        <v>166</v>
      </c>
      <c r="X11" s="22" t="s">
        <v>332</v>
      </c>
      <c r="Y11">
        <f t="shared" si="0"/>
        <v>4.0000000000000001E-3</v>
      </c>
    </row>
    <row r="14" spans="1:25">
      <c r="A14" s="21" t="s">
        <v>33</v>
      </c>
      <c r="B14" s="21" t="s">
        <v>226</v>
      </c>
    </row>
    <row r="15" spans="1:25">
      <c r="A15" s="20"/>
      <c r="B15" s="20">
        <f>SUM(Y4:Y11)</f>
        <v>3.2000000000000001E-2</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2.75"/>
  <cols>
    <col min="1" max="1" width="16.28515625" bestFit="1" customWidth="1"/>
    <col min="2" max="2" width="15.28515625" customWidth="1"/>
    <col min="3" max="3" width="39.140625" customWidth="1"/>
  </cols>
  <sheetData>
    <row r="1" spans="1:3" ht="13.5" thickBot="1">
      <c r="A1" s="140" t="s">
        <v>125</v>
      </c>
      <c r="B1" s="141"/>
      <c r="C1" s="142"/>
    </row>
    <row r="3" spans="1:3" ht="25.5">
      <c r="A3" s="28" t="s">
        <v>337</v>
      </c>
      <c r="B3" s="28" t="s">
        <v>172</v>
      </c>
      <c r="C3" s="28" t="s">
        <v>67</v>
      </c>
    </row>
    <row r="4" spans="1:3">
      <c r="A4" s="41" t="s">
        <v>166</v>
      </c>
      <c r="B4" s="13"/>
      <c r="C4" s="13"/>
    </row>
    <row r="5" spans="1:3">
      <c r="A5" s="13"/>
      <c r="B5" s="13"/>
      <c r="C5" s="22"/>
    </row>
    <row r="6" spans="1:3">
      <c r="A6" s="13"/>
      <c r="B6" s="13"/>
      <c r="C6" s="13"/>
    </row>
    <row r="9" spans="1:3">
      <c r="A9" s="21" t="s">
        <v>33</v>
      </c>
      <c r="B9" s="21" t="s">
        <v>226</v>
      </c>
    </row>
    <row r="10" spans="1:3">
      <c r="A10" s="20"/>
      <c r="B10" s="20"/>
    </row>
  </sheetData>
  <mergeCells count="1">
    <mergeCell ref="A1:C1"/>
  </mergeCells>
  <phoneticPr fontId="3"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4" sqref="E4:E5"/>
    </sheetView>
  </sheetViews>
  <sheetFormatPr defaultRowHeight="12.75"/>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8" ht="13.5" thickBot="1">
      <c r="A1" s="140" t="s">
        <v>127</v>
      </c>
      <c r="B1" s="141"/>
      <c r="C1" s="141"/>
      <c r="D1" s="142"/>
    </row>
    <row r="3" spans="1:8">
      <c r="A3" s="14" t="s">
        <v>338</v>
      </c>
      <c r="B3" s="14" t="s">
        <v>339</v>
      </c>
      <c r="C3" s="14" t="s">
        <v>104</v>
      </c>
      <c r="D3" s="14" t="s">
        <v>340</v>
      </c>
      <c r="E3" s="14" t="s">
        <v>341</v>
      </c>
      <c r="F3" s="14" t="s">
        <v>342</v>
      </c>
    </row>
    <row r="4" spans="1:8">
      <c r="A4" s="19" t="s">
        <v>343</v>
      </c>
      <c r="B4" s="40"/>
      <c r="C4" s="41"/>
      <c r="D4" s="13"/>
      <c r="E4" s="13"/>
      <c r="F4" s="13" t="s">
        <v>166</v>
      </c>
    </row>
    <row r="5" spans="1:8">
      <c r="A5" s="19" t="s">
        <v>343</v>
      </c>
      <c r="B5" s="13"/>
      <c r="C5" s="13"/>
      <c r="D5" s="13"/>
      <c r="E5" s="13"/>
      <c r="F5" s="13" t="s">
        <v>166</v>
      </c>
    </row>
    <row r="8" spans="1:8">
      <c r="A8" s="14" t="s">
        <v>344</v>
      </c>
      <c r="B8" s="38" t="s">
        <v>345</v>
      </c>
      <c r="C8" s="38" t="s">
        <v>346</v>
      </c>
      <c r="D8" s="38" t="s">
        <v>347</v>
      </c>
      <c r="E8" s="38" t="s">
        <v>348</v>
      </c>
      <c r="F8" s="38" t="s">
        <v>349</v>
      </c>
      <c r="G8" s="38" t="s">
        <v>350</v>
      </c>
      <c r="H8" s="38" t="s">
        <v>351</v>
      </c>
    </row>
    <row r="9" spans="1:8">
      <c r="A9" s="14" t="s">
        <v>352</v>
      </c>
      <c r="B9" s="39"/>
      <c r="C9" s="39"/>
      <c r="D9" s="39"/>
      <c r="E9" s="39"/>
      <c r="F9" s="39"/>
      <c r="G9" s="39"/>
      <c r="H9" s="39"/>
    </row>
    <row r="10" spans="1:8">
      <c r="A10" s="14" t="s">
        <v>352</v>
      </c>
      <c r="B10" s="39"/>
      <c r="C10" s="39"/>
      <c r="D10" s="39"/>
      <c r="E10" s="39"/>
      <c r="F10" s="39"/>
      <c r="G10" s="39"/>
      <c r="H10" s="39"/>
    </row>
    <row r="11" spans="1:8">
      <c r="A11" s="14" t="s">
        <v>352</v>
      </c>
      <c r="B11" s="39"/>
      <c r="C11" s="39"/>
      <c r="D11" s="39"/>
      <c r="E11" s="39"/>
      <c r="F11" s="39"/>
      <c r="G11" s="39"/>
      <c r="H11" s="39"/>
    </row>
    <row r="15" spans="1:8">
      <c r="B15" s="37" t="s">
        <v>353</v>
      </c>
      <c r="C15" s="151" t="s">
        <v>354</v>
      </c>
      <c r="D15" s="151"/>
      <c r="E15" s="151"/>
      <c r="F15" s="151"/>
      <c r="G15" s="151"/>
    </row>
    <row r="16" spans="1:8">
      <c r="B16" s="37" t="s">
        <v>355</v>
      </c>
      <c r="C16" s="151"/>
      <c r="D16" s="151"/>
      <c r="E16" s="151"/>
      <c r="F16" s="151"/>
      <c r="G16" s="151"/>
    </row>
    <row r="17" spans="2:7">
      <c r="B17" s="37" t="s">
        <v>356</v>
      </c>
      <c r="C17" s="151"/>
      <c r="D17" s="151"/>
      <c r="E17" s="151"/>
      <c r="F17" s="151"/>
      <c r="G17" s="151"/>
    </row>
    <row r="18" spans="2:7">
      <c r="B18" s="37" t="s">
        <v>357</v>
      </c>
      <c r="C18" s="151"/>
      <c r="D18" s="151"/>
      <c r="E18" s="151"/>
      <c r="F18" s="151"/>
      <c r="G18" s="151"/>
    </row>
  </sheetData>
  <mergeCells count="2">
    <mergeCell ref="A1:D1"/>
    <mergeCell ref="C15:G18"/>
  </mergeCells>
  <phoneticPr fontId="3"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cols>
    <col min="1" max="1" width="15.140625" bestFit="1" customWidth="1"/>
    <col min="2" max="2" width="48" customWidth="1"/>
  </cols>
  <sheetData>
    <row r="1" spans="1:2">
      <c r="A1" s="152" t="s">
        <v>358</v>
      </c>
      <c r="B1" s="153"/>
    </row>
    <row r="2" spans="1:2">
      <c r="A2" s="65" t="s">
        <v>359</v>
      </c>
      <c r="B2" s="83" t="s">
        <v>166</v>
      </c>
    </row>
    <row r="3" spans="1:2">
      <c r="A3" s="65" t="s">
        <v>360</v>
      </c>
      <c r="B3" s="83" t="s">
        <v>166</v>
      </c>
    </row>
    <row r="4" spans="1:2" ht="13.5" thickBot="1">
      <c r="A4" s="66" t="s">
        <v>361</v>
      </c>
      <c r="B4" s="84" t="s">
        <v>166</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21A3BC-4B32-49D3-BA26-80CB1BE104EB}"/>
</file>

<file path=customXml/itemProps2.xml><?xml version="1.0" encoding="utf-8"?>
<ds:datastoreItem xmlns:ds="http://schemas.openxmlformats.org/officeDocument/2006/customXml" ds:itemID="{49A3CAA2-7C81-4985-9EA1-5A26A9A46C3E}"/>
</file>

<file path=customXml/itemProps3.xml><?xml version="1.0" encoding="utf-8"?>
<ds:datastoreItem xmlns:ds="http://schemas.openxmlformats.org/officeDocument/2006/customXml" ds:itemID="{2DD794B5-35E2-4CFD-964F-3A69BBB24743}"/>
</file>

<file path=docProps/app.xml><?xml version="1.0" encoding="utf-8"?>
<Properties xmlns="http://schemas.openxmlformats.org/officeDocument/2006/extended-properties" xmlns:vt="http://schemas.openxmlformats.org/officeDocument/2006/docPropsVTypes">
  <Application>Microsoft Excel Online</Application>
  <Manager/>
  <Company>Accenture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Lopez, Miguel</cp:lastModifiedBy>
  <cp:revision/>
  <dcterms:created xsi:type="dcterms:W3CDTF">2009-06-01T12:18:44Z</dcterms:created>
  <dcterms:modified xsi:type="dcterms:W3CDTF">2021-11-03T15:52:29Z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