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00000000-0000-0000-0000-000000000000}"/>
  <workbookPr codeName="ThisWorkbook" defaultThemeVersion="124226"/>
  <mc:AlternateContent xmlns:mc="http://schemas.openxmlformats.org/markup-compatibility/2006">
    <mc:Choice Requires="x15">
      <x15ac:absPath xmlns:x15ac="http://schemas.microsoft.com/office/spreadsheetml/2010/11/ac" url="C:\Ricky\CHG\JUN22\CHG213528\"/>
    </mc:Choice>
  </mc:AlternateContent>
  <xr:revisionPtr revIDLastSave="0" documentId="13_ncr:1_{486C0B12-9F22-4343-8B4C-D2F515C1895C}" xr6:coauthVersionLast="47" xr6:coauthVersionMax="47" xr10:uidLastSave="{00000000-0000-0000-0000-000000000000}"/>
  <bookViews>
    <workbookView xWindow="-108" yWindow="-108" windowWidth="23256" windowHeight="12456" tabRatio="893" activeTab="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7" i="12" l="1"/>
  <c r="G26" i="12"/>
  <c r="C24" i="12"/>
  <c r="B36" i="7"/>
  <c r="B15" i="3"/>
  <c r="Y7" i="16"/>
  <c r="Y6" i="16"/>
  <c r="B13" i="16" s="1"/>
  <c r="Y5" i="16"/>
  <c r="Y4" i="16"/>
  <c r="B8" i="21"/>
  <c r="B3" i="21"/>
  <c r="B9" i="21"/>
  <c r="B10" i="21"/>
  <c r="C17" i="2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<sst xmlns="http://schemas.openxmlformats.org/spreadsheetml/2006/main" count="1106" uniqueCount="331">
  <si>
    <t>Trade Marketing Excellence Programme</t>
  </si>
  <si>
    <t>DATA</t>
  </si>
  <si>
    <t>Technical Design Mapping, Workflow &amp; Stored Procedure</t>
  </si>
  <si>
    <t>CHG/INC:</t>
  </si>
  <si>
    <t xml:space="preserve">        Title:</t>
  </si>
  <si>
    <t>Planned Prod Release Date:</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</si>
  <si>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</si>
  <si>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</si>
  <si>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</si>
  <si>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</si>
  <si>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</si>
  <si>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</si>
  <si>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</si>
  <si>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</si>
  <si>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</si>
  <si>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</si>
  <si>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</si>
  <si>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</si>
  <si>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</si>
  <si>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</si>
  <si>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</si>
  <si>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</si>
  <si>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</si>
  <si>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</si>
  <si>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</si>
  <si>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</si>
  <si>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</si>
  <si>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</si>
  <si>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</si>
  <si>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</si>
  <si>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</si>
  <si>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</si>
  <si>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</si>
  <si>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</si>
  <si>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</si>
  <si>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</si>
  <si>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</si>
  <si>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</si>
  <si>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</si>
  <si>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</si>
  <si>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</si>
  <si>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</si>
  <si>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</si>
  <si>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</si>
  <si>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</si>
  <si>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</si>
  <si>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</si>
  <si>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</si>
  <si>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</si>
  <si>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</si>
  <si>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</si>
  <si>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</si>
  <si>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</si>
  <si>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</si>
  <si>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</si>
  <si>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</si>
  <si>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</si>
  <si>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</si>
  <si>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</si>
  <si>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</si>
  <si>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</si>
  <si>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</si>
  <si>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</si>
  <si>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</si>
  <si>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</si>
  <si>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</si>
  <si>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</si>
  <si>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</si>
  <si>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</si>
  <si>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</si>
  <si>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</si>
  <si>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</si>
  <si>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</si>
  <si>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</si>
  <si>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</si>
  <si>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</si>
  <si>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</si>
  <si>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</si>
  <si>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</si>
  <si>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</si>
  <si>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</si>
  <si>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</si>
  <si>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</si>
  <si>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</si>
  <si>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</si>
  <si>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</si>
  <si>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</si>
  <si>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</si>
  <si>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</si>
  <si>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</si>
  <si>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</si>
  <si>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</si>
  <si>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</si>
  <si>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</si>
  <si>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</si>
  <si>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</si>
  <si>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</si>
  <si>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</si>
  <si>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</si>
  <si>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</si>
  <si>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</si>
  <si>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</si>
  <si>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</si>
  <si>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</si>
  <si>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</si>
  <si>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</si>
  <si>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</si>
  <si>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</si>
  <si>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</si>
  <si>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</si>
  <si>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</si>
  <si>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</si>
  <si>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</si>
  <si>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</si>
  <si>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</si>
  <si>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</si>
  <si>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</si>
  <si>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</si>
  <si>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</si>
  <si>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</si>
  <si>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</si>
  <si>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</si>
  <si>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</si>
  <si>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</si>
  <si>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</si>
  <si>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</si>
  <si>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</si>
  <si>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</si>
  <si>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</si>
  <si>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</si>
  <si>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</si>
  <si>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</si>
  <si>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</si>
  <si>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</si>
  <si>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</si>
  <si>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</si>
  <si>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</si>
  <si>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</si>
  <si>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</si>
  <si>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</si>
  <si>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</si>
  <si>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</si>
  <si>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</si>
  <si>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</si>
  <si>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</si>
  <si>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</si>
  <si>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</si>
  <si>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</si>
  <si>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</si>
  <si>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</si>
  <si>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</si>
  <si>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</si>
  <si>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</si>
  <si>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</si>
  <si>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</si>
  <si>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</si>
  <si>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</si>
  <si>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</si>
  <si>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</si>
  <si>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</si>
  <si>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</si>
  <si>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</si>
  <si>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</si>
  <si>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</si>
  <si>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</si>
  <si>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</si>
  <si>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</si>
  <si>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</si>
  <si>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</si>
  <si>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</si>
  <si>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</si>
  <si>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</si>
  <si>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</si>
  <si>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</si>
  <si>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</si>
  <si>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</si>
  <si>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</si>
  <si>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</si>
  <si>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</si>
  <si>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</si>
  <si>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</si>
  <si>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</si>
  <si>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</si>
  <si>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</si>
  <si>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</si>
  <si>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</si>
  <si>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</si>
  <si>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</si>
  <si>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</si>
  <si>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</si>
  <si>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</si>
  <si>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</si>
  <si>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</si>
  <si>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</si>
  <si>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</si>
  <si>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</si>
  <si>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</si>
  <si>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</si>
  <si>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</si>
  <si>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</si>
  <si>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</si>
  <si>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</si>
  <si>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</si>
  <si>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</si>
  <si>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</si>
  <si>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</si>
  <si>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</si>
  <si>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</si>
  <si>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</si>
  <si>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</si>
  <si>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</si>
  <si>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</si>
  <si>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</si>
  <si>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</si>
  <si>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</si>
  <si>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</si>
  <si>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</si>
  <si>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</si>
  <si>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</si>
  <si>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</si>
  <si>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</si>
  <si>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</si>
  <si>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</si>
  <si>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</si>
  <si>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</si>
  <si>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</si>
  <si>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</si>
  <si>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</si>
  <si>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</si>
  <si>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</si>
  <si>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</si>
  <si>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</si>
  <si>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</si>
  <si>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</si>
  <si>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</si>
  <si>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</si>
  <si>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</si>
  <si>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</si>
  <si>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</si>
  <si>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</si>
  <si>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</si>
  <si>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</si>
  <si>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</si>
  <si>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</si>
  <si>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</si>
  <si>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</si>
  <si>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</si>
  <si>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</si>
  <si>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</si>
  <si>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EC4U</t>
  </si>
  <si>
    <t>Frank</t>
  </si>
  <si>
    <t>Mingoué</t>
  </si>
  <si>
    <t>EIM_INTERFACE</t>
  </si>
  <si>
    <t>JUN, 2022</t>
  </si>
  <si>
    <t>CT</t>
  </si>
  <si>
    <t>CHG213528</t>
  </si>
  <si>
    <t xml:space="preserve">Created based on CHG213528 </t>
  </si>
  <si>
    <t>TME Phase 2 - HLFD Interface Products Version 19.0</t>
  </si>
  <si>
    <t>PRODUCT_TXT_GROUPED</t>
  </si>
  <si>
    <t>Informatica Definition</t>
  </si>
  <si>
    <t>Add new fields</t>
  </si>
  <si>
    <t>PRE_EIM_PROD_INT</t>
  </si>
  <si>
    <t>OLTP</t>
  </si>
  <si>
    <t>BAR_CODE_NUM</t>
  </si>
  <si>
    <t>NSTRING(500)</t>
  </si>
  <si>
    <t>X_ME_EXTERNAL_WIDTH</t>
  </si>
  <si>
    <t xml:space="preserve"> X_ME_INTERNAL_WIDTH</t>
  </si>
  <si>
    <t>X_INT_HEIGHT_NUM</t>
  </si>
  <si>
    <t>X_ME_FASCIA_WIDTH</t>
  </si>
  <si>
    <t>X_ME_FASCIA_MESSAGE</t>
  </si>
  <si>
    <t>X_ME_FASCIA_DETAIL</t>
  </si>
  <si>
    <t>X_ME_FASCIA_TYPE</t>
  </si>
  <si>
    <t>X_ME_FASCIA_HEIGHT</t>
  </si>
  <si>
    <t>X_DEF_LOC_SUB_TYPE_CD</t>
  </si>
  <si>
    <t>X_SHELF_AUTOMATED_ FLG</t>
  </si>
  <si>
    <t>X_SHELF_DIVIDER_NUM</t>
  </si>
  <si>
    <t>X_SLOT_DEPTH_NUM</t>
  </si>
  <si>
    <t>X_SHELF_DIV_THICK_NUM</t>
  </si>
  <si>
    <t>X_ROWS_NUM</t>
  </si>
  <si>
    <t>X_FACING_ROW_NUM</t>
  </si>
  <si>
    <t>X_FACINGS_NUM</t>
  </si>
  <si>
    <t>X_ORDERABLE_ START_DT</t>
  </si>
  <si>
    <t>X_ORDERABLE_ END_DT</t>
  </si>
  <si>
    <t>X_RETURN_STRT_DT</t>
  </si>
  <si>
    <t>X_RETURN_END_DT</t>
  </si>
  <si>
    <t>X_DL_CONTRACTIBLE_FLG</t>
  </si>
  <si>
    <t>X_SLOTS_FACING_NUM</t>
  </si>
  <si>
    <t>X_COUNT_CLASS</t>
  </si>
  <si>
    <t>X_GIFT_FACTOR</t>
  </si>
  <si>
    <t>X_ORDER_QTY_FACT</t>
  </si>
  <si>
    <t>NVARCHAR(1)</t>
  </si>
  <si>
    <t>NVARCHAR(50)</t>
  </si>
  <si>
    <t>NUMERIC(22,7)</t>
  </si>
  <si>
    <t>IFA_ENU_PR_Products.ifb</t>
  </si>
  <si>
    <t>WC_FF_ENTITY_DATA</t>
  </si>
  <si>
    <t>WC_FF_ENTITY_DETAILS</t>
  </si>
  <si>
    <t>WC_FF_ENTITY_PARAM</t>
  </si>
  <si>
    <t>Add entity PR19</t>
  </si>
  <si>
    <t>FDE_INT_PRODUCT_PRE_GENERIC</t>
  </si>
  <si>
    <t>Shortcut_to_FDE_INT_PRODUCT_PRE_GENERIC</t>
  </si>
  <si>
    <t xml:space="preserve">Impacted </t>
  </si>
  <si>
    <t>FDE_INT_PRODUCTS_GENERIC</t>
  </si>
  <si>
    <t>Shortcut_to_FDE_INT_PRODUCTS_GENERIC</t>
  </si>
  <si>
    <t>add 26 new fields</t>
  </si>
  <si>
    <t>NVARCHAR(30)</t>
  </si>
  <si>
    <t>DATETIME(23,3)</t>
  </si>
  <si>
    <t>Import source &amp; target table</t>
  </si>
  <si>
    <t>Length Check</t>
  </si>
  <si>
    <t>Length &amp; Numeric Check</t>
  </si>
  <si>
    <t>Length &amp; Boolean check</t>
  </si>
  <si>
    <t>Length &amp; Datetime Check</t>
  </si>
  <si>
    <t>EIM_PRDINT_DTL</t>
  </si>
  <si>
    <t>LOV check : JTI_LOC_SUB_TYPE</t>
  </si>
  <si>
    <t>LOV check : GAL_ME_FASCIA_TYPE</t>
  </si>
  <si>
    <t>LOV check : GAL_ME_FASCIA_DETAIL</t>
  </si>
  <si>
    <t>LOV check : GAL_ME_FASCIA_MESSAGE</t>
  </si>
  <si>
    <t>LOV check : JTI_PROD_CAT</t>
  </si>
  <si>
    <t>RUN_EIM_PROCESS_GENERIC</t>
  </si>
  <si>
    <t>To validate</t>
  </si>
  <si>
    <t>JTI_DWH_ETLComplete_Incremental
JTI_OLTP_EIM
JTI_OLTP_and_OLAP_Product_Load
JTI_OLTP_OLAP_Intraday</t>
  </si>
  <si>
    <t>Load_EIM.wrk_Products_Interface_Generic</t>
  </si>
  <si>
    <t>wrk_Products_Interface_Generic</t>
  </si>
  <si>
    <t>RUN_EIM_PROCESS_GENERIC
RUN_EIM_PROCESS_JAVA</t>
  </si>
  <si>
    <t>Load_EIM.wrk_Products_Interface_Generic
Load_EIM_Product_Intraday
Load_OLTP_Product</t>
  </si>
  <si>
    <t xml:space="preserve">
RUN_EIM_PROCESS_GENERIC</t>
  </si>
  <si>
    <t>s_FDE_INT_PRODUCT_PRE_GENERIC</t>
  </si>
  <si>
    <t>To Validate</t>
  </si>
  <si>
    <t>s_FDE_INT_PRODUCTS_GENERIC</t>
  </si>
  <si>
    <t>JTI_DWH_ETLComplete_Incrementa
JTI_OLTP_EIM
JTI_OLTP_and_OLAP_Product_Load
JTI_OLTP_OLAP_Intraday</t>
  </si>
  <si>
    <t>[Import EIM_PRDINT_DTL]
Add 26 new fields</t>
  </si>
  <si>
    <t xml:space="preserve"> TMEC: MD - Product Harmonization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</si>
</sst>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theme="3" tint="0.39997558519241921"/>
      <name val="Book Antiqua"/>
      <family val="1"/>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cellStyleXfs>
  <cellXfs count="152">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0" fillId="0" borderId="0" xfId="0" applyFill="1" applyBorder="1"/>
    <xf numFmtId="0" fontId="0" fillId="0" borderId="0" xfId="0" applyBorder="1"/>
    <xf numFmtId="0" fontId="1" fillId="0" borderId="0" xfId="0" applyFont="1" applyBorder="1"/>
    <xf numFmtId="0" fontId="1" fillId="0" borderId="10" xfId="46" applyBorder="1" applyAlignment="1">
      <alignment horizontal="left" vertical="top" wrapText="1"/>
    </xf>
    <xf numFmtId="0" fontId="1" fillId="0" borderId="10" xfId="0" applyFont="1" applyBorder="1" applyAlignment="1">
      <alignment vertical="center" wrapText="1"/>
    </xf>
    <xf numFmtId="0" fontId="1" fillId="0" borderId="10" xfId="0" applyFont="1" applyBorder="1" applyAlignment="1">
      <alignment vertical="center"/>
    </xf>
    <xf numFmtId="0" fontId="1" fillId="0" borderId="0" xfId="0" applyFont="1" applyBorder="1" applyAlignment="1">
      <alignment wrapText="1"/>
    </xf>
    <xf numFmtId="0" fontId="0" fillId="0" borderId="0" xfId="0" applyBorder="1" applyAlignment="1">
      <alignment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7"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4" fillId="0" borderId="10" xfId="34" applyFont="1" applyBorder="1" applyAlignment="1">
      <alignment horizontal="center"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1" fillId="28" borderId="19" xfId="0" applyFont="1"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EC79D184-A424-4046-8177-17F485B11E5E}"/>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0" zoomScale="80" zoomScaleNormal="75" workbookViewId="0">
      <selection activeCell="L34" sqref="L34"/>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8" t="s">
        <v>0</v>
      </c>
      <c r="B13" s="98"/>
      <c r="C13" s="98"/>
      <c r="D13" s="98"/>
      <c r="E13" s="98"/>
      <c r="F13" s="98"/>
      <c r="G13" s="98"/>
      <c r="H13" s="98"/>
      <c r="I13" s="98"/>
      <c r="J13" s="98"/>
      <c r="K13" s="98"/>
      <c r="L13" s="98"/>
      <c r="M13" s="98"/>
      <c r="N13" s="98"/>
      <c r="O13" s="98"/>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9" t="s">
        <v>1</v>
      </c>
      <c r="B20" s="99"/>
      <c r="C20" s="99"/>
      <c r="D20" s="99"/>
      <c r="E20" s="99"/>
      <c r="F20" s="99"/>
      <c r="G20" s="99"/>
      <c r="H20" s="99"/>
      <c r="I20" s="99"/>
      <c r="J20" s="99"/>
      <c r="K20" s="99"/>
      <c r="L20" s="99"/>
      <c r="M20" s="99"/>
      <c r="N20" s="99"/>
      <c r="O20" s="99"/>
    </row>
    <row r="21" spans="1:15" ht="30.6" x14ac:dyDescent="0.55000000000000004">
      <c r="A21" s="99" t="s">
        <v>2</v>
      </c>
      <c r="B21" s="99"/>
      <c r="C21" s="99"/>
      <c r="D21" s="99"/>
      <c r="E21" s="99"/>
      <c r="F21" s="99"/>
      <c r="G21" s="99"/>
      <c r="H21" s="99"/>
      <c r="I21" s="99"/>
      <c r="J21" s="99"/>
      <c r="K21" s="99"/>
      <c r="L21" s="99"/>
      <c r="M21" s="99"/>
      <c r="N21" s="99"/>
      <c r="O21" s="99"/>
    </row>
    <row r="22" spans="1:15" ht="13.8" x14ac:dyDescent="0.3">
      <c r="A22" s="1"/>
      <c r="B22" s="1"/>
      <c r="C22" s="1"/>
      <c r="D22" s="1"/>
      <c r="E22" s="1"/>
      <c r="F22" s="1"/>
      <c r="G22" s="1"/>
      <c r="H22" s="1"/>
      <c r="I22" s="1"/>
    </row>
    <row r="23" spans="1:15" ht="30.6" x14ac:dyDescent="0.55000000000000004">
      <c r="A23" s="81"/>
      <c r="B23" s="81"/>
      <c r="C23" s="81"/>
      <c r="D23" s="81"/>
      <c r="E23" s="81"/>
      <c r="F23" s="82"/>
      <c r="G23" s="99" t="s">
        <v>3</v>
      </c>
      <c r="H23" s="102"/>
      <c r="I23" s="73" t="s">
        <v>255</v>
      </c>
      <c r="J23" s="82"/>
      <c r="L23" s="81"/>
      <c r="M23" s="81"/>
      <c r="N23" s="81"/>
      <c r="O23" s="81"/>
    </row>
    <row r="24" spans="1:15" s="6" customFormat="1" ht="27.75" customHeight="1" x14ac:dyDescent="0.55000000000000004">
      <c r="A24" s="83"/>
      <c r="B24" s="83"/>
      <c r="C24" s="83"/>
      <c r="D24" s="83"/>
      <c r="F24" s="77"/>
      <c r="G24" s="99" t="s">
        <v>4</v>
      </c>
      <c r="H24" s="99"/>
      <c r="I24" s="73" t="s">
        <v>330</v>
      </c>
      <c r="J24" s="83"/>
      <c r="K24" s="83"/>
      <c r="L24" s="83"/>
      <c r="M24" s="83"/>
      <c r="N24" s="83"/>
      <c r="O24" s="83"/>
    </row>
    <row r="25" spans="1:15" ht="28.2" x14ac:dyDescent="0.5">
      <c r="F25" s="105" t="s">
        <v>5</v>
      </c>
      <c r="G25" s="105"/>
      <c r="H25" s="105"/>
      <c r="I25" s="105"/>
      <c r="J25" s="105"/>
      <c r="K25" s="105"/>
      <c r="L25" s="76" t="s">
        <v>253</v>
      </c>
    </row>
    <row r="26" spans="1:15" ht="28.2" x14ac:dyDescent="0.5">
      <c r="F26" s="106" t="s">
        <v>6</v>
      </c>
      <c r="G26" s="106"/>
      <c r="H26" s="106"/>
      <c r="I26" s="106"/>
      <c r="J26" s="103" t="s">
        <v>254</v>
      </c>
      <c r="K26" s="104"/>
    </row>
    <row r="27" spans="1:15" ht="15.6" x14ac:dyDescent="0.3">
      <c r="A27" s="101"/>
      <c r="B27" s="101"/>
      <c r="C27" s="101"/>
      <c r="D27" s="101"/>
      <c r="E27" s="101"/>
      <c r="F27" s="101"/>
      <c r="G27" s="101"/>
      <c r="H27" s="101"/>
      <c r="I27" s="101"/>
    </row>
    <row r="28" spans="1:15" ht="18" customHeight="1" x14ac:dyDescent="0.35">
      <c r="A28" s="100"/>
      <c r="B28" s="100"/>
      <c r="C28" s="100"/>
      <c r="D28" s="100"/>
      <c r="E28" s="100"/>
      <c r="F28" s="100"/>
      <c r="G28" s="100"/>
      <c r="H28" s="100"/>
      <c r="I28" s="100"/>
    </row>
    <row r="37" spans="1:9" ht="18" customHeight="1" x14ac:dyDescent="0.25"/>
    <row r="38" spans="1:9" ht="15.6" x14ac:dyDescent="0.3">
      <c r="A38" s="3" t="s">
        <v>7</v>
      </c>
      <c r="B38" s="4">
        <f ca="1">TODAY()</f>
        <v>44662</v>
      </c>
      <c r="C38" s="1"/>
      <c r="D38" s="1"/>
      <c r="E38" s="1"/>
      <c r="F38" s="1"/>
      <c r="G38" s="1"/>
      <c r="H38" s="1"/>
      <c r="I38" s="1"/>
    </row>
    <row r="39" spans="1:9" ht="15.6" x14ac:dyDescent="0.3">
      <c r="A39" s="3" t="s">
        <v>8</v>
      </c>
      <c r="B39" s="5" t="s">
        <v>9</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abSelected="1" topLeftCell="A11" zoomScaleNormal="100" workbookViewId="0">
      <selection activeCell="K26" sqref="K26"/>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10</v>
      </c>
      <c r="Y1" s="8" t="s">
        <v>11</v>
      </c>
    </row>
    <row r="2" spans="1:25" x14ac:dyDescent="0.25">
      <c r="A2" s="9"/>
      <c r="F2" s="9"/>
      <c r="Y2" s="8" t="s">
        <v>12</v>
      </c>
    </row>
    <row r="3" spans="1:25" x14ac:dyDescent="0.25">
      <c r="A3" s="120" t="s">
        <v>13</v>
      </c>
      <c r="B3" s="120"/>
      <c r="C3" s="120"/>
      <c r="D3" s="120" t="s">
        <v>14</v>
      </c>
      <c r="E3" s="120"/>
      <c r="F3" s="120"/>
      <c r="G3" s="120" t="s">
        <v>15</v>
      </c>
      <c r="H3" s="120"/>
      <c r="I3" s="120"/>
      <c r="J3" s="130" t="s">
        <v>16</v>
      </c>
      <c r="K3" s="131"/>
      <c r="L3" s="132"/>
      <c r="M3" s="120" t="s">
        <v>17</v>
      </c>
      <c r="N3" s="120"/>
      <c r="O3" s="120"/>
      <c r="P3" s="85" t="s">
        <v>18</v>
      </c>
      <c r="Q3" s="85" t="s">
        <v>19</v>
      </c>
      <c r="Y3" s="8" t="s">
        <v>20</v>
      </c>
    </row>
    <row r="4" spans="1:25" x14ac:dyDescent="0.25">
      <c r="A4" s="123" t="s">
        <v>251</v>
      </c>
      <c r="B4" s="124"/>
      <c r="C4" s="125"/>
      <c r="D4" s="123" t="s">
        <v>250</v>
      </c>
      <c r="E4" s="125"/>
      <c r="F4" s="84"/>
      <c r="G4" s="110" t="s">
        <v>21</v>
      </c>
      <c r="H4" s="110"/>
      <c r="I4" s="110"/>
      <c r="J4" s="136">
        <v>1</v>
      </c>
      <c r="K4" s="137"/>
      <c r="L4" s="84"/>
      <c r="M4" s="133">
        <v>44614</v>
      </c>
      <c r="N4" s="134"/>
      <c r="O4" s="135"/>
      <c r="P4" s="86" t="s">
        <v>11</v>
      </c>
      <c r="Q4" s="10" t="s">
        <v>256</v>
      </c>
      <c r="U4" s="87"/>
      <c r="Y4" s="8" t="s">
        <v>22</v>
      </c>
    </row>
    <row r="5" spans="1:25" x14ac:dyDescent="0.25">
      <c r="A5" s="123"/>
      <c r="B5" s="124"/>
      <c r="C5" s="125"/>
      <c r="D5" s="123"/>
      <c r="E5" s="125"/>
      <c r="F5" s="84"/>
      <c r="G5" s="110"/>
      <c r="H5" s="110"/>
      <c r="I5" s="110"/>
      <c r="J5" s="136"/>
      <c r="K5" s="137"/>
      <c r="L5" s="84"/>
      <c r="M5" s="133"/>
      <c r="N5" s="134"/>
      <c r="O5" s="135"/>
      <c r="P5" s="86"/>
      <c r="Q5" s="10"/>
      <c r="U5" s="87"/>
    </row>
    <row r="7" spans="1:25" ht="15.6" x14ac:dyDescent="0.25">
      <c r="A7" s="7" t="s">
        <v>23</v>
      </c>
      <c r="B7" s="7"/>
      <c r="C7" s="7"/>
      <c r="D7" s="7"/>
      <c r="F7" s="9"/>
    </row>
    <row r="9" spans="1:25" ht="29.25" customHeight="1" x14ac:dyDescent="0.25">
      <c r="A9" s="126" t="s">
        <v>13</v>
      </c>
      <c r="B9" s="127"/>
      <c r="C9" s="126" t="s">
        <v>14</v>
      </c>
      <c r="D9" s="127"/>
      <c r="E9" s="126" t="s">
        <v>15</v>
      </c>
      <c r="F9" s="128"/>
      <c r="G9" s="127"/>
      <c r="H9" s="130" t="s">
        <v>16</v>
      </c>
      <c r="I9" s="128"/>
      <c r="J9" s="127"/>
      <c r="K9" s="126" t="s">
        <v>17</v>
      </c>
      <c r="L9" s="127"/>
      <c r="M9" s="126" t="s">
        <v>24</v>
      </c>
      <c r="N9" s="128"/>
      <c r="O9" s="127"/>
      <c r="P9" s="79"/>
    </row>
    <row r="10" spans="1:25" x14ac:dyDescent="0.25">
      <c r="A10" s="129"/>
      <c r="B10" s="129"/>
      <c r="C10" s="129"/>
      <c r="D10" s="129"/>
      <c r="E10" s="129"/>
      <c r="F10" s="129"/>
      <c r="G10" s="129"/>
      <c r="H10" s="129"/>
      <c r="I10" s="129"/>
      <c r="J10" s="129"/>
      <c r="K10" s="129"/>
      <c r="L10" s="129"/>
      <c r="M10" s="129"/>
      <c r="N10" s="129"/>
      <c r="O10" s="129"/>
      <c r="P10" s="80"/>
    </row>
    <row r="11" spans="1:25" x14ac:dyDescent="0.25">
      <c r="A11" s="129"/>
      <c r="B11" s="129"/>
      <c r="C11" s="129"/>
      <c r="D11" s="129"/>
      <c r="E11" s="129"/>
      <c r="F11" s="129"/>
      <c r="G11" s="129"/>
      <c r="H11" s="129"/>
      <c r="I11" s="129"/>
      <c r="J11" s="129"/>
      <c r="K11" s="129"/>
      <c r="L11" s="129"/>
      <c r="M11" s="129"/>
      <c r="N11" s="129"/>
      <c r="O11" s="129"/>
      <c r="P11" s="80"/>
    </row>
    <row r="12" spans="1:25" x14ac:dyDescent="0.25">
      <c r="A12" s="129"/>
      <c r="B12" s="129"/>
      <c r="C12" s="129"/>
      <c r="D12" s="129"/>
      <c r="E12" s="129"/>
      <c r="F12" s="129"/>
      <c r="G12" s="129"/>
      <c r="H12" s="129"/>
      <c r="I12" s="129"/>
      <c r="J12" s="129"/>
      <c r="K12" s="129"/>
      <c r="L12" s="129"/>
      <c r="M12" s="129"/>
      <c r="N12" s="129"/>
      <c r="O12" s="129"/>
      <c r="P12" s="80"/>
    </row>
    <row r="13" spans="1:25" x14ac:dyDescent="0.25">
      <c r="A13" s="129"/>
      <c r="B13" s="129"/>
      <c r="C13" s="129"/>
      <c r="D13" s="129"/>
      <c r="E13" s="129"/>
      <c r="F13" s="129"/>
      <c r="G13" s="129"/>
      <c r="H13" s="129"/>
      <c r="I13" s="129"/>
      <c r="J13" s="129"/>
      <c r="K13" s="129"/>
      <c r="L13" s="129"/>
      <c r="M13" s="129"/>
      <c r="N13" s="129"/>
      <c r="O13" s="129"/>
      <c r="P13" s="80"/>
    </row>
    <row r="14" spans="1:25" x14ac:dyDescent="0.25">
      <c r="A14" s="129"/>
      <c r="B14" s="129"/>
      <c r="C14" s="129"/>
      <c r="D14" s="129"/>
      <c r="E14" s="129"/>
      <c r="F14" s="129"/>
      <c r="G14" s="129"/>
      <c r="H14" s="129"/>
      <c r="I14" s="129"/>
      <c r="J14" s="129"/>
      <c r="K14" s="129"/>
      <c r="L14" s="129"/>
      <c r="M14" s="129"/>
      <c r="N14" s="129"/>
      <c r="O14" s="129"/>
      <c r="P14" s="80"/>
    </row>
    <row r="15" spans="1:25" x14ac:dyDescent="0.25">
      <c r="A15" s="129"/>
      <c r="B15" s="129"/>
      <c r="C15" s="129"/>
      <c r="D15" s="129"/>
      <c r="E15" s="129"/>
      <c r="F15" s="129"/>
      <c r="G15" s="129"/>
      <c r="H15" s="129"/>
      <c r="I15" s="129"/>
      <c r="J15" s="129"/>
      <c r="K15" s="129"/>
      <c r="L15" s="129"/>
      <c r="M15" s="129"/>
      <c r="N15" s="129"/>
      <c r="O15" s="129"/>
      <c r="P15" s="80"/>
    </row>
    <row r="16" spans="1:25" x14ac:dyDescent="0.25">
      <c r="A16" s="129"/>
      <c r="B16" s="129"/>
      <c r="C16" s="129"/>
      <c r="D16" s="129"/>
      <c r="E16" s="129"/>
      <c r="F16" s="129"/>
      <c r="G16" s="129"/>
      <c r="H16" s="129"/>
      <c r="I16" s="129"/>
      <c r="J16" s="129"/>
      <c r="K16" s="129"/>
      <c r="L16" s="129"/>
      <c r="M16" s="129"/>
      <c r="N16" s="129"/>
      <c r="O16" s="129"/>
      <c r="P16" s="80"/>
    </row>
    <row r="17" spans="1:16" x14ac:dyDescent="0.25">
      <c r="A17" s="129"/>
      <c r="B17" s="129"/>
      <c r="C17" s="129"/>
      <c r="D17" s="129"/>
      <c r="E17" s="129"/>
      <c r="F17" s="129"/>
      <c r="G17" s="129"/>
      <c r="H17" s="129"/>
      <c r="I17" s="129"/>
      <c r="J17" s="129"/>
      <c r="K17" s="129"/>
      <c r="L17" s="129"/>
      <c r="M17" s="129"/>
      <c r="N17" s="129"/>
      <c r="O17" s="129"/>
      <c r="P17" s="80"/>
    </row>
    <row r="20" spans="1:16" x14ac:dyDescent="0.25">
      <c r="A20" s="122" t="s">
        <v>25</v>
      </c>
      <c r="B20" s="122"/>
      <c r="C20" s="122" t="s">
        <v>26</v>
      </c>
      <c r="D20" s="122"/>
    </row>
    <row r="21" spans="1:16" x14ac:dyDescent="0.25">
      <c r="A21" s="110" t="s">
        <v>27</v>
      </c>
      <c r="B21" s="110"/>
      <c r="C21" s="129">
        <v>0.125</v>
      </c>
      <c r="D21" s="129"/>
    </row>
    <row r="22" spans="1:16" x14ac:dyDescent="0.25">
      <c r="A22" s="110" t="s">
        <v>28</v>
      </c>
      <c r="B22" s="110"/>
      <c r="C22" s="129">
        <v>0</v>
      </c>
      <c r="D22" s="129"/>
    </row>
    <row r="23" spans="1:16" x14ac:dyDescent="0.25">
      <c r="A23" s="110" t="s">
        <v>29</v>
      </c>
      <c r="B23" s="110"/>
      <c r="C23" s="129">
        <v>0.1</v>
      </c>
      <c r="D23" s="129"/>
    </row>
    <row r="24" spans="1:16" x14ac:dyDescent="0.25">
      <c r="A24" s="110" t="s">
        <v>30</v>
      </c>
      <c r="B24" s="110"/>
      <c r="C24" s="129">
        <f>'1.0 DB Schema'!B79+'2.0 Ifb &amp; PHP'!B36+'3.0 Mapping'!B15+'4.1 Session Details'!B13</f>
        <v>1.0135000000000001</v>
      </c>
      <c r="D24" s="129"/>
    </row>
    <row r="25" spans="1:16" x14ac:dyDescent="0.25">
      <c r="A25" s="110" t="s">
        <v>31</v>
      </c>
      <c r="B25" s="110"/>
      <c r="C25" s="113">
        <v>0.82499999999999996</v>
      </c>
      <c r="D25" s="113"/>
    </row>
    <row r="26" spans="1:16" x14ac:dyDescent="0.25">
      <c r="A26" s="110" t="s">
        <v>32</v>
      </c>
      <c r="B26" s="110"/>
      <c r="C26" s="111">
        <v>0.375</v>
      </c>
      <c r="D26" s="112"/>
      <c r="G26" s="89">
        <f>C26*8</f>
        <v>3</v>
      </c>
    </row>
    <row r="27" spans="1:16" x14ac:dyDescent="0.25">
      <c r="A27" s="121" t="s">
        <v>33</v>
      </c>
      <c r="B27" s="121"/>
      <c r="C27" s="122">
        <f>SUM(C21:E26)</f>
        <v>2.4385000000000003</v>
      </c>
      <c r="D27" s="122"/>
      <c r="G27" s="89">
        <f>C27*8</f>
        <v>19.508000000000003</v>
      </c>
      <c r="J27" s="89">
        <f>G27-G26</f>
        <v>16.508000000000003</v>
      </c>
    </row>
    <row r="30" spans="1:16" x14ac:dyDescent="0.25">
      <c r="B30" s="107" t="s">
        <v>34</v>
      </c>
      <c r="C30" s="108"/>
      <c r="D30" s="108"/>
      <c r="E30" s="108"/>
      <c r="F30" s="108"/>
      <c r="G30" s="108"/>
      <c r="H30" s="108"/>
      <c r="I30" s="108"/>
      <c r="J30" s="108"/>
      <c r="K30" s="108"/>
      <c r="L30" s="108"/>
      <c r="M30" s="109"/>
    </row>
    <row r="31" spans="1:16" ht="33.75" customHeight="1" x14ac:dyDescent="0.25">
      <c r="B31" s="118" t="s">
        <v>27</v>
      </c>
      <c r="C31" s="119"/>
      <c r="D31" s="114" t="s">
        <v>35</v>
      </c>
      <c r="E31" s="114"/>
      <c r="F31" s="114"/>
      <c r="G31" s="114"/>
      <c r="H31" s="114"/>
      <c r="I31" s="114"/>
      <c r="J31" s="114"/>
      <c r="K31" s="114"/>
      <c r="L31" s="114"/>
      <c r="M31" s="114"/>
    </row>
    <row r="32" spans="1:16" ht="39.75" customHeight="1" x14ac:dyDescent="0.25">
      <c r="B32" s="118" t="s">
        <v>28</v>
      </c>
      <c r="C32" s="119"/>
      <c r="D32" s="114" t="s">
        <v>36</v>
      </c>
      <c r="E32" s="114"/>
      <c r="F32" s="114"/>
      <c r="G32" s="114"/>
      <c r="H32" s="114"/>
      <c r="I32" s="114"/>
      <c r="J32" s="114"/>
      <c r="K32" s="114"/>
      <c r="L32" s="114"/>
      <c r="M32" s="114"/>
    </row>
    <row r="33" spans="2:13" ht="236.25" customHeight="1" x14ac:dyDescent="0.25">
      <c r="B33" s="118" t="s">
        <v>29</v>
      </c>
      <c r="C33" s="119"/>
      <c r="D33" s="114" t="s">
        <v>37</v>
      </c>
      <c r="E33" s="114"/>
      <c r="F33" s="114"/>
      <c r="G33" s="114"/>
      <c r="H33" s="114"/>
      <c r="I33" s="114"/>
      <c r="J33" s="114"/>
      <c r="K33" s="114"/>
      <c r="L33" s="114"/>
      <c r="M33" s="114"/>
    </row>
    <row r="34" spans="2:13" x14ac:dyDescent="0.25">
      <c r="B34" s="118" t="s">
        <v>30</v>
      </c>
      <c r="C34" s="119"/>
      <c r="D34" s="114" t="s">
        <v>38</v>
      </c>
      <c r="E34" s="114"/>
      <c r="F34" s="114"/>
      <c r="G34" s="114"/>
      <c r="H34" s="114"/>
      <c r="I34" s="114"/>
      <c r="J34" s="114"/>
      <c r="K34" s="114"/>
      <c r="L34" s="114"/>
      <c r="M34" s="114"/>
    </row>
    <row r="35" spans="2:13" ht="52.5" customHeight="1" x14ac:dyDescent="0.25">
      <c r="B35" s="118" t="s">
        <v>31</v>
      </c>
      <c r="C35" s="119"/>
      <c r="D35" s="115" t="s">
        <v>39</v>
      </c>
      <c r="E35" s="116"/>
      <c r="F35" s="116"/>
      <c r="G35" s="116"/>
      <c r="H35" s="116"/>
      <c r="I35" s="116"/>
      <c r="J35" s="116"/>
      <c r="K35" s="116"/>
      <c r="L35" s="116"/>
      <c r="M35" s="117"/>
    </row>
    <row r="36" spans="2:13" ht="34.5" customHeight="1" x14ac:dyDescent="0.25">
      <c r="B36" s="118" t="s">
        <v>32</v>
      </c>
      <c r="C36" s="119"/>
      <c r="D36" s="114" t="s">
        <v>40</v>
      </c>
      <c r="E36" s="114"/>
      <c r="F36" s="114"/>
      <c r="G36" s="114"/>
      <c r="H36" s="114"/>
      <c r="I36" s="114"/>
      <c r="J36" s="114"/>
      <c r="K36" s="114"/>
      <c r="L36" s="114"/>
      <c r="M36" s="114"/>
    </row>
    <row r="37" spans="2:13" ht="29.25" customHeight="1" x14ac:dyDescent="0.25"/>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6F545D06-369A-44C7-BA01-BA2317EBFB71}">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29" sqref="B2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38" t="s">
        <v>41</v>
      </c>
      <c r="B1" s="138"/>
    </row>
    <row r="2" spans="1:2" x14ac:dyDescent="0.25">
      <c r="A2" s="30"/>
      <c r="B2" s="24" t="s">
        <v>42</v>
      </c>
    </row>
    <row r="3" spans="1:2" x14ac:dyDescent="0.25">
      <c r="A3" s="31"/>
      <c r="B3" s="20"/>
    </row>
    <row r="5" spans="1:2" x14ac:dyDescent="0.25">
      <c r="A5" s="30" t="s">
        <v>43</v>
      </c>
      <c r="B5" s="23" t="s">
        <v>44</v>
      </c>
    </row>
    <row r="6" spans="1:2" x14ac:dyDescent="0.25">
      <c r="A6" s="31">
        <v>1</v>
      </c>
      <c r="B6" s="20"/>
    </row>
    <row r="7" spans="1:2" x14ac:dyDescent="0.25">
      <c r="A7" s="31">
        <v>2</v>
      </c>
      <c r="B7" s="20"/>
    </row>
    <row r="8" spans="1:2" x14ac:dyDescent="0.25">
      <c r="A8" s="31">
        <v>3</v>
      </c>
      <c r="B8" s="20"/>
    </row>
    <row r="9" spans="1:2" x14ac:dyDescent="0.25">
      <c r="A9" s="31" t="s">
        <v>45</v>
      </c>
      <c r="B9" s="20"/>
    </row>
    <row r="10" spans="1:2" x14ac:dyDescent="0.25">
      <c r="A10" s="31" t="s">
        <v>46</v>
      </c>
      <c r="B10" s="20"/>
    </row>
    <row r="12" spans="1:2" x14ac:dyDescent="0.25">
      <c r="A12" s="30" t="s">
        <v>43</v>
      </c>
      <c r="B12" s="23" t="s">
        <v>47</v>
      </c>
    </row>
    <row r="13" spans="1:2" x14ac:dyDescent="0.25">
      <c r="A13" s="31">
        <v>4</v>
      </c>
      <c r="B13" s="20"/>
    </row>
    <row r="15" spans="1:2" x14ac:dyDescent="0.25">
      <c r="A15" s="30" t="s">
        <v>43</v>
      </c>
      <c r="B15" s="23" t="s">
        <v>48</v>
      </c>
    </row>
    <row r="16" spans="1:2" x14ac:dyDescent="0.25">
      <c r="A16" s="31">
        <v>5</v>
      </c>
      <c r="B16" s="20"/>
    </row>
    <row r="17" spans="1:2" ht="13.8" thickBot="1" x14ac:dyDescent="0.3"/>
    <row r="18" spans="1:2" x14ac:dyDescent="0.25">
      <c r="A18" s="33" t="s">
        <v>43</v>
      </c>
      <c r="B18" s="22" t="s">
        <v>49</v>
      </c>
    </row>
    <row r="19" spans="1:2" x14ac:dyDescent="0.25">
      <c r="A19" s="31">
        <v>6</v>
      </c>
      <c r="B19" s="25" t="s">
        <v>257</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B5" sqref="B5"/>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39" t="s">
        <v>50</v>
      </c>
      <c r="B1" s="140"/>
      <c r="C1" s="140"/>
      <c r="D1" s="141"/>
      <c r="M1" s="46" t="s">
        <v>51</v>
      </c>
      <c r="N1" s="47"/>
      <c r="O1" s="47"/>
      <c r="P1" s="47"/>
      <c r="Q1" s="47"/>
      <c r="R1" s="48"/>
    </row>
    <row r="2" spans="1:18" ht="13.8" thickBot="1" x14ac:dyDescent="0.3">
      <c r="C2" s="21"/>
      <c r="M2" s="49" t="s">
        <v>52</v>
      </c>
      <c r="N2" s="34"/>
      <c r="O2" s="34"/>
      <c r="P2" s="34"/>
      <c r="Q2" s="34"/>
      <c r="R2" s="50"/>
    </row>
    <row r="3" spans="1:18" x14ac:dyDescent="0.25">
      <c r="A3" s="55" t="s">
        <v>53</v>
      </c>
      <c r="B3" s="27"/>
      <c r="C3" s="27"/>
      <c r="M3" s="49" t="s">
        <v>54</v>
      </c>
      <c r="N3" s="34"/>
      <c r="O3" s="34"/>
      <c r="P3" s="34"/>
      <c r="Q3" s="34"/>
      <c r="R3" s="50"/>
    </row>
    <row r="4" spans="1:18" ht="25.5" customHeight="1" x14ac:dyDescent="0.25">
      <c r="A4" s="12" t="s">
        <v>55</v>
      </c>
      <c r="B4" s="12" t="s">
        <v>56</v>
      </c>
      <c r="C4" s="26" t="s">
        <v>18</v>
      </c>
      <c r="D4" s="26" t="s">
        <v>57</v>
      </c>
      <c r="M4" s="51" t="s">
        <v>58</v>
      </c>
      <c r="N4" s="34"/>
      <c r="O4" s="34"/>
      <c r="P4" s="34"/>
      <c r="Q4" s="34"/>
      <c r="R4" s="50"/>
    </row>
    <row r="5" spans="1:18" ht="132.6" thickBot="1" x14ac:dyDescent="0.3">
      <c r="A5" s="39" t="s">
        <v>59</v>
      </c>
      <c r="B5" s="25" t="s">
        <v>60</v>
      </c>
      <c r="C5" s="11"/>
      <c r="D5" s="11"/>
      <c r="M5" s="52"/>
      <c r="N5" s="53"/>
      <c r="O5" s="53"/>
      <c r="P5" s="53"/>
      <c r="Q5" s="53"/>
      <c r="R5" s="54"/>
    </row>
    <row r="6" spans="1:18" x14ac:dyDescent="0.25">
      <c r="A6" s="39" t="s">
        <v>61</v>
      </c>
      <c r="B6" s="39" t="s">
        <v>62</v>
      </c>
      <c r="C6" s="11"/>
      <c r="D6" s="11"/>
    </row>
    <row r="7" spans="1:18" x14ac:dyDescent="0.25">
      <c r="A7" s="39" t="s">
        <v>63</v>
      </c>
      <c r="B7" s="39" t="s">
        <v>64</v>
      </c>
      <c r="C7" s="11"/>
      <c r="D7" s="11"/>
    </row>
    <row r="8" spans="1:18" ht="92.4" x14ac:dyDescent="0.25">
      <c r="A8" s="39" t="s">
        <v>65</v>
      </c>
      <c r="B8" s="25" t="s">
        <v>66</v>
      </c>
      <c r="C8" s="11"/>
      <c r="D8" s="11"/>
    </row>
    <row r="9" spans="1:18" x14ac:dyDescent="0.25">
      <c r="A9" s="39" t="s">
        <v>67</v>
      </c>
      <c r="B9" s="39" t="s">
        <v>68</v>
      </c>
      <c r="C9" s="11"/>
      <c r="D9" s="11"/>
    </row>
    <row r="10" spans="1:18" x14ac:dyDescent="0.25">
      <c r="A10" s="39" t="s">
        <v>69</v>
      </c>
      <c r="B10" s="11"/>
      <c r="C10" s="11"/>
      <c r="D10" s="11"/>
    </row>
    <row r="11" spans="1:18" x14ac:dyDescent="0.25">
      <c r="A11" s="39" t="s">
        <v>70</v>
      </c>
      <c r="B11" s="39" t="s">
        <v>71</v>
      </c>
      <c r="C11" s="11"/>
      <c r="D11" s="11"/>
    </row>
    <row r="12" spans="1:18" x14ac:dyDescent="0.25">
      <c r="A12" s="39" t="s">
        <v>72</v>
      </c>
      <c r="B12" s="39" t="s">
        <v>73</v>
      </c>
      <c r="C12" s="11"/>
      <c r="D12" s="11"/>
    </row>
    <row r="13" spans="1:18" x14ac:dyDescent="0.25">
      <c r="A13" s="39" t="s">
        <v>74</v>
      </c>
      <c r="B13" s="39" t="s">
        <v>75</v>
      </c>
      <c r="C13" s="11"/>
      <c r="D13" s="11"/>
    </row>
    <row r="14" spans="1:18" x14ac:dyDescent="0.25">
      <c r="A14" s="39" t="s">
        <v>76</v>
      </c>
      <c r="B14" s="39" t="s">
        <v>77</v>
      </c>
      <c r="C14" s="11"/>
      <c r="D14" s="11"/>
    </row>
    <row r="15" spans="1:18" x14ac:dyDescent="0.25">
      <c r="A15" s="39" t="s">
        <v>78</v>
      </c>
      <c r="B15" s="39" t="s">
        <v>79</v>
      </c>
      <c r="C15" s="11"/>
      <c r="D15" s="11"/>
    </row>
    <row r="16" spans="1:18" x14ac:dyDescent="0.25">
      <c r="A16" s="39" t="s">
        <v>80</v>
      </c>
      <c r="B16" s="39" t="s">
        <v>81</v>
      </c>
      <c r="C16" s="11"/>
      <c r="D16" s="11"/>
    </row>
    <row r="17" spans="1:4" x14ac:dyDescent="0.25">
      <c r="A17" s="39" t="s">
        <v>82</v>
      </c>
      <c r="B17" s="39" t="s">
        <v>83</v>
      </c>
      <c r="C17" s="11"/>
      <c r="D17" s="11"/>
    </row>
    <row r="18" spans="1:4" x14ac:dyDescent="0.25">
      <c r="A18" s="39" t="s">
        <v>84</v>
      </c>
      <c r="B18" s="39" t="s">
        <v>85</v>
      </c>
      <c r="C18" s="11"/>
      <c r="D18" s="11"/>
    </row>
    <row r="19" spans="1:4" x14ac:dyDescent="0.25">
      <c r="A19" s="39" t="s">
        <v>86</v>
      </c>
      <c r="B19" s="39" t="s">
        <v>87</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88</v>
      </c>
      <c r="B1" s="66" t="s">
        <v>89</v>
      </c>
    </row>
    <row r="2" spans="1:3" x14ac:dyDescent="0.25">
      <c r="A2" s="67" t="s">
        <v>90</v>
      </c>
      <c r="B2" s="68" t="str">
        <f>PPRD</f>
        <v>JUN, 2022</v>
      </c>
      <c r="C2" s="56"/>
    </row>
    <row r="3" spans="1:3" x14ac:dyDescent="0.25">
      <c r="A3" s="67" t="s">
        <v>91</v>
      </c>
      <c r="B3" s="69" t="str">
        <f>CRNIRN</f>
        <v>CHG213528</v>
      </c>
      <c r="C3" s="56"/>
    </row>
    <row r="4" spans="1:3" x14ac:dyDescent="0.25">
      <c r="A4" s="67" t="s">
        <v>92</v>
      </c>
      <c r="B4" s="69" t="str">
        <f>MA</f>
        <v>CT</v>
      </c>
      <c r="C4" s="56"/>
    </row>
    <row r="5" spans="1:3" x14ac:dyDescent="0.25">
      <c r="A5" s="67" t="s">
        <v>93</v>
      </c>
      <c r="B5" s="69" t="s">
        <v>94</v>
      </c>
    </row>
    <row r="6" spans="1:3" x14ac:dyDescent="0.25">
      <c r="A6" s="67" t="s">
        <v>95</v>
      </c>
      <c r="B6" s="71" t="s">
        <v>96</v>
      </c>
    </row>
    <row r="7" spans="1:3" x14ac:dyDescent="0.25">
      <c r="A7" s="67" t="s">
        <v>97</v>
      </c>
      <c r="B7" s="72">
        <f>DevDReviewed</f>
        <v>44614</v>
      </c>
      <c r="C7" s="56"/>
    </row>
    <row r="8" spans="1:3" x14ac:dyDescent="0.25">
      <c r="A8" s="67" t="s">
        <v>98</v>
      </c>
      <c r="B8" s="71" t="str">
        <f>DevNameReviewed</f>
        <v>FrankMingoué</v>
      </c>
      <c r="C8" s="56"/>
    </row>
    <row r="9" spans="1:3" x14ac:dyDescent="0.25">
      <c r="A9" s="67" t="s">
        <v>99</v>
      </c>
      <c r="B9" s="70">
        <f>DateReviewed</f>
        <v>0</v>
      </c>
      <c r="C9" s="56"/>
    </row>
    <row r="10" spans="1:3" x14ac:dyDescent="0.25">
      <c r="A10" s="67" t="s">
        <v>100</v>
      </c>
      <c r="B10" s="71" t="str">
        <f>ReviewedBy</f>
        <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39" t="s">
        <v>101</v>
      </c>
      <c r="B1" s="140"/>
      <c r="C1" s="140"/>
      <c r="D1" s="142"/>
    </row>
    <row r="2" spans="1:5" x14ac:dyDescent="0.25">
      <c r="B2" s="12" t="s">
        <v>102</v>
      </c>
      <c r="C2" s="12" t="s">
        <v>103</v>
      </c>
      <c r="D2" s="12" t="s">
        <v>104</v>
      </c>
      <c r="E2" s="58"/>
    </row>
    <row r="3" spans="1:5" ht="39.6" x14ac:dyDescent="0.25">
      <c r="B3" s="59" t="s">
        <v>105</v>
      </c>
      <c r="C3" s="60" t="s">
        <v>106</v>
      </c>
      <c r="D3" s="61" t="str">
        <f>IF(ISBLANK('1.0 DB Schema'!B79)=FALSE,"Impacted","Not Impacted")</f>
        <v>Impacted</v>
      </c>
    </row>
    <row r="4" spans="1:5" ht="26.4" x14ac:dyDescent="0.25">
      <c r="B4" s="59" t="s">
        <v>107</v>
      </c>
      <c r="C4" s="60" t="s">
        <v>108</v>
      </c>
      <c r="D4" s="61" t="str">
        <f>IF(ISBLANK('2.0 Ifb &amp; PHP'!B36)=FALSE,"Impacted","Not Impacted")</f>
        <v>Impacted</v>
      </c>
    </row>
    <row r="5" spans="1:5" ht="39.6" x14ac:dyDescent="0.25">
      <c r="B5" s="59" t="s">
        <v>109</v>
      </c>
      <c r="C5" s="60" t="s">
        <v>110</v>
      </c>
      <c r="D5" s="61" t="str">
        <f>IF(ISBLANK('3.0 Mapping'!B15)=FALSE,"Impacted","Not Impacted")</f>
        <v>Impacted</v>
      </c>
    </row>
    <row r="6" spans="1:5" ht="26.4" x14ac:dyDescent="0.25">
      <c r="B6" s="59" t="s">
        <v>111</v>
      </c>
      <c r="C6" s="60" t="s">
        <v>112</v>
      </c>
      <c r="D6" s="61" t="str">
        <f>IF(ISBLANK('4.0 Worklet &amp; workflow'!B17)=FALSE,"Impacted","Not Impacted")</f>
        <v>Impacted</v>
      </c>
    </row>
    <row r="7" spans="1:5" ht="26.4" x14ac:dyDescent="0.25">
      <c r="B7" s="59" t="s">
        <v>113</v>
      </c>
      <c r="C7" s="60" t="s">
        <v>114</v>
      </c>
      <c r="D7" s="61" t="str">
        <f>IF(ISBLANK('5.0 Stored Procedure'!B10)=FALSE,"Impacted","Not Impacted")</f>
        <v>Not Impacted</v>
      </c>
    </row>
    <row r="8" spans="1:5" ht="26.4" x14ac:dyDescent="0.25">
      <c r="B8" s="59" t="s">
        <v>115</v>
      </c>
      <c r="C8" s="60" t="s">
        <v>116</v>
      </c>
      <c r="D8" s="61" t="str">
        <f>IF(ISBLANK('6.0 Data Update'!E5)=FALSE,"Impacted","Not Impacted")</f>
        <v>Not Impacted</v>
      </c>
    </row>
    <row r="10" spans="1:5" ht="13.8" thickBot="1" x14ac:dyDescent="0.3"/>
    <row r="11" spans="1:5" ht="13.8" thickBot="1" x14ac:dyDescent="0.3">
      <c r="B11" s="15" t="s">
        <v>117</v>
      </c>
    </row>
    <row r="12" spans="1:5" x14ac:dyDescent="0.25">
      <c r="B12" s="12" t="s">
        <v>118</v>
      </c>
      <c r="C12" s="12" t="s">
        <v>119</v>
      </c>
      <c r="D12" s="12" t="s">
        <v>120</v>
      </c>
    </row>
    <row r="13" spans="1:5" x14ac:dyDescent="0.25">
      <c r="B13" s="61" t="s">
        <v>121</v>
      </c>
      <c r="C13" s="61" t="s">
        <v>122</v>
      </c>
      <c r="D13" s="62" t="s">
        <v>123</v>
      </c>
    </row>
    <row r="14" spans="1:5" x14ac:dyDescent="0.25">
      <c r="B14" s="61" t="s">
        <v>124</v>
      </c>
      <c r="C14" s="62" t="s">
        <v>125</v>
      </c>
      <c r="D14" s="61" t="s">
        <v>126</v>
      </c>
    </row>
    <row r="15" spans="1:5" x14ac:dyDescent="0.25">
      <c r="B15" s="61" t="s">
        <v>127</v>
      </c>
      <c r="C15" s="61" t="s">
        <v>128</v>
      </c>
      <c r="D15" s="61" t="s">
        <v>129</v>
      </c>
    </row>
    <row r="16" spans="1:5" x14ac:dyDescent="0.25">
      <c r="B16" s="61" t="s">
        <v>130</v>
      </c>
      <c r="C16" s="61" t="s">
        <v>131</v>
      </c>
      <c r="D16" s="61" t="s">
        <v>132</v>
      </c>
    </row>
    <row r="17" spans="2:4" x14ac:dyDescent="0.25">
      <c r="B17" s="61" t="s">
        <v>133</v>
      </c>
      <c r="C17" s="62" t="s">
        <v>134</v>
      </c>
      <c r="D17" s="61" t="s">
        <v>135</v>
      </c>
    </row>
    <row r="18" spans="2:4" x14ac:dyDescent="0.25">
      <c r="B18" s="61" t="s">
        <v>136</v>
      </c>
      <c r="C18" s="61" t="s">
        <v>137</v>
      </c>
      <c r="D18" s="61" t="s">
        <v>138</v>
      </c>
    </row>
    <row r="19" spans="2:4" x14ac:dyDescent="0.25">
      <c r="B19" s="61" t="s">
        <v>139</v>
      </c>
      <c r="C19" s="61" t="s">
        <v>140</v>
      </c>
      <c r="D19" s="61" t="s">
        <v>141</v>
      </c>
    </row>
    <row r="20" spans="2:4" x14ac:dyDescent="0.25">
      <c r="B20" s="61" t="s">
        <v>142</v>
      </c>
      <c r="C20" s="62" t="s">
        <v>143</v>
      </c>
      <c r="D20" s="61" t="s">
        <v>144</v>
      </c>
    </row>
    <row r="21" spans="2:4" x14ac:dyDescent="0.25">
      <c r="B21" s="61" t="s">
        <v>145</v>
      </c>
      <c r="C21" s="62" t="s">
        <v>146</v>
      </c>
      <c r="D21" s="61" t="s">
        <v>147</v>
      </c>
    </row>
    <row r="22" spans="2:4" x14ac:dyDescent="0.25">
      <c r="B22" s="61" t="s">
        <v>148</v>
      </c>
      <c r="C22" s="62" t="s">
        <v>149</v>
      </c>
      <c r="D22" s="61" t="s">
        <v>150</v>
      </c>
    </row>
    <row r="23" spans="2:4" x14ac:dyDescent="0.25">
      <c r="B23" s="61" t="s">
        <v>151</v>
      </c>
      <c r="C23" s="61" t="s">
        <v>152</v>
      </c>
      <c r="D23" s="61" t="s">
        <v>153</v>
      </c>
    </row>
    <row r="24" spans="2:4" x14ac:dyDescent="0.25">
      <c r="B24" s="61" t="s">
        <v>154</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95"/>
  <sheetViews>
    <sheetView topLeftCell="A52" workbookViewId="0">
      <selection activeCell="B79" sqref="B79"/>
    </sheetView>
  </sheetViews>
  <sheetFormatPr defaultRowHeight="13.2" x14ac:dyDescent="0.25"/>
  <cols>
    <col min="1" max="1" width="31.88671875" bestFit="1" customWidth="1"/>
    <col min="2" max="2" width="28.21875"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39" t="s">
        <v>155</v>
      </c>
      <c r="B1" s="140"/>
      <c r="C1" s="141"/>
    </row>
    <row r="2" spans="1:24" ht="14.4" thickBot="1" x14ac:dyDescent="0.3">
      <c r="E2" s="75" t="s">
        <v>156</v>
      </c>
      <c r="F2" s="34"/>
      <c r="G2" s="34"/>
      <c r="H2" s="34"/>
      <c r="I2" s="34"/>
      <c r="J2" s="34"/>
      <c r="K2" s="34"/>
      <c r="W2" s="56"/>
    </row>
    <row r="3" spans="1:24" ht="13.8" thickBot="1" x14ac:dyDescent="0.3">
      <c r="A3" s="15" t="s">
        <v>157</v>
      </c>
      <c r="B3" s="13"/>
      <c r="C3" s="13"/>
      <c r="E3" s="35" t="s">
        <v>158</v>
      </c>
      <c r="F3" s="34"/>
      <c r="G3" s="34"/>
      <c r="H3" s="34"/>
      <c r="I3" s="34"/>
      <c r="J3" s="34"/>
      <c r="K3" s="34"/>
      <c r="X3" s="56"/>
    </row>
    <row r="4" spans="1:24" x14ac:dyDescent="0.25">
      <c r="A4" s="14" t="s">
        <v>159</v>
      </c>
      <c r="B4" s="12" t="s">
        <v>160</v>
      </c>
      <c r="C4" s="12" t="s">
        <v>57</v>
      </c>
      <c r="E4" s="35" t="s">
        <v>161</v>
      </c>
      <c r="F4" s="35"/>
      <c r="G4" s="35"/>
      <c r="H4" s="35"/>
      <c r="I4" s="35"/>
      <c r="J4" s="34"/>
      <c r="K4" s="34"/>
    </row>
    <row r="5" spans="1:24" x14ac:dyDescent="0.25">
      <c r="A5" s="39" t="s">
        <v>258</v>
      </c>
      <c r="B5" s="39" t="s">
        <v>259</v>
      </c>
      <c r="C5" s="39" t="s">
        <v>260</v>
      </c>
      <c r="E5" s="35" t="s">
        <v>162</v>
      </c>
      <c r="F5" s="35"/>
      <c r="G5" s="35"/>
      <c r="H5" s="35"/>
      <c r="I5" s="35"/>
      <c r="J5" s="34"/>
      <c r="K5" s="34"/>
    </row>
    <row r="6" spans="1:24" x14ac:dyDescent="0.25">
      <c r="A6" s="39" t="s">
        <v>261</v>
      </c>
      <c r="B6" s="39" t="s">
        <v>262</v>
      </c>
      <c r="C6" s="39" t="s">
        <v>260</v>
      </c>
      <c r="E6" s="74" t="s">
        <v>163</v>
      </c>
      <c r="F6" s="34"/>
      <c r="G6" s="34"/>
      <c r="H6" s="34"/>
      <c r="I6" s="34"/>
      <c r="J6" s="34"/>
      <c r="K6" s="34"/>
      <c r="X6" s="56"/>
    </row>
    <row r="7" spans="1:24" x14ac:dyDescent="0.25">
      <c r="A7" s="11"/>
      <c r="B7" s="11"/>
      <c r="C7" s="11"/>
    </row>
    <row r="8" spans="1:24" ht="13.8" thickBot="1" x14ac:dyDescent="0.3">
      <c r="X8" s="56"/>
    </row>
    <row r="9" spans="1:24" ht="13.8" thickBot="1" x14ac:dyDescent="0.3">
      <c r="A9" s="15" t="s">
        <v>164</v>
      </c>
      <c r="X9" s="56"/>
    </row>
    <row r="10" spans="1:24" x14ac:dyDescent="0.25">
      <c r="A10" s="14" t="s">
        <v>159</v>
      </c>
      <c r="B10" s="12" t="s">
        <v>165</v>
      </c>
      <c r="C10" s="12" t="s">
        <v>166</v>
      </c>
      <c r="D10" s="12" t="s">
        <v>160</v>
      </c>
      <c r="E10" s="12" t="s">
        <v>167</v>
      </c>
      <c r="F10" s="12" t="s">
        <v>57</v>
      </c>
      <c r="X10" s="56"/>
    </row>
    <row r="11" spans="1:24" ht="13.8" customHeight="1" x14ac:dyDescent="0.25">
      <c r="A11" s="39" t="s">
        <v>258</v>
      </c>
      <c r="B11" s="39" t="s">
        <v>263</v>
      </c>
      <c r="C11" s="39" t="s">
        <v>264</v>
      </c>
      <c r="D11" s="39" t="s">
        <v>259</v>
      </c>
      <c r="E11" s="39"/>
      <c r="F11" s="39"/>
    </row>
    <row r="12" spans="1:24" x14ac:dyDescent="0.25">
      <c r="A12" s="39" t="s">
        <v>258</v>
      </c>
      <c r="B12" s="39" t="s">
        <v>265</v>
      </c>
      <c r="C12" s="39" t="s">
        <v>264</v>
      </c>
      <c r="D12" s="39" t="s">
        <v>259</v>
      </c>
      <c r="E12" s="39"/>
      <c r="F12" s="39"/>
    </row>
    <row r="13" spans="1:24" x14ac:dyDescent="0.25">
      <c r="A13" s="39" t="s">
        <v>258</v>
      </c>
      <c r="B13" s="39" t="s">
        <v>266</v>
      </c>
      <c r="C13" s="39" t="s">
        <v>264</v>
      </c>
      <c r="D13" s="39" t="s">
        <v>259</v>
      </c>
      <c r="E13" s="39"/>
      <c r="F13" s="39"/>
    </row>
    <row r="14" spans="1:24" ht="13.2" customHeight="1" x14ac:dyDescent="0.25">
      <c r="A14" s="39" t="s">
        <v>258</v>
      </c>
      <c r="B14" s="39" t="s">
        <v>267</v>
      </c>
      <c r="C14" s="39" t="s">
        <v>264</v>
      </c>
      <c r="D14" s="39" t="s">
        <v>259</v>
      </c>
      <c r="E14" s="39"/>
      <c r="F14" s="39"/>
    </row>
    <row r="15" spans="1:24" ht="13.2" customHeight="1" x14ac:dyDescent="0.25">
      <c r="A15" s="39" t="s">
        <v>258</v>
      </c>
      <c r="B15" s="39" t="s">
        <v>268</v>
      </c>
      <c r="C15" s="39" t="s">
        <v>264</v>
      </c>
      <c r="D15" s="39" t="s">
        <v>259</v>
      </c>
      <c r="E15" s="39"/>
      <c r="F15" s="39"/>
    </row>
    <row r="16" spans="1:24" ht="13.2" customHeight="1" x14ac:dyDescent="0.25">
      <c r="A16" s="39" t="s">
        <v>258</v>
      </c>
      <c r="B16" s="39" t="s">
        <v>269</v>
      </c>
      <c r="C16" s="39" t="s">
        <v>264</v>
      </c>
      <c r="D16" s="39" t="s">
        <v>259</v>
      </c>
      <c r="E16" s="39"/>
      <c r="F16" s="39"/>
    </row>
    <row r="17" spans="1:6" ht="13.2" customHeight="1" x14ac:dyDescent="0.25">
      <c r="A17" s="39" t="s">
        <v>258</v>
      </c>
      <c r="B17" s="39" t="s">
        <v>270</v>
      </c>
      <c r="C17" s="39" t="s">
        <v>264</v>
      </c>
      <c r="D17" s="39" t="s">
        <v>259</v>
      </c>
      <c r="E17" s="39"/>
      <c r="F17" s="39"/>
    </row>
    <row r="18" spans="1:6" ht="13.2" customHeight="1" x14ac:dyDescent="0.25">
      <c r="A18" s="39" t="s">
        <v>258</v>
      </c>
      <c r="B18" s="39" t="s">
        <v>271</v>
      </c>
      <c r="C18" s="39" t="s">
        <v>264</v>
      </c>
      <c r="D18" s="39" t="s">
        <v>259</v>
      </c>
      <c r="E18" s="39"/>
      <c r="F18" s="39"/>
    </row>
    <row r="19" spans="1:6" ht="13.2" customHeight="1" x14ac:dyDescent="0.25">
      <c r="A19" s="39" t="s">
        <v>258</v>
      </c>
      <c r="B19" s="39" t="s">
        <v>272</v>
      </c>
      <c r="C19" s="39" t="s">
        <v>264</v>
      </c>
      <c r="D19" s="39" t="s">
        <v>259</v>
      </c>
      <c r="E19" s="39"/>
      <c r="F19" s="39"/>
    </row>
    <row r="20" spans="1:6" ht="13.2" customHeight="1" x14ac:dyDescent="0.25">
      <c r="A20" s="39" t="s">
        <v>258</v>
      </c>
      <c r="B20" s="39" t="s">
        <v>273</v>
      </c>
      <c r="C20" s="39" t="s">
        <v>264</v>
      </c>
      <c r="D20" s="39" t="s">
        <v>259</v>
      </c>
      <c r="E20" s="39"/>
      <c r="F20" s="39"/>
    </row>
    <row r="21" spans="1:6" ht="13.2" customHeight="1" x14ac:dyDescent="0.25">
      <c r="A21" s="39" t="s">
        <v>258</v>
      </c>
      <c r="B21" s="39" t="s">
        <v>274</v>
      </c>
      <c r="C21" s="39" t="s">
        <v>264</v>
      </c>
      <c r="D21" s="39" t="s">
        <v>259</v>
      </c>
      <c r="E21" s="39"/>
      <c r="F21" s="39"/>
    </row>
    <row r="22" spans="1:6" ht="13.2" customHeight="1" x14ac:dyDescent="0.25">
      <c r="A22" s="39" t="s">
        <v>258</v>
      </c>
      <c r="B22" s="39" t="s">
        <v>275</v>
      </c>
      <c r="C22" s="39" t="s">
        <v>264</v>
      </c>
      <c r="D22" s="39" t="s">
        <v>259</v>
      </c>
      <c r="E22" s="39"/>
      <c r="F22" s="39"/>
    </row>
    <row r="23" spans="1:6" ht="13.2" customHeight="1" x14ac:dyDescent="0.25">
      <c r="A23" s="39" t="s">
        <v>258</v>
      </c>
      <c r="B23" s="39" t="s">
        <v>276</v>
      </c>
      <c r="C23" s="39" t="s">
        <v>264</v>
      </c>
      <c r="D23" s="39" t="s">
        <v>259</v>
      </c>
      <c r="E23" s="39"/>
      <c r="F23" s="39"/>
    </row>
    <row r="24" spans="1:6" ht="13.2" customHeight="1" x14ac:dyDescent="0.25">
      <c r="A24" s="39" t="s">
        <v>258</v>
      </c>
      <c r="B24" s="39" t="s">
        <v>277</v>
      </c>
      <c r="C24" s="39" t="s">
        <v>264</v>
      </c>
      <c r="D24" s="39" t="s">
        <v>259</v>
      </c>
      <c r="E24" s="39"/>
      <c r="F24" s="39"/>
    </row>
    <row r="25" spans="1:6" ht="13.2" customHeight="1" x14ac:dyDescent="0.25">
      <c r="A25" s="39" t="s">
        <v>258</v>
      </c>
      <c r="B25" s="39" t="s">
        <v>278</v>
      </c>
      <c r="C25" s="39" t="s">
        <v>264</v>
      </c>
      <c r="D25" s="39" t="s">
        <v>259</v>
      </c>
      <c r="E25" s="39"/>
      <c r="F25" s="39"/>
    </row>
    <row r="26" spans="1:6" ht="13.2" customHeight="1" x14ac:dyDescent="0.25">
      <c r="A26" s="39" t="s">
        <v>258</v>
      </c>
      <c r="B26" s="39" t="s">
        <v>279</v>
      </c>
      <c r="C26" s="39" t="s">
        <v>264</v>
      </c>
      <c r="D26" s="39" t="s">
        <v>259</v>
      </c>
      <c r="E26" s="39"/>
      <c r="F26" s="39"/>
    </row>
    <row r="27" spans="1:6" ht="13.2" customHeight="1" x14ac:dyDescent="0.25">
      <c r="A27" s="39" t="s">
        <v>258</v>
      </c>
      <c r="B27" s="39" t="s">
        <v>280</v>
      </c>
      <c r="C27" s="39" t="s">
        <v>264</v>
      </c>
      <c r="D27" s="39" t="s">
        <v>259</v>
      </c>
      <c r="E27" s="39"/>
      <c r="F27" s="39"/>
    </row>
    <row r="28" spans="1:6" ht="13.2" customHeight="1" x14ac:dyDescent="0.25">
      <c r="A28" s="39" t="s">
        <v>258</v>
      </c>
      <c r="B28" s="11" t="s">
        <v>281</v>
      </c>
      <c r="C28" s="39" t="s">
        <v>264</v>
      </c>
      <c r="D28" s="39" t="s">
        <v>259</v>
      </c>
      <c r="E28" s="39"/>
      <c r="F28" s="39"/>
    </row>
    <row r="29" spans="1:6" ht="13.2" customHeight="1" x14ac:dyDescent="0.25">
      <c r="A29" s="39" t="s">
        <v>258</v>
      </c>
      <c r="B29" s="39" t="s">
        <v>282</v>
      </c>
      <c r="C29" s="39" t="s">
        <v>264</v>
      </c>
      <c r="D29" s="39" t="s">
        <v>259</v>
      </c>
      <c r="E29" s="39"/>
      <c r="F29" s="39"/>
    </row>
    <row r="30" spans="1:6" ht="13.2" customHeight="1" x14ac:dyDescent="0.25">
      <c r="A30" s="39" t="s">
        <v>258</v>
      </c>
      <c r="B30" s="39" t="s">
        <v>283</v>
      </c>
      <c r="C30" s="39" t="s">
        <v>264</v>
      </c>
      <c r="D30" s="39" t="s">
        <v>259</v>
      </c>
      <c r="E30" s="39"/>
      <c r="F30" s="39"/>
    </row>
    <row r="31" spans="1:6" ht="13.2" customHeight="1" x14ac:dyDescent="0.25">
      <c r="A31" s="39" t="s">
        <v>258</v>
      </c>
      <c r="B31" s="39" t="s">
        <v>284</v>
      </c>
      <c r="C31" s="39" t="s">
        <v>264</v>
      </c>
      <c r="D31" s="39" t="s">
        <v>259</v>
      </c>
      <c r="E31" s="39"/>
      <c r="F31" s="39"/>
    </row>
    <row r="32" spans="1:6" ht="13.2" customHeight="1" x14ac:dyDescent="0.25">
      <c r="A32" s="39" t="s">
        <v>258</v>
      </c>
      <c r="B32" s="39" t="s">
        <v>285</v>
      </c>
      <c r="C32" s="39" t="s">
        <v>264</v>
      </c>
      <c r="D32" s="39" t="s">
        <v>259</v>
      </c>
      <c r="E32" s="39"/>
      <c r="F32" s="39"/>
    </row>
    <row r="33" spans="1:8" ht="13.2" customHeight="1" x14ac:dyDescent="0.25">
      <c r="A33" s="39" t="s">
        <v>258</v>
      </c>
      <c r="B33" s="39" t="s">
        <v>286</v>
      </c>
      <c r="C33" s="39" t="s">
        <v>264</v>
      </c>
      <c r="D33" s="39" t="s">
        <v>259</v>
      </c>
      <c r="E33" s="39"/>
      <c r="F33" s="39"/>
    </row>
    <row r="34" spans="1:8" ht="13.2" customHeight="1" x14ac:dyDescent="0.25">
      <c r="A34" s="39" t="s">
        <v>258</v>
      </c>
      <c r="B34" s="39" t="s">
        <v>287</v>
      </c>
      <c r="C34" s="39" t="s">
        <v>264</v>
      </c>
      <c r="D34" s="39" t="s">
        <v>259</v>
      </c>
      <c r="E34" s="39"/>
      <c r="F34" s="39"/>
    </row>
    <row r="35" spans="1:8" ht="13.2" customHeight="1" x14ac:dyDescent="0.25">
      <c r="A35" s="39" t="s">
        <v>258</v>
      </c>
      <c r="B35" s="39" t="s">
        <v>288</v>
      </c>
      <c r="C35" s="39" t="s">
        <v>264</v>
      </c>
      <c r="D35" s="39" t="s">
        <v>259</v>
      </c>
      <c r="E35" s="39"/>
      <c r="F35" s="39"/>
    </row>
    <row r="36" spans="1:8" ht="13.2" customHeight="1" x14ac:dyDescent="0.25">
      <c r="A36" s="39" t="s">
        <v>258</v>
      </c>
      <c r="B36" s="39" t="s">
        <v>289</v>
      </c>
      <c r="C36" s="39" t="s">
        <v>264</v>
      </c>
      <c r="D36" s="39" t="s">
        <v>259</v>
      </c>
      <c r="E36" s="39"/>
      <c r="F36" s="39"/>
    </row>
    <row r="37" spans="1:8" ht="13.2" customHeight="1" x14ac:dyDescent="0.25">
      <c r="A37" s="39"/>
      <c r="B37" s="39"/>
      <c r="C37" s="39"/>
      <c r="D37" s="39"/>
      <c r="E37" s="39"/>
      <c r="F37" s="39"/>
    </row>
    <row r="38" spans="1:8" ht="13.2" customHeight="1" x14ac:dyDescent="0.25">
      <c r="A38" s="39"/>
      <c r="B38" s="39"/>
      <c r="C38" s="39"/>
      <c r="D38" s="39"/>
      <c r="E38" s="39"/>
      <c r="F38" s="39"/>
      <c r="H38" s="39"/>
    </row>
    <row r="39" spans="1:8" ht="13.2" customHeight="1" x14ac:dyDescent="0.25">
      <c r="A39" s="39"/>
      <c r="B39" s="39"/>
      <c r="C39" s="39"/>
      <c r="D39" s="39"/>
      <c r="E39" s="39"/>
      <c r="F39" s="39"/>
      <c r="H39" s="39"/>
    </row>
    <row r="40" spans="1:8" ht="13.2" customHeight="1" x14ac:dyDescent="0.25">
      <c r="A40" s="39" t="s">
        <v>261</v>
      </c>
      <c r="B40" s="39" t="s">
        <v>263</v>
      </c>
      <c r="C40" s="39" t="s">
        <v>291</v>
      </c>
      <c r="D40" s="39" t="s">
        <v>262</v>
      </c>
      <c r="E40" s="39"/>
      <c r="F40" s="39"/>
      <c r="H40" s="39"/>
    </row>
    <row r="41" spans="1:8" ht="13.2" customHeight="1" x14ac:dyDescent="0.25">
      <c r="A41" s="39" t="s">
        <v>261</v>
      </c>
      <c r="B41" s="39" t="s">
        <v>265</v>
      </c>
      <c r="C41" s="39" t="s">
        <v>292</v>
      </c>
      <c r="D41" s="39" t="s">
        <v>262</v>
      </c>
      <c r="E41" s="39"/>
      <c r="F41" s="39"/>
    </row>
    <row r="42" spans="1:8" ht="13.2" customHeight="1" x14ac:dyDescent="0.25">
      <c r="A42" s="39" t="s">
        <v>261</v>
      </c>
      <c r="B42" s="39" t="s">
        <v>266</v>
      </c>
      <c r="C42" s="39" t="s">
        <v>292</v>
      </c>
      <c r="D42" s="39" t="s">
        <v>262</v>
      </c>
      <c r="E42" s="39"/>
      <c r="F42" s="39"/>
    </row>
    <row r="43" spans="1:8" ht="13.2" customHeight="1" x14ac:dyDescent="0.25">
      <c r="A43" s="39" t="s">
        <v>261</v>
      </c>
      <c r="B43" s="39" t="s">
        <v>267</v>
      </c>
      <c r="C43" s="39" t="s">
        <v>292</v>
      </c>
      <c r="D43" s="39" t="s">
        <v>262</v>
      </c>
      <c r="E43" s="39"/>
      <c r="F43" s="39"/>
    </row>
    <row r="44" spans="1:8" ht="13.2" customHeight="1" x14ac:dyDescent="0.25">
      <c r="A44" s="39" t="s">
        <v>261</v>
      </c>
      <c r="B44" s="39" t="s">
        <v>268</v>
      </c>
      <c r="C44" s="39" t="s">
        <v>292</v>
      </c>
      <c r="D44" s="39" t="s">
        <v>262</v>
      </c>
      <c r="E44" s="39"/>
      <c r="F44" s="39"/>
    </row>
    <row r="45" spans="1:8" ht="13.2" customHeight="1" x14ac:dyDescent="0.25">
      <c r="A45" s="39" t="s">
        <v>261</v>
      </c>
      <c r="B45" s="39" t="s">
        <v>269</v>
      </c>
      <c r="C45" s="39" t="s">
        <v>304</v>
      </c>
      <c r="D45" s="39" t="s">
        <v>262</v>
      </c>
      <c r="E45" s="39"/>
      <c r="F45" s="39"/>
    </row>
    <row r="46" spans="1:8" ht="13.2" customHeight="1" x14ac:dyDescent="0.25">
      <c r="A46" s="39" t="s">
        <v>261</v>
      </c>
      <c r="B46" s="39" t="s">
        <v>270</v>
      </c>
      <c r="C46" s="39" t="s">
        <v>304</v>
      </c>
      <c r="D46" s="39" t="s">
        <v>262</v>
      </c>
      <c r="E46" s="39"/>
      <c r="F46" s="39"/>
    </row>
    <row r="47" spans="1:8" ht="13.2" customHeight="1" x14ac:dyDescent="0.25">
      <c r="A47" s="39" t="s">
        <v>261</v>
      </c>
      <c r="B47" s="39" t="s">
        <v>271</v>
      </c>
      <c r="C47" s="39" t="s">
        <v>304</v>
      </c>
      <c r="D47" s="39" t="s">
        <v>262</v>
      </c>
      <c r="E47" s="39"/>
      <c r="F47" s="39"/>
    </row>
    <row r="48" spans="1:8" ht="13.2" customHeight="1" x14ac:dyDescent="0.25">
      <c r="A48" s="39" t="s">
        <v>261</v>
      </c>
      <c r="B48" s="39" t="s">
        <v>272</v>
      </c>
      <c r="C48" s="39" t="s">
        <v>292</v>
      </c>
      <c r="D48" s="39" t="s">
        <v>262</v>
      </c>
      <c r="E48" s="39"/>
      <c r="F48" s="39"/>
    </row>
    <row r="49" spans="1:6" ht="13.2" customHeight="1" x14ac:dyDescent="0.25">
      <c r="A49" s="39" t="s">
        <v>261</v>
      </c>
      <c r="B49" s="39" t="s">
        <v>273</v>
      </c>
      <c r="C49" s="39" t="s">
        <v>304</v>
      </c>
      <c r="D49" s="39" t="s">
        <v>262</v>
      </c>
      <c r="E49" s="39"/>
      <c r="F49" s="39"/>
    </row>
    <row r="50" spans="1:6" ht="13.2" customHeight="1" x14ac:dyDescent="0.25">
      <c r="A50" s="39" t="s">
        <v>261</v>
      </c>
      <c r="B50" s="39" t="s">
        <v>274</v>
      </c>
      <c r="C50" s="39" t="s">
        <v>290</v>
      </c>
      <c r="D50" s="39" t="s">
        <v>262</v>
      </c>
      <c r="E50" s="39"/>
      <c r="F50" s="39"/>
    </row>
    <row r="51" spans="1:6" ht="13.2" customHeight="1" x14ac:dyDescent="0.25">
      <c r="A51" s="39" t="s">
        <v>261</v>
      </c>
      <c r="B51" s="39" t="s">
        <v>275</v>
      </c>
      <c r="C51" s="39" t="s">
        <v>292</v>
      </c>
      <c r="D51" s="39" t="s">
        <v>262</v>
      </c>
      <c r="E51" s="39"/>
      <c r="F51" s="39"/>
    </row>
    <row r="52" spans="1:6" ht="13.2" customHeight="1" x14ac:dyDescent="0.25">
      <c r="A52" s="39" t="s">
        <v>261</v>
      </c>
      <c r="B52" s="39" t="s">
        <v>276</v>
      </c>
      <c r="C52" s="39" t="s">
        <v>292</v>
      </c>
      <c r="D52" s="39" t="s">
        <v>262</v>
      </c>
      <c r="E52" s="39"/>
      <c r="F52" s="39"/>
    </row>
    <row r="53" spans="1:6" ht="13.2" customHeight="1" x14ac:dyDescent="0.25">
      <c r="A53" s="39" t="s">
        <v>261</v>
      </c>
      <c r="B53" s="39" t="s">
        <v>277</v>
      </c>
      <c r="C53" s="39" t="s">
        <v>292</v>
      </c>
      <c r="D53" s="39" t="s">
        <v>262</v>
      </c>
      <c r="E53" s="39"/>
      <c r="F53" s="39"/>
    </row>
    <row r="54" spans="1:6" ht="13.2" customHeight="1" x14ac:dyDescent="0.25">
      <c r="A54" s="39" t="s">
        <v>261</v>
      </c>
      <c r="B54" s="39" t="s">
        <v>278</v>
      </c>
      <c r="C54" s="39" t="s">
        <v>292</v>
      </c>
      <c r="D54" s="39" t="s">
        <v>262</v>
      </c>
      <c r="E54" s="39"/>
      <c r="F54" s="39"/>
    </row>
    <row r="55" spans="1:6" ht="13.2" customHeight="1" x14ac:dyDescent="0.25">
      <c r="A55" s="39" t="s">
        <v>261</v>
      </c>
      <c r="B55" s="39" t="s">
        <v>279</v>
      </c>
      <c r="C55" s="39" t="s">
        <v>292</v>
      </c>
      <c r="D55" s="39" t="s">
        <v>262</v>
      </c>
      <c r="E55" s="39"/>
      <c r="F55" s="39"/>
    </row>
    <row r="56" spans="1:6" ht="13.2" customHeight="1" x14ac:dyDescent="0.25">
      <c r="A56" s="39" t="s">
        <v>261</v>
      </c>
      <c r="B56" s="39" t="s">
        <v>280</v>
      </c>
      <c r="C56" s="39" t="s">
        <v>292</v>
      </c>
      <c r="D56" s="39" t="s">
        <v>262</v>
      </c>
      <c r="E56" s="39"/>
      <c r="F56" s="39"/>
    </row>
    <row r="57" spans="1:6" ht="13.2" customHeight="1" x14ac:dyDescent="0.25">
      <c r="A57" s="39" t="s">
        <v>261</v>
      </c>
      <c r="B57" s="11" t="s">
        <v>281</v>
      </c>
      <c r="C57" s="39" t="s">
        <v>305</v>
      </c>
      <c r="D57" s="39" t="s">
        <v>262</v>
      </c>
      <c r="E57" s="39"/>
      <c r="F57" s="39"/>
    </row>
    <row r="58" spans="1:6" ht="13.2" customHeight="1" x14ac:dyDescent="0.25">
      <c r="A58" s="39" t="s">
        <v>261</v>
      </c>
      <c r="B58" s="39" t="s">
        <v>282</v>
      </c>
      <c r="C58" s="39" t="s">
        <v>305</v>
      </c>
      <c r="D58" s="39" t="s">
        <v>262</v>
      </c>
      <c r="E58" s="39"/>
      <c r="F58" s="39"/>
    </row>
    <row r="59" spans="1:6" ht="13.2" customHeight="1" x14ac:dyDescent="0.25">
      <c r="A59" s="39" t="s">
        <v>261</v>
      </c>
      <c r="B59" s="39" t="s">
        <v>283</v>
      </c>
      <c r="C59" s="39" t="s">
        <v>305</v>
      </c>
      <c r="D59" s="39" t="s">
        <v>262</v>
      </c>
      <c r="E59" s="39"/>
      <c r="F59" s="39"/>
    </row>
    <row r="60" spans="1:6" ht="13.2" customHeight="1" x14ac:dyDescent="0.25">
      <c r="A60" s="39" t="s">
        <v>261</v>
      </c>
      <c r="B60" s="39" t="s">
        <v>284</v>
      </c>
      <c r="C60" s="39" t="s">
        <v>305</v>
      </c>
      <c r="D60" s="39" t="s">
        <v>262</v>
      </c>
      <c r="E60" s="39"/>
      <c r="F60" s="39"/>
    </row>
    <row r="61" spans="1:6" ht="13.2" customHeight="1" x14ac:dyDescent="0.25">
      <c r="A61" s="39" t="s">
        <v>261</v>
      </c>
      <c r="B61" s="39" t="s">
        <v>285</v>
      </c>
      <c r="C61" s="39" t="s">
        <v>290</v>
      </c>
      <c r="D61" s="39" t="s">
        <v>262</v>
      </c>
      <c r="E61" s="39"/>
      <c r="F61" s="39"/>
    </row>
    <row r="62" spans="1:6" ht="13.2" customHeight="1" x14ac:dyDescent="0.25">
      <c r="A62" s="39" t="s">
        <v>261</v>
      </c>
      <c r="B62" s="39" t="s">
        <v>286</v>
      </c>
      <c r="C62" s="39" t="s">
        <v>292</v>
      </c>
      <c r="D62" s="39" t="s">
        <v>262</v>
      </c>
      <c r="E62" s="39"/>
      <c r="F62" s="39"/>
    </row>
    <row r="63" spans="1:6" ht="13.2" customHeight="1" x14ac:dyDescent="0.25">
      <c r="A63" s="39" t="s">
        <v>261</v>
      </c>
      <c r="B63" s="39" t="s">
        <v>287</v>
      </c>
      <c r="C63" s="39" t="s">
        <v>304</v>
      </c>
      <c r="D63" s="39" t="s">
        <v>262</v>
      </c>
      <c r="E63" s="39"/>
      <c r="F63" s="39"/>
    </row>
    <row r="64" spans="1:6" ht="13.2" customHeight="1" x14ac:dyDescent="0.25">
      <c r="A64" s="39" t="s">
        <v>261</v>
      </c>
      <c r="B64" s="39" t="s">
        <v>288</v>
      </c>
      <c r="C64" s="39" t="s">
        <v>292</v>
      </c>
      <c r="D64" s="39" t="s">
        <v>262</v>
      </c>
      <c r="E64" s="39"/>
      <c r="F64" s="39"/>
    </row>
    <row r="65" spans="1:6" ht="13.2" customHeight="1" x14ac:dyDescent="0.25">
      <c r="A65" s="39" t="s">
        <v>261</v>
      </c>
      <c r="B65" s="39" t="s">
        <v>289</v>
      </c>
      <c r="C65" s="39" t="s">
        <v>292</v>
      </c>
      <c r="D65" s="39" t="s">
        <v>262</v>
      </c>
      <c r="E65" s="39"/>
      <c r="F65" s="39"/>
    </row>
    <row r="66" spans="1:6" ht="13.2" customHeight="1" x14ac:dyDescent="0.25">
      <c r="A66" s="39"/>
      <c r="B66" s="39"/>
      <c r="C66" s="39"/>
      <c r="D66" s="39"/>
      <c r="E66" s="39"/>
      <c r="F66" s="39"/>
    </row>
    <row r="67" spans="1:6" ht="13.2" customHeight="1" thickBot="1" x14ac:dyDescent="0.3"/>
    <row r="68" spans="1:6" ht="13.2" customHeight="1" thickBot="1" x14ac:dyDescent="0.3">
      <c r="A68" s="15" t="s">
        <v>168</v>
      </c>
    </row>
    <row r="69" spans="1:6" ht="13.2" customHeight="1" x14ac:dyDescent="0.25">
      <c r="A69" s="14" t="s">
        <v>169</v>
      </c>
      <c r="B69" s="12" t="s">
        <v>170</v>
      </c>
      <c r="C69" s="12" t="s">
        <v>171</v>
      </c>
      <c r="D69" s="12" t="s">
        <v>172</v>
      </c>
    </row>
    <row r="70" spans="1:6" ht="13.2" customHeight="1" x14ac:dyDescent="0.25">
      <c r="A70" s="39" t="s">
        <v>154</v>
      </c>
      <c r="B70" s="39"/>
      <c r="C70" s="39"/>
      <c r="D70" s="11"/>
    </row>
    <row r="71" spans="1:6" ht="13.2" customHeight="1" x14ac:dyDescent="0.25">
      <c r="A71" s="39"/>
      <c r="B71" s="39"/>
      <c r="C71" s="39"/>
      <c r="D71" s="11"/>
    </row>
    <row r="72" spans="1:6" ht="13.2" customHeight="1" x14ac:dyDescent="0.25">
      <c r="A72" s="39"/>
      <c r="B72" s="39"/>
      <c r="C72" s="39"/>
      <c r="D72" s="11"/>
    </row>
    <row r="73" spans="1:6" ht="13.2" customHeight="1" thickBot="1" x14ac:dyDescent="0.3">
      <c r="A73" s="56"/>
      <c r="B73" s="56"/>
      <c r="C73" s="56"/>
    </row>
    <row r="74" spans="1:6" ht="13.2" customHeight="1" thickBot="1" x14ac:dyDescent="0.3">
      <c r="A74" s="15" t="s">
        <v>173</v>
      </c>
      <c r="B74" s="56"/>
      <c r="C74" s="56"/>
    </row>
    <row r="75" spans="1:6" ht="13.2" customHeight="1" x14ac:dyDescent="0.25">
      <c r="A75" s="14" t="s">
        <v>118</v>
      </c>
      <c r="B75" s="12" t="s">
        <v>174</v>
      </c>
    </row>
    <row r="76" spans="1:6" ht="13.2" customHeight="1" x14ac:dyDescent="0.25">
      <c r="A76" s="39" t="s">
        <v>154</v>
      </c>
      <c r="B76" s="39"/>
    </row>
    <row r="77" spans="1:6" ht="13.2" customHeight="1" x14ac:dyDescent="0.25">
      <c r="A77" s="39"/>
      <c r="B77" s="39"/>
    </row>
    <row r="78" spans="1:6" ht="13.2" customHeight="1" x14ac:dyDescent="0.25">
      <c r="A78" s="19" t="s">
        <v>25</v>
      </c>
      <c r="B78" s="19" t="s">
        <v>175</v>
      </c>
    </row>
    <row r="79" spans="1:6" ht="13.2" customHeight="1" x14ac:dyDescent="0.25">
      <c r="A79" s="18"/>
      <c r="B79" s="18">
        <v>0.125</v>
      </c>
    </row>
    <row r="80" spans="1:6" ht="13.2" customHeight="1" x14ac:dyDescent="0.25"/>
    <row r="81" spans="27:29" ht="13.2" customHeight="1" x14ac:dyDescent="0.25"/>
    <row r="82" spans="27:29" ht="13.2" customHeight="1" x14ac:dyDescent="0.25"/>
    <row r="83" spans="27:29" ht="13.2" customHeight="1" x14ac:dyDescent="0.25"/>
    <row r="86" spans="27:29" ht="13.8" customHeight="1" x14ac:dyDescent="0.25"/>
    <row r="88" spans="27:29" x14ac:dyDescent="0.25">
      <c r="AA88" s="56"/>
    </row>
    <row r="89" spans="27:29" ht="13.2" customHeight="1" x14ac:dyDescent="0.25">
      <c r="AA89" s="56"/>
    </row>
    <row r="92" spans="27:29" ht="13.8" customHeight="1" x14ac:dyDescent="0.25"/>
    <row r="94" spans="27:29" x14ac:dyDescent="0.25">
      <c r="AC94" s="56"/>
    </row>
    <row r="95" spans="27:29" ht="13.2" customHeight="1" x14ac:dyDescent="0.25"/>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6"/>
  <sheetViews>
    <sheetView topLeftCell="A7" workbookViewId="0">
      <selection activeCell="D22" sqref="D22"/>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39" t="s">
        <v>176</v>
      </c>
      <c r="B1" s="140"/>
      <c r="C1" s="141"/>
    </row>
    <row r="2" spans="1:3" ht="13.8" thickBot="1" x14ac:dyDescent="0.3"/>
    <row r="3" spans="1:3" ht="13.8" thickBot="1" x14ac:dyDescent="0.3">
      <c r="A3" s="16" t="s">
        <v>177</v>
      </c>
      <c r="B3" s="27"/>
    </row>
    <row r="4" spans="1:3" x14ac:dyDescent="0.25">
      <c r="A4" s="14" t="s">
        <v>178</v>
      </c>
      <c r="B4" s="26" t="s">
        <v>57</v>
      </c>
    </row>
    <row r="5" spans="1:3" x14ac:dyDescent="0.25">
      <c r="A5" s="11" t="s">
        <v>294</v>
      </c>
      <c r="B5" s="25" t="s">
        <v>297</v>
      </c>
      <c r="C5">
        <v>0.02</v>
      </c>
    </row>
    <row r="6" spans="1:3" x14ac:dyDescent="0.25">
      <c r="A6" s="11" t="s">
        <v>295</v>
      </c>
      <c r="B6" s="25" t="s">
        <v>297</v>
      </c>
      <c r="C6">
        <v>0.02</v>
      </c>
    </row>
    <row r="7" spans="1:3" x14ac:dyDescent="0.25">
      <c r="A7" s="11" t="s">
        <v>296</v>
      </c>
      <c r="B7" s="25" t="s">
        <v>297</v>
      </c>
      <c r="C7">
        <v>0.02</v>
      </c>
    </row>
    <row r="8" spans="1:3" ht="13.8" thickBot="1" x14ac:dyDescent="0.3">
      <c r="A8" s="91"/>
      <c r="B8" s="96"/>
    </row>
    <row r="9" spans="1:3" ht="13.8" thickBot="1" x14ac:dyDescent="0.3">
      <c r="A9" s="16" t="s">
        <v>179</v>
      </c>
      <c r="B9" s="27"/>
      <c r="C9" s="13"/>
    </row>
    <row r="10" spans="1:3" x14ac:dyDescent="0.25">
      <c r="A10" s="14" t="s">
        <v>180</v>
      </c>
      <c r="B10" s="26" t="s">
        <v>57</v>
      </c>
    </row>
    <row r="11" spans="1:3" ht="26.4" x14ac:dyDescent="0.25">
      <c r="A11" s="39" t="s">
        <v>293</v>
      </c>
      <c r="B11" s="25" t="s">
        <v>329</v>
      </c>
      <c r="C11">
        <v>6.25E-2</v>
      </c>
    </row>
    <row r="12" spans="1:3" x14ac:dyDescent="0.25">
      <c r="A12" s="11"/>
      <c r="B12" s="20"/>
    </row>
    <row r="13" spans="1:3" x14ac:dyDescent="0.25">
      <c r="A13" s="11"/>
      <c r="B13" s="20"/>
    </row>
    <row r="14" spans="1:3" ht="13.8" thickBot="1" x14ac:dyDescent="0.3"/>
    <row r="15" spans="1:3" ht="13.8" thickBot="1" x14ac:dyDescent="0.3">
      <c r="A15" s="16" t="s">
        <v>181</v>
      </c>
    </row>
    <row r="16" spans="1:3" x14ac:dyDescent="0.25">
      <c r="A16" s="14" t="s">
        <v>178</v>
      </c>
      <c r="B16" s="26" t="s">
        <v>57</v>
      </c>
    </row>
    <row r="17" spans="1:9" x14ac:dyDescent="0.25">
      <c r="A17" s="11"/>
      <c r="B17" s="20"/>
    </row>
    <row r="18" spans="1:9" x14ac:dyDescent="0.25">
      <c r="A18" s="11"/>
      <c r="B18" s="20"/>
    </row>
    <row r="19" spans="1:9" x14ac:dyDescent="0.25">
      <c r="A19" s="11"/>
      <c r="B19" s="20"/>
      <c r="I19" s="56"/>
    </row>
    <row r="20" spans="1:9" ht="13.8" thickBot="1" x14ac:dyDescent="0.3"/>
    <row r="21" spans="1:9" ht="13.8" thickBot="1" x14ac:dyDescent="0.3">
      <c r="A21" s="16" t="s">
        <v>182</v>
      </c>
      <c r="G21" s="56"/>
    </row>
    <row r="22" spans="1:9" x14ac:dyDescent="0.25">
      <c r="A22" s="14" t="s">
        <v>178</v>
      </c>
      <c r="B22" s="26" t="s">
        <v>57</v>
      </c>
    </row>
    <row r="23" spans="1:9" x14ac:dyDescent="0.25">
      <c r="A23" s="39" t="s">
        <v>154</v>
      </c>
      <c r="B23" s="20"/>
    </row>
    <row r="24" spans="1:9" x14ac:dyDescent="0.25">
      <c r="A24" s="11"/>
      <c r="B24" s="20"/>
    </row>
    <row r="25" spans="1:9" x14ac:dyDescent="0.25">
      <c r="A25" s="11"/>
      <c r="B25" s="20"/>
    </row>
    <row r="26" spans="1:9" x14ac:dyDescent="0.25">
      <c r="A26" s="11"/>
      <c r="B26" s="20"/>
    </row>
    <row r="27" spans="1:9" ht="13.8" thickBot="1" x14ac:dyDescent="0.3"/>
    <row r="28" spans="1:9" ht="13.8" thickBot="1" x14ac:dyDescent="0.3">
      <c r="A28" s="16" t="s">
        <v>183</v>
      </c>
    </row>
    <row r="29" spans="1:9" x14ac:dyDescent="0.25">
      <c r="A29" s="14" t="s">
        <v>178</v>
      </c>
      <c r="B29" s="26" t="s">
        <v>57</v>
      </c>
    </row>
    <row r="30" spans="1:9" x14ac:dyDescent="0.25">
      <c r="A30" s="39" t="s">
        <v>154</v>
      </c>
      <c r="B30" s="20"/>
    </row>
    <row r="31" spans="1:9" x14ac:dyDescent="0.25">
      <c r="A31" s="11"/>
      <c r="B31" s="20"/>
    </row>
    <row r="32" spans="1:9" x14ac:dyDescent="0.25">
      <c r="A32" s="11"/>
      <c r="B32" s="20"/>
    </row>
    <row r="33" spans="1:2" x14ac:dyDescent="0.25">
      <c r="A33" s="11"/>
      <c r="B33" s="20"/>
    </row>
    <row r="35" spans="1:2" x14ac:dyDescent="0.25">
      <c r="A35" s="19" t="s">
        <v>25</v>
      </c>
      <c r="B35" s="28" t="s">
        <v>175</v>
      </c>
    </row>
    <row r="36" spans="1:2" x14ac:dyDescent="0.25">
      <c r="A36" s="18"/>
      <c r="B36" s="29">
        <f>SUM(C4:C33)</f>
        <v>0.1225</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5"/>
  <sheetViews>
    <sheetView workbookViewId="0">
      <selection activeCell="B16" sqref="B16"/>
    </sheetView>
  </sheetViews>
  <sheetFormatPr defaultRowHeight="13.2" x14ac:dyDescent="0.25"/>
  <cols>
    <col min="1" max="1" width="23.88671875" customWidth="1"/>
    <col min="2" max="2" width="60.109375" customWidth="1"/>
    <col min="3" max="3" width="22.88671875" customWidth="1"/>
  </cols>
  <sheetData>
    <row r="1" spans="1:4" ht="13.8" thickBot="1" x14ac:dyDescent="0.3">
      <c r="A1" s="139" t="s">
        <v>184</v>
      </c>
      <c r="B1" s="140"/>
      <c r="C1" s="141"/>
    </row>
    <row r="3" spans="1:4" x14ac:dyDescent="0.25">
      <c r="A3" s="12" t="s">
        <v>185</v>
      </c>
      <c r="B3" s="12" t="s">
        <v>186</v>
      </c>
      <c r="C3" s="12" t="s">
        <v>57</v>
      </c>
    </row>
    <row r="4" spans="1:4" x14ac:dyDescent="0.25">
      <c r="A4" s="39" t="s">
        <v>252</v>
      </c>
      <c r="B4" s="39" t="s">
        <v>298</v>
      </c>
      <c r="C4" s="39" t="s">
        <v>303</v>
      </c>
      <c r="D4">
        <v>0.25</v>
      </c>
    </row>
    <row r="5" spans="1:4" x14ac:dyDescent="0.25">
      <c r="A5" s="11" t="s">
        <v>249</v>
      </c>
      <c r="B5" s="39" t="s">
        <v>299</v>
      </c>
      <c r="C5" s="11" t="s">
        <v>300</v>
      </c>
    </row>
    <row r="6" spans="1:4" x14ac:dyDescent="0.25">
      <c r="A6" s="39" t="s">
        <v>252</v>
      </c>
      <c r="B6" s="11" t="s">
        <v>301</v>
      </c>
      <c r="C6" s="39" t="s">
        <v>303</v>
      </c>
      <c r="D6">
        <v>0.5</v>
      </c>
    </row>
    <row r="7" spans="1:4" x14ac:dyDescent="0.25">
      <c r="A7" s="11" t="s">
        <v>249</v>
      </c>
      <c r="B7" s="11" t="s">
        <v>302</v>
      </c>
      <c r="C7" s="11" t="s">
        <v>300</v>
      </c>
    </row>
    <row r="8" spans="1:4" x14ac:dyDescent="0.25">
      <c r="A8" s="11"/>
      <c r="B8" s="11"/>
      <c r="C8" s="11"/>
    </row>
    <row r="9" spans="1:4" x14ac:dyDescent="0.25">
      <c r="A9" s="11"/>
      <c r="B9" s="11"/>
      <c r="C9" s="11"/>
    </row>
    <row r="10" spans="1:4" x14ac:dyDescent="0.25">
      <c r="A10" s="11"/>
      <c r="B10" s="11"/>
      <c r="C10" s="11"/>
    </row>
    <row r="11" spans="1:4" x14ac:dyDescent="0.25">
      <c r="A11" s="11"/>
      <c r="B11" s="11"/>
      <c r="C11" s="11"/>
    </row>
    <row r="14" spans="1:4" x14ac:dyDescent="0.25">
      <c r="A14" s="19" t="s">
        <v>25</v>
      </c>
      <c r="B14" s="19" t="s">
        <v>175</v>
      </c>
    </row>
    <row r="15" spans="1:4" x14ac:dyDescent="0.25">
      <c r="A15" s="18"/>
      <c r="B15" s="18">
        <f>SUM(D4:D13)</f>
        <v>0.75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65"/>
  <sheetViews>
    <sheetView topLeftCell="A104" workbookViewId="0">
      <selection activeCell="B36" sqref="B36:C36"/>
    </sheetView>
  </sheetViews>
  <sheetFormatPr defaultRowHeight="13.2" x14ac:dyDescent="0.25"/>
  <cols>
    <col min="1" max="1" width="29" customWidth="1"/>
    <col min="2" max="2" width="28.5546875" customWidth="1"/>
    <col min="3" max="3" width="25.21875" customWidth="1"/>
    <col min="4" max="4" width="18.88671875" customWidth="1"/>
    <col min="5" max="5" width="18.33203125" customWidth="1"/>
    <col min="6" max="6" width="26.44140625" customWidth="1"/>
    <col min="7" max="7" width="20.77734375" customWidth="1"/>
    <col min="8" max="8" width="25" customWidth="1"/>
    <col min="9" max="9" width="37.21875" customWidth="1"/>
    <col min="10" max="10" width="26.44140625" bestFit="1" customWidth="1"/>
  </cols>
  <sheetData>
    <row r="1" spans="1:9" ht="13.8" thickBot="1" x14ac:dyDescent="0.3">
      <c r="A1" s="139" t="s">
        <v>187</v>
      </c>
      <c r="B1" s="140"/>
      <c r="C1" s="140"/>
      <c r="D1" s="141"/>
    </row>
    <row r="3" spans="1:9" x14ac:dyDescent="0.25">
      <c r="A3" s="12" t="s">
        <v>186</v>
      </c>
      <c r="B3" s="143" t="s">
        <v>298</v>
      </c>
      <c r="C3" s="144"/>
    </row>
    <row r="5" spans="1:9" x14ac:dyDescent="0.25">
      <c r="A5" s="12" t="s">
        <v>188</v>
      </c>
      <c r="B5" s="12" t="s">
        <v>190</v>
      </c>
      <c r="C5" s="12" t="s">
        <v>191</v>
      </c>
      <c r="D5" s="12" t="s">
        <v>192</v>
      </c>
      <c r="E5" s="12" t="s">
        <v>189</v>
      </c>
      <c r="F5" s="12" t="s">
        <v>193</v>
      </c>
      <c r="G5" s="12" t="s">
        <v>191</v>
      </c>
      <c r="H5" s="12" t="s">
        <v>194</v>
      </c>
      <c r="I5" s="12" t="s">
        <v>195</v>
      </c>
    </row>
    <row r="6" spans="1:9" ht="19.8" customHeight="1" x14ac:dyDescent="0.25">
      <c r="D6" s="11"/>
      <c r="E6" s="11"/>
      <c r="F6" s="11"/>
      <c r="G6" s="11"/>
      <c r="H6" s="20" t="s">
        <v>306</v>
      </c>
      <c r="I6" s="11"/>
    </row>
    <row r="7" spans="1:9" x14ac:dyDescent="0.25">
      <c r="A7" s="11" t="s">
        <v>258</v>
      </c>
      <c r="B7" s="39" t="s">
        <v>263</v>
      </c>
      <c r="C7" s="39" t="s">
        <v>264</v>
      </c>
      <c r="D7" s="39" t="s">
        <v>261</v>
      </c>
      <c r="E7" s="39" t="s">
        <v>261</v>
      </c>
      <c r="F7" s="39" t="s">
        <v>263</v>
      </c>
      <c r="G7" s="39" t="s">
        <v>291</v>
      </c>
      <c r="H7" s="39" t="s">
        <v>307</v>
      </c>
      <c r="I7" s="11"/>
    </row>
    <row r="8" spans="1:9" x14ac:dyDescent="0.25">
      <c r="A8" s="11" t="s">
        <v>258</v>
      </c>
      <c r="B8" s="39" t="s">
        <v>265</v>
      </c>
      <c r="C8" s="39" t="s">
        <v>264</v>
      </c>
      <c r="D8" s="39" t="s">
        <v>261</v>
      </c>
      <c r="E8" s="39" t="s">
        <v>261</v>
      </c>
      <c r="F8" s="39" t="s">
        <v>265</v>
      </c>
      <c r="G8" s="39" t="s">
        <v>292</v>
      </c>
      <c r="H8" s="93" t="s">
        <v>308</v>
      </c>
      <c r="I8" s="11"/>
    </row>
    <row r="9" spans="1:9" x14ac:dyDescent="0.25">
      <c r="A9" s="11" t="s">
        <v>258</v>
      </c>
      <c r="B9" s="39" t="s">
        <v>266</v>
      </c>
      <c r="C9" s="39" t="s">
        <v>264</v>
      </c>
      <c r="D9" s="39" t="s">
        <v>261</v>
      </c>
      <c r="E9" s="39" t="s">
        <v>261</v>
      </c>
      <c r="F9" s="39" t="s">
        <v>266</v>
      </c>
      <c r="G9" s="39" t="s">
        <v>292</v>
      </c>
      <c r="H9" s="93" t="s">
        <v>308</v>
      </c>
      <c r="I9" s="11"/>
    </row>
    <row r="10" spans="1:9" x14ac:dyDescent="0.25">
      <c r="A10" s="11" t="s">
        <v>258</v>
      </c>
      <c r="B10" s="39" t="s">
        <v>267</v>
      </c>
      <c r="C10" s="39" t="s">
        <v>264</v>
      </c>
      <c r="D10" s="39" t="s">
        <v>261</v>
      </c>
      <c r="E10" s="39" t="s">
        <v>261</v>
      </c>
      <c r="F10" s="39" t="s">
        <v>267</v>
      </c>
      <c r="G10" s="39" t="s">
        <v>292</v>
      </c>
      <c r="H10" s="93" t="s">
        <v>308</v>
      </c>
      <c r="I10" s="11"/>
    </row>
    <row r="11" spans="1:9" x14ac:dyDescent="0.25">
      <c r="A11" s="11" t="s">
        <v>258</v>
      </c>
      <c r="B11" s="39" t="s">
        <v>268</v>
      </c>
      <c r="C11" s="39" t="s">
        <v>264</v>
      </c>
      <c r="D11" s="39" t="s">
        <v>261</v>
      </c>
      <c r="E11" s="39" t="s">
        <v>261</v>
      </c>
      <c r="F11" s="39" t="s">
        <v>268</v>
      </c>
      <c r="G11" s="39" t="s">
        <v>292</v>
      </c>
      <c r="H11" s="93" t="s">
        <v>308</v>
      </c>
      <c r="I11" s="11"/>
    </row>
    <row r="12" spans="1:9" x14ac:dyDescent="0.25">
      <c r="A12" s="11" t="s">
        <v>258</v>
      </c>
      <c r="B12" s="39" t="s">
        <v>269</v>
      </c>
      <c r="C12" s="39" t="s">
        <v>264</v>
      </c>
      <c r="D12" s="39" t="s">
        <v>261</v>
      </c>
      <c r="E12" s="39" t="s">
        <v>261</v>
      </c>
      <c r="F12" s="39" t="s">
        <v>269</v>
      </c>
      <c r="G12" s="39" t="s">
        <v>304</v>
      </c>
      <c r="H12" s="39" t="s">
        <v>307</v>
      </c>
      <c r="I12" s="11"/>
    </row>
    <row r="13" spans="1:9" x14ac:dyDescent="0.25">
      <c r="A13" s="11" t="s">
        <v>258</v>
      </c>
      <c r="B13" s="39" t="s">
        <v>270</v>
      </c>
      <c r="C13" s="39" t="s">
        <v>264</v>
      </c>
      <c r="D13" s="39" t="s">
        <v>261</v>
      </c>
      <c r="E13" s="39" t="s">
        <v>261</v>
      </c>
      <c r="F13" s="39" t="s">
        <v>270</v>
      </c>
      <c r="G13" s="39" t="s">
        <v>304</v>
      </c>
      <c r="H13" s="39" t="s">
        <v>307</v>
      </c>
      <c r="I13" s="11"/>
    </row>
    <row r="14" spans="1:9" x14ac:dyDescent="0.25">
      <c r="A14" s="11" t="s">
        <v>258</v>
      </c>
      <c r="B14" s="39" t="s">
        <v>271</v>
      </c>
      <c r="C14" s="39" t="s">
        <v>264</v>
      </c>
      <c r="D14" s="39" t="s">
        <v>261</v>
      </c>
      <c r="E14" s="39" t="s">
        <v>261</v>
      </c>
      <c r="F14" s="39" t="s">
        <v>271</v>
      </c>
      <c r="G14" s="39" t="s">
        <v>304</v>
      </c>
      <c r="H14" s="39" t="s">
        <v>307</v>
      </c>
      <c r="I14" s="11"/>
    </row>
    <row r="15" spans="1:9" x14ac:dyDescent="0.25">
      <c r="A15" s="11" t="s">
        <v>258</v>
      </c>
      <c r="B15" s="39" t="s">
        <v>272</v>
      </c>
      <c r="C15" s="39" t="s">
        <v>264</v>
      </c>
      <c r="D15" s="39" t="s">
        <v>261</v>
      </c>
      <c r="E15" s="39" t="s">
        <v>261</v>
      </c>
      <c r="F15" s="39" t="s">
        <v>272</v>
      </c>
      <c r="G15" s="39" t="s">
        <v>292</v>
      </c>
      <c r="H15" s="93" t="s">
        <v>308</v>
      </c>
      <c r="I15" s="11"/>
    </row>
    <row r="16" spans="1:9" x14ac:dyDescent="0.25">
      <c r="A16" s="11" t="s">
        <v>258</v>
      </c>
      <c r="B16" s="39" t="s">
        <v>273</v>
      </c>
      <c r="C16" s="39" t="s">
        <v>264</v>
      </c>
      <c r="D16" s="39" t="s">
        <v>261</v>
      </c>
      <c r="E16" s="39" t="s">
        <v>261</v>
      </c>
      <c r="F16" s="39" t="s">
        <v>273</v>
      </c>
      <c r="G16" s="39" t="s">
        <v>304</v>
      </c>
      <c r="H16" s="39" t="s">
        <v>307</v>
      </c>
      <c r="I16" s="11"/>
    </row>
    <row r="17" spans="1:9" x14ac:dyDescent="0.25">
      <c r="A17" s="11" t="s">
        <v>258</v>
      </c>
      <c r="B17" s="39" t="s">
        <v>274</v>
      </c>
      <c r="C17" s="39" t="s">
        <v>264</v>
      </c>
      <c r="D17" s="39" t="s">
        <v>261</v>
      </c>
      <c r="E17" s="39" t="s">
        <v>261</v>
      </c>
      <c r="F17" s="39" t="s">
        <v>274</v>
      </c>
      <c r="G17" s="39" t="s">
        <v>290</v>
      </c>
      <c r="H17" s="93" t="s">
        <v>309</v>
      </c>
      <c r="I17" s="11"/>
    </row>
    <row r="18" spans="1:9" x14ac:dyDescent="0.25">
      <c r="A18" s="11" t="s">
        <v>258</v>
      </c>
      <c r="B18" s="39" t="s">
        <v>275</v>
      </c>
      <c r="C18" s="39" t="s">
        <v>264</v>
      </c>
      <c r="D18" s="39" t="s">
        <v>261</v>
      </c>
      <c r="E18" s="39" t="s">
        <v>261</v>
      </c>
      <c r="F18" s="39" t="s">
        <v>275</v>
      </c>
      <c r="G18" s="39" t="s">
        <v>292</v>
      </c>
      <c r="H18" s="93" t="s">
        <v>308</v>
      </c>
      <c r="I18" s="11"/>
    </row>
    <row r="19" spans="1:9" x14ac:dyDescent="0.25">
      <c r="A19" s="11" t="s">
        <v>258</v>
      </c>
      <c r="B19" s="39" t="s">
        <v>276</v>
      </c>
      <c r="C19" s="39" t="s">
        <v>264</v>
      </c>
      <c r="D19" s="39" t="s">
        <v>261</v>
      </c>
      <c r="E19" s="39" t="s">
        <v>261</v>
      </c>
      <c r="F19" s="39" t="s">
        <v>276</v>
      </c>
      <c r="G19" s="39" t="s">
        <v>292</v>
      </c>
      <c r="H19" s="93" t="s">
        <v>308</v>
      </c>
      <c r="I19" s="11"/>
    </row>
    <row r="20" spans="1:9" x14ac:dyDescent="0.25">
      <c r="A20" s="11" t="s">
        <v>258</v>
      </c>
      <c r="B20" s="39" t="s">
        <v>277</v>
      </c>
      <c r="C20" s="39" t="s">
        <v>264</v>
      </c>
      <c r="D20" s="39" t="s">
        <v>261</v>
      </c>
      <c r="E20" s="39" t="s">
        <v>261</v>
      </c>
      <c r="F20" s="39" t="s">
        <v>277</v>
      </c>
      <c r="G20" s="39" t="s">
        <v>292</v>
      </c>
      <c r="H20" s="93" t="s">
        <v>308</v>
      </c>
      <c r="I20" s="11"/>
    </row>
    <row r="21" spans="1:9" x14ac:dyDescent="0.25">
      <c r="A21" s="11" t="s">
        <v>258</v>
      </c>
      <c r="B21" s="39" t="s">
        <v>278</v>
      </c>
      <c r="C21" s="39" t="s">
        <v>264</v>
      </c>
      <c r="D21" s="39" t="s">
        <v>261</v>
      </c>
      <c r="E21" s="39" t="s">
        <v>261</v>
      </c>
      <c r="F21" s="39" t="s">
        <v>278</v>
      </c>
      <c r="G21" s="39" t="s">
        <v>292</v>
      </c>
      <c r="H21" s="93" t="s">
        <v>308</v>
      </c>
      <c r="I21" s="11"/>
    </row>
    <row r="22" spans="1:9" x14ac:dyDescent="0.25">
      <c r="A22" s="11" t="s">
        <v>258</v>
      </c>
      <c r="B22" s="39" t="s">
        <v>279</v>
      </c>
      <c r="C22" s="39" t="s">
        <v>264</v>
      </c>
      <c r="D22" s="39" t="s">
        <v>261</v>
      </c>
      <c r="E22" s="39" t="s">
        <v>261</v>
      </c>
      <c r="F22" s="39" t="s">
        <v>279</v>
      </c>
      <c r="G22" s="39" t="s">
        <v>292</v>
      </c>
      <c r="H22" s="93" t="s">
        <v>308</v>
      </c>
      <c r="I22" s="11"/>
    </row>
    <row r="23" spans="1:9" x14ac:dyDescent="0.25">
      <c r="A23" s="11" t="s">
        <v>258</v>
      </c>
      <c r="B23" s="39" t="s">
        <v>280</v>
      </c>
      <c r="C23" s="39" t="s">
        <v>264</v>
      </c>
      <c r="D23" s="39" t="s">
        <v>261</v>
      </c>
      <c r="E23" s="39" t="s">
        <v>261</v>
      </c>
      <c r="F23" s="39" t="s">
        <v>280</v>
      </c>
      <c r="G23" s="39" t="s">
        <v>292</v>
      </c>
      <c r="H23" s="93" t="s">
        <v>308</v>
      </c>
      <c r="I23" s="11"/>
    </row>
    <row r="24" spans="1:9" x14ac:dyDescent="0.25">
      <c r="A24" s="11" t="s">
        <v>258</v>
      </c>
      <c r="B24" s="11" t="s">
        <v>281</v>
      </c>
      <c r="C24" s="39" t="s">
        <v>264</v>
      </c>
      <c r="D24" s="39" t="s">
        <v>261</v>
      </c>
      <c r="E24" s="39" t="s">
        <v>261</v>
      </c>
      <c r="F24" s="11" t="s">
        <v>281</v>
      </c>
      <c r="G24" s="39" t="s">
        <v>305</v>
      </c>
      <c r="H24" s="93" t="s">
        <v>310</v>
      </c>
      <c r="I24" s="11"/>
    </row>
    <row r="25" spans="1:9" x14ac:dyDescent="0.25">
      <c r="A25" s="11" t="s">
        <v>258</v>
      </c>
      <c r="B25" s="39" t="s">
        <v>282</v>
      </c>
      <c r="C25" s="39" t="s">
        <v>264</v>
      </c>
      <c r="D25" s="39" t="s">
        <v>261</v>
      </c>
      <c r="E25" s="39" t="s">
        <v>261</v>
      </c>
      <c r="F25" s="39" t="s">
        <v>282</v>
      </c>
      <c r="G25" s="39" t="s">
        <v>305</v>
      </c>
      <c r="H25" s="93" t="s">
        <v>310</v>
      </c>
      <c r="I25" s="11"/>
    </row>
    <row r="26" spans="1:9" x14ac:dyDescent="0.25">
      <c r="A26" s="11" t="s">
        <v>258</v>
      </c>
      <c r="B26" s="39" t="s">
        <v>283</v>
      </c>
      <c r="C26" s="39" t="s">
        <v>264</v>
      </c>
      <c r="D26" s="39" t="s">
        <v>261</v>
      </c>
      <c r="E26" s="39" t="s">
        <v>261</v>
      </c>
      <c r="F26" s="39" t="s">
        <v>283</v>
      </c>
      <c r="G26" s="39" t="s">
        <v>305</v>
      </c>
      <c r="H26" s="93" t="s">
        <v>310</v>
      </c>
      <c r="I26" s="11"/>
    </row>
    <row r="27" spans="1:9" x14ac:dyDescent="0.25">
      <c r="A27" s="11" t="s">
        <v>258</v>
      </c>
      <c r="B27" s="39" t="s">
        <v>284</v>
      </c>
      <c r="C27" s="39" t="s">
        <v>264</v>
      </c>
      <c r="D27" s="39" t="s">
        <v>261</v>
      </c>
      <c r="E27" s="39" t="s">
        <v>261</v>
      </c>
      <c r="F27" s="39" t="s">
        <v>284</v>
      </c>
      <c r="G27" s="39" t="s">
        <v>305</v>
      </c>
      <c r="H27" s="93" t="s">
        <v>310</v>
      </c>
      <c r="I27" s="11"/>
    </row>
    <row r="28" spans="1:9" x14ac:dyDescent="0.25">
      <c r="A28" s="11" t="s">
        <v>258</v>
      </c>
      <c r="B28" s="39" t="s">
        <v>285</v>
      </c>
      <c r="C28" s="39" t="s">
        <v>264</v>
      </c>
      <c r="D28" s="39" t="s">
        <v>261</v>
      </c>
      <c r="E28" s="39" t="s">
        <v>261</v>
      </c>
      <c r="F28" s="39" t="s">
        <v>285</v>
      </c>
      <c r="G28" s="39" t="s">
        <v>290</v>
      </c>
      <c r="H28" s="93" t="s">
        <v>309</v>
      </c>
      <c r="I28" s="11"/>
    </row>
    <row r="29" spans="1:9" x14ac:dyDescent="0.25">
      <c r="A29" s="11" t="s">
        <v>258</v>
      </c>
      <c r="B29" s="39" t="s">
        <v>286</v>
      </c>
      <c r="C29" s="39" t="s">
        <v>264</v>
      </c>
      <c r="D29" s="39" t="s">
        <v>261</v>
      </c>
      <c r="E29" s="39" t="s">
        <v>261</v>
      </c>
      <c r="F29" s="39" t="s">
        <v>286</v>
      </c>
      <c r="G29" s="39" t="s">
        <v>292</v>
      </c>
      <c r="H29" s="93" t="s">
        <v>308</v>
      </c>
      <c r="I29" s="11"/>
    </row>
    <row r="30" spans="1:9" x14ac:dyDescent="0.25">
      <c r="A30" s="11" t="s">
        <v>258</v>
      </c>
      <c r="B30" s="39" t="s">
        <v>287</v>
      </c>
      <c r="C30" s="39" t="s">
        <v>264</v>
      </c>
      <c r="D30" s="39" t="s">
        <v>261</v>
      </c>
      <c r="E30" s="39" t="s">
        <v>261</v>
      </c>
      <c r="F30" s="39" t="s">
        <v>287</v>
      </c>
      <c r="G30" s="39" t="s">
        <v>304</v>
      </c>
      <c r="H30" s="39" t="s">
        <v>307</v>
      </c>
      <c r="I30" s="11"/>
    </row>
    <row r="31" spans="1:9" x14ac:dyDescent="0.25">
      <c r="A31" s="11" t="s">
        <v>258</v>
      </c>
      <c r="B31" s="39" t="s">
        <v>288</v>
      </c>
      <c r="C31" s="39" t="s">
        <v>264</v>
      </c>
      <c r="D31" s="39" t="s">
        <v>261</v>
      </c>
      <c r="E31" s="39" t="s">
        <v>261</v>
      </c>
      <c r="F31" s="39" t="s">
        <v>288</v>
      </c>
      <c r="G31" s="39" t="s">
        <v>292</v>
      </c>
      <c r="H31" s="93" t="s">
        <v>308</v>
      </c>
      <c r="I31" s="11"/>
    </row>
    <row r="32" spans="1:9" x14ac:dyDescent="0.25">
      <c r="A32" s="11" t="s">
        <v>258</v>
      </c>
      <c r="B32" s="39" t="s">
        <v>289</v>
      </c>
      <c r="C32" s="39" t="s">
        <v>264</v>
      </c>
      <c r="D32" s="39" t="s">
        <v>261</v>
      </c>
      <c r="E32" s="39" t="s">
        <v>261</v>
      </c>
      <c r="F32" s="39" t="s">
        <v>289</v>
      </c>
      <c r="G32" s="39" t="s">
        <v>292</v>
      </c>
      <c r="H32" s="93" t="s">
        <v>308</v>
      </c>
      <c r="I32" s="11"/>
    </row>
    <row r="36" spans="1:10" x14ac:dyDescent="0.25">
      <c r="A36" s="12" t="s">
        <v>186</v>
      </c>
      <c r="B36" s="143" t="s">
        <v>301</v>
      </c>
      <c r="C36" s="144"/>
    </row>
    <row r="38" spans="1:10" x14ac:dyDescent="0.25">
      <c r="A38" s="12" t="s">
        <v>188</v>
      </c>
      <c r="B38" s="12" t="s">
        <v>189</v>
      </c>
      <c r="C38" s="12" t="s">
        <v>190</v>
      </c>
      <c r="D38" s="12" t="s">
        <v>191</v>
      </c>
      <c r="E38" s="12" t="s">
        <v>192</v>
      </c>
      <c r="F38" s="12" t="s">
        <v>189</v>
      </c>
      <c r="G38" s="12" t="s">
        <v>193</v>
      </c>
      <c r="H38" s="12" t="s">
        <v>191</v>
      </c>
      <c r="I38" s="12" t="s">
        <v>194</v>
      </c>
      <c r="J38" s="12" t="s">
        <v>195</v>
      </c>
    </row>
    <row r="39" spans="1:10" x14ac:dyDescent="0.25">
      <c r="E39" s="11"/>
      <c r="F39" s="11"/>
      <c r="G39" s="11"/>
      <c r="H39" s="20"/>
      <c r="I39" s="20" t="s">
        <v>306</v>
      </c>
      <c r="J39" s="11"/>
    </row>
    <row r="40" spans="1:10" x14ac:dyDescent="0.25">
      <c r="A40" s="39" t="s">
        <v>261</v>
      </c>
      <c r="B40" s="39" t="s">
        <v>261</v>
      </c>
      <c r="C40" s="39" t="s">
        <v>263</v>
      </c>
      <c r="D40" s="39" t="s">
        <v>291</v>
      </c>
      <c r="E40" s="39" t="s">
        <v>311</v>
      </c>
      <c r="F40" s="39" t="s">
        <v>311</v>
      </c>
      <c r="G40" s="39" t="s">
        <v>263</v>
      </c>
      <c r="H40" s="39" t="s">
        <v>291</v>
      </c>
      <c r="I40" s="11"/>
      <c r="J40" s="11"/>
    </row>
    <row r="41" spans="1:10" x14ac:dyDescent="0.25">
      <c r="A41" s="39" t="s">
        <v>261</v>
      </c>
      <c r="B41" s="39" t="s">
        <v>261</v>
      </c>
      <c r="C41" s="39" t="s">
        <v>265</v>
      </c>
      <c r="D41" s="39" t="s">
        <v>292</v>
      </c>
      <c r="E41" s="39" t="s">
        <v>311</v>
      </c>
      <c r="F41" s="39" t="s">
        <v>311</v>
      </c>
      <c r="G41" s="39" t="s">
        <v>265</v>
      </c>
      <c r="H41" s="39" t="s">
        <v>292</v>
      </c>
      <c r="I41" s="11"/>
      <c r="J41" s="11"/>
    </row>
    <row r="42" spans="1:10" x14ac:dyDescent="0.25">
      <c r="A42" s="39" t="s">
        <v>261</v>
      </c>
      <c r="B42" s="39" t="s">
        <v>261</v>
      </c>
      <c r="C42" s="39" t="s">
        <v>266</v>
      </c>
      <c r="D42" s="39" t="s">
        <v>292</v>
      </c>
      <c r="E42" s="39" t="s">
        <v>311</v>
      </c>
      <c r="F42" s="39" t="s">
        <v>311</v>
      </c>
      <c r="G42" s="39" t="s">
        <v>266</v>
      </c>
      <c r="H42" s="39" t="s">
        <v>292</v>
      </c>
      <c r="I42" s="11"/>
      <c r="J42" s="11"/>
    </row>
    <row r="43" spans="1:10" x14ac:dyDescent="0.25">
      <c r="A43" s="39" t="s">
        <v>261</v>
      </c>
      <c r="B43" s="39" t="s">
        <v>261</v>
      </c>
      <c r="C43" s="39" t="s">
        <v>267</v>
      </c>
      <c r="D43" s="39" t="s">
        <v>292</v>
      </c>
      <c r="E43" s="39" t="s">
        <v>311</v>
      </c>
      <c r="F43" s="39" t="s">
        <v>311</v>
      </c>
      <c r="G43" s="39" t="s">
        <v>267</v>
      </c>
      <c r="H43" s="39" t="s">
        <v>292</v>
      </c>
      <c r="I43" s="11"/>
      <c r="J43" s="11"/>
    </row>
    <row r="44" spans="1:10" x14ac:dyDescent="0.25">
      <c r="A44" s="39" t="s">
        <v>261</v>
      </c>
      <c r="B44" s="39" t="s">
        <v>261</v>
      </c>
      <c r="C44" s="39" t="s">
        <v>268</v>
      </c>
      <c r="D44" s="39" t="s">
        <v>292</v>
      </c>
      <c r="E44" s="39" t="s">
        <v>311</v>
      </c>
      <c r="F44" s="39" t="s">
        <v>311</v>
      </c>
      <c r="G44" s="39" t="s">
        <v>268</v>
      </c>
      <c r="H44" s="39" t="s">
        <v>292</v>
      </c>
      <c r="I44" s="11"/>
      <c r="J44" s="11"/>
    </row>
    <row r="45" spans="1:10" x14ac:dyDescent="0.25">
      <c r="A45" s="39" t="s">
        <v>261</v>
      </c>
      <c r="B45" s="39" t="s">
        <v>261</v>
      </c>
      <c r="C45" s="39" t="s">
        <v>269</v>
      </c>
      <c r="D45" s="39" t="s">
        <v>304</v>
      </c>
      <c r="E45" s="39" t="s">
        <v>311</v>
      </c>
      <c r="F45" s="39" t="s">
        <v>311</v>
      </c>
      <c r="G45" s="39" t="s">
        <v>269</v>
      </c>
      <c r="H45" s="39" t="s">
        <v>304</v>
      </c>
      <c r="I45" s="11" t="s">
        <v>315</v>
      </c>
      <c r="J45" s="11"/>
    </row>
    <row r="46" spans="1:10" x14ac:dyDescent="0.25">
      <c r="A46" s="39" t="s">
        <v>261</v>
      </c>
      <c r="B46" s="39" t="s">
        <v>261</v>
      </c>
      <c r="C46" s="39" t="s">
        <v>270</v>
      </c>
      <c r="D46" s="39" t="s">
        <v>304</v>
      </c>
      <c r="E46" s="39" t="s">
        <v>311</v>
      </c>
      <c r="F46" s="39" t="s">
        <v>311</v>
      </c>
      <c r="G46" s="39" t="s">
        <v>270</v>
      </c>
      <c r="H46" s="39" t="s">
        <v>304</v>
      </c>
      <c r="I46" s="11" t="s">
        <v>314</v>
      </c>
      <c r="J46" s="11"/>
    </row>
    <row r="47" spans="1:10" x14ac:dyDescent="0.25">
      <c r="A47" s="39" t="s">
        <v>261</v>
      </c>
      <c r="B47" s="39" t="s">
        <v>261</v>
      </c>
      <c r="C47" s="39" t="s">
        <v>271</v>
      </c>
      <c r="D47" s="39" t="s">
        <v>304</v>
      </c>
      <c r="E47" s="39" t="s">
        <v>311</v>
      </c>
      <c r="F47" s="39" t="s">
        <v>311</v>
      </c>
      <c r="G47" s="39" t="s">
        <v>271</v>
      </c>
      <c r="H47" s="39" t="s">
        <v>304</v>
      </c>
      <c r="I47" s="11" t="s">
        <v>313</v>
      </c>
      <c r="J47" s="11"/>
    </row>
    <row r="48" spans="1:10" x14ac:dyDescent="0.25">
      <c r="A48" s="39" t="s">
        <v>261</v>
      </c>
      <c r="B48" s="39" t="s">
        <v>261</v>
      </c>
      <c r="C48" s="39" t="s">
        <v>272</v>
      </c>
      <c r="D48" s="39" t="s">
        <v>292</v>
      </c>
      <c r="E48" s="39" t="s">
        <v>311</v>
      </c>
      <c r="F48" s="39" t="s">
        <v>311</v>
      </c>
      <c r="G48" s="39" t="s">
        <v>272</v>
      </c>
      <c r="H48" s="39" t="s">
        <v>292</v>
      </c>
      <c r="I48" s="11"/>
      <c r="J48" s="11"/>
    </row>
    <row r="49" spans="1:10" x14ac:dyDescent="0.25">
      <c r="A49" s="39" t="s">
        <v>261</v>
      </c>
      <c r="B49" s="39" t="s">
        <v>261</v>
      </c>
      <c r="C49" s="39" t="s">
        <v>273</v>
      </c>
      <c r="D49" s="39" t="s">
        <v>304</v>
      </c>
      <c r="E49" s="39" t="s">
        <v>311</v>
      </c>
      <c r="F49" s="39" t="s">
        <v>311</v>
      </c>
      <c r="G49" s="39" t="s">
        <v>273</v>
      </c>
      <c r="H49" s="39" t="s">
        <v>304</v>
      </c>
      <c r="I49" s="11" t="s">
        <v>312</v>
      </c>
      <c r="J49" s="11"/>
    </row>
    <row r="50" spans="1:10" x14ac:dyDescent="0.25">
      <c r="A50" s="39" t="s">
        <v>261</v>
      </c>
      <c r="B50" s="39" t="s">
        <v>261</v>
      </c>
      <c r="C50" s="39" t="s">
        <v>274</v>
      </c>
      <c r="D50" s="39" t="s">
        <v>290</v>
      </c>
      <c r="E50" s="39" t="s">
        <v>311</v>
      </c>
      <c r="F50" s="39" t="s">
        <v>311</v>
      </c>
      <c r="G50" s="39" t="s">
        <v>274</v>
      </c>
      <c r="H50" s="39" t="s">
        <v>290</v>
      </c>
      <c r="I50" s="11"/>
      <c r="J50" s="11"/>
    </row>
    <row r="51" spans="1:10" x14ac:dyDescent="0.25">
      <c r="A51" s="39" t="s">
        <v>261</v>
      </c>
      <c r="B51" s="39" t="s">
        <v>261</v>
      </c>
      <c r="C51" s="39" t="s">
        <v>275</v>
      </c>
      <c r="D51" s="39" t="s">
        <v>292</v>
      </c>
      <c r="E51" s="39" t="s">
        <v>311</v>
      </c>
      <c r="F51" s="39" t="s">
        <v>311</v>
      </c>
      <c r="G51" s="39" t="s">
        <v>275</v>
      </c>
      <c r="H51" s="39" t="s">
        <v>292</v>
      </c>
      <c r="I51" s="11"/>
      <c r="J51" s="11"/>
    </row>
    <row r="52" spans="1:10" x14ac:dyDescent="0.25">
      <c r="A52" s="39" t="s">
        <v>261</v>
      </c>
      <c r="B52" s="39" t="s">
        <v>261</v>
      </c>
      <c r="C52" s="39" t="s">
        <v>276</v>
      </c>
      <c r="D52" s="39" t="s">
        <v>292</v>
      </c>
      <c r="E52" s="39" t="s">
        <v>311</v>
      </c>
      <c r="F52" s="39" t="s">
        <v>311</v>
      </c>
      <c r="G52" s="39" t="s">
        <v>276</v>
      </c>
      <c r="H52" s="39" t="s">
        <v>292</v>
      </c>
      <c r="I52" s="11"/>
      <c r="J52" s="11"/>
    </row>
    <row r="53" spans="1:10" x14ac:dyDescent="0.25">
      <c r="A53" s="39" t="s">
        <v>261</v>
      </c>
      <c r="B53" s="39" t="s">
        <v>261</v>
      </c>
      <c r="C53" s="39" t="s">
        <v>277</v>
      </c>
      <c r="D53" s="39" t="s">
        <v>292</v>
      </c>
      <c r="E53" s="39" t="s">
        <v>311</v>
      </c>
      <c r="F53" s="39" t="s">
        <v>311</v>
      </c>
      <c r="G53" s="39" t="s">
        <v>277</v>
      </c>
      <c r="H53" s="39" t="s">
        <v>292</v>
      </c>
      <c r="I53" s="11"/>
      <c r="J53" s="11"/>
    </row>
    <row r="54" spans="1:10" x14ac:dyDescent="0.25">
      <c r="A54" s="39" t="s">
        <v>261</v>
      </c>
      <c r="B54" s="39" t="s">
        <v>261</v>
      </c>
      <c r="C54" s="39" t="s">
        <v>278</v>
      </c>
      <c r="D54" s="39" t="s">
        <v>292</v>
      </c>
      <c r="E54" s="39" t="s">
        <v>311</v>
      </c>
      <c r="F54" s="39" t="s">
        <v>311</v>
      </c>
      <c r="G54" s="39" t="s">
        <v>278</v>
      </c>
      <c r="H54" s="39" t="s">
        <v>292</v>
      </c>
      <c r="I54" s="11"/>
      <c r="J54" s="11"/>
    </row>
    <row r="55" spans="1:10" x14ac:dyDescent="0.25">
      <c r="A55" s="39" t="s">
        <v>261</v>
      </c>
      <c r="B55" s="39" t="s">
        <v>261</v>
      </c>
      <c r="C55" s="39" t="s">
        <v>279</v>
      </c>
      <c r="D55" s="39" t="s">
        <v>292</v>
      </c>
      <c r="E55" s="39" t="s">
        <v>311</v>
      </c>
      <c r="F55" s="39" t="s">
        <v>311</v>
      </c>
      <c r="G55" s="39" t="s">
        <v>279</v>
      </c>
      <c r="H55" s="39" t="s">
        <v>292</v>
      </c>
      <c r="I55" s="11"/>
      <c r="J55" s="11"/>
    </row>
    <row r="56" spans="1:10" x14ac:dyDescent="0.25">
      <c r="A56" s="39" t="s">
        <v>261</v>
      </c>
      <c r="B56" s="39" t="s">
        <v>261</v>
      </c>
      <c r="C56" s="39" t="s">
        <v>280</v>
      </c>
      <c r="D56" s="39" t="s">
        <v>292</v>
      </c>
      <c r="E56" s="39" t="s">
        <v>311</v>
      </c>
      <c r="F56" s="39" t="s">
        <v>311</v>
      </c>
      <c r="G56" s="39" t="s">
        <v>280</v>
      </c>
      <c r="H56" s="39" t="s">
        <v>292</v>
      </c>
      <c r="I56" s="11"/>
      <c r="J56" s="11"/>
    </row>
    <row r="57" spans="1:10" x14ac:dyDescent="0.25">
      <c r="A57" s="39" t="s">
        <v>261</v>
      </c>
      <c r="B57" s="39" t="s">
        <v>261</v>
      </c>
      <c r="C57" s="11" t="s">
        <v>281</v>
      </c>
      <c r="D57" s="39" t="s">
        <v>305</v>
      </c>
      <c r="E57" s="39" t="s">
        <v>311</v>
      </c>
      <c r="F57" s="39" t="s">
        <v>311</v>
      </c>
      <c r="G57" s="11" t="s">
        <v>281</v>
      </c>
      <c r="H57" s="39" t="s">
        <v>305</v>
      </c>
      <c r="I57" s="11"/>
      <c r="J57" s="11"/>
    </row>
    <row r="58" spans="1:10" x14ac:dyDescent="0.25">
      <c r="A58" s="39" t="s">
        <v>261</v>
      </c>
      <c r="B58" s="39" t="s">
        <v>261</v>
      </c>
      <c r="C58" s="39" t="s">
        <v>282</v>
      </c>
      <c r="D58" s="39" t="s">
        <v>305</v>
      </c>
      <c r="E58" s="39" t="s">
        <v>311</v>
      </c>
      <c r="F58" s="39" t="s">
        <v>311</v>
      </c>
      <c r="G58" s="39" t="s">
        <v>282</v>
      </c>
      <c r="H58" s="39" t="s">
        <v>305</v>
      </c>
      <c r="I58" s="11"/>
      <c r="J58" s="11"/>
    </row>
    <row r="59" spans="1:10" x14ac:dyDescent="0.25">
      <c r="A59" s="39" t="s">
        <v>261</v>
      </c>
      <c r="B59" s="39" t="s">
        <v>261</v>
      </c>
      <c r="C59" s="39" t="s">
        <v>283</v>
      </c>
      <c r="D59" s="39" t="s">
        <v>305</v>
      </c>
      <c r="E59" s="39" t="s">
        <v>311</v>
      </c>
      <c r="F59" s="39" t="s">
        <v>311</v>
      </c>
      <c r="G59" s="39" t="s">
        <v>283</v>
      </c>
      <c r="H59" s="39" t="s">
        <v>305</v>
      </c>
      <c r="I59" s="11"/>
      <c r="J59" s="11"/>
    </row>
    <row r="60" spans="1:10" x14ac:dyDescent="0.25">
      <c r="A60" s="39" t="s">
        <v>261</v>
      </c>
      <c r="B60" s="39" t="s">
        <v>261</v>
      </c>
      <c r="C60" s="39" t="s">
        <v>284</v>
      </c>
      <c r="D60" s="39" t="s">
        <v>305</v>
      </c>
      <c r="E60" s="39" t="s">
        <v>311</v>
      </c>
      <c r="F60" s="39" t="s">
        <v>311</v>
      </c>
      <c r="G60" s="39" t="s">
        <v>284</v>
      </c>
      <c r="H60" s="39" t="s">
        <v>305</v>
      </c>
      <c r="I60" s="11"/>
      <c r="J60" s="11"/>
    </row>
    <row r="61" spans="1:10" x14ac:dyDescent="0.25">
      <c r="A61" s="39" t="s">
        <v>261</v>
      </c>
      <c r="B61" s="39" t="s">
        <v>261</v>
      </c>
      <c r="C61" s="39" t="s">
        <v>285</v>
      </c>
      <c r="D61" s="39" t="s">
        <v>290</v>
      </c>
      <c r="E61" s="39" t="s">
        <v>311</v>
      </c>
      <c r="F61" s="39" t="s">
        <v>311</v>
      </c>
      <c r="G61" s="39" t="s">
        <v>285</v>
      </c>
      <c r="H61" s="39" t="s">
        <v>290</v>
      </c>
      <c r="I61" s="11"/>
      <c r="J61" s="11"/>
    </row>
    <row r="62" spans="1:10" x14ac:dyDescent="0.25">
      <c r="A62" s="39" t="s">
        <v>261</v>
      </c>
      <c r="B62" s="39" t="s">
        <v>261</v>
      </c>
      <c r="C62" s="39" t="s">
        <v>286</v>
      </c>
      <c r="D62" s="39" t="s">
        <v>292</v>
      </c>
      <c r="E62" s="39" t="s">
        <v>311</v>
      </c>
      <c r="F62" s="39" t="s">
        <v>311</v>
      </c>
      <c r="G62" s="39" t="s">
        <v>286</v>
      </c>
      <c r="H62" s="39" t="s">
        <v>292</v>
      </c>
      <c r="I62" s="11"/>
      <c r="J62" s="11"/>
    </row>
    <row r="63" spans="1:10" x14ac:dyDescent="0.25">
      <c r="A63" s="39" t="s">
        <v>261</v>
      </c>
      <c r="B63" s="39" t="s">
        <v>261</v>
      </c>
      <c r="C63" s="39" t="s">
        <v>287</v>
      </c>
      <c r="D63" s="39" t="s">
        <v>304</v>
      </c>
      <c r="E63" s="39" t="s">
        <v>311</v>
      </c>
      <c r="F63" s="39" t="s">
        <v>311</v>
      </c>
      <c r="G63" s="39" t="s">
        <v>287</v>
      </c>
      <c r="H63" s="39" t="s">
        <v>304</v>
      </c>
      <c r="I63" s="11" t="s">
        <v>316</v>
      </c>
      <c r="J63" s="11"/>
    </row>
    <row r="64" spans="1:10" x14ac:dyDescent="0.25">
      <c r="A64" s="39" t="s">
        <v>261</v>
      </c>
      <c r="B64" s="39" t="s">
        <v>261</v>
      </c>
      <c r="C64" s="39" t="s">
        <v>288</v>
      </c>
      <c r="D64" s="39" t="s">
        <v>292</v>
      </c>
      <c r="E64" s="39" t="s">
        <v>311</v>
      </c>
      <c r="F64" s="39" t="s">
        <v>311</v>
      </c>
      <c r="G64" s="39" t="s">
        <v>288</v>
      </c>
      <c r="H64" s="39" t="s">
        <v>292</v>
      </c>
      <c r="I64" s="11"/>
      <c r="J64" s="11"/>
    </row>
    <row r="65" spans="1:10" x14ac:dyDescent="0.25">
      <c r="A65" s="39" t="s">
        <v>261</v>
      </c>
      <c r="B65" s="39" t="s">
        <v>261</v>
      </c>
      <c r="C65" s="39" t="s">
        <v>289</v>
      </c>
      <c r="D65" s="39" t="s">
        <v>292</v>
      </c>
      <c r="E65" s="39" t="s">
        <v>311</v>
      </c>
      <c r="F65" s="39" t="s">
        <v>311</v>
      </c>
      <c r="G65" s="39" t="s">
        <v>289</v>
      </c>
      <c r="H65" s="39" t="s">
        <v>292</v>
      </c>
      <c r="I65" s="11"/>
      <c r="J65" s="11"/>
    </row>
  </sheetData>
  <mergeCells count="3">
    <mergeCell ref="A1:D1"/>
    <mergeCell ref="B3:C3"/>
    <mergeCell ref="B36:C36"/>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7"/>
  <sheetViews>
    <sheetView workbookViewId="0">
      <selection activeCell="D16" sqref="D16"/>
    </sheetView>
  </sheetViews>
  <sheetFormatPr defaultRowHeight="13.2" x14ac:dyDescent="0.25"/>
  <cols>
    <col min="1" max="1" width="18.5546875" customWidth="1"/>
    <col min="2" max="2" width="30.5546875" bestFit="1" customWidth="1"/>
    <col min="3" max="3" width="37.44140625" customWidth="1"/>
    <col min="4" max="4" width="31.5546875" customWidth="1"/>
    <col min="5" max="5" width="25.5546875" bestFit="1" customWidth="1"/>
    <col min="6" max="6" width="48.44140625" style="21" bestFit="1" customWidth="1"/>
  </cols>
  <sheetData>
    <row r="1" spans="1:5" ht="13.8" thickBot="1" x14ac:dyDescent="0.3">
      <c r="A1" s="139" t="s">
        <v>196</v>
      </c>
      <c r="B1" s="140"/>
      <c r="C1" s="141"/>
    </row>
    <row r="2" spans="1:5" ht="13.8" thickBot="1" x14ac:dyDescent="0.3"/>
    <row r="3" spans="1:5" ht="13.8" thickBot="1" x14ac:dyDescent="0.3">
      <c r="A3" s="139" t="s">
        <v>197</v>
      </c>
      <c r="B3" s="140"/>
      <c r="C3" s="141"/>
    </row>
    <row r="4" spans="1:5" x14ac:dyDescent="0.25">
      <c r="A4" s="14" t="s">
        <v>185</v>
      </c>
      <c r="B4" s="14" t="s">
        <v>198</v>
      </c>
      <c r="C4" s="14" t="s">
        <v>57</v>
      </c>
    </row>
    <row r="5" spans="1:5" ht="26.4" x14ac:dyDescent="0.25">
      <c r="A5" s="39" t="s">
        <v>252</v>
      </c>
      <c r="B5" s="25" t="s">
        <v>322</v>
      </c>
      <c r="C5" s="39" t="s">
        <v>318</v>
      </c>
    </row>
    <row r="6" spans="1:5" ht="55.8" customHeight="1" x14ac:dyDescent="0.25">
      <c r="A6" s="39" t="s">
        <v>249</v>
      </c>
      <c r="B6" s="94" t="s">
        <v>319</v>
      </c>
      <c r="C6" s="39" t="s">
        <v>318</v>
      </c>
    </row>
    <row r="7" spans="1:5" x14ac:dyDescent="0.25">
      <c r="A7" s="91"/>
      <c r="B7" s="90"/>
      <c r="C7" s="91"/>
    </row>
    <row r="8" spans="1:5" x14ac:dyDescent="0.25">
      <c r="A8" s="91"/>
      <c r="B8" s="90"/>
      <c r="C8" s="91"/>
    </row>
    <row r="9" spans="1:5" ht="13.8" thickBot="1" x14ac:dyDescent="0.3"/>
    <row r="10" spans="1:5" ht="13.8" thickBot="1" x14ac:dyDescent="0.3">
      <c r="A10" s="139" t="s">
        <v>199</v>
      </c>
      <c r="B10" s="140"/>
      <c r="C10" s="141"/>
    </row>
    <row r="11" spans="1:5" x14ac:dyDescent="0.25">
      <c r="A11" s="14" t="s">
        <v>185</v>
      </c>
      <c r="B11" s="14" t="s">
        <v>198</v>
      </c>
      <c r="C11" s="14" t="s">
        <v>200</v>
      </c>
      <c r="D11" s="12" t="s">
        <v>19</v>
      </c>
      <c r="E11" s="13"/>
    </row>
    <row r="12" spans="1:5" x14ac:dyDescent="0.25">
      <c r="A12" s="39" t="s">
        <v>252</v>
      </c>
      <c r="B12" s="39" t="s">
        <v>317</v>
      </c>
      <c r="C12" s="39" t="s">
        <v>321</v>
      </c>
      <c r="D12" s="39" t="s">
        <v>318</v>
      </c>
    </row>
    <row r="13" spans="1:5" ht="79.2" x14ac:dyDescent="0.25">
      <c r="A13" s="95" t="s">
        <v>249</v>
      </c>
      <c r="B13" s="94" t="s">
        <v>319</v>
      </c>
      <c r="C13" s="94" t="s">
        <v>323</v>
      </c>
      <c r="D13" s="39" t="s">
        <v>318</v>
      </c>
    </row>
    <row r="16" spans="1:5" x14ac:dyDescent="0.25">
      <c r="A16" s="19" t="s">
        <v>25</v>
      </c>
      <c r="B16" s="19" t="s">
        <v>175</v>
      </c>
    </row>
    <row r="17" spans="1:2" x14ac:dyDescent="0.25">
      <c r="A17" s="18"/>
      <c r="B17" s="18">
        <v>0</v>
      </c>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3"/>
  <sheetViews>
    <sheetView topLeftCell="A10" workbookViewId="0">
      <selection activeCell="E7" sqref="E7"/>
    </sheetView>
  </sheetViews>
  <sheetFormatPr defaultRowHeight="13.2" x14ac:dyDescent="0.25"/>
  <cols>
    <col min="1" max="1" width="12.109375" bestFit="1" customWidth="1"/>
    <col min="2" max="2" width="28.6640625" customWidth="1"/>
    <col min="3" max="3" width="36.77734375" customWidth="1"/>
    <col min="4" max="4" width="34.6640625" customWidth="1"/>
    <col min="5" max="5" width="42.21875"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5" ht="13.8" thickBot="1" x14ac:dyDescent="0.3">
      <c r="A1" s="139" t="s">
        <v>201</v>
      </c>
      <c r="B1" s="140"/>
      <c r="C1" s="141"/>
    </row>
    <row r="2" spans="1:25" x14ac:dyDescent="0.25">
      <c r="F2" s="148" t="s">
        <v>202</v>
      </c>
      <c r="G2" s="148"/>
      <c r="H2" s="148"/>
      <c r="I2" s="145" t="s">
        <v>203</v>
      </c>
      <c r="J2" s="146"/>
      <c r="K2" s="146"/>
      <c r="L2" s="145" t="s">
        <v>204</v>
      </c>
      <c r="M2" s="146"/>
      <c r="N2" s="146"/>
      <c r="O2" s="146"/>
      <c r="P2" s="146"/>
      <c r="Q2" s="147"/>
      <c r="R2" s="145" t="s">
        <v>205</v>
      </c>
      <c r="S2" s="146"/>
      <c r="T2" s="146"/>
      <c r="U2" s="147"/>
      <c r="V2" s="145" t="s">
        <v>206</v>
      </c>
      <c r="W2" s="147"/>
    </row>
    <row r="3" spans="1:25" s="44" customFormat="1" ht="34.200000000000003" x14ac:dyDescent="0.2">
      <c r="A3" s="40" t="s">
        <v>185</v>
      </c>
      <c r="B3" s="40" t="s">
        <v>198</v>
      </c>
      <c r="C3" s="40" t="s">
        <v>200</v>
      </c>
      <c r="D3" s="40" t="s">
        <v>207</v>
      </c>
      <c r="E3" s="40" t="s">
        <v>109</v>
      </c>
      <c r="F3" s="41" t="s">
        <v>208</v>
      </c>
      <c r="G3" s="41" t="s">
        <v>209</v>
      </c>
      <c r="H3" s="40" t="s">
        <v>210</v>
      </c>
      <c r="I3" s="41" t="s">
        <v>211</v>
      </c>
      <c r="J3" s="41" t="s">
        <v>212</v>
      </c>
      <c r="K3" s="41" t="s">
        <v>213</v>
      </c>
      <c r="L3" s="45" t="s">
        <v>214</v>
      </c>
      <c r="M3" s="45" t="s">
        <v>215</v>
      </c>
      <c r="N3" s="41" t="s">
        <v>216</v>
      </c>
      <c r="O3" s="41" t="s">
        <v>217</v>
      </c>
      <c r="P3" s="41" t="s">
        <v>218</v>
      </c>
      <c r="Q3" s="41" t="s">
        <v>219</v>
      </c>
      <c r="R3" s="42" t="s">
        <v>214</v>
      </c>
      <c r="S3" s="42" t="s">
        <v>215</v>
      </c>
      <c r="T3" s="42" t="s">
        <v>220</v>
      </c>
      <c r="U3" s="43" t="s">
        <v>221</v>
      </c>
      <c r="V3" s="43" t="s">
        <v>222</v>
      </c>
      <c r="W3" s="43" t="s">
        <v>223</v>
      </c>
      <c r="X3" s="41" t="s">
        <v>19</v>
      </c>
    </row>
    <row r="4" spans="1:25" x14ac:dyDescent="0.25">
      <c r="A4" s="39" t="s">
        <v>252</v>
      </c>
      <c r="B4" s="39" t="s">
        <v>324</v>
      </c>
      <c r="C4" s="11" t="s">
        <v>321</v>
      </c>
      <c r="D4" s="39" t="s">
        <v>325</v>
      </c>
      <c r="E4" s="39" t="s">
        <v>298</v>
      </c>
      <c r="F4" s="11" t="s">
        <v>154</v>
      </c>
      <c r="G4" s="11" t="s">
        <v>154</v>
      </c>
      <c r="H4" s="11" t="s">
        <v>154</v>
      </c>
      <c r="I4" s="11" t="s">
        <v>154</v>
      </c>
      <c r="J4" s="11" t="s">
        <v>154</v>
      </c>
      <c r="K4" s="11" t="s">
        <v>154</v>
      </c>
      <c r="L4" s="11" t="s">
        <v>154</v>
      </c>
      <c r="M4" s="11" t="s">
        <v>154</v>
      </c>
      <c r="N4" s="11" t="s">
        <v>154</v>
      </c>
      <c r="O4" s="11" t="s">
        <v>154</v>
      </c>
      <c r="P4" s="11" t="s">
        <v>154</v>
      </c>
      <c r="Q4" s="11" t="s">
        <v>154</v>
      </c>
      <c r="R4" s="11" t="s">
        <v>154</v>
      </c>
      <c r="S4" s="11" t="s">
        <v>154</v>
      </c>
      <c r="T4" s="11" t="s">
        <v>154</v>
      </c>
      <c r="U4" s="11" t="s">
        <v>154</v>
      </c>
      <c r="V4" s="11" t="s">
        <v>154</v>
      </c>
      <c r="W4" s="11" t="s">
        <v>154</v>
      </c>
      <c r="X4" s="20" t="s">
        <v>326</v>
      </c>
      <c r="Y4">
        <f>0.004</f>
        <v>4.0000000000000001E-3</v>
      </c>
    </row>
    <row r="5" spans="1:25" x14ac:dyDescent="0.25">
      <c r="A5" s="39" t="s">
        <v>252</v>
      </c>
      <c r="B5" s="39" t="s">
        <v>317</v>
      </c>
      <c r="C5" s="11" t="s">
        <v>321</v>
      </c>
      <c r="D5" s="39" t="s">
        <v>327</v>
      </c>
      <c r="E5" s="39" t="s">
        <v>301</v>
      </c>
      <c r="F5" s="11" t="s">
        <v>154</v>
      </c>
      <c r="G5" s="11" t="s">
        <v>154</v>
      </c>
      <c r="H5" s="11" t="s">
        <v>154</v>
      </c>
      <c r="I5" s="11" t="s">
        <v>154</v>
      </c>
      <c r="J5" s="11" t="s">
        <v>154</v>
      </c>
      <c r="K5" s="11" t="s">
        <v>154</v>
      </c>
      <c r="L5" s="11" t="s">
        <v>154</v>
      </c>
      <c r="M5" s="11" t="s">
        <v>154</v>
      </c>
      <c r="N5" s="11" t="s">
        <v>154</v>
      </c>
      <c r="O5" s="11" t="s">
        <v>154</v>
      </c>
      <c r="P5" s="11" t="s">
        <v>154</v>
      </c>
      <c r="Q5" s="11" t="s">
        <v>154</v>
      </c>
      <c r="R5" s="11" t="s">
        <v>154</v>
      </c>
      <c r="S5" s="11" t="s">
        <v>154</v>
      </c>
      <c r="T5" s="11" t="s">
        <v>154</v>
      </c>
      <c r="U5" s="11" t="s">
        <v>154</v>
      </c>
      <c r="V5" s="11" t="s">
        <v>154</v>
      </c>
      <c r="W5" s="11" t="s">
        <v>154</v>
      </c>
      <c r="X5" s="20" t="s">
        <v>326</v>
      </c>
      <c r="Y5">
        <f t="shared" ref="Y5:Y7" si="0">0.004</f>
        <v>4.0000000000000001E-3</v>
      </c>
    </row>
    <row r="6" spans="1:25" ht="79.2" x14ac:dyDescent="0.25">
      <c r="A6" s="11" t="s">
        <v>249</v>
      </c>
      <c r="B6" s="25" t="s">
        <v>328</v>
      </c>
      <c r="C6" s="39" t="s">
        <v>320</v>
      </c>
      <c r="D6" s="11" t="s">
        <v>325</v>
      </c>
      <c r="E6" s="39" t="s">
        <v>299</v>
      </c>
      <c r="F6" s="11" t="s">
        <v>154</v>
      </c>
      <c r="G6" s="11" t="s">
        <v>154</v>
      </c>
      <c r="H6" s="11" t="s">
        <v>154</v>
      </c>
      <c r="I6" s="11" t="s">
        <v>154</v>
      </c>
      <c r="J6" s="11" t="s">
        <v>154</v>
      </c>
      <c r="K6" s="11" t="s">
        <v>154</v>
      </c>
      <c r="L6" s="11" t="s">
        <v>154</v>
      </c>
      <c r="M6" s="11" t="s">
        <v>154</v>
      </c>
      <c r="N6" s="11" t="s">
        <v>154</v>
      </c>
      <c r="O6" s="11" t="s">
        <v>154</v>
      </c>
      <c r="P6" s="11" t="s">
        <v>154</v>
      </c>
      <c r="Q6" s="11" t="s">
        <v>154</v>
      </c>
      <c r="R6" s="11" t="s">
        <v>154</v>
      </c>
      <c r="S6" s="11" t="s">
        <v>154</v>
      </c>
      <c r="T6" s="11" t="s">
        <v>154</v>
      </c>
      <c r="U6" s="11" t="s">
        <v>154</v>
      </c>
      <c r="V6" s="11" t="s">
        <v>154</v>
      </c>
      <c r="W6" s="11" t="s">
        <v>154</v>
      </c>
      <c r="X6" s="20" t="s">
        <v>326</v>
      </c>
      <c r="Y6">
        <f t="shared" si="0"/>
        <v>4.0000000000000001E-3</v>
      </c>
    </row>
    <row r="7" spans="1:25" ht="79.2" x14ac:dyDescent="0.25">
      <c r="A7" s="11" t="s">
        <v>249</v>
      </c>
      <c r="B7" s="25" t="s">
        <v>328</v>
      </c>
      <c r="C7" s="39" t="s">
        <v>320</v>
      </c>
      <c r="D7" s="11" t="s">
        <v>327</v>
      </c>
      <c r="E7" s="39" t="s">
        <v>302</v>
      </c>
      <c r="F7" s="11" t="s">
        <v>154</v>
      </c>
      <c r="G7" s="11" t="s">
        <v>154</v>
      </c>
      <c r="H7" s="11" t="s">
        <v>154</v>
      </c>
      <c r="I7" s="11" t="s">
        <v>154</v>
      </c>
      <c r="J7" s="11" t="s">
        <v>154</v>
      </c>
      <c r="K7" s="11" t="s">
        <v>154</v>
      </c>
      <c r="L7" s="11" t="s">
        <v>154</v>
      </c>
      <c r="M7" s="11" t="s">
        <v>154</v>
      </c>
      <c r="N7" s="11" t="s">
        <v>154</v>
      </c>
      <c r="O7" s="11" t="s">
        <v>154</v>
      </c>
      <c r="P7" s="11" t="s">
        <v>154</v>
      </c>
      <c r="Q7" s="11" t="s">
        <v>154</v>
      </c>
      <c r="R7" s="11" t="s">
        <v>154</v>
      </c>
      <c r="S7" s="11" t="s">
        <v>154</v>
      </c>
      <c r="T7" s="11" t="s">
        <v>154</v>
      </c>
      <c r="U7" s="11" t="s">
        <v>154</v>
      </c>
      <c r="V7" s="11" t="s">
        <v>154</v>
      </c>
      <c r="W7" s="11" t="s">
        <v>154</v>
      </c>
      <c r="X7" s="20" t="s">
        <v>326</v>
      </c>
      <c r="Y7">
        <f t="shared" si="0"/>
        <v>4.0000000000000001E-3</v>
      </c>
    </row>
    <row r="8" spans="1:25" x14ac:dyDescent="0.25">
      <c r="A8" s="91"/>
      <c r="B8" s="96"/>
      <c r="C8" s="92"/>
      <c r="D8" s="91"/>
      <c r="E8" s="92"/>
      <c r="F8" s="91"/>
      <c r="G8" s="91"/>
      <c r="H8" s="91"/>
      <c r="I8" s="91"/>
      <c r="J8" s="91"/>
      <c r="K8" s="91"/>
      <c r="L8" s="91"/>
      <c r="M8" s="91"/>
      <c r="N8" s="91"/>
      <c r="O8" s="91"/>
      <c r="P8" s="91"/>
      <c r="Q8" s="91"/>
      <c r="R8" s="91"/>
      <c r="S8" s="91"/>
      <c r="T8" s="91"/>
      <c r="U8" s="91"/>
      <c r="V8" s="91"/>
      <c r="W8" s="91"/>
      <c r="X8" s="97"/>
    </row>
    <row r="9" spans="1:25" x14ac:dyDescent="0.25">
      <c r="A9" s="91"/>
      <c r="B9" s="96"/>
      <c r="C9" s="92"/>
      <c r="D9" s="91"/>
      <c r="E9" s="92"/>
      <c r="F9" s="91"/>
      <c r="G9" s="91"/>
      <c r="H9" s="91"/>
      <c r="I9" s="91"/>
      <c r="J9" s="91"/>
      <c r="K9" s="91"/>
      <c r="L9" s="91"/>
      <c r="M9" s="91"/>
      <c r="N9" s="91"/>
      <c r="O9" s="91"/>
      <c r="P9" s="91"/>
      <c r="Q9" s="91"/>
      <c r="R9" s="91"/>
      <c r="S9" s="91"/>
      <c r="T9" s="91"/>
      <c r="U9" s="91"/>
      <c r="V9" s="91"/>
      <c r="W9" s="91"/>
      <c r="X9" s="97"/>
    </row>
    <row r="10" spans="1:25" x14ac:dyDescent="0.25">
      <c r="A10" s="91"/>
      <c r="B10" s="96"/>
      <c r="C10" s="92"/>
      <c r="D10" s="91"/>
      <c r="E10" s="92"/>
      <c r="F10" s="91"/>
      <c r="G10" s="91"/>
      <c r="H10" s="91"/>
      <c r="I10" s="91"/>
      <c r="J10" s="91"/>
      <c r="K10" s="91"/>
      <c r="L10" s="91"/>
      <c r="M10" s="91"/>
      <c r="N10" s="91"/>
      <c r="O10" s="91"/>
      <c r="P10" s="91"/>
      <c r="Q10" s="91"/>
      <c r="R10" s="91"/>
      <c r="S10" s="91"/>
      <c r="T10" s="91"/>
      <c r="U10" s="91"/>
      <c r="V10" s="91"/>
      <c r="W10" s="91"/>
      <c r="X10" s="97"/>
    </row>
    <row r="12" spans="1:25" x14ac:dyDescent="0.25">
      <c r="A12" s="19" t="s">
        <v>25</v>
      </c>
      <c r="B12" s="19" t="s">
        <v>175</v>
      </c>
    </row>
    <row r="13" spans="1:25" x14ac:dyDescent="0.25">
      <c r="A13" s="18"/>
      <c r="B13" s="18">
        <f>SUM(Y:Y)</f>
        <v>1.6E-2</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39" t="s">
        <v>113</v>
      </c>
      <c r="B1" s="140"/>
      <c r="C1" s="141"/>
    </row>
    <row r="3" spans="1:3" ht="39.6" x14ac:dyDescent="0.25">
      <c r="A3" s="26" t="s">
        <v>224</v>
      </c>
      <c r="B3" s="26" t="s">
        <v>160</v>
      </c>
      <c r="C3" s="26" t="s">
        <v>57</v>
      </c>
    </row>
    <row r="4" spans="1:3" x14ac:dyDescent="0.25">
      <c r="A4" s="39"/>
      <c r="B4" s="39"/>
      <c r="C4" s="39"/>
    </row>
    <row r="5" spans="1:3" x14ac:dyDescent="0.25">
      <c r="A5" s="11"/>
      <c r="B5" s="11"/>
      <c r="C5" s="20"/>
    </row>
    <row r="6" spans="1:3" x14ac:dyDescent="0.25">
      <c r="A6" s="11"/>
      <c r="B6" s="11"/>
      <c r="C6" s="11"/>
    </row>
    <row r="9" spans="1:3" x14ac:dyDescent="0.25">
      <c r="A9" s="19" t="s">
        <v>25</v>
      </c>
      <c r="B9" s="19" t="s">
        <v>175</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39" t="s">
        <v>115</v>
      </c>
      <c r="B1" s="140"/>
      <c r="C1" s="140"/>
      <c r="D1" s="141"/>
    </row>
    <row r="3" spans="1:8" x14ac:dyDescent="0.25">
      <c r="A3" s="12" t="s">
        <v>225</v>
      </c>
      <c r="B3" s="12" t="s">
        <v>226</v>
      </c>
      <c r="C3" s="12" t="s">
        <v>92</v>
      </c>
      <c r="D3" s="12" t="s">
        <v>227</v>
      </c>
      <c r="E3" s="12" t="s">
        <v>228</v>
      </c>
      <c r="F3" s="12" t="s">
        <v>229</v>
      </c>
    </row>
    <row r="4" spans="1:8" x14ac:dyDescent="0.25">
      <c r="A4" s="17" t="s">
        <v>230</v>
      </c>
      <c r="B4" s="38"/>
      <c r="C4" s="39"/>
      <c r="D4" s="39"/>
      <c r="E4" s="39"/>
      <c r="F4" s="11" t="s">
        <v>154</v>
      </c>
    </row>
    <row r="5" spans="1:8" x14ac:dyDescent="0.25">
      <c r="A5" s="17" t="s">
        <v>230</v>
      </c>
      <c r="B5" s="38"/>
      <c r="C5" s="39"/>
      <c r="D5" s="39"/>
      <c r="E5" s="39"/>
      <c r="F5" s="11" t="s">
        <v>154</v>
      </c>
    </row>
    <row r="8" spans="1:8" x14ac:dyDescent="0.25">
      <c r="A8" s="12" t="s">
        <v>231</v>
      </c>
      <c r="B8" s="36" t="s">
        <v>232</v>
      </c>
      <c r="C8" s="36" t="s">
        <v>233</v>
      </c>
      <c r="D8" s="36" t="s">
        <v>234</v>
      </c>
      <c r="E8" s="36" t="s">
        <v>235</v>
      </c>
      <c r="F8" s="36" t="s">
        <v>236</v>
      </c>
      <c r="G8" s="36" t="s">
        <v>237</v>
      </c>
      <c r="H8" s="36" t="s">
        <v>238</v>
      </c>
    </row>
    <row r="9" spans="1:8" x14ac:dyDescent="0.25">
      <c r="A9" s="12" t="s">
        <v>239</v>
      </c>
      <c r="B9" s="37"/>
      <c r="C9" s="37"/>
      <c r="D9" s="37"/>
      <c r="E9" s="37"/>
      <c r="F9" s="37"/>
      <c r="G9" s="37"/>
      <c r="H9" s="37"/>
    </row>
    <row r="10" spans="1:8" x14ac:dyDescent="0.25">
      <c r="A10" s="12" t="s">
        <v>239</v>
      </c>
      <c r="B10" s="37"/>
      <c r="C10" s="37"/>
      <c r="D10" s="37"/>
      <c r="E10" s="37"/>
      <c r="F10" s="37"/>
      <c r="G10" s="37"/>
      <c r="H10" s="37"/>
    </row>
    <row r="11" spans="1:8" x14ac:dyDescent="0.25">
      <c r="A11" s="12" t="s">
        <v>239</v>
      </c>
      <c r="B11" s="37"/>
      <c r="C11" s="37"/>
      <c r="D11" s="37"/>
      <c r="E11" s="37"/>
      <c r="F11" s="37"/>
      <c r="G11" s="37"/>
      <c r="H11" s="37"/>
    </row>
    <row r="15" spans="1:8" x14ac:dyDescent="0.25">
      <c r="B15" s="35" t="s">
        <v>240</v>
      </c>
      <c r="C15" s="149" t="s">
        <v>241</v>
      </c>
      <c r="D15" s="149"/>
      <c r="E15" s="149"/>
      <c r="F15" s="149"/>
      <c r="G15" s="149"/>
    </row>
    <row r="16" spans="1:8" x14ac:dyDescent="0.25">
      <c r="B16" s="35" t="s">
        <v>242</v>
      </c>
      <c r="C16" s="149"/>
      <c r="D16" s="149"/>
      <c r="E16" s="149"/>
      <c r="F16" s="149"/>
      <c r="G16" s="149"/>
    </row>
    <row r="17" spans="2:7" x14ac:dyDescent="0.25">
      <c r="B17" s="35" t="s">
        <v>243</v>
      </c>
      <c r="C17" s="149"/>
      <c r="D17" s="149"/>
      <c r="E17" s="149"/>
      <c r="F17" s="149"/>
      <c r="G17" s="149"/>
    </row>
    <row r="18" spans="2:7" x14ac:dyDescent="0.25">
      <c r="B18" s="35" t="s">
        <v>244</v>
      </c>
      <c r="C18" s="149"/>
      <c r="D18" s="149"/>
      <c r="E18" s="149"/>
      <c r="F18" s="149"/>
      <c r="G18" s="149"/>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50" t="s">
        <v>245</v>
      </c>
      <c r="B1" s="151"/>
    </row>
    <row r="2" spans="1:2" x14ac:dyDescent="0.25">
      <c r="A2" s="63" t="s">
        <v>246</v>
      </c>
      <c r="B2" s="78"/>
    </row>
    <row r="3" spans="1:2" x14ac:dyDescent="0.25">
      <c r="A3" s="63" t="s">
        <v>247</v>
      </c>
      <c r="B3" s="78"/>
    </row>
    <row r="4" spans="1:2" ht="13.8" thickBot="1" x14ac:dyDescent="0.3">
      <c r="A4" s="64" t="s">
        <v>248</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customXml/itemProps3.xml><?xml version="1.0" encoding="utf-8"?>
<ds:datastoreItem xmlns:ds="http://schemas.openxmlformats.org/officeDocument/2006/customXml" ds:itemID="{2E3FF3FE-4DF8-45AA-836B-B794E5391A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2022-04-11T06:37:35Z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