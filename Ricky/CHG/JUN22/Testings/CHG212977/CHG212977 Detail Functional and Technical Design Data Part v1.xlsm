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131"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
    </mc:Choice>
  </mc:AlternateContent>
  <xr:revisionPtr revIDLastSave="140" documentId="13_ncr:1_{E1C8E355-9691-4866-B34E-B32AD5D7E0D0}" xr6:coauthVersionLast="47" xr6:coauthVersionMax="47" xr10:uidLastSave="{3B17B7F5-8FF5-4374-8817-34677D869078}"/>
  <bookViews>
    <workbookView xWindow="-120" yWindow="-120" windowWidth="29040" windowHeight="15840" tabRatio="893" firstSheet="12" activeTab="12"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7" i="12" l="1"/>
  <c r="C25" i="12"/>
  <c r="B12" i="3"/>
  <c r="B8" i="2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<sst xmlns="http://schemas.openxmlformats.org/spreadsheetml/2006/main" count="636" uniqueCount="331">
  <si>
    <t>Trade Marketing Excellence Programme</t>
  </si>
  <si>
    <t>DATA</t>
  </si>
  <si>
    <t>Technical Design Mapping, Workflow &amp; Stored Procedure</t>
  </si>
  <si>
    <t>CHG/INC:</t>
  </si>
  <si>
    <t xml:space="preserve">CHG212977 </t>
  </si>
  <si>
    <t xml:space="preserve">        Title:</t>
  </si>
  <si>
    <t>TMEC: OM - Harmonization</t>
  </si>
  <si>
    <t>Planned Prod Release Date:</t>
  </si>
  <si>
    <t>Feb, 2022</t>
  </si>
  <si>
    <t xml:space="preserve">  Market Affected:</t>
  </si>
  <si>
    <t>CT</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</si>
  <si>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</si>
  <si>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</si>
  <si>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</si>
  <si>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</si>
  <si>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</si>
  <si>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</si>
  <si>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</si>
  <si>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</si>
  <si>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</si>
  <si>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</si>
  <si>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</si>
  <si>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</si>
  <si>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</si>
  <si>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</si>
  <si>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</si>
  <si>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</si>
  <si>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</si>
  <si>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t>
  </si>
  <si>
    <t>Not Started</t>
  </si>
  <si>
    <t>Ramjug</t>
  </si>
  <si>
    <t>Santanoo</t>
  </si>
  <si>
    <t>Reviewer</t>
  </si>
  <si>
    <t>Sign-off Control Section (a CoE and GDC sign-off names are required)</t>
  </si>
  <si>
    <t>Signature</t>
  </si>
  <si>
    <t>Estimation</t>
  </si>
  <si>
    <t>Manday</t>
  </si>
  <si>
    <t>Test Order Category Update</t>
  </si>
  <si>
    <t>Design(HLFD, DTD)</t>
  </si>
  <si>
    <t>Test Order Promotion Creation</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</si>
  <si>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</si>
  <si>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</si>
  <si>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</si>
  <si>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</si>
  <si>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</si>
  <si>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</si>
  <si>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</si>
  <si>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</si>
  <si>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</si>
  <si>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</si>
  <si>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</si>
  <si>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</si>
  <si>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</si>
  <si>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</si>
  <si>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</si>
  <si>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</si>
  <si>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</si>
  <si>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</si>
  <si>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</si>
  <si>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</si>
  <si>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</si>
  <si>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</si>
  <si>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HLFD_XXX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</si>
  <si>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</si>
  <si>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</si>
  <si>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</si>
  <si>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</si>
  <si>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</si>
  <si>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</si>
  <si>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</si>
  <si>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</si>
  <si>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</si>
  <si>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</si>
  <si>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</si>
  <si>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</si>
  <si>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</si>
  <si>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</si>
  <si>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</si>
  <si>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</si>
  <si>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</si>
  <si>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</si>
  <si>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</si>
  <si>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</si>
  <si>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</si>
  <si>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</si>
  <si>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</si>
  <si>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</si>
  <si>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</si>
  <si>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</si>
  <si>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</si>
  <si>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</si>
  <si>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</si>
  <si>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</si>
  <si>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</si>
  <si>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</si>
  <si>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</si>
  <si>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</si>
  <si>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</si>
  <si>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</si>
  <si>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</si>
  <si>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</si>
  <si>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</si>
  <si>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</si>
  <si>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</si>
  <si>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</si>
  <si>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</si>
  <si>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</si>
  <si>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</si>
  <si>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</si>
  <si>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</si>
  <si>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</si>
  <si>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</si>
  <si>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</si>
  <si>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</si>
  <si>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</si>
  <si>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</si>
  <si>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</si>
  <si>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</si>
  <si>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</si>
  <si>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</si>
  <si>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</si>
  <si>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</si>
  <si>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</si>
  <si>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</si>
  <si>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</si>
  <si>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</si>
  <si>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</si>
  <si>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</si>
  <si>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</si>
  <si>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</si>
  <si>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</si>
  <si>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</si>
  <si>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</si>
  <si>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</si>
  <si>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</si>
  <si>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</si>
  <si>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</si>
  <si>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</si>
  <si>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</si>
  <si>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</si>
  <si>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</si>
  <si>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</si>
  <si>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</si>
  <si>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</si>
  <si>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</si>
  <si>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</si>
  <si>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</si>
  <si>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</si>
  <si>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</si>
  <si>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</si>
  <si>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</si>
  <si>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</si>
  <si>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</si>
  <si>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</si>
  <si>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</si>
  <si>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</si>
  <si>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</si>
  <si>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</si>
  <si>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</si>
  <si>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</si>
  <si>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</si>
  <si>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</si>
  <si>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</si>
  <si>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</si>
  <si>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</si>
  <si>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</si>
  <si>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</si>
  <si>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</si>
  <si>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</si>
  <si>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</si>
  <si>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</si>
  <si>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</si>
  <si>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</si>
  <si>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</si>
  <si>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</si>
  <si>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WC_PROCESS_PARAMS_G</t>
  </si>
  <si>
    <t>OLTP</t>
  </si>
  <si>
    <t>Add parameters to activate batch process
DELETE WC_PROCESS_PARAMS_G
WHERE PROCESS = 'Material_Order_Update'
GO
INSERT INTO WC_PROCESS_PARAMS_G
SELECT 'Material_Order_Update'
	,NULL
	,ROW_ID
	,'N'
FROM S_BU</t>
  </si>
  <si>
    <t>To Confirm Active Markets</t>
  </si>
  <si>
    <t>Vardecimal compression should be applied for OLAP</t>
  </si>
  <si>
    <t>WC_EIM_ENTITY_MAIL_G</t>
  </si>
  <si>
    <t>Configure Ibot for Eim check status</t>
  </si>
  <si>
    <t>Order Category</t>
  </si>
  <si>
    <t>When populating WC_FF_ENTITY_DETAILS, populate COUNTRY with value from WC_FF_COUNTRY_LANG_ID</t>
  </si>
  <si>
    <t xml:space="preserve">
DELETE WC_PROCESS_PARAMS_G
WHERE PROCESS = 'Material_Order_Promotion'
GO
INSERT INTO WC_PROCESS_PARAMS_G
SELECT 'Material_Order_Promotion'
	,NULL
	,ROW_ID
	,'N'
FROM S_BU
</t>
  </si>
  <si>
    <t>Order Promotion</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</si>
  <si>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</si>
  <si>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</si>
  <si>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</si>
  <si>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</si>
  <si>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</si>
  <si>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</si>
  <si>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</si>
  <si>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</si>
  <si>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</si>
  <si>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</si>
  <si>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</si>
  <si>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</si>
  <si>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</si>
  <si>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</si>
  <si>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</si>
  <si>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</si>
  <si>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</si>
  <si>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IFA_ENU_Material_Order_Update.ifb</t>
  </si>
  <si>
    <t>New Ifb to Update Order Category</t>
  </si>
  <si>
    <t>IFA_ENU_Material_Order_Promotion.ifb</t>
  </si>
  <si>
    <t>New IFB to createion Promotion Pland and Materials and Update Order Promotion ID</t>
  </si>
  <si>
    <t>Parameter Files</t>
  </si>
  <si>
    <t>Configuration File (*.ini)</t>
  </si>
  <si>
    <t>Bat Files</t>
  </si>
  <si>
    <t xml:space="preserve">Mapping </t>
  </si>
  <si>
    <t>Folder Name</t>
  </si>
  <si>
    <t>Mapping Name</t>
  </si>
  <si>
    <t>EIM_INTERFACE</t>
  </si>
  <si>
    <t>SIL_Material_Order_Update</t>
  </si>
  <si>
    <t>New Mapping</t>
  </si>
  <si>
    <t>Mapping Details</t>
  </si>
  <si>
    <t>Source Table</t>
  </si>
  <si>
    <t>Instance Name</t>
  </si>
  <si>
    <t>Source Column</t>
  </si>
  <si>
    <t>Datatype</t>
  </si>
  <si>
    <t>Target Table</t>
  </si>
  <si>
    <t>Target Column</t>
  </si>
  <si>
    <t>Functional
Summary</t>
  </si>
  <si>
    <t>Transformations</t>
  </si>
  <si>
    <t>Import Source Target</t>
  </si>
  <si>
    <t>SQ:
SELECT O.ROW_ID
	,O.BU_ID ORD_BI
	,BU.NAME ORD_BU
	,O.ORDER_NUM ORD_ORDER_NUM
	,OT.NAME ORD_ORDTYP_NAME
	,O.REV_NUM ORD_REV_NUM
	,P.VAL X_ORDER_CAT_CD
FROM S_ORDER O
LEFT OUTER JOIN S_ORDER_X(NOLOCK) OX ON O.ROW_ID = OX.ROW_ID
INNER JOIN S_BU BU ON O.BU_ID = BU.ROW_ID
INNER JOIN WC_PROCESS_PARAMS_G G ON G.PROCESS = 'Material_Order_Update'
	AND G.BU_ID = O.BU_ID
	AND G.ACTIVE_FLG = 'Y'
INNER JOIN S_ORDER_TYPE OT ON O.ORDER_TYPE_ID = OT.ROW_ID
INNER JOIN S_LST_OF_VAL C ON C.VAL = O.X_SUB_TYPE
INNER JOIN S_LST_OF_VAL P ON P.ROW_ID = C.PAR_ROW_ID
WHERE C.TYPE = 'JTI_SUBTYPE_TYPE'
	AND C.LANG_ID = 'ENU'
	AND P.LANG_ID = 'ENU'
	AND P.ACTIVE_FLG = 'Y'
	AND OX.X_ORDER_CAT_CD IS NULL</t>
  </si>
  <si>
    <t>SQ_Material_Order</t>
  </si>
  <si>
    <t>Add EIM Table Cleanup DELETE
FROM EIM_ORDER_DTL (NOLOCK)
WHERE  IF_ROW_BATCH_NUM BETWEEN 100000000 AND 100000999</t>
  </si>
  <si>
    <t>EIM_ORDER_DTL</t>
  </si>
  <si>
    <t>S_ORDER_TYPE</t>
  </si>
  <si>
    <t>NAME</t>
  </si>
  <si>
    <t>nvarchar (50)</t>
  </si>
  <si>
    <t>ORD_ORDTYP_NAME</t>
  </si>
  <si>
    <t>S_BU</t>
  </si>
  <si>
    <t>ROW_ID</t>
  </si>
  <si>
    <t>nvarchar (15)</t>
  </si>
  <si>
    <t>ORD_BI</t>
  </si>
  <si>
    <t>nvarchar (100)</t>
  </si>
  <si>
    <t>ORD_BU</t>
  </si>
  <si>
    <t>S_ORDER</t>
  </si>
  <si>
    <t>ORDER_CAT_CD</t>
  </si>
  <si>
    <t>nvarchar (30)</t>
  </si>
  <si>
    <t>X_ORDER_CAT_CD</t>
  </si>
  <si>
    <t>ORDER_NUM</t>
  </si>
  <si>
    <t>ORD_ORDER_NUM</t>
  </si>
  <si>
    <t>REV_NUM</t>
  </si>
  <si>
    <t>numeric (22,7)</t>
  </si>
  <si>
    <t>ORD_REV_NUM</t>
  </si>
  <si>
    <t>IF_ROW_STAT</t>
  </si>
  <si>
    <t>IF_ROW_BATCH_NUM</t>
  </si>
  <si>
    <t>Session , worklet &amp; workflow</t>
  </si>
  <si>
    <t>Workflow</t>
  </si>
  <si>
    <t>Worflow Name</t>
  </si>
  <si>
    <t>RUN_Material_Order_Update_Batch</t>
  </si>
  <si>
    <t>Impacted</t>
  </si>
  <si>
    <t>To confirm Scheduling Option</t>
  </si>
  <si>
    <t>RUN_Material_Order_Promotion_Batch</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</si>
  <si>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</si>
  <si>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</si>
  <si>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</si>
  <si>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</si>
  <si>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</si>
  <si>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</si>
  <si>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</si>
  <si>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</si>
  <si>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</si>
  <si>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</si>
  <si>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</si>
  <si>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</si>
  <si>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</si>
  <si>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</si>
  <si>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</si>
  <si>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</si>
  <si>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</si>
  <si>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</si>
  <si>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</si>
  <si>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</si>
  <si>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</si>
  <si>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</si>
  <si>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</si>
  <si>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</si>
  <si>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</si>
  <si>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s_SIL_Material_Order_Update</t>
  </si>
  <si>
    <t>n/a</t>
  </si>
  <si>
    <t>Restart Task</t>
  </si>
  <si>
    <t>Y</t>
  </si>
  <si>
    <t xml:space="preserve">New Session </t>
  </si>
  <si>
    <t>s_EIM_Material_Order_Update</t>
  </si>
  <si>
    <t>DUMMY_BATCH</t>
  </si>
  <si>
    <t>$PMSourceFileDir\Scripts\run-EIM-process_perf.bat "IFA_ENU_Material_Order_Update.ifb" "ENU"</t>
  </si>
  <si>
    <t>s_Check_EIM_Batch_status</t>
  </si>
  <si>
    <t>SELECT TOP 1 1 
FROM EIM_ORDER_DTL (NOLOCK)
WHERE  IF_ROW_BATCH_NUM BETWEEN 100000000 AND 100000999
AND IF_ROW_STAT NOT IN (SELECT IF_ROW_STATS FROM WC_EIM_VALID_BATCH_STATUS_PARAM)</t>
  </si>
  <si>
    <t>s_ThowIbotEmail</t>
  </si>
  <si>
    <t xml:space="preserve">$PMSourceFileDir\Scripts\ThowIbotEmail.bat Material_Order_Update </t>
  </si>
  <si>
    <t>New Session;  Incoming Link Condition: :$s_Check_EIM_Batch_status.SrcSuccessRows=1</t>
  </si>
  <si>
    <t>RUN_Material_Order_Promotion</t>
  </si>
  <si>
    <t>s_SIL_Material_Order_Promotion</t>
  </si>
  <si>
    <t>Exec sp_Material_Promotion</t>
  </si>
  <si>
    <t>s_EIM_Material_Order_Promotion</t>
  </si>
  <si>
    <t>$PMSourceFileDir\Scripts\run-EIM-process_perf.bat "IFA_ENU_Material_Order_Promotion.ifb" "ENU"</t>
  </si>
  <si>
    <t>New Session; Incoming Link Condition: $s_sp_Material_Promotion.SrcSuccessRows&gt;0</t>
  </si>
  <si>
    <t xml:space="preserve">
select 1 from EIM_SRC2  WHERE IF_ROW_BATCH_NUM BETWEEN 110000000 AND 110000999 AND IF_ROW_STAT NOT IN (SELECT IF_ROW_STATS FROM WC_EIM_VALID_BATCH_STATUS_PARAM) UNION
select 1 from EIM_SRC3  WHERE IF_ROW_BATCH_NUM BETWEEN 110000000 AND 110000999 AND IF_ROW_STAT NOT IN (SELECT IF_ROW_STATS FROM WC_EIM_VALID_BATCH_STATUS_PARAM) UNION
select 1 from EIM_CX_EVENTS  WHERE IF_ROW_BATCH_NUM BETWEEN 220000000 AND 220000999 AND IF_ROW_STAT NOT IN (SELECT IF_ROW_STATS FROM WC_EIM_VALID_BATCH_STATUS_PARAM) UNION
select 1 from EIM_ORDER  WHERE IF_ROW_BATCH_NUM BETWEEN 110000000 AND 110000999 AND IF_ROW_STAT NOT IN (SELECT IF_ROW_STATS FROM WC_EIM_VALID_BATCH_STATUS_PARAM) </t>
  </si>
  <si>
    <t>$PMSourceFileDir\Scripts\ThowIbotEmail.bat Material_Order_Promotion</t>
  </si>
  <si>
    <t>Procedure Name</t>
  </si>
  <si>
    <t>sp_Material_Promotion</t>
  </si>
  <si>
    <t>New SP Based on Commit Promotion Batch</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</si>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</sst>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3">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0" fontId="11" fillId="24"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167" fontId="4" fillId="0" borderId="19" xfId="34" applyNumberFormat="1" applyFont="1" applyBorder="1" applyAlignment="1">
      <alignment horizontal="left" vertical="top"/>
    </xf>
    <xf numFmtId="0" fontId="1" fillId="0" borderId="0" xfId="34" applyAlignment="1">
      <alignment vertical="top"/>
    </xf>
    <xf numFmtId="0" fontId="4" fillId="0" borderId="0" xfId="34" applyFont="1" applyAlignment="1">
      <alignment horizontal="center" vertical="top"/>
    </xf>
    <xf numFmtId="0" fontId="0" fillId="0" borderId="33" xfId="0"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0" xfId="0" applyAlignment="1"/>
    <xf numFmtId="0" fontId="1" fillId="0" borderId="0" xfId="34" applyFont="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561975</xdr:colOff>
          <xdr:row>9</xdr:row>
          <xdr:rowOff>76200</xdr:rowOff>
        </xdr:from>
        <xdr:to>
          <xdr:col>2</xdr:col>
          <xdr:colOff>1543050</xdr:colOff>
          <xdr:row>12</xdr:row>
          <xdr:rowOff>209550</xdr:rowOff>
        </xdr:to>
        <xdr:sp macro="" textlink="">
          <xdr:nvSpPr>
            <xdr:cNvPr id="18434" name="Object 2" hidden="1">
              <a:extLst>
                <a:ext uri="{63B3BB69-23CF-44E3-9099-C40C66FF867C}">
                  <a14:compatExt spid="_x0000_s18434"/>
                </a:ext>
                <a:ext uri="{FF2B5EF4-FFF2-40B4-BE49-F238E27FC236}">
                  <a16:creationId xmlns:a16="http://schemas.microsoft.com/office/drawing/2014/main" id="{1F9CE1B7-A65D-4D05-8B6D-E1881390D8FE}"/>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485775</xdr:colOff>
          <xdr:row>12</xdr:row>
          <xdr:rowOff>238125</xdr:rowOff>
        </xdr:from>
        <xdr:to>
          <xdr:col>2</xdr:col>
          <xdr:colOff>1466850</xdr:colOff>
          <xdr:row>15</xdr:row>
          <xdr:rowOff>47625</xdr:rowOff>
        </xdr:to>
        <xdr:sp macro="" textlink="">
          <xdr:nvSpPr>
            <xdr:cNvPr id="18433" name="Object 1" hidden="1">
              <a:extLst>
                <a:ext uri="{63B3BB69-23CF-44E3-9099-C40C66FF867C}">
                  <a14:compatExt spid="_x0000_s18433"/>
                </a:ext>
                <a:ext uri="{FF2B5EF4-FFF2-40B4-BE49-F238E27FC236}">
                  <a16:creationId xmlns:a16="http://schemas.microsoft.com/office/drawing/2014/main" id="{C5E335E7-F733-44CF-9FBC-D521540A415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371475</xdr:colOff>
          <xdr:row>6</xdr:row>
          <xdr:rowOff>142875</xdr:rowOff>
        </xdr:to>
        <xdr:sp macro="" textlink="">
          <xdr:nvSpPr>
            <xdr:cNvPr id="23553" name="Object 1" hidden="1">
              <a:extLst>
                <a:ext uri="{63B3BB69-23CF-44E3-9099-C40C66FF867C}">
                  <a14:compatExt spid="_x0000_s23553"/>
                </a:ext>
                <a:ext uri="{FF2B5EF4-FFF2-40B4-BE49-F238E27FC236}">
                  <a16:creationId xmlns:a16="http://schemas.microsoft.com/office/drawing/2014/main" id="{F3B3C49F-AD10-46D8-BD71-5FB904DEA74A}"/>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oleObject" Target="../embeddings/oleObject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16" zoomScale="80" zoomScaleNormal="75" workbookViewId="0">
      <selection activeCell="J26" sqref="J26:K26"/>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89" t="s">
        <v>0</v>
      </c>
      <c r="B13" s="89"/>
      <c r="C13" s="89"/>
      <c r="D13" s="89"/>
      <c r="E13" s="89"/>
      <c r="F13" s="89"/>
      <c r="G13" s="89"/>
      <c r="H13" s="89"/>
      <c r="I13" s="89"/>
      <c r="J13" s="89"/>
      <c r="K13" s="89"/>
      <c r="L13" s="89"/>
      <c r="M13" s="89"/>
      <c r="N13" s="89"/>
      <c r="O13" s="89"/>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90" t="s">
        <v>1</v>
      </c>
      <c r="B20" s="90"/>
      <c r="C20" s="90"/>
      <c r="D20" s="90"/>
      <c r="E20" s="90"/>
      <c r="F20" s="90"/>
      <c r="G20" s="90"/>
      <c r="H20" s="90"/>
      <c r="I20" s="90"/>
      <c r="J20" s="90"/>
      <c r="K20" s="90"/>
      <c r="L20" s="90"/>
      <c r="M20" s="90"/>
      <c r="N20" s="90"/>
      <c r="O20" s="90"/>
    </row>
    <row r="21" spans="1:15" ht="30.75">
      <c r="A21" s="90" t="s">
        <v>2</v>
      </c>
      <c r="B21" s="90"/>
      <c r="C21" s="90"/>
      <c r="D21" s="90"/>
      <c r="E21" s="90"/>
      <c r="F21" s="90"/>
      <c r="G21" s="90"/>
      <c r="H21" s="90"/>
      <c r="I21" s="90"/>
      <c r="J21" s="90"/>
      <c r="K21" s="90"/>
      <c r="L21" s="90"/>
      <c r="M21" s="90"/>
      <c r="N21" s="90"/>
      <c r="O21" s="90"/>
    </row>
    <row r="22" spans="1:15" ht="13.5">
      <c r="A22" s="1"/>
      <c r="B22" s="1"/>
      <c r="C22" s="1"/>
      <c r="D22" s="1"/>
      <c r="E22" s="1"/>
      <c r="F22" s="1"/>
      <c r="G22" s="1"/>
      <c r="H22" s="1"/>
      <c r="I22" s="1"/>
    </row>
    <row r="23" spans="1:15" ht="30.75">
      <c r="A23" s="74"/>
      <c r="B23" s="74"/>
      <c r="C23" s="74"/>
      <c r="D23" s="74"/>
      <c r="E23" s="74"/>
      <c r="F23" s="75"/>
      <c r="G23" s="90" t="s">
        <v>3</v>
      </c>
      <c r="H23" s="93"/>
      <c r="I23" s="77" t="s">
        <v>4</v>
      </c>
      <c r="J23" s="75"/>
      <c r="L23" s="74"/>
      <c r="M23" s="74"/>
      <c r="N23" s="74"/>
      <c r="O23" s="74"/>
    </row>
    <row r="24" spans="1:15" s="6" customFormat="1" ht="27.75" customHeight="1">
      <c r="A24" s="80"/>
      <c r="B24" s="80"/>
      <c r="C24" s="80"/>
      <c r="D24" s="80"/>
      <c r="F24" s="82"/>
      <c r="G24" s="90" t="s">
        <v>5</v>
      </c>
      <c r="H24" s="90"/>
      <c r="I24" s="77" t="s">
        <v>6</v>
      </c>
      <c r="J24" s="80"/>
      <c r="K24" s="80"/>
      <c r="L24" s="80"/>
      <c r="M24" s="80"/>
      <c r="N24" s="80"/>
      <c r="O24" s="80"/>
    </row>
    <row r="25" spans="1:15" ht="27.75">
      <c r="F25" s="95" t="s">
        <v>7</v>
      </c>
      <c r="G25" s="95"/>
      <c r="H25" s="95"/>
      <c r="I25" s="95"/>
      <c r="J25" s="95"/>
      <c r="K25" s="95"/>
      <c r="L25" s="81" t="s">
        <v>8</v>
      </c>
    </row>
    <row r="26" spans="1:15" ht="27.75">
      <c r="F26" s="96" t="s">
        <v>9</v>
      </c>
      <c r="G26" s="96"/>
      <c r="H26" s="96"/>
      <c r="I26" s="96"/>
      <c r="J26" s="94" t="s">
        <v>10</v>
      </c>
      <c r="K26" s="141"/>
    </row>
    <row r="27" spans="1:15" ht="16.5">
      <c r="A27" s="92"/>
      <c r="B27" s="92"/>
      <c r="C27" s="92"/>
      <c r="D27" s="92"/>
      <c r="E27" s="92"/>
      <c r="F27" s="92"/>
      <c r="G27" s="92"/>
      <c r="H27" s="92"/>
      <c r="I27" s="92"/>
    </row>
    <row r="28" spans="1:15" ht="18" customHeight="1">
      <c r="A28" s="91"/>
      <c r="B28" s="91"/>
      <c r="C28" s="91"/>
      <c r="D28" s="91"/>
      <c r="E28" s="91"/>
      <c r="F28" s="91"/>
      <c r="G28" s="91"/>
      <c r="H28" s="91"/>
      <c r="I28" s="91"/>
    </row>
    <row r="37" spans="1:9" ht="18" customHeight="1"/>
    <row r="38" spans="1:9" ht="15.75">
      <c r="A38" s="3" t="s">
        <v>11</v>
      </c>
      <c r="B38" s="4">
        <f ca="1">TODAY()</f>
        <v>44658</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topLeftCell="A4" zoomScaleNormal="100" workbookViewId="0">
      <selection activeCell="K26" sqref="K26"/>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10" t="s">
        <v>17</v>
      </c>
      <c r="B3" s="110"/>
      <c r="C3" s="110"/>
      <c r="D3" s="110" t="s">
        <v>18</v>
      </c>
      <c r="E3" s="110"/>
      <c r="F3" s="110"/>
      <c r="G3" s="110" t="s">
        <v>19</v>
      </c>
      <c r="H3" s="110"/>
      <c r="I3" s="110"/>
      <c r="J3" s="119" t="s">
        <v>20</v>
      </c>
      <c r="K3" s="120"/>
      <c r="L3" s="121"/>
      <c r="M3" s="110" t="s">
        <v>21</v>
      </c>
      <c r="N3" s="110"/>
      <c r="O3" s="110"/>
      <c r="P3" s="10" t="s">
        <v>22</v>
      </c>
      <c r="Q3" s="10" t="s">
        <v>23</v>
      </c>
      <c r="Y3" s="8" t="s">
        <v>24</v>
      </c>
    </row>
    <row r="4" spans="1:25">
      <c r="A4" s="113" t="s">
        <v>25</v>
      </c>
      <c r="B4" s="114"/>
      <c r="C4" s="115"/>
      <c r="D4" s="113" t="s">
        <v>26</v>
      </c>
      <c r="E4" s="115"/>
      <c r="F4" s="11"/>
      <c r="G4" s="100" t="s">
        <v>27</v>
      </c>
      <c r="H4" s="100"/>
      <c r="I4" s="100"/>
      <c r="J4" s="125">
        <v>1</v>
      </c>
      <c r="K4" s="126"/>
      <c r="L4" s="11"/>
      <c r="M4" s="122">
        <v>44658</v>
      </c>
      <c r="N4" s="123"/>
      <c r="O4" s="124"/>
      <c r="P4" s="85" t="s">
        <v>15</v>
      </c>
      <c r="Q4" s="12" t="s">
        <v>28</v>
      </c>
      <c r="U4" s="142"/>
      <c r="Y4" s="8" t="s">
        <v>29</v>
      </c>
    </row>
    <row r="5" spans="1:25">
      <c r="A5" s="113" t="s">
        <v>30</v>
      </c>
      <c r="B5" s="114"/>
      <c r="C5" s="115"/>
      <c r="D5" s="113" t="s">
        <v>31</v>
      </c>
      <c r="E5" s="115"/>
      <c r="F5" s="11"/>
      <c r="G5" s="100" t="s">
        <v>32</v>
      </c>
      <c r="H5" s="100"/>
      <c r="I5" s="100"/>
      <c r="J5" s="125">
        <v>1</v>
      </c>
      <c r="K5" s="126"/>
      <c r="L5" s="11"/>
      <c r="M5" s="122">
        <v>44658</v>
      </c>
      <c r="N5" s="123"/>
      <c r="O5" s="124"/>
      <c r="P5" s="85" t="s">
        <v>15</v>
      </c>
      <c r="Q5" s="12"/>
      <c r="U5" s="142"/>
    </row>
    <row r="7" spans="1:25" ht="16.5">
      <c r="A7" s="7" t="s">
        <v>33</v>
      </c>
      <c r="B7" s="7"/>
      <c r="C7" s="7"/>
      <c r="D7" s="7"/>
      <c r="F7" s="9"/>
    </row>
    <row r="9" spans="1:25" ht="29.25" customHeight="1">
      <c r="A9" s="116" t="s">
        <v>17</v>
      </c>
      <c r="B9" s="117"/>
      <c r="C9" s="116" t="s">
        <v>18</v>
      </c>
      <c r="D9" s="117"/>
      <c r="E9" s="116" t="s">
        <v>19</v>
      </c>
      <c r="F9" s="118"/>
      <c r="G9" s="117"/>
      <c r="H9" s="119" t="s">
        <v>20</v>
      </c>
      <c r="I9" s="118"/>
      <c r="J9" s="117"/>
      <c r="K9" s="116" t="s">
        <v>21</v>
      </c>
      <c r="L9" s="117"/>
      <c r="M9" s="116" t="s">
        <v>34</v>
      </c>
      <c r="N9" s="118"/>
      <c r="O9" s="117"/>
      <c r="P9" s="86"/>
    </row>
    <row r="10" spans="1:25">
      <c r="A10" s="103"/>
      <c r="B10" s="103"/>
      <c r="C10" s="103"/>
      <c r="D10" s="103"/>
      <c r="E10" s="103"/>
      <c r="F10" s="103"/>
      <c r="G10" s="103"/>
      <c r="H10" s="103"/>
      <c r="I10" s="103"/>
      <c r="J10" s="103"/>
      <c r="K10" s="103"/>
      <c r="L10" s="103"/>
      <c r="M10" s="103"/>
      <c r="N10" s="103"/>
      <c r="O10" s="103"/>
      <c r="P10" s="87"/>
    </row>
    <row r="11" spans="1:25">
      <c r="A11" s="103"/>
      <c r="B11" s="103"/>
      <c r="C11" s="103"/>
      <c r="D11" s="103"/>
      <c r="E11" s="103"/>
      <c r="F11" s="103"/>
      <c r="G11" s="103"/>
      <c r="H11" s="103"/>
      <c r="I11" s="103"/>
      <c r="J11" s="103"/>
      <c r="K11" s="103"/>
      <c r="L11" s="103"/>
      <c r="M11" s="103"/>
      <c r="N11" s="103"/>
      <c r="O11" s="103"/>
      <c r="P11" s="87"/>
    </row>
    <row r="12" spans="1:25">
      <c r="A12" s="103"/>
      <c r="B12" s="103"/>
      <c r="C12" s="103"/>
      <c r="D12" s="103"/>
      <c r="E12" s="103"/>
      <c r="F12" s="103"/>
      <c r="G12" s="103"/>
      <c r="H12" s="103"/>
      <c r="I12" s="103"/>
      <c r="J12" s="103"/>
      <c r="K12" s="103"/>
      <c r="L12" s="103"/>
      <c r="M12" s="103"/>
      <c r="N12" s="103"/>
      <c r="O12" s="103"/>
      <c r="P12" s="87"/>
    </row>
    <row r="13" spans="1:25">
      <c r="A13" s="103"/>
      <c r="B13" s="103"/>
      <c r="C13" s="103"/>
      <c r="D13" s="103"/>
      <c r="E13" s="103"/>
      <c r="F13" s="103"/>
      <c r="G13" s="103"/>
      <c r="H13" s="103"/>
      <c r="I13" s="103"/>
      <c r="J13" s="103"/>
      <c r="K13" s="103"/>
      <c r="L13" s="103"/>
      <c r="M13" s="103"/>
      <c r="N13" s="103"/>
      <c r="O13" s="103"/>
      <c r="P13" s="87"/>
    </row>
    <row r="14" spans="1:25">
      <c r="A14" s="103"/>
      <c r="B14" s="103"/>
      <c r="C14" s="103"/>
      <c r="D14" s="103"/>
      <c r="E14" s="103"/>
      <c r="F14" s="103"/>
      <c r="G14" s="103"/>
      <c r="H14" s="103"/>
      <c r="I14" s="103"/>
      <c r="J14" s="103"/>
      <c r="K14" s="103"/>
      <c r="L14" s="103"/>
      <c r="M14" s="103"/>
      <c r="N14" s="103"/>
      <c r="O14" s="103"/>
      <c r="P14" s="87"/>
    </row>
    <row r="15" spans="1:25">
      <c r="A15" s="103"/>
      <c r="B15" s="103"/>
      <c r="C15" s="103"/>
      <c r="D15" s="103"/>
      <c r="E15" s="103"/>
      <c r="F15" s="103"/>
      <c r="G15" s="103"/>
      <c r="H15" s="103"/>
      <c r="I15" s="103"/>
      <c r="J15" s="103"/>
      <c r="K15" s="103"/>
      <c r="L15" s="103"/>
      <c r="M15" s="103"/>
      <c r="N15" s="103"/>
      <c r="O15" s="103"/>
      <c r="P15" s="87"/>
    </row>
    <row r="16" spans="1:25">
      <c r="A16" s="103"/>
      <c r="B16" s="103"/>
      <c r="C16" s="103"/>
      <c r="D16" s="103"/>
      <c r="E16" s="103"/>
      <c r="F16" s="103"/>
      <c r="G16" s="103"/>
      <c r="H16" s="103"/>
      <c r="I16" s="103"/>
      <c r="J16" s="103"/>
      <c r="K16" s="103"/>
      <c r="L16" s="103"/>
      <c r="M16" s="103"/>
      <c r="N16" s="103"/>
      <c r="O16" s="103"/>
      <c r="P16" s="87"/>
    </row>
    <row r="17" spans="1:16">
      <c r="A17" s="103"/>
      <c r="B17" s="103"/>
      <c r="C17" s="103"/>
      <c r="D17" s="103"/>
      <c r="E17" s="103"/>
      <c r="F17" s="103"/>
      <c r="G17" s="103"/>
      <c r="H17" s="103"/>
      <c r="I17" s="103"/>
      <c r="J17" s="103"/>
      <c r="K17" s="103"/>
      <c r="L17" s="103"/>
      <c r="M17" s="103"/>
      <c r="N17" s="103"/>
      <c r="O17" s="103"/>
      <c r="P17" s="87"/>
    </row>
    <row r="20" spans="1:16" ht="15">
      <c r="A20" s="112" t="s">
        <v>35</v>
      </c>
      <c r="B20" s="112"/>
      <c r="C20" s="112" t="s">
        <v>36</v>
      </c>
      <c r="D20" s="112"/>
      <c r="K20" s="8" t="s">
        <v>37</v>
      </c>
      <c r="N20" s="8">
        <v>0.375</v>
      </c>
    </row>
    <row r="21" spans="1:16">
      <c r="A21" s="100" t="s">
        <v>38</v>
      </c>
      <c r="B21" s="100"/>
      <c r="C21" s="103">
        <v>0</v>
      </c>
      <c r="D21" s="103"/>
      <c r="K21" s="8" t="s">
        <v>39</v>
      </c>
      <c r="N21" s="8">
        <v>0.5</v>
      </c>
    </row>
    <row r="22" spans="1:16">
      <c r="A22" s="100" t="s">
        <v>40</v>
      </c>
      <c r="B22" s="100"/>
      <c r="C22" s="103">
        <v>0</v>
      </c>
      <c r="D22" s="103"/>
    </row>
    <row r="23" spans="1:16">
      <c r="A23" s="100" t="s">
        <v>41</v>
      </c>
      <c r="B23" s="100"/>
      <c r="C23" s="103">
        <v>0.1</v>
      </c>
      <c r="D23" s="103"/>
    </row>
    <row r="24" spans="1:16">
      <c r="A24" s="100" t="s">
        <v>42</v>
      </c>
      <c r="B24" s="100"/>
      <c r="C24" s="103">
        <f>'1.0 DB Schema'!B29+'2.0 Ifb &amp; PHP'!B38+'3.0 Mapping'!B12+'4.0 Worklet &amp; workflow'!B16+'5.0 Stored Procedure'!B10+'4.1 Session Details'!B14</f>
        <v>0.56000000000000005</v>
      </c>
      <c r="D24" s="103"/>
    </row>
    <row r="25" spans="1:16">
      <c r="A25" s="100" t="s">
        <v>43</v>
      </c>
      <c r="B25" s="100"/>
      <c r="C25" s="103">
        <f>SUM(N20:N22)</f>
        <v>0.875</v>
      </c>
      <c r="D25" s="103"/>
    </row>
    <row r="26" spans="1:16">
      <c r="A26" s="100" t="s">
        <v>44</v>
      </c>
      <c r="B26" s="100"/>
      <c r="C26" s="101">
        <v>0.25</v>
      </c>
      <c r="D26" s="102"/>
    </row>
    <row r="27" spans="1:16" ht="15">
      <c r="A27" s="111" t="s">
        <v>45</v>
      </c>
      <c r="B27" s="111"/>
      <c r="C27" s="112">
        <f>SUM(C21:E26)</f>
        <v>1.7850000000000001</v>
      </c>
      <c r="D27" s="112"/>
      <c r="G27" s="8">
        <f>MROUND(C27*8, 0.15)</f>
        <v>14.25</v>
      </c>
    </row>
    <row r="30" spans="1:16">
      <c r="B30" s="97" t="s">
        <v>46</v>
      </c>
      <c r="C30" s="98"/>
      <c r="D30" s="98"/>
      <c r="E30" s="98"/>
      <c r="F30" s="98"/>
      <c r="G30" s="98"/>
      <c r="H30" s="98"/>
      <c r="I30" s="98"/>
      <c r="J30" s="98"/>
      <c r="K30" s="98"/>
      <c r="L30" s="98"/>
      <c r="M30" s="99"/>
    </row>
    <row r="31" spans="1:16" ht="33.75" customHeight="1">
      <c r="B31" s="108" t="s">
        <v>38</v>
      </c>
      <c r="C31" s="109"/>
      <c r="D31" s="104" t="s">
        <v>47</v>
      </c>
      <c r="E31" s="104"/>
      <c r="F31" s="104"/>
      <c r="G31" s="104"/>
      <c r="H31" s="104"/>
      <c r="I31" s="104"/>
      <c r="J31" s="104"/>
      <c r="K31" s="104"/>
      <c r="L31" s="104"/>
      <c r="M31" s="104"/>
    </row>
    <row r="32" spans="1:16" ht="39.75" customHeight="1">
      <c r="B32" s="108" t="s">
        <v>40</v>
      </c>
      <c r="C32" s="109"/>
      <c r="D32" s="104" t="s">
        <v>48</v>
      </c>
      <c r="E32" s="104"/>
      <c r="F32" s="104"/>
      <c r="G32" s="104"/>
      <c r="H32" s="104"/>
      <c r="I32" s="104"/>
      <c r="J32" s="104"/>
      <c r="K32" s="104"/>
      <c r="L32" s="104"/>
      <c r="M32" s="104"/>
    </row>
    <row r="33" spans="2:13" ht="236.25" customHeight="1">
      <c r="B33" s="108" t="s">
        <v>41</v>
      </c>
      <c r="C33" s="109"/>
      <c r="D33" s="104" t="s">
        <v>49</v>
      </c>
      <c r="E33" s="104"/>
      <c r="F33" s="104"/>
      <c r="G33" s="104"/>
      <c r="H33" s="104"/>
      <c r="I33" s="104"/>
      <c r="J33" s="104"/>
      <c r="K33" s="104"/>
      <c r="L33" s="104"/>
      <c r="M33" s="104"/>
    </row>
    <row r="34" spans="2:13" ht="15">
      <c r="B34" s="108" t="s">
        <v>42</v>
      </c>
      <c r="C34" s="109"/>
      <c r="D34" s="104" t="s">
        <v>50</v>
      </c>
      <c r="E34" s="104"/>
      <c r="F34" s="104"/>
      <c r="G34" s="104"/>
      <c r="H34" s="104"/>
      <c r="I34" s="104"/>
      <c r="J34" s="104"/>
      <c r="K34" s="104"/>
      <c r="L34" s="104"/>
      <c r="M34" s="104"/>
    </row>
    <row r="35" spans="2:13" ht="52.5" customHeight="1">
      <c r="B35" s="108" t="s">
        <v>43</v>
      </c>
      <c r="C35" s="109"/>
      <c r="D35" s="105" t="s">
        <v>51</v>
      </c>
      <c r="E35" s="106"/>
      <c r="F35" s="106"/>
      <c r="G35" s="106"/>
      <c r="H35" s="106"/>
      <c r="I35" s="106"/>
      <c r="J35" s="106"/>
      <c r="K35" s="106"/>
      <c r="L35" s="106"/>
      <c r="M35" s="107"/>
    </row>
    <row r="36" spans="2:13" ht="34.5" customHeight="1">
      <c r="B36" s="108" t="s">
        <v>44</v>
      </c>
      <c r="C36" s="109"/>
      <c r="D36" s="104" t="s">
        <v>52</v>
      </c>
      <c r="E36" s="104"/>
      <c r="F36" s="104"/>
      <c r="G36" s="104"/>
      <c r="H36" s="104"/>
      <c r="I36" s="104"/>
      <c r="J36" s="104"/>
      <c r="K36" s="104"/>
      <c r="L36" s="104"/>
      <c r="M36" s="104"/>
    </row>
    <row r="37" spans="2:13" ht="29.25" customHeight="1"/>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25" sqref="B25"/>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27" t="s">
        <v>53</v>
      </c>
      <c r="B1" s="127"/>
    </row>
    <row r="2" spans="1:2">
      <c r="A2" s="32"/>
      <c r="B2" s="26" t="s">
        <v>54</v>
      </c>
    </row>
    <row r="3" spans="1:2">
      <c r="A3" s="33"/>
      <c r="B3" s="22"/>
    </row>
    <row r="5" spans="1:2">
      <c r="A5" s="32" t="s">
        <v>55</v>
      </c>
      <c r="B5" s="25" t="s">
        <v>56</v>
      </c>
    </row>
    <row r="6" spans="1:2">
      <c r="A6" s="33">
        <v>1</v>
      </c>
      <c r="B6" s="22"/>
    </row>
    <row r="7" spans="1:2">
      <c r="A7" s="33">
        <v>2</v>
      </c>
      <c r="B7" s="22"/>
    </row>
    <row r="8" spans="1:2">
      <c r="A8" s="33">
        <v>3</v>
      </c>
      <c r="B8" s="22"/>
    </row>
    <row r="9" spans="1:2">
      <c r="A9" s="33" t="s">
        <v>57</v>
      </c>
      <c r="B9" s="22"/>
    </row>
    <row r="10" spans="1:2">
      <c r="A10" s="33" t="s">
        <v>58</v>
      </c>
      <c r="B10" s="22"/>
    </row>
    <row r="12" spans="1:2">
      <c r="A12" s="32" t="s">
        <v>55</v>
      </c>
      <c r="B12" s="25" t="s">
        <v>59</v>
      </c>
    </row>
    <row r="13" spans="1:2">
      <c r="A13" s="33">
        <v>4</v>
      </c>
      <c r="B13" s="22"/>
    </row>
    <row r="15" spans="1:2">
      <c r="A15" s="32" t="s">
        <v>55</v>
      </c>
      <c r="B15" s="25" t="s">
        <v>60</v>
      </c>
    </row>
    <row r="16" spans="1:2">
      <c r="A16" s="33">
        <v>5</v>
      </c>
      <c r="B16" s="22"/>
    </row>
    <row r="17" spans="1:2" ht="13.5" thickBot="1"/>
    <row r="18" spans="1:2">
      <c r="A18" s="35" t="s">
        <v>55</v>
      </c>
      <c r="B18" s="24" t="s">
        <v>61</v>
      </c>
    </row>
    <row r="19" spans="1:2">
      <c r="A19" s="33">
        <v>6</v>
      </c>
      <c r="B19" s="22" t="s">
        <v>62</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topLeftCell="A16"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28" t="s">
        <v>63</v>
      </c>
      <c r="B1" s="129"/>
      <c r="C1" s="129"/>
      <c r="D1" s="130"/>
      <c r="M1" s="48" t="s">
        <v>64</v>
      </c>
      <c r="N1" s="49"/>
      <c r="O1" s="49"/>
      <c r="P1" s="49"/>
      <c r="Q1" s="49"/>
      <c r="R1" s="50"/>
    </row>
    <row r="2" spans="1:18" ht="13.5" thickBot="1">
      <c r="C2" s="23"/>
      <c r="M2" s="51" t="s">
        <v>65</v>
      </c>
      <c r="N2" s="36"/>
      <c r="O2" s="36"/>
      <c r="P2" s="36"/>
      <c r="Q2" s="36"/>
      <c r="R2" s="52"/>
    </row>
    <row r="3" spans="1:18">
      <c r="A3" s="57" t="s">
        <v>66</v>
      </c>
      <c r="B3" s="29"/>
      <c r="C3" s="29"/>
      <c r="M3" s="51" t="s">
        <v>67</v>
      </c>
      <c r="N3" s="36"/>
      <c r="O3" s="36"/>
      <c r="P3" s="36"/>
      <c r="Q3" s="36"/>
      <c r="R3" s="52"/>
    </row>
    <row r="4" spans="1:18" ht="25.5" customHeight="1">
      <c r="A4" s="14" t="s">
        <v>68</v>
      </c>
      <c r="B4" s="14" t="s">
        <v>69</v>
      </c>
      <c r="C4" s="28" t="s">
        <v>22</v>
      </c>
      <c r="D4" s="28" t="s">
        <v>70</v>
      </c>
      <c r="M4" s="53" t="s">
        <v>71</v>
      </c>
      <c r="N4" s="36"/>
      <c r="O4" s="36"/>
      <c r="P4" s="36"/>
      <c r="Q4" s="36"/>
      <c r="R4" s="52"/>
    </row>
    <row r="5" spans="1:18" ht="128.25" thickBot="1">
      <c r="A5" s="41" t="s">
        <v>72</v>
      </c>
      <c r="B5" s="27" t="s">
        <v>73</v>
      </c>
      <c r="C5" s="13"/>
      <c r="D5" s="13"/>
      <c r="M5" s="54"/>
      <c r="N5" s="55"/>
      <c r="O5" s="55"/>
      <c r="P5" s="55"/>
      <c r="Q5" s="55"/>
      <c r="R5" s="56"/>
    </row>
    <row r="6" spans="1:18">
      <c r="A6" s="41" t="s">
        <v>74</v>
      </c>
      <c r="B6" s="41" t="s">
        <v>75</v>
      </c>
      <c r="C6" s="13"/>
      <c r="D6" s="13"/>
    </row>
    <row r="7" spans="1:18">
      <c r="A7" s="41" t="s">
        <v>76</v>
      </c>
      <c r="B7" s="41" t="s">
        <v>77</v>
      </c>
      <c r="C7" s="13"/>
      <c r="D7" s="13"/>
    </row>
    <row r="8" spans="1:18" ht="89.25">
      <c r="A8" s="41" t="s">
        <v>78</v>
      </c>
      <c r="B8" s="27" t="s">
        <v>79</v>
      </c>
      <c r="C8" s="13"/>
      <c r="D8" s="13"/>
    </row>
    <row r="9" spans="1:18">
      <c r="A9" s="41" t="s">
        <v>80</v>
      </c>
      <c r="B9" s="41" t="s">
        <v>81</v>
      </c>
      <c r="C9" s="13"/>
      <c r="D9" s="13"/>
    </row>
    <row r="10" spans="1:18">
      <c r="A10" s="41" t="s">
        <v>82</v>
      </c>
      <c r="B10" s="13"/>
      <c r="C10" s="13"/>
      <c r="D10" s="13"/>
    </row>
    <row r="11" spans="1:18">
      <c r="A11" s="41" t="s">
        <v>83</v>
      </c>
      <c r="B11" s="41" t="s">
        <v>84</v>
      </c>
      <c r="C11" s="13"/>
      <c r="D11" s="13"/>
    </row>
    <row r="12" spans="1:18">
      <c r="A12" s="41" t="s">
        <v>85</v>
      </c>
      <c r="B12" s="41" t="s">
        <v>86</v>
      </c>
      <c r="C12" s="13"/>
      <c r="D12" s="13"/>
    </row>
    <row r="13" spans="1:18">
      <c r="A13" s="41" t="s">
        <v>87</v>
      </c>
      <c r="B13" s="41" t="s">
        <v>88</v>
      </c>
      <c r="C13" s="13"/>
      <c r="D13" s="13"/>
    </row>
    <row r="14" spans="1:18">
      <c r="A14" s="41" t="s">
        <v>89</v>
      </c>
      <c r="B14" s="41" t="s">
        <v>90</v>
      </c>
      <c r="C14" s="13"/>
      <c r="D14" s="13"/>
    </row>
    <row r="15" spans="1:18">
      <c r="A15" s="41" t="s">
        <v>91</v>
      </c>
      <c r="B15" s="41" t="s">
        <v>92</v>
      </c>
      <c r="C15" s="13"/>
      <c r="D15" s="13"/>
    </row>
    <row r="16" spans="1:18">
      <c r="A16" s="41" t="s">
        <v>93</v>
      </c>
      <c r="B16" s="41" t="s">
        <v>94</v>
      </c>
      <c r="C16" s="13"/>
      <c r="D16" s="13"/>
    </row>
    <row r="17" spans="1:4">
      <c r="A17" s="41" t="s">
        <v>95</v>
      </c>
      <c r="B17" s="41" t="s">
        <v>96</v>
      </c>
      <c r="C17" s="13"/>
      <c r="D17" s="13"/>
    </row>
    <row r="18" spans="1:4">
      <c r="A18" s="41" t="s">
        <v>97</v>
      </c>
      <c r="B18" s="41" t="s">
        <v>98</v>
      </c>
      <c r="C18" s="13"/>
      <c r="D18" s="13"/>
    </row>
    <row r="19" spans="1:4">
      <c r="A19" s="41" t="s">
        <v>99</v>
      </c>
      <c r="B19" s="41" t="s">
        <v>100</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101</v>
      </c>
      <c r="B1" s="68" t="s">
        <v>102</v>
      </c>
    </row>
    <row r="2" spans="1:3">
      <c r="A2" s="69" t="s">
        <v>103</v>
      </c>
      <c r="B2" s="70" t="str">
        <f>PPRD</f>
        <v>Feb, 2022</v>
      </c>
      <c r="C2" s="58"/>
    </row>
    <row r="3" spans="1:3">
      <c r="A3" s="69" t="s">
        <v>104</v>
      </c>
      <c r="B3" s="71" t="str">
        <f>CRNIRN</f>
        <v xml:space="preserve">CHG212977 </v>
      </c>
      <c r="C3" s="58"/>
    </row>
    <row r="4" spans="1:3">
      <c r="A4" s="69" t="s">
        <v>105</v>
      </c>
      <c r="B4" s="71" t="str">
        <f>MA</f>
        <v>CT</v>
      </c>
      <c r="C4" s="58"/>
    </row>
    <row r="5" spans="1:3">
      <c r="A5" s="69" t="s">
        <v>106</v>
      </c>
      <c r="B5" s="71" t="s">
        <v>107</v>
      </c>
    </row>
    <row r="6" spans="1:3">
      <c r="A6" s="69" t="s">
        <v>108</v>
      </c>
      <c r="B6" s="73" t="s">
        <v>109</v>
      </c>
    </row>
    <row r="7" spans="1:3">
      <c r="A7" s="69" t="s">
        <v>110</v>
      </c>
      <c r="B7" s="76">
        <f>DevDReviewed</f>
        <v>44658</v>
      </c>
      <c r="C7" s="58"/>
    </row>
    <row r="8" spans="1:3">
      <c r="A8" s="69" t="s">
        <v>111</v>
      </c>
      <c r="B8" s="73" t="str">
        <f>DevNameReviewed</f>
        <v>VikramSeeburn</v>
      </c>
      <c r="C8" s="58"/>
    </row>
    <row r="9" spans="1:3">
      <c r="A9" s="69" t="s">
        <v>112</v>
      </c>
      <c r="B9" s="72">
        <f>DateReviewed</f>
        <v>44658</v>
      </c>
      <c r="C9" s="58"/>
    </row>
    <row r="10" spans="1:3">
      <c r="A10" s="69" t="s">
        <v>113</v>
      </c>
      <c r="B10" s="73" t="str">
        <f>ReviewedBy</f>
        <v>SantanooRamjug</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topLeftCell="A19" workbookViewId="0">
      <selection activeCell="D5" sqref="D5"/>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28" t="s">
        <v>114</v>
      </c>
      <c r="B1" s="129"/>
      <c r="C1" s="129"/>
      <c r="D1" s="131"/>
    </row>
    <row r="2" spans="1:5">
      <c r="B2" s="14" t="s">
        <v>115</v>
      </c>
      <c r="C2" s="14" t="s">
        <v>116</v>
      </c>
      <c r="D2" s="14" t="s">
        <v>117</v>
      </c>
      <c r="E2" s="60"/>
    </row>
    <row r="3" spans="1:5" ht="38.25">
      <c r="B3" s="61" t="s">
        <v>118</v>
      </c>
      <c r="C3" s="62" t="s">
        <v>119</v>
      </c>
      <c r="D3" s="63" t="str">
        <f>IF(ISBLANK('1.0 DB Schema'!B29)=FALSE,"Impacted","Not Impacted")</f>
        <v>Impacted</v>
      </c>
    </row>
    <row r="4" spans="1:5" ht="25.5">
      <c r="B4" s="61" t="s">
        <v>120</v>
      </c>
      <c r="C4" s="62" t="s">
        <v>121</v>
      </c>
      <c r="D4" s="63" t="str">
        <f>IF(ISBLANK('2.0 Ifb &amp; PHP'!B38)=FALSE,"Impacted","Not Impacted")</f>
        <v>Impacted</v>
      </c>
    </row>
    <row r="5" spans="1:5" ht="38.25">
      <c r="B5" s="61" t="s">
        <v>122</v>
      </c>
      <c r="C5" s="62" t="s">
        <v>123</v>
      </c>
      <c r="D5" s="63" t="str">
        <f>IF(ISBLANK('3.0 Mapping'!B12)=FALSE,"Impacted","Not Impacted")</f>
        <v>Impacted</v>
      </c>
    </row>
    <row r="6" spans="1:5" ht="25.5">
      <c r="B6" s="61" t="s">
        <v>124</v>
      </c>
      <c r="C6" s="62" t="s">
        <v>125</v>
      </c>
      <c r="D6" s="63" t="str">
        <f>IF(ISBLANK('4.0 Worklet &amp; workflow'!B16)=FALSE,"Impacted","Not Impacted")</f>
        <v>Not Impacted</v>
      </c>
    </row>
    <row r="7" spans="1:5" ht="25.5">
      <c r="B7" s="61" t="s">
        <v>126</v>
      </c>
      <c r="C7" s="62" t="s">
        <v>127</v>
      </c>
      <c r="D7" s="63" t="str">
        <f>IF(ISBLANK('5.0 Stored Procedure'!B10)=FALSE,"Impacted","Not Impacted")</f>
        <v>Not Impacted</v>
      </c>
    </row>
    <row r="8" spans="1:5" ht="25.5">
      <c r="B8" s="61" t="s">
        <v>128</v>
      </c>
      <c r="C8" s="62" t="s">
        <v>129</v>
      </c>
      <c r="D8" s="63" t="str">
        <f>IF(ISBLANK('6.0 Data Update'!E5)=FALSE,"Impacted","Not Impacted")</f>
        <v>Not Impacted</v>
      </c>
    </row>
    <row r="10" spans="1:5" ht="13.5" thickBot="1"/>
    <row r="11" spans="1:5" ht="13.5" thickBot="1">
      <c r="B11" s="17" t="s">
        <v>130</v>
      </c>
    </row>
    <row r="12" spans="1:5">
      <c r="B12" s="14" t="s">
        <v>131</v>
      </c>
      <c r="C12" s="14" t="s">
        <v>132</v>
      </c>
      <c r="D12" s="14" t="s">
        <v>133</v>
      </c>
    </row>
    <row r="13" spans="1:5">
      <c r="B13" s="63" t="s">
        <v>134</v>
      </c>
      <c r="C13" s="63" t="s">
        <v>135</v>
      </c>
      <c r="D13" s="64" t="s">
        <v>136</v>
      </c>
    </row>
    <row r="14" spans="1:5">
      <c r="B14" s="63" t="s">
        <v>137</v>
      </c>
      <c r="C14" s="64" t="s">
        <v>138</v>
      </c>
      <c r="D14" s="63" t="s">
        <v>139</v>
      </c>
    </row>
    <row r="15" spans="1:5">
      <c r="B15" s="63" t="s">
        <v>140</v>
      </c>
      <c r="C15" s="63" t="s">
        <v>141</v>
      </c>
      <c r="D15" s="63" t="s">
        <v>142</v>
      </c>
    </row>
    <row r="16" spans="1:5">
      <c r="B16" s="63" t="s">
        <v>143</v>
      </c>
      <c r="C16" s="63" t="s">
        <v>144</v>
      </c>
      <c r="D16" s="63" t="s">
        <v>145</v>
      </c>
    </row>
    <row r="17" spans="2:4">
      <c r="B17" s="63" t="s">
        <v>146</v>
      </c>
      <c r="C17" s="64" t="s">
        <v>147</v>
      </c>
      <c r="D17" s="63" t="s">
        <v>148</v>
      </c>
    </row>
    <row r="18" spans="2:4">
      <c r="B18" s="63" t="s">
        <v>149</v>
      </c>
      <c r="C18" s="63" t="s">
        <v>150</v>
      </c>
      <c r="D18" s="63" t="s">
        <v>151</v>
      </c>
    </row>
    <row r="19" spans="2:4">
      <c r="B19" s="63" t="s">
        <v>152</v>
      </c>
      <c r="C19" s="63" t="s">
        <v>153</v>
      </c>
      <c r="D19" s="63" t="s">
        <v>154</v>
      </c>
    </row>
    <row r="20" spans="2:4">
      <c r="B20" s="63" t="s">
        <v>155</v>
      </c>
      <c r="C20" s="64" t="s">
        <v>156</v>
      </c>
      <c r="D20" s="63" t="s">
        <v>157</v>
      </c>
    </row>
    <row r="21" spans="2:4">
      <c r="B21" s="63" t="s">
        <v>158</v>
      </c>
      <c r="C21" s="64" t="s">
        <v>159</v>
      </c>
      <c r="D21" s="63" t="s">
        <v>160</v>
      </c>
    </row>
    <row r="22" spans="2:4">
      <c r="B22" s="63" t="s">
        <v>161</v>
      </c>
      <c r="C22" s="64" t="s">
        <v>162</v>
      </c>
      <c r="D22" s="63" t="s">
        <v>163</v>
      </c>
    </row>
    <row r="23" spans="2:4">
      <c r="B23" s="63" t="s">
        <v>164</v>
      </c>
      <c r="C23" s="63" t="s">
        <v>165</v>
      </c>
      <c r="D23" s="63" t="s">
        <v>166</v>
      </c>
    </row>
    <row r="24" spans="2:4">
      <c r="B24" s="63" t="s">
        <v>167</v>
      </c>
      <c r="C24" s="63"/>
      <c r="D24" s="63"/>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9"/>
  <sheetViews>
    <sheetView topLeftCell="A13" workbookViewId="0">
      <selection activeCell="D43" sqref="D43"/>
    </sheetView>
  </sheetViews>
  <sheetFormatPr defaultRowHeight="12.75"/>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c r="A1" s="128" t="s">
        <v>168</v>
      </c>
      <c r="B1" s="129"/>
      <c r="C1" s="130"/>
    </row>
    <row r="2" spans="1:24" ht="15.75" thickBot="1">
      <c r="E2" s="79" t="s">
        <v>169</v>
      </c>
      <c r="F2" s="36"/>
      <c r="G2" s="36"/>
      <c r="H2" s="36"/>
      <c r="I2" s="36"/>
      <c r="J2" s="36"/>
      <c r="K2" s="36"/>
      <c r="W2" s="58"/>
    </row>
    <row r="3" spans="1:24" ht="13.5" thickBot="1">
      <c r="A3" s="17" t="s">
        <v>170</v>
      </c>
      <c r="B3" s="15"/>
      <c r="C3" s="15"/>
      <c r="E3" s="37" t="s">
        <v>171</v>
      </c>
      <c r="F3" s="36"/>
      <c r="G3" s="36"/>
      <c r="H3" s="36"/>
      <c r="I3" s="36"/>
      <c r="J3" s="36"/>
      <c r="K3" s="36"/>
      <c r="X3" s="58"/>
    </row>
    <row r="4" spans="1:24">
      <c r="A4" s="16" t="s">
        <v>172</v>
      </c>
      <c r="B4" s="14" t="s">
        <v>173</v>
      </c>
      <c r="C4" s="14" t="s">
        <v>70</v>
      </c>
      <c r="E4" s="37" t="s">
        <v>174</v>
      </c>
      <c r="F4" s="37"/>
      <c r="G4" s="37"/>
      <c r="H4" s="37"/>
      <c r="I4" s="37"/>
      <c r="J4" s="36"/>
      <c r="K4" s="36"/>
    </row>
    <row r="5" spans="1:24" ht="140.25">
      <c r="A5" s="41" t="s">
        <v>175</v>
      </c>
      <c r="B5" s="41" t="s">
        <v>176</v>
      </c>
      <c r="C5" s="27" t="s">
        <v>177</v>
      </c>
      <c r="D5" s="58" t="s">
        <v>178</v>
      </c>
      <c r="E5" s="37" t="s">
        <v>179</v>
      </c>
      <c r="F5" s="37"/>
      <c r="G5" s="37"/>
      <c r="H5" s="37"/>
      <c r="I5" s="37"/>
      <c r="J5" s="36"/>
      <c r="K5" s="36"/>
    </row>
    <row r="6" spans="1:24">
      <c r="A6" s="41" t="s">
        <v>180</v>
      </c>
      <c r="B6" s="41" t="s">
        <v>176</v>
      </c>
      <c r="C6" s="27" t="s">
        <v>181</v>
      </c>
      <c r="D6" s="58" t="s">
        <v>182</v>
      </c>
      <c r="E6" s="78" t="s">
        <v>183</v>
      </c>
      <c r="F6" s="36"/>
      <c r="G6" s="36"/>
      <c r="H6" s="36"/>
      <c r="I6" s="36"/>
      <c r="J6" s="36"/>
      <c r="K6" s="36"/>
      <c r="X6" s="58"/>
    </row>
    <row r="7" spans="1:24" ht="178.5">
      <c r="A7" s="41" t="s">
        <v>175</v>
      </c>
      <c r="B7" s="41" t="s">
        <v>176</v>
      </c>
      <c r="C7" s="27" t="s">
        <v>184</v>
      </c>
      <c r="D7" s="58" t="s">
        <v>178</v>
      </c>
    </row>
    <row r="8" spans="1:24">
      <c r="A8" s="41" t="s">
        <v>180</v>
      </c>
      <c r="B8" s="41" t="s">
        <v>176</v>
      </c>
      <c r="C8" s="27" t="s">
        <v>181</v>
      </c>
      <c r="D8" s="58" t="s">
        <v>185</v>
      </c>
      <c r="X8" s="58"/>
    </row>
    <row r="9" spans="1:24" ht="13.5" thickBot="1">
      <c r="X9" s="58"/>
    </row>
    <row r="10" spans="1:24" ht="13.5" thickBot="1">
      <c r="A10" s="17" t="s">
        <v>186</v>
      </c>
      <c r="X10" s="58"/>
    </row>
    <row r="11" spans="1:24">
      <c r="A11" s="16" t="s">
        <v>172</v>
      </c>
      <c r="B11" s="14" t="s">
        <v>187</v>
      </c>
      <c r="C11" s="14" t="s">
        <v>188</v>
      </c>
      <c r="D11" s="14" t="s">
        <v>173</v>
      </c>
      <c r="E11" s="14" t="s">
        <v>189</v>
      </c>
      <c r="F11" s="14" t="s">
        <v>70</v>
      </c>
      <c r="X11" s="58"/>
    </row>
    <row r="12" spans="1:24">
      <c r="A12" s="41" t="s">
        <v>167</v>
      </c>
      <c r="B12" s="41"/>
      <c r="C12" s="41"/>
      <c r="D12" s="41"/>
      <c r="E12" s="41"/>
      <c r="F12" s="41"/>
    </row>
    <row r="13" spans="1:24">
      <c r="A13" s="41"/>
      <c r="B13" s="41"/>
      <c r="C13" s="41"/>
      <c r="D13" s="41"/>
      <c r="E13" s="41"/>
      <c r="F13" s="41"/>
    </row>
    <row r="14" spans="1:24">
      <c r="A14" s="41"/>
      <c r="B14" s="41"/>
      <c r="C14" s="41"/>
      <c r="D14" s="41"/>
      <c r="E14" s="41"/>
      <c r="F14" s="41"/>
    </row>
    <row r="15" spans="1:24">
      <c r="A15" s="41"/>
      <c r="B15" s="41"/>
      <c r="C15" s="41"/>
      <c r="D15" s="41"/>
      <c r="E15" s="41"/>
      <c r="F15" s="41"/>
    </row>
    <row r="16" spans="1:24">
      <c r="A16" s="13"/>
      <c r="B16" s="13"/>
      <c r="C16" s="13"/>
      <c r="D16" s="13"/>
      <c r="E16" s="13"/>
      <c r="F16" s="13"/>
    </row>
    <row r="17" spans="1:29" ht="13.5" thickBot="1"/>
    <row r="18" spans="1:29" ht="13.5" thickBot="1">
      <c r="A18" s="17" t="s">
        <v>190</v>
      </c>
    </row>
    <row r="19" spans="1:29">
      <c r="A19" s="16" t="s">
        <v>191</v>
      </c>
      <c r="B19" s="14" t="s">
        <v>192</v>
      </c>
      <c r="C19" s="14" t="s">
        <v>193</v>
      </c>
      <c r="D19" s="14" t="s">
        <v>194</v>
      </c>
    </row>
    <row r="20" spans="1:29">
      <c r="A20" s="41" t="s">
        <v>167</v>
      </c>
      <c r="B20" s="41"/>
      <c r="C20" s="41"/>
      <c r="D20" s="13"/>
      <c r="AA20" s="58"/>
    </row>
    <row r="21" spans="1:29">
      <c r="A21" s="41"/>
      <c r="B21" s="41"/>
      <c r="C21" s="41"/>
      <c r="D21" s="13"/>
      <c r="AA21" s="58"/>
    </row>
    <row r="22" spans="1:29">
      <c r="A22" s="41"/>
      <c r="B22" s="41"/>
      <c r="C22" s="41"/>
      <c r="D22" s="13"/>
    </row>
    <row r="23" spans="1:29" ht="13.5" thickBot="1">
      <c r="A23" s="58"/>
      <c r="B23" s="58"/>
      <c r="C23" s="58"/>
    </row>
    <row r="24" spans="1:29" ht="13.5" thickBot="1">
      <c r="A24" s="17" t="s">
        <v>195</v>
      </c>
      <c r="B24" s="58"/>
      <c r="C24" s="58"/>
    </row>
    <row r="25" spans="1:29">
      <c r="A25" s="16" t="s">
        <v>131</v>
      </c>
      <c r="B25" s="14" t="s">
        <v>196</v>
      </c>
    </row>
    <row r="26" spans="1:29">
      <c r="A26" s="41" t="s">
        <v>167</v>
      </c>
      <c r="B26" s="41"/>
      <c r="AC26" s="58"/>
    </row>
    <row r="27" spans="1:29">
      <c r="A27" s="41"/>
      <c r="B27" s="41"/>
    </row>
    <row r="28" spans="1:29">
      <c r="A28" s="21" t="s">
        <v>35</v>
      </c>
      <c r="B28" s="21" t="s">
        <v>197</v>
      </c>
    </row>
    <row r="29" spans="1:29">
      <c r="A29" s="20"/>
      <c r="B29" s="20">
        <v>0.05</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workbookViewId="0">
      <selection activeCell="E41" sqref="E41"/>
    </sheetView>
  </sheetViews>
  <sheetFormatPr defaultRowHeight="12.75"/>
  <cols>
    <col min="1" max="1" width="34.5703125" bestFit="1" customWidth="1"/>
    <col min="2" max="2" width="36.28515625" style="23" customWidth="1"/>
    <col min="3" max="3" width="32.85546875" customWidth="1"/>
  </cols>
  <sheetData>
    <row r="1" spans="1:3" ht="13.5" thickBot="1">
      <c r="A1" s="128" t="s">
        <v>198</v>
      </c>
      <c r="B1" s="129"/>
      <c r="C1" s="130"/>
    </row>
    <row r="2" spans="1:3" ht="13.5" thickBot="1"/>
    <row r="3" spans="1:3" ht="13.5" thickBot="1">
      <c r="A3" s="18" t="s">
        <v>199</v>
      </c>
      <c r="B3" s="29"/>
    </row>
    <row r="4" spans="1:3">
      <c r="A4" s="16" t="s">
        <v>200</v>
      </c>
      <c r="B4" s="28" t="s">
        <v>70</v>
      </c>
    </row>
    <row r="5" spans="1:3">
      <c r="A5" s="41" t="s">
        <v>167</v>
      </c>
      <c r="B5" s="22"/>
    </row>
    <row r="6" spans="1:3">
      <c r="A6" s="13"/>
      <c r="B6" s="22"/>
    </row>
    <row r="7" spans="1:3">
      <c r="A7" s="13"/>
      <c r="B7" s="22"/>
    </row>
    <row r="8" spans="1:3">
      <c r="A8" s="13"/>
      <c r="B8" s="22"/>
    </row>
    <row r="9" spans="1:3" ht="13.5" thickBot="1"/>
    <row r="10" spans="1:3" ht="13.5" thickBot="1">
      <c r="A10" s="18" t="s">
        <v>201</v>
      </c>
      <c r="B10" s="29"/>
      <c r="C10" s="15"/>
    </row>
    <row r="11" spans="1:3">
      <c r="A11" s="16" t="s">
        <v>202</v>
      </c>
      <c r="B11" s="28" t="s">
        <v>70</v>
      </c>
    </row>
    <row r="12" spans="1:3">
      <c r="A12" s="41" t="s">
        <v>203</v>
      </c>
      <c r="B12" s="27" t="s">
        <v>204</v>
      </c>
    </row>
    <row r="13" spans="1:3" ht="38.25">
      <c r="A13" s="41" t="s">
        <v>205</v>
      </c>
      <c r="B13" s="27" t="s">
        <v>206</v>
      </c>
    </row>
    <row r="14" spans="1:3">
      <c r="A14" s="13"/>
      <c r="B14" s="22"/>
    </row>
    <row r="15" spans="1:3" ht="13.5" thickBot="1"/>
    <row r="16" spans="1:3" ht="13.5" thickBot="1">
      <c r="A16" s="18" t="s">
        <v>207</v>
      </c>
    </row>
    <row r="17" spans="1:2">
      <c r="A17" s="16" t="s">
        <v>200</v>
      </c>
      <c r="B17" s="28" t="s">
        <v>70</v>
      </c>
    </row>
    <row r="18" spans="1:2">
      <c r="A18" s="41" t="s">
        <v>167</v>
      </c>
      <c r="B18" s="22"/>
    </row>
    <row r="19" spans="1:2">
      <c r="A19" s="13"/>
      <c r="B19" s="22"/>
    </row>
    <row r="20" spans="1:2">
      <c r="A20" s="13"/>
      <c r="B20" s="22"/>
    </row>
    <row r="21" spans="1:2">
      <c r="A21" s="13"/>
      <c r="B21" s="22"/>
    </row>
    <row r="22" spans="1:2" ht="13.5" thickBot="1"/>
    <row r="23" spans="1:2" ht="13.5" thickBot="1">
      <c r="A23" s="18" t="s">
        <v>208</v>
      </c>
    </row>
    <row r="24" spans="1:2">
      <c r="A24" s="16" t="s">
        <v>200</v>
      </c>
      <c r="B24" s="28" t="s">
        <v>70</v>
      </c>
    </row>
    <row r="25" spans="1:2">
      <c r="A25" s="41" t="s">
        <v>167</v>
      </c>
      <c r="B25" s="22"/>
    </row>
    <row r="26" spans="1:2">
      <c r="A26" s="13"/>
      <c r="B26" s="22"/>
    </row>
    <row r="27" spans="1:2">
      <c r="A27" s="13"/>
      <c r="B27" s="22"/>
    </row>
    <row r="28" spans="1:2">
      <c r="A28" s="13"/>
      <c r="B28" s="22"/>
    </row>
    <row r="29" spans="1:2" ht="13.5" thickBot="1"/>
    <row r="30" spans="1:2" ht="13.5" thickBot="1">
      <c r="A30" s="18" t="s">
        <v>209</v>
      </c>
    </row>
    <row r="31" spans="1:2">
      <c r="A31" s="16" t="s">
        <v>200</v>
      </c>
      <c r="B31" s="28" t="s">
        <v>70</v>
      </c>
    </row>
    <row r="32" spans="1:2">
      <c r="A32" s="41" t="s">
        <v>167</v>
      </c>
      <c r="B32" s="22"/>
    </row>
    <row r="33" spans="1:2">
      <c r="A33" s="13"/>
      <c r="B33" s="22"/>
    </row>
    <row r="34" spans="1:2">
      <c r="A34" s="13"/>
      <c r="B34" s="22"/>
    </row>
    <row r="35" spans="1:2">
      <c r="A35" s="13"/>
      <c r="B35" s="22"/>
    </row>
    <row r="37" spans="1:2">
      <c r="A37" s="21" t="s">
        <v>35</v>
      </c>
      <c r="B37" s="30" t="s">
        <v>197</v>
      </c>
    </row>
    <row r="38" spans="1:2">
      <c r="A38" s="20"/>
      <c r="B38" s="31">
        <v>0.01</v>
      </c>
    </row>
  </sheetData>
  <mergeCells count="1">
    <mergeCell ref="A1:C1"/>
  </mergeCells>
  <phoneticPr fontId="2" type="noConversion"/>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Package" dvAspect="DVASPECT_ICON" shapeId="18434" r:id="rId4">
          <objectPr defaultSize="0" r:id="rId5">
            <anchor moveWithCells="1" sizeWithCells="1">
              <from>
                <xdr:col>2</xdr:col>
                <xdr:colOff>561975</xdr:colOff>
                <xdr:row>9</xdr:row>
                <xdr:rowOff>76200</xdr:rowOff>
              </from>
              <to>
                <xdr:col>2</xdr:col>
                <xdr:colOff>1543050</xdr:colOff>
                <xdr:row>12</xdr:row>
                <xdr:rowOff>209550</xdr:rowOff>
              </to>
            </anchor>
          </objectPr>
        </oleObject>
      </mc:Choice>
      <mc:Fallback>
        <oleObject progId="Package" dvAspect="DVASPECT_ICON" shapeId="18434" r:id="rId4"/>
      </mc:Fallback>
    </mc:AlternateContent>
    <mc:AlternateContent xmlns:mc="http://schemas.openxmlformats.org/markup-compatibility/2006">
      <mc:Choice Requires="x14">
        <oleObject progId="Package" dvAspect="DVASPECT_ICON" shapeId="18433" r:id="rId6">
          <objectPr defaultSize="0" r:id="rId7">
            <anchor moveWithCells="1" sizeWithCells="1">
              <from>
                <xdr:col>2</xdr:col>
                <xdr:colOff>485775</xdr:colOff>
                <xdr:row>12</xdr:row>
                <xdr:rowOff>238125</xdr:rowOff>
              </from>
              <to>
                <xdr:col>2</xdr:col>
                <xdr:colOff>1466850</xdr:colOff>
                <xdr:row>15</xdr:row>
                <xdr:rowOff>47625</xdr:rowOff>
              </to>
            </anchor>
          </objectPr>
        </oleObject>
      </mc:Choice>
      <mc:Fallback>
        <oleObject progId="Package" dvAspect="DVASPECT_ICON" shapeId="18433" r:id="rId6"/>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2"/>
  <sheetViews>
    <sheetView workbookViewId="0">
      <selection activeCell="B13" sqref="B13"/>
    </sheetView>
  </sheetViews>
  <sheetFormatPr defaultRowHeight="12.75"/>
  <cols>
    <col min="1" max="1" width="19.140625" customWidth="1"/>
    <col min="2" max="2" width="24.140625" bestFit="1" customWidth="1"/>
    <col min="3" max="3" width="20.5703125" customWidth="1"/>
  </cols>
  <sheetData>
    <row r="1" spans="1:4" ht="13.5" thickBot="1">
      <c r="A1" s="128" t="s">
        <v>210</v>
      </c>
      <c r="B1" s="129"/>
      <c r="C1" s="130"/>
    </row>
    <row r="3" spans="1:4">
      <c r="A3" s="14" t="s">
        <v>211</v>
      </c>
      <c r="B3" s="14" t="s">
        <v>212</v>
      </c>
      <c r="C3" s="14" t="s">
        <v>70</v>
      </c>
    </row>
    <row r="4" spans="1:4">
      <c r="A4" s="41" t="s">
        <v>213</v>
      </c>
      <c r="B4" s="13" t="s">
        <v>214</v>
      </c>
      <c r="C4" s="41" t="s">
        <v>215</v>
      </c>
      <c r="D4">
        <v>0.375</v>
      </c>
    </row>
    <row r="5" spans="1:4">
      <c r="A5" s="13"/>
      <c r="B5" s="13"/>
      <c r="C5" s="13"/>
    </row>
    <row r="6" spans="1:4">
      <c r="A6" s="13"/>
      <c r="B6" s="13"/>
      <c r="C6" s="22"/>
    </row>
    <row r="7" spans="1:4">
      <c r="A7" s="13"/>
      <c r="B7" s="13"/>
      <c r="C7" s="13"/>
    </row>
    <row r="11" spans="1:4">
      <c r="A11" s="21" t="s">
        <v>35</v>
      </c>
      <c r="B11" s="21" t="s">
        <v>197</v>
      </c>
    </row>
    <row r="12" spans="1:4">
      <c r="A12" s="20"/>
      <c r="B12" s="20">
        <f>SUM(D:D)</f>
        <v>0.375</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17"/>
  <sheetViews>
    <sheetView workbookViewId="0">
      <selection activeCell="I8" sqref="I8"/>
    </sheetView>
  </sheetViews>
  <sheetFormatPr defaultRowHeight="12.75"/>
  <cols>
    <col min="1" max="1" width="14.42578125" bestFit="1" customWidth="1"/>
    <col min="2" max="3" width="15.85546875" bestFit="1" customWidth="1"/>
    <col min="4" max="4" width="12.85546875" bestFit="1" customWidth="1"/>
    <col min="5" max="6" width="16.28515625" bestFit="1" customWidth="1"/>
    <col min="7" max="7" width="20.28515625" bestFit="1" customWidth="1"/>
    <col min="8" max="8" width="12.85546875" bestFit="1" customWidth="1"/>
    <col min="9" max="9" width="59.5703125" customWidth="1"/>
    <col min="10" max="10" width="24" customWidth="1"/>
  </cols>
  <sheetData>
    <row r="1" spans="1:10" ht="13.5" thickBot="1">
      <c r="A1" s="128" t="s">
        <v>216</v>
      </c>
      <c r="B1" s="129"/>
      <c r="C1" s="129"/>
      <c r="D1" s="130"/>
    </row>
    <row r="3" spans="1:10">
      <c r="A3" s="14" t="s">
        <v>212</v>
      </c>
      <c r="B3" s="132" t="s">
        <v>214</v>
      </c>
      <c r="C3" s="133"/>
    </row>
    <row r="5" spans="1:10">
      <c r="A5" s="14" t="s">
        <v>217</v>
      </c>
      <c r="B5" s="14" t="s">
        <v>218</v>
      </c>
      <c r="C5" s="14" t="s">
        <v>219</v>
      </c>
      <c r="D5" s="14" t="s">
        <v>220</v>
      </c>
      <c r="E5" s="14" t="s">
        <v>221</v>
      </c>
      <c r="F5" s="14" t="s">
        <v>218</v>
      </c>
      <c r="G5" s="14" t="s">
        <v>222</v>
      </c>
      <c r="H5" s="14" t="s">
        <v>220</v>
      </c>
      <c r="I5" s="14" t="s">
        <v>223</v>
      </c>
      <c r="J5" s="14" t="s">
        <v>224</v>
      </c>
    </row>
    <row r="6" spans="1:10">
      <c r="A6" s="41" t="s">
        <v>167</v>
      </c>
      <c r="B6" s="13"/>
      <c r="C6" s="13"/>
      <c r="D6" s="13"/>
      <c r="E6" s="13"/>
      <c r="F6" s="13"/>
      <c r="G6" s="13"/>
      <c r="H6" s="13"/>
      <c r="I6" s="41" t="s">
        <v>225</v>
      </c>
      <c r="J6" s="13"/>
    </row>
    <row r="7" spans="1:10" ht="318.75">
      <c r="A7" s="13"/>
      <c r="B7" s="13"/>
      <c r="C7" s="13"/>
      <c r="D7" s="13"/>
      <c r="E7" s="13"/>
      <c r="F7" s="13"/>
      <c r="G7" s="13"/>
      <c r="H7" s="13"/>
      <c r="I7" s="27" t="s">
        <v>226</v>
      </c>
      <c r="J7" s="13" t="s">
        <v>227</v>
      </c>
    </row>
    <row r="8" spans="1:10" ht="51">
      <c r="A8" s="13"/>
      <c r="B8" s="13"/>
      <c r="C8" s="13"/>
      <c r="D8" s="13"/>
      <c r="E8" s="13"/>
      <c r="F8" s="13"/>
      <c r="G8" s="13"/>
      <c r="H8" s="13"/>
      <c r="I8" s="27" t="s">
        <v>228</v>
      </c>
      <c r="J8" s="41" t="s">
        <v>229</v>
      </c>
    </row>
    <row r="9" spans="1:10">
      <c r="A9" s="13" t="s">
        <v>230</v>
      </c>
      <c r="B9" s="13" t="s">
        <v>230</v>
      </c>
      <c r="C9" s="13" t="s">
        <v>231</v>
      </c>
      <c r="D9" s="22" t="s">
        <v>232</v>
      </c>
      <c r="E9" s="13" t="s">
        <v>229</v>
      </c>
      <c r="F9" s="13" t="s">
        <v>229</v>
      </c>
      <c r="G9" s="13" t="s">
        <v>233</v>
      </c>
      <c r="H9" s="22" t="s">
        <v>232</v>
      </c>
      <c r="I9" s="13"/>
      <c r="J9" s="13"/>
    </row>
    <row r="10" spans="1:10">
      <c r="A10" s="13" t="s">
        <v>234</v>
      </c>
      <c r="B10" s="13" t="s">
        <v>234</v>
      </c>
      <c r="C10" s="13" t="s">
        <v>235</v>
      </c>
      <c r="D10" s="13" t="s">
        <v>236</v>
      </c>
      <c r="E10" s="13" t="s">
        <v>229</v>
      </c>
      <c r="F10" s="13" t="s">
        <v>229</v>
      </c>
      <c r="G10" s="13" t="s">
        <v>237</v>
      </c>
      <c r="H10" s="13" t="s">
        <v>236</v>
      </c>
      <c r="I10" s="13"/>
      <c r="J10" s="13"/>
    </row>
    <row r="11" spans="1:10">
      <c r="A11" s="13" t="s">
        <v>234</v>
      </c>
      <c r="B11" s="13" t="s">
        <v>234</v>
      </c>
      <c r="C11" s="13" t="s">
        <v>231</v>
      </c>
      <c r="D11" s="13" t="s">
        <v>238</v>
      </c>
      <c r="E11" s="13" t="s">
        <v>229</v>
      </c>
      <c r="F11" s="13" t="s">
        <v>229</v>
      </c>
      <c r="G11" s="13" t="s">
        <v>239</v>
      </c>
      <c r="H11" s="13" t="s">
        <v>238</v>
      </c>
      <c r="I11" s="13"/>
      <c r="J11" s="13"/>
    </row>
    <row r="12" spans="1:10">
      <c r="A12" s="13" t="s">
        <v>240</v>
      </c>
      <c r="B12" s="13" t="s">
        <v>240</v>
      </c>
      <c r="C12" s="13" t="s">
        <v>241</v>
      </c>
      <c r="D12" s="13" t="s">
        <v>242</v>
      </c>
      <c r="E12" s="13" t="s">
        <v>229</v>
      </c>
      <c r="F12" s="13" t="s">
        <v>229</v>
      </c>
      <c r="G12" s="13" t="s">
        <v>243</v>
      </c>
      <c r="H12" s="13" t="s">
        <v>242</v>
      </c>
      <c r="I12" s="13"/>
      <c r="J12" s="13"/>
    </row>
    <row r="13" spans="1:10">
      <c r="A13" s="13" t="s">
        <v>240</v>
      </c>
      <c r="B13" s="13" t="s">
        <v>240</v>
      </c>
      <c r="C13" s="13" t="s">
        <v>244</v>
      </c>
      <c r="D13" s="13" t="s">
        <v>242</v>
      </c>
      <c r="E13" s="13" t="s">
        <v>229</v>
      </c>
      <c r="F13" s="13" t="s">
        <v>229</v>
      </c>
      <c r="G13" s="13" t="s">
        <v>245</v>
      </c>
      <c r="H13" s="13" t="s">
        <v>242</v>
      </c>
      <c r="I13" s="13"/>
      <c r="J13" s="13"/>
    </row>
    <row r="14" spans="1:10">
      <c r="A14" s="13" t="s">
        <v>240</v>
      </c>
      <c r="B14" s="13" t="s">
        <v>240</v>
      </c>
      <c r="C14" s="13" t="s">
        <v>246</v>
      </c>
      <c r="D14" s="13" t="s">
        <v>247</v>
      </c>
      <c r="E14" s="13" t="s">
        <v>229</v>
      </c>
      <c r="F14" s="13" t="s">
        <v>229</v>
      </c>
      <c r="G14" s="13" t="s">
        <v>248</v>
      </c>
      <c r="H14" s="13" t="s">
        <v>247</v>
      </c>
      <c r="I14" s="13"/>
      <c r="J14" s="13"/>
    </row>
    <row r="15" spans="1:10">
      <c r="A15" s="88" t="s">
        <v>167</v>
      </c>
      <c r="B15" s="88" t="s">
        <v>167</v>
      </c>
      <c r="C15" s="88" t="s">
        <v>167</v>
      </c>
      <c r="D15" s="88" t="s">
        <v>167</v>
      </c>
      <c r="E15" s="13" t="s">
        <v>229</v>
      </c>
      <c r="F15" s="13" t="s">
        <v>229</v>
      </c>
      <c r="G15" s="41" t="s">
        <v>235</v>
      </c>
      <c r="H15" s="13" t="s">
        <v>242</v>
      </c>
      <c r="I15" s="13"/>
      <c r="J15" s="13"/>
    </row>
    <row r="16" spans="1:10">
      <c r="A16" s="88" t="s">
        <v>167</v>
      </c>
      <c r="B16" s="88" t="s">
        <v>167</v>
      </c>
      <c r="C16" s="88" t="s">
        <v>167</v>
      </c>
      <c r="D16" s="88" t="s">
        <v>167</v>
      </c>
      <c r="E16" s="13" t="s">
        <v>229</v>
      </c>
      <c r="F16" s="13" t="s">
        <v>229</v>
      </c>
      <c r="G16" s="41" t="s">
        <v>249</v>
      </c>
      <c r="H16" s="13" t="s">
        <v>238</v>
      </c>
      <c r="I16" s="13"/>
      <c r="J16" s="13"/>
    </row>
    <row r="17" spans="1:10">
      <c r="A17" s="88" t="s">
        <v>167</v>
      </c>
      <c r="B17" s="88" t="s">
        <v>167</v>
      </c>
      <c r="C17" s="88" t="s">
        <v>167</v>
      </c>
      <c r="D17" s="88" t="s">
        <v>167</v>
      </c>
      <c r="E17" s="13" t="s">
        <v>229</v>
      </c>
      <c r="F17" s="13" t="s">
        <v>229</v>
      </c>
      <c r="G17" s="41" t="s">
        <v>250</v>
      </c>
      <c r="H17" s="13" t="s">
        <v>238</v>
      </c>
      <c r="I17" s="13"/>
      <c r="J17" s="13"/>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16"/>
  <sheetViews>
    <sheetView workbookViewId="0">
      <selection activeCell="E13" sqref="E13"/>
    </sheetView>
  </sheetViews>
  <sheetFormatPr defaultRowHeight="12.75"/>
  <cols>
    <col min="1" max="1" width="18.5703125" customWidth="1"/>
    <col min="2" max="2" width="30.5703125" bestFit="1" customWidth="1"/>
    <col min="3" max="3" width="24.85546875" bestFit="1" customWidth="1"/>
    <col min="4" max="4" width="31.5703125" customWidth="1"/>
    <col min="5" max="5" width="25.5703125" bestFit="1" customWidth="1"/>
    <col min="6" max="6" width="48.42578125" style="23" bestFit="1" customWidth="1"/>
  </cols>
  <sheetData>
    <row r="1" spans="1:5" ht="13.5" thickBot="1">
      <c r="A1" s="128" t="s">
        <v>251</v>
      </c>
      <c r="B1" s="129"/>
      <c r="C1" s="130"/>
    </row>
    <row r="2" spans="1:5" ht="13.5" thickBot="1"/>
    <row r="3" spans="1:5" ht="13.5" thickBot="1">
      <c r="A3" s="128" t="s">
        <v>252</v>
      </c>
      <c r="B3" s="129"/>
      <c r="C3" s="130"/>
    </row>
    <row r="4" spans="1:5">
      <c r="A4" s="16" t="s">
        <v>211</v>
      </c>
      <c r="B4" s="16" t="s">
        <v>253</v>
      </c>
      <c r="C4" s="16" t="s">
        <v>70</v>
      </c>
    </row>
    <row r="5" spans="1:5">
      <c r="A5" s="41" t="s">
        <v>213</v>
      </c>
      <c r="B5" s="13" t="s">
        <v>254</v>
      </c>
      <c r="C5" s="13" t="s">
        <v>255</v>
      </c>
      <c r="D5" s="88" t="s">
        <v>256</v>
      </c>
    </row>
    <row r="6" spans="1:5">
      <c r="A6" s="41" t="s">
        <v>213</v>
      </c>
      <c r="B6" s="41" t="s">
        <v>257</v>
      </c>
      <c r="C6" s="13" t="s">
        <v>255</v>
      </c>
      <c r="D6" s="88" t="s">
        <v>256</v>
      </c>
    </row>
    <row r="7" spans="1:5">
      <c r="A7" s="13"/>
      <c r="B7" s="13"/>
      <c r="C7" s="13"/>
    </row>
    <row r="9" spans="1:5" ht="13.5" thickBot="1"/>
    <row r="10" spans="1:5" ht="13.5" thickBot="1">
      <c r="A10" s="128" t="s">
        <v>258</v>
      </c>
      <c r="B10" s="129"/>
      <c r="C10" s="130"/>
    </row>
    <row r="11" spans="1:5">
      <c r="A11" s="16" t="s">
        <v>211</v>
      </c>
      <c r="B11" s="16" t="s">
        <v>253</v>
      </c>
      <c r="C11" s="16" t="s">
        <v>259</v>
      </c>
      <c r="D11" s="14" t="s">
        <v>23</v>
      </c>
      <c r="E11" s="15"/>
    </row>
    <row r="12" spans="1:5">
      <c r="A12" s="13"/>
      <c r="B12" s="13"/>
      <c r="C12" s="13"/>
      <c r="D12" s="13"/>
    </row>
    <row r="15" spans="1:5">
      <c r="A15" s="21" t="s">
        <v>35</v>
      </c>
      <c r="B15" s="21" t="s">
        <v>197</v>
      </c>
    </row>
    <row r="16" spans="1:5">
      <c r="A16" s="20"/>
      <c r="B16" s="20"/>
    </row>
  </sheetData>
  <mergeCells count="3">
    <mergeCell ref="A1:C1"/>
    <mergeCell ref="A10:C10"/>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4"/>
  <sheetViews>
    <sheetView topLeftCell="H1" workbookViewId="0">
      <selection activeCell="B14" sqref="B14"/>
    </sheetView>
  </sheetViews>
  <sheetFormatPr defaultRowHeight="12.75"/>
  <cols>
    <col min="1" max="1" width="15.7109375" bestFit="1" customWidth="1"/>
    <col min="2" max="2" width="31.42578125" bestFit="1" customWidth="1"/>
    <col min="3" max="3" width="13.28515625" bestFit="1" customWidth="1"/>
    <col min="4" max="4" width="26.28515625" bestFit="1" customWidth="1"/>
    <col min="5" max="5" width="24.140625"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25.28515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4" ht="13.5" thickBot="1">
      <c r="A1" s="128" t="s">
        <v>260</v>
      </c>
      <c r="B1" s="129"/>
      <c r="C1" s="130"/>
    </row>
    <row r="2" spans="1:24">
      <c r="F2" s="137" t="s">
        <v>261</v>
      </c>
      <c r="G2" s="137"/>
      <c r="H2" s="137"/>
      <c r="I2" s="134" t="s">
        <v>262</v>
      </c>
      <c r="J2" s="135"/>
      <c r="K2" s="135"/>
      <c r="L2" s="134" t="s">
        <v>263</v>
      </c>
      <c r="M2" s="135"/>
      <c r="N2" s="135"/>
      <c r="O2" s="135"/>
      <c r="P2" s="135"/>
      <c r="Q2" s="136"/>
      <c r="R2" s="134" t="s">
        <v>264</v>
      </c>
      <c r="S2" s="135"/>
      <c r="T2" s="135"/>
      <c r="U2" s="136"/>
      <c r="V2" s="134" t="s">
        <v>265</v>
      </c>
      <c r="W2" s="136"/>
    </row>
    <row r="3" spans="1:24" s="46" customFormat="1" ht="34.5">
      <c r="A3" s="42" t="s">
        <v>211</v>
      </c>
      <c r="B3" s="42" t="s">
        <v>253</v>
      </c>
      <c r="C3" s="42" t="s">
        <v>259</v>
      </c>
      <c r="D3" s="42" t="s">
        <v>266</v>
      </c>
      <c r="E3" s="42" t="s">
        <v>122</v>
      </c>
      <c r="F3" s="43" t="s">
        <v>267</v>
      </c>
      <c r="G3" s="43" t="s">
        <v>268</v>
      </c>
      <c r="H3" s="42" t="s">
        <v>269</v>
      </c>
      <c r="I3" s="43" t="s">
        <v>270</v>
      </c>
      <c r="J3" s="43" t="s">
        <v>271</v>
      </c>
      <c r="K3" s="43" t="s">
        <v>272</v>
      </c>
      <c r="L3" s="47" t="s">
        <v>273</v>
      </c>
      <c r="M3" s="47" t="s">
        <v>274</v>
      </c>
      <c r="N3" s="43" t="s">
        <v>275</v>
      </c>
      <c r="O3" s="43" t="s">
        <v>276</v>
      </c>
      <c r="P3" s="43" t="s">
        <v>277</v>
      </c>
      <c r="Q3" s="43" t="s">
        <v>278</v>
      </c>
      <c r="R3" s="44" t="s">
        <v>273</v>
      </c>
      <c r="S3" s="44" t="s">
        <v>274</v>
      </c>
      <c r="T3" s="44" t="s">
        <v>279</v>
      </c>
      <c r="U3" s="45" t="s">
        <v>280</v>
      </c>
      <c r="V3" s="45" t="s">
        <v>281</v>
      </c>
      <c r="W3" s="45" t="s">
        <v>282</v>
      </c>
      <c r="X3" s="43" t="s">
        <v>23</v>
      </c>
    </row>
    <row r="4" spans="1:24">
      <c r="A4" s="41" t="s">
        <v>213</v>
      </c>
      <c r="B4" s="13" t="s">
        <v>254</v>
      </c>
      <c r="C4" s="13"/>
      <c r="D4" s="13" t="s">
        <v>283</v>
      </c>
      <c r="E4" s="13" t="s">
        <v>214</v>
      </c>
      <c r="F4" s="13" t="s">
        <v>284</v>
      </c>
      <c r="G4" s="13" t="s">
        <v>284</v>
      </c>
      <c r="H4" s="13" t="s">
        <v>284</v>
      </c>
      <c r="I4" s="13" t="s">
        <v>284</v>
      </c>
      <c r="J4" s="13" t="s">
        <v>285</v>
      </c>
      <c r="K4" s="13" t="s">
        <v>286</v>
      </c>
      <c r="L4" s="13" t="s">
        <v>284</v>
      </c>
      <c r="M4" s="13" t="s">
        <v>284</v>
      </c>
      <c r="N4" s="13" t="s">
        <v>284</v>
      </c>
      <c r="O4" s="13" t="s">
        <v>284</v>
      </c>
      <c r="P4" s="13" t="s">
        <v>284</v>
      </c>
      <c r="Q4" s="13" t="s">
        <v>284</v>
      </c>
      <c r="R4" s="13" t="s">
        <v>284</v>
      </c>
      <c r="S4" s="13" t="s">
        <v>284</v>
      </c>
      <c r="T4" s="13" t="s">
        <v>284</v>
      </c>
      <c r="U4" s="13" t="s">
        <v>284</v>
      </c>
      <c r="V4" s="13" t="s">
        <v>284</v>
      </c>
      <c r="W4" s="13" t="s">
        <v>284</v>
      </c>
      <c r="X4" s="27" t="s">
        <v>287</v>
      </c>
    </row>
    <row r="5" spans="1:24">
      <c r="A5" s="41" t="s">
        <v>213</v>
      </c>
      <c r="B5" s="13" t="s">
        <v>254</v>
      </c>
      <c r="C5" s="13"/>
      <c r="D5" s="13" t="s">
        <v>288</v>
      </c>
      <c r="E5" s="13" t="s">
        <v>289</v>
      </c>
      <c r="F5" s="13" t="s">
        <v>284</v>
      </c>
      <c r="G5" s="13" t="s">
        <v>284</v>
      </c>
      <c r="H5" s="13" t="s">
        <v>284</v>
      </c>
      <c r="I5" s="13" t="s">
        <v>284</v>
      </c>
      <c r="J5" s="13" t="s">
        <v>285</v>
      </c>
      <c r="K5" s="13" t="s">
        <v>286</v>
      </c>
      <c r="L5" s="13" t="s">
        <v>284</v>
      </c>
      <c r="M5" s="13" t="s">
        <v>284</v>
      </c>
      <c r="N5" s="13" t="s">
        <v>284</v>
      </c>
      <c r="O5" s="13" t="s">
        <v>284</v>
      </c>
      <c r="P5" s="13" t="s">
        <v>284</v>
      </c>
      <c r="Q5" s="13" t="s">
        <v>284</v>
      </c>
      <c r="R5" s="13" t="s">
        <v>284</v>
      </c>
      <c r="S5" s="13" t="s">
        <v>284</v>
      </c>
      <c r="T5" s="13" t="s">
        <v>284</v>
      </c>
      <c r="U5" s="13" t="s">
        <v>284</v>
      </c>
      <c r="V5" s="13" t="s">
        <v>290</v>
      </c>
      <c r="W5" s="13" t="s">
        <v>284</v>
      </c>
      <c r="X5" s="27" t="s">
        <v>287</v>
      </c>
    </row>
    <row r="6" spans="1:24" ht="55.5" customHeight="1">
      <c r="A6" s="41" t="s">
        <v>213</v>
      </c>
      <c r="B6" s="13" t="s">
        <v>254</v>
      </c>
      <c r="C6" s="13"/>
      <c r="D6" s="13" t="s">
        <v>291</v>
      </c>
      <c r="E6" s="13" t="s">
        <v>289</v>
      </c>
      <c r="F6" s="13" t="s">
        <v>284</v>
      </c>
      <c r="G6" s="13" t="s">
        <v>284</v>
      </c>
      <c r="H6" s="13" t="s">
        <v>284</v>
      </c>
      <c r="I6" s="13" t="s">
        <v>284</v>
      </c>
      <c r="J6" s="13" t="s">
        <v>285</v>
      </c>
      <c r="K6" s="13" t="s">
        <v>286</v>
      </c>
      <c r="L6" s="13" t="s">
        <v>284</v>
      </c>
      <c r="M6" s="13" t="s">
        <v>284</v>
      </c>
      <c r="N6" s="27" t="s">
        <v>292</v>
      </c>
      <c r="O6" s="13" t="s">
        <v>284</v>
      </c>
      <c r="P6" s="13" t="s">
        <v>284</v>
      </c>
      <c r="Q6" s="13" t="s">
        <v>284</v>
      </c>
      <c r="R6" s="13" t="s">
        <v>284</v>
      </c>
      <c r="S6" s="13" t="s">
        <v>284</v>
      </c>
      <c r="T6" s="13" t="s">
        <v>284</v>
      </c>
      <c r="U6" s="13" t="s">
        <v>284</v>
      </c>
      <c r="V6" s="13" t="s">
        <v>284</v>
      </c>
      <c r="W6" s="13" t="s">
        <v>284</v>
      </c>
      <c r="X6" s="27" t="s">
        <v>287</v>
      </c>
    </row>
    <row r="7" spans="1:24" ht="25.5">
      <c r="A7" s="41" t="s">
        <v>213</v>
      </c>
      <c r="B7" s="13" t="s">
        <v>254</v>
      </c>
      <c r="C7" s="13"/>
      <c r="D7" s="13" t="s">
        <v>293</v>
      </c>
      <c r="E7" s="13" t="s">
        <v>289</v>
      </c>
      <c r="F7" s="13" t="s">
        <v>284</v>
      </c>
      <c r="G7" s="13" t="s">
        <v>284</v>
      </c>
      <c r="H7" s="13" t="s">
        <v>284</v>
      </c>
      <c r="I7" s="13" t="s">
        <v>284</v>
      </c>
      <c r="J7" s="13" t="s">
        <v>285</v>
      </c>
      <c r="K7" s="13" t="s">
        <v>286</v>
      </c>
      <c r="L7" s="13" t="s">
        <v>284</v>
      </c>
      <c r="M7" s="13" t="s">
        <v>284</v>
      </c>
      <c r="N7" s="13" t="s">
        <v>284</v>
      </c>
      <c r="O7" s="13" t="s">
        <v>284</v>
      </c>
      <c r="P7" s="13" t="s">
        <v>284</v>
      </c>
      <c r="Q7" s="13" t="s">
        <v>284</v>
      </c>
      <c r="R7" s="13" t="s">
        <v>284</v>
      </c>
      <c r="S7" s="13" t="s">
        <v>284</v>
      </c>
      <c r="T7" s="13" t="s">
        <v>284</v>
      </c>
      <c r="U7" s="13" t="s">
        <v>284</v>
      </c>
      <c r="V7" s="41" t="s">
        <v>294</v>
      </c>
      <c r="W7" s="13" t="s">
        <v>284</v>
      </c>
      <c r="X7" s="27" t="s">
        <v>295</v>
      </c>
    </row>
    <row r="8" spans="1:24">
      <c r="A8" s="41" t="s">
        <v>213</v>
      </c>
      <c r="B8" s="41" t="s">
        <v>296</v>
      </c>
      <c r="C8" s="13"/>
      <c r="D8" s="41" t="s">
        <v>297</v>
      </c>
      <c r="E8" s="13" t="s">
        <v>289</v>
      </c>
      <c r="F8" s="13" t="s">
        <v>284</v>
      </c>
      <c r="G8" s="13" t="s">
        <v>284</v>
      </c>
      <c r="H8" s="13" t="s">
        <v>284</v>
      </c>
      <c r="I8" s="13" t="s">
        <v>284</v>
      </c>
      <c r="J8" s="13" t="s">
        <v>285</v>
      </c>
      <c r="K8" s="13" t="s">
        <v>286</v>
      </c>
      <c r="L8" s="41" t="s">
        <v>298</v>
      </c>
      <c r="M8" s="13" t="s">
        <v>284</v>
      </c>
      <c r="N8" s="13" t="s">
        <v>284</v>
      </c>
      <c r="O8" s="13" t="s">
        <v>284</v>
      </c>
      <c r="P8" s="13" t="s">
        <v>284</v>
      </c>
      <c r="Q8" s="13" t="s">
        <v>284</v>
      </c>
      <c r="R8" s="13" t="s">
        <v>284</v>
      </c>
      <c r="S8" s="13" t="s">
        <v>284</v>
      </c>
      <c r="T8" s="13" t="s">
        <v>284</v>
      </c>
      <c r="U8" s="13" t="s">
        <v>284</v>
      </c>
      <c r="V8" s="13" t="s">
        <v>284</v>
      </c>
      <c r="W8" s="13" t="s">
        <v>284</v>
      </c>
      <c r="X8" s="27" t="s">
        <v>287</v>
      </c>
    </row>
    <row r="9" spans="1:24" ht="25.5">
      <c r="A9" s="41" t="s">
        <v>213</v>
      </c>
      <c r="B9" s="41" t="s">
        <v>296</v>
      </c>
      <c r="C9" s="13"/>
      <c r="D9" s="41" t="s">
        <v>299</v>
      </c>
      <c r="E9" s="13" t="s">
        <v>289</v>
      </c>
      <c r="F9" s="13" t="s">
        <v>284</v>
      </c>
      <c r="G9" s="13" t="s">
        <v>284</v>
      </c>
      <c r="H9" s="13" t="s">
        <v>284</v>
      </c>
      <c r="I9" s="13" t="s">
        <v>284</v>
      </c>
      <c r="J9" s="13" t="s">
        <v>285</v>
      </c>
      <c r="K9" s="13" t="s">
        <v>286</v>
      </c>
      <c r="L9" s="13" t="s">
        <v>284</v>
      </c>
      <c r="M9" s="13" t="s">
        <v>284</v>
      </c>
      <c r="N9" s="13" t="s">
        <v>284</v>
      </c>
      <c r="O9" s="13" t="s">
        <v>284</v>
      </c>
      <c r="P9" s="13" t="s">
        <v>284</v>
      </c>
      <c r="Q9" s="13" t="s">
        <v>284</v>
      </c>
      <c r="R9" s="13" t="s">
        <v>284</v>
      </c>
      <c r="S9" s="13" t="s">
        <v>284</v>
      </c>
      <c r="T9" s="13" t="s">
        <v>284</v>
      </c>
      <c r="U9" s="13" t="s">
        <v>284</v>
      </c>
      <c r="V9" s="41" t="s">
        <v>300</v>
      </c>
      <c r="W9" s="13" t="s">
        <v>284</v>
      </c>
      <c r="X9" s="27" t="s">
        <v>301</v>
      </c>
    </row>
    <row r="10" spans="1:24" ht="55.5" customHeight="1">
      <c r="A10" s="41" t="s">
        <v>213</v>
      </c>
      <c r="B10" s="41" t="s">
        <v>296</v>
      </c>
      <c r="C10" s="13"/>
      <c r="D10" s="41" t="s">
        <v>291</v>
      </c>
      <c r="E10" s="13" t="s">
        <v>289</v>
      </c>
      <c r="F10" s="13" t="s">
        <v>284</v>
      </c>
      <c r="G10" s="13" t="s">
        <v>284</v>
      </c>
      <c r="H10" s="13" t="s">
        <v>284</v>
      </c>
      <c r="I10" s="13" t="s">
        <v>284</v>
      </c>
      <c r="J10" s="13" t="s">
        <v>285</v>
      </c>
      <c r="K10" s="13" t="s">
        <v>286</v>
      </c>
      <c r="L10" s="13" t="s">
        <v>284</v>
      </c>
      <c r="M10" s="13" t="s">
        <v>284</v>
      </c>
      <c r="N10" s="27" t="s">
        <v>302</v>
      </c>
      <c r="O10" s="13" t="s">
        <v>284</v>
      </c>
      <c r="P10" s="13" t="s">
        <v>284</v>
      </c>
      <c r="Q10" s="13" t="s">
        <v>284</v>
      </c>
      <c r="R10" s="13" t="s">
        <v>284</v>
      </c>
      <c r="S10" s="13" t="s">
        <v>284</v>
      </c>
      <c r="T10" s="13" t="s">
        <v>284</v>
      </c>
      <c r="U10" s="13" t="s">
        <v>284</v>
      </c>
      <c r="V10" s="13" t="s">
        <v>284</v>
      </c>
      <c r="W10" s="13" t="s">
        <v>284</v>
      </c>
      <c r="X10" s="27" t="s">
        <v>287</v>
      </c>
    </row>
    <row r="11" spans="1:24" ht="25.5">
      <c r="A11" s="41" t="s">
        <v>213</v>
      </c>
      <c r="B11" s="41" t="s">
        <v>296</v>
      </c>
      <c r="C11" s="13"/>
      <c r="D11" s="13" t="s">
        <v>293</v>
      </c>
      <c r="E11" s="13" t="s">
        <v>289</v>
      </c>
      <c r="F11" s="13" t="s">
        <v>284</v>
      </c>
      <c r="G11" s="13" t="s">
        <v>284</v>
      </c>
      <c r="H11" s="13" t="s">
        <v>284</v>
      </c>
      <c r="I11" s="13" t="s">
        <v>284</v>
      </c>
      <c r="J11" s="13" t="s">
        <v>285</v>
      </c>
      <c r="K11" s="13" t="s">
        <v>286</v>
      </c>
      <c r="L11" s="13" t="s">
        <v>284</v>
      </c>
      <c r="M11" s="13" t="s">
        <v>284</v>
      </c>
      <c r="N11" s="13" t="s">
        <v>284</v>
      </c>
      <c r="O11" s="13" t="s">
        <v>284</v>
      </c>
      <c r="P11" s="13" t="s">
        <v>284</v>
      </c>
      <c r="Q11" s="13" t="s">
        <v>284</v>
      </c>
      <c r="R11" s="13" t="s">
        <v>284</v>
      </c>
      <c r="S11" s="13" t="s">
        <v>284</v>
      </c>
      <c r="T11" s="13" t="s">
        <v>284</v>
      </c>
      <c r="U11" s="13" t="s">
        <v>284</v>
      </c>
      <c r="V11" s="41" t="s">
        <v>303</v>
      </c>
      <c r="W11" s="13" t="s">
        <v>284</v>
      </c>
      <c r="X11" s="27" t="s">
        <v>295</v>
      </c>
    </row>
    <row r="13" spans="1:24">
      <c r="A13" s="21" t="s">
        <v>35</v>
      </c>
      <c r="B13" s="21" t="s">
        <v>197</v>
      </c>
    </row>
    <row r="14" spans="1:24">
      <c r="A14" s="20"/>
      <c r="B14" s="20">
        <v>0.125</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tabSelected="1" workbookViewId="0">
      <selection activeCell="F18" sqref="F18"/>
    </sheetView>
  </sheetViews>
  <sheetFormatPr defaultRowHeight="12.75"/>
  <cols>
    <col min="1" max="1" width="20.28515625" bestFit="1" customWidth="1"/>
    <col min="2" max="2" width="15.28515625" customWidth="1"/>
    <col min="3" max="3" width="39.140625" customWidth="1"/>
  </cols>
  <sheetData>
    <row r="1" spans="1:3" ht="13.5" thickBot="1">
      <c r="A1" s="128" t="s">
        <v>126</v>
      </c>
      <c r="B1" s="129"/>
      <c r="C1" s="130"/>
    </row>
    <row r="3" spans="1:3" ht="25.5">
      <c r="A3" s="28" t="s">
        <v>304</v>
      </c>
      <c r="B3" s="28" t="s">
        <v>173</v>
      </c>
      <c r="C3" s="28" t="s">
        <v>70</v>
      </c>
    </row>
    <row r="4" spans="1:3">
      <c r="A4" s="41" t="s">
        <v>305</v>
      </c>
      <c r="B4" s="41" t="s">
        <v>176</v>
      </c>
      <c r="C4" s="41" t="s">
        <v>306</v>
      </c>
    </row>
    <row r="5" spans="1:3">
      <c r="A5" s="13"/>
      <c r="B5" s="13"/>
      <c r="C5" s="22"/>
    </row>
    <row r="6" spans="1:3">
      <c r="A6" s="13"/>
      <c r="B6" s="13"/>
      <c r="C6" s="13"/>
    </row>
    <row r="9" spans="1:3">
      <c r="A9" s="21" t="s">
        <v>35</v>
      </c>
      <c r="B9" s="21" t="s">
        <v>197</v>
      </c>
    </row>
    <row r="10" spans="1:3">
      <c r="A10" s="20"/>
      <c r="B10" s="20"/>
    </row>
  </sheetData>
  <mergeCells count="1">
    <mergeCell ref="A1:C1"/>
  </mergeCells>
  <phoneticPr fontId="2" type="noConversion"/>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Package" dvAspect="DVASPECT_ICON" shapeId="23553" r:id="rId4">
          <objectPr defaultSize="0" autoPict="0" r:id="rId5">
            <anchor moveWithCells="1" sizeWithCells="1">
              <from>
                <xdr:col>5</xdr:col>
                <xdr:colOff>0</xdr:colOff>
                <xdr:row>3</xdr:row>
                <xdr:rowOff>0</xdr:rowOff>
              </from>
              <to>
                <xdr:col>6</xdr:col>
                <xdr:colOff>371475</xdr:colOff>
                <xdr:row>6</xdr:row>
                <xdr:rowOff>142875</xdr:rowOff>
              </to>
            </anchor>
          </objectPr>
        </oleObject>
      </mc:Choice>
      <mc:Fallback>
        <oleObject progId="Package" dvAspect="DVASPECT_ICON" shapeId="23553" r:id="rId4"/>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28" t="s">
        <v>128</v>
      </c>
      <c r="B1" s="129"/>
      <c r="C1" s="129"/>
      <c r="D1" s="130"/>
    </row>
    <row r="3" spans="1:8">
      <c r="A3" s="14" t="s">
        <v>307</v>
      </c>
      <c r="B3" s="14" t="s">
        <v>308</v>
      </c>
      <c r="C3" s="14" t="s">
        <v>105</v>
      </c>
      <c r="D3" s="14" t="s">
        <v>309</v>
      </c>
      <c r="E3" s="14" t="s">
        <v>310</v>
      </c>
      <c r="F3" s="14" t="s">
        <v>311</v>
      </c>
    </row>
    <row r="4" spans="1:8">
      <c r="A4" s="19" t="s">
        <v>312</v>
      </c>
      <c r="B4" s="40"/>
      <c r="C4" s="41"/>
      <c r="D4" s="13"/>
      <c r="E4" s="13"/>
      <c r="F4" s="13" t="s">
        <v>167</v>
      </c>
    </row>
    <row r="5" spans="1:8">
      <c r="A5" s="19" t="s">
        <v>312</v>
      </c>
      <c r="B5" s="13"/>
      <c r="C5" s="13"/>
      <c r="D5" s="13"/>
      <c r="E5" s="13"/>
      <c r="F5" s="13" t="s">
        <v>167</v>
      </c>
    </row>
    <row r="8" spans="1:8">
      <c r="A8" s="14" t="s">
        <v>313</v>
      </c>
      <c r="B8" s="38" t="s">
        <v>314</v>
      </c>
      <c r="C8" s="38" t="s">
        <v>315</v>
      </c>
      <c r="D8" s="38" t="s">
        <v>316</v>
      </c>
      <c r="E8" s="38" t="s">
        <v>317</v>
      </c>
      <c r="F8" s="38" t="s">
        <v>318</v>
      </c>
      <c r="G8" s="38" t="s">
        <v>319</v>
      </c>
      <c r="H8" s="38" t="s">
        <v>320</v>
      </c>
    </row>
    <row r="9" spans="1:8">
      <c r="A9" s="14" t="s">
        <v>321</v>
      </c>
      <c r="B9" s="39"/>
      <c r="C9" s="39"/>
      <c r="D9" s="39"/>
      <c r="E9" s="39"/>
      <c r="F9" s="39"/>
      <c r="G9" s="39"/>
      <c r="H9" s="39"/>
    </row>
    <row r="10" spans="1:8">
      <c r="A10" s="14" t="s">
        <v>321</v>
      </c>
      <c r="B10" s="39"/>
      <c r="C10" s="39"/>
      <c r="D10" s="39"/>
      <c r="E10" s="39"/>
      <c r="F10" s="39"/>
      <c r="G10" s="39"/>
      <c r="H10" s="39"/>
    </row>
    <row r="11" spans="1:8">
      <c r="A11" s="14" t="s">
        <v>321</v>
      </c>
      <c r="B11" s="39"/>
      <c r="C11" s="39"/>
      <c r="D11" s="39"/>
      <c r="E11" s="39"/>
      <c r="F11" s="39"/>
      <c r="G11" s="39"/>
      <c r="H11" s="39"/>
    </row>
    <row r="15" spans="1:8">
      <c r="B15" s="37" t="s">
        <v>322</v>
      </c>
      <c r="C15" s="138" t="s">
        <v>323</v>
      </c>
      <c r="D15" s="138"/>
      <c r="E15" s="138"/>
      <c r="F15" s="138"/>
      <c r="G15" s="138"/>
    </row>
    <row r="16" spans="1:8">
      <c r="B16" s="37" t="s">
        <v>324</v>
      </c>
      <c r="C16" s="138"/>
      <c r="D16" s="138"/>
      <c r="E16" s="138"/>
      <c r="F16" s="138"/>
      <c r="G16" s="138"/>
    </row>
    <row r="17" spans="2:7">
      <c r="B17" s="37" t="s">
        <v>325</v>
      </c>
      <c r="C17" s="138"/>
      <c r="D17" s="138"/>
      <c r="E17" s="138"/>
      <c r="F17" s="138"/>
      <c r="G17" s="138"/>
    </row>
    <row r="18" spans="2:7">
      <c r="B18" s="37" t="s">
        <v>326</v>
      </c>
      <c r="C18" s="138"/>
      <c r="D18" s="138"/>
      <c r="E18" s="138"/>
      <c r="F18" s="138"/>
      <c r="G18" s="138"/>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39" t="s">
        <v>327</v>
      </c>
      <c r="B1" s="140"/>
    </row>
    <row r="2" spans="1:2">
      <c r="A2" s="65" t="s">
        <v>328</v>
      </c>
      <c r="B2" s="83" t="s">
        <v>167</v>
      </c>
    </row>
    <row r="3" spans="1:2">
      <c r="A3" s="65" t="s">
        <v>329</v>
      </c>
      <c r="B3" s="83" t="s">
        <v>167</v>
      </c>
    </row>
    <row r="4" spans="1:2" ht="13.5" thickBot="1">
      <c r="A4" s="66" t="s">
        <v>330</v>
      </c>
      <c r="B4" s="84" t="s">
        <v>167</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13" ma:contentTypeDescription="Create a new document." ma:contentTypeScope="" ma:versionID="dee114e90ac6de5cb90b79dad613bd14">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ca70a5f4c56cde7d4b3f4ac24a2b6088"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563270-E9CC-42A0-A194-A8F0F4982FE7}"/>
</file>

<file path=customXml/itemProps2.xml><?xml version="1.0" encoding="utf-8"?>
<ds:datastoreItem xmlns:ds="http://schemas.openxmlformats.org/officeDocument/2006/customXml" ds:itemID="{ABCD3C4E-436E-459B-8279-16AF4E33CF0D}"/>
</file>

<file path=customXml/itemProps3.xml><?xml version="1.0" encoding="utf-8"?>
<ds:datastoreItem xmlns:ds="http://schemas.openxmlformats.org/officeDocument/2006/customXml" ds:itemID="{315FF06A-166C-4B0C-9780-7FDC4615BC37}"/>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Seeburn, Jagatsingh</cp:lastModifiedBy>
  <cp:revision/>
  <dcterms:created xsi:type="dcterms:W3CDTF">2009-06-01T12:18:44Z</dcterms:created>
  <dcterms:modified xsi:type="dcterms:W3CDTF">2022-04-07T13:57:51Z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