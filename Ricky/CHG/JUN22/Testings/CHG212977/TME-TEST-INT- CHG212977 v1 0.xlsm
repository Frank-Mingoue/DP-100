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24226"/>
  <mc:AlternateContent xmlns:mc="http://schemas.openxmlformats.org/markup-compatibility/2006">
    <mc:Choice Requires="x15">
      <x15ac:absPath xmlns:x15ac="http://schemas.microsoft.com/office/spreadsheetml/2010/11/ac" url="C:\Ricky\CHG\JUN22\Testings\CHG212977\"/>
    </mc:Choice>
  </mc:AlternateContent>
  <xr:revisionPtr revIDLastSave="0" documentId="13_ncr:1_{A807ECC2-39D5-4710-AF8B-134E0C78C1C9}" xr6:coauthVersionLast="47" xr6:coauthVersionMax="47" xr10:uidLastSave="{00000000-0000-0000-0000-000000000000}"/>
  <bookViews>
    <workbookView xWindow="-108" yWindow="-108" windowWidth="23256" windowHeight="12456" tabRatio="926" activeTab="4" xr2:uid="{00000000-000D-0000-FFFF-FFFF00000000}"/>
  </bookViews>
  <sheets>
    <sheet name="Cover" sheetId="20" r:id="rId1"/>
    <sheet name="Version Control" sheetId="23" r:id="rId2"/>
    <sheet name="Test Cycle 1" sheetId="24" r:id="rId3"/>
    <sheet name="AppConfig" sheetId="26" state="hidden" r:id="rId4"/>
    <sheet name="Screenshot" sheetId="25" r:id="rId5"/>
  </sheets>
  <definedNames>
    <definedName name="AppArea">AppConfig!$B$5</definedName>
    <definedName name="AppCRN">AppConfig!$B$3</definedName>
    <definedName name="AppDReviewed">AppConfig!$B$8</definedName>
    <definedName name="AppDTested">AppConfig!$B$7</definedName>
    <definedName name="AppEntity">AppConfig!$B$6</definedName>
    <definedName name="AppMA">AppConfig!$B$4</definedName>
    <definedName name="AppPPRD">AppConfig!$B$2</definedName>
    <definedName name="AppReviewedBy">AppConfig!$B$10</definedName>
    <definedName name="AppTestedBy">AppConfig!$B$9</definedName>
    <definedName name="Area">Cover!$K$27</definedName>
    <definedName name="CRN">Cover!$K$21</definedName>
    <definedName name="DReviewed">'Test Cycle 1'!$F$3</definedName>
    <definedName name="DTested">'Test Cycle 1'!$F$2</definedName>
    <definedName name="dTestedBy">'Test Cycle 1'!$H$2</definedName>
    <definedName name="Entity">'Test Cycle 1'!$F$1</definedName>
    <definedName name="MA">Cover!$K$25</definedName>
    <definedName name="PPRD">'Version Control'!$B$11</definedName>
    <definedName name="ReviewedBy">'Test Cycle 1'!$H$3</definedName>
    <definedName name="TestedBy">'Test Cycle 1'!$H$2</definedName>
    <definedName name="TestWrkSht1">AppConfig!$B$12</definedName>
    <definedName name="TstActResOb">AppConfig!#REF!</definedName>
    <definedName name="TstComments">AppConfig!#REF!</definedName>
    <definedName name="TstDet1">AppConfig!#REF!</definedName>
    <definedName name="TstDet2">AppConfig!#REF!</definedName>
    <definedName name="TstExe">AppConfig!#REF!</definedName>
    <definedName name="TstExeScrp">AppConfig!#REF!</definedName>
    <definedName name="TstExpRes">AppConfig!#REF!</definedName>
    <definedName name="TstExpResScrp">AppConfig!#REF!</definedName>
    <definedName name="TstRevActResOb">AppConfig!#REF!</definedName>
    <definedName name="TstRevStatus">AppConfig!#REF!</definedName>
    <definedName name="TstRevStatusComs">AppConfig!#REF!</definedName>
    <definedName name="TstStatus">AppConfig!#REF!</definedName>
    <definedName name="TstStpNo">AppConfig!#REF!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0" i="26" l="1"/>
  <c r="B9" i="26"/>
  <c r="B8" i="26"/>
  <c r="B7" i="26"/>
  <c r="B6" i="26"/>
  <c r="B5" i="26"/>
  <c r="B4" i="26"/>
  <c r="B3" i="26"/>
  <c r="B2" i="26"/>
  <c r="A14" i="23"/>
  <c r="A32" i="23"/>
  <c r="C37" i="2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arnaud.grimont</author>
  </authors>
  <commentList>
    <comment ref="A17" authorId="0" shapeId="0" xr:uid="{00000000-0006-0000-0100-000001000000}">
      <text>
        <r>
          <rPr>
            <b/>
            <sz val="8"/>
            <color indexed="81"/>
            <rFont val="Tahoma"/>
            <family val="2"/>
          </rPr>
          <t>arnaud.grimont:</t>
        </r>
        <r>
          <rPr>
            <sz val="8"/>
            <color indexed="81"/>
            <rFont val="Tahoma"/>
            <family val="2"/>
          </rPr>
          <t xml:space="preserve">
Application if any interface is modified</t>
        </r>
      </text>
    </comment>
    <comment ref="A19" authorId="0" shapeId="0" xr:uid="{00000000-0006-0000-0100-000002000000}">
      <text>
        <r>
          <rPr>
            <b/>
            <sz val="8"/>
            <color indexed="81"/>
            <rFont val="Tahoma"/>
            <family val="2"/>
          </rPr>
          <t>arnaud.grimont:</t>
        </r>
        <r>
          <rPr>
            <sz val="8"/>
            <color indexed="81"/>
            <rFont val="Tahoma"/>
            <family val="2"/>
          </rPr>
          <t xml:space="preserve">
Applicable for only ETL changes</t>
        </r>
      </text>
    </comment>
    <comment ref="A24" authorId="0" shapeId="0" xr:uid="{00000000-0006-0000-0100-000003000000}">
      <text>
        <r>
          <rPr>
            <b/>
            <sz val="8"/>
            <color indexed="81"/>
            <rFont val="Tahoma"/>
            <family val="2"/>
          </rPr>
          <t>arnaud.grimont:</t>
        </r>
        <r>
          <rPr>
            <sz val="8"/>
            <color indexed="81"/>
            <rFont val="Tahoma"/>
            <family val="2"/>
          </rPr>
          <t xml:space="preserve">
This Document should be available on J drive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bruneau.melier</author>
    <author>virish.seechurn</author>
  </authors>
  <commentList>
    <comment ref="B1" authorId="0" shapeId="0" xr:uid="{00000000-0006-0000-0200-000001000000}">
      <text>
        <r>
          <rPr>
            <b/>
            <sz val="8"/>
            <color indexed="81"/>
            <rFont val="Tahoma"/>
            <family val="2"/>
          </rPr>
          <t>bruneau.melier:</t>
        </r>
        <r>
          <rPr>
            <sz val="8"/>
            <color indexed="81"/>
            <rFont val="Tahoma"/>
            <family val="2"/>
          </rPr>
          <t xml:space="preserve">
give the name of the mapping being tested </t>
        </r>
      </text>
    </comment>
    <comment ref="F1" authorId="0" shapeId="0" xr:uid="{00000000-0006-0000-0200-000002000000}">
      <text>
        <r>
          <rPr>
            <b/>
            <sz val="8"/>
            <color indexed="81"/>
            <rFont val="Tahoma"/>
            <family val="2"/>
          </rPr>
          <t>bruneau.melier:</t>
        </r>
        <r>
          <rPr>
            <sz val="8"/>
            <color indexed="81"/>
            <rFont val="Tahoma"/>
            <family val="2"/>
          </rPr>
          <t xml:space="preserve">
give the name of the entity being tested</t>
        </r>
      </text>
    </comment>
    <comment ref="B2" authorId="0" shapeId="0" xr:uid="{00000000-0006-0000-0200-000003000000}">
      <text>
        <r>
          <rPr>
            <b/>
            <sz val="8"/>
            <color indexed="81"/>
            <rFont val="Tahoma"/>
            <family val="2"/>
          </rPr>
          <t>bruneau.melier:</t>
        </r>
        <r>
          <rPr>
            <sz val="8"/>
            <color indexed="81"/>
            <rFont val="Tahoma"/>
            <family val="2"/>
          </rPr>
          <t xml:space="preserve">
give the name of the mapping being tested </t>
        </r>
      </text>
    </comment>
    <comment ref="F2" authorId="0" shapeId="0" xr:uid="{00000000-0006-0000-0200-000004000000}">
      <text>
        <r>
          <rPr>
            <b/>
            <sz val="8"/>
            <color indexed="81"/>
            <rFont val="Tahoma"/>
            <family val="2"/>
          </rPr>
          <t>bruneau.melier:</t>
        </r>
        <r>
          <rPr>
            <sz val="8"/>
            <color indexed="81"/>
            <rFont val="Tahoma"/>
            <family val="2"/>
          </rPr>
          <t xml:space="preserve">
store the date when the test script was executed by the developer/tester</t>
        </r>
      </text>
    </comment>
    <comment ref="H2" authorId="0" shapeId="0" xr:uid="{00000000-0006-0000-0200-000005000000}">
      <text>
        <r>
          <rPr>
            <b/>
            <sz val="8"/>
            <color indexed="81"/>
            <rFont val="Tahoma"/>
            <family val="2"/>
          </rPr>
          <t>bruneau.melier:</t>
        </r>
        <r>
          <rPr>
            <sz val="8"/>
            <color indexed="81"/>
            <rFont val="Tahoma"/>
            <family val="2"/>
          </rPr>
          <t xml:space="preserve">
give the name of the developer/tester</t>
        </r>
      </text>
    </comment>
    <comment ref="B3" authorId="0" shapeId="0" xr:uid="{00000000-0006-0000-0200-000006000000}">
      <text>
        <r>
          <rPr>
            <b/>
            <sz val="8"/>
            <color indexed="81"/>
            <rFont val="Tahoma"/>
            <family val="2"/>
          </rPr>
          <t>bruneau.melier:</t>
        </r>
        <r>
          <rPr>
            <sz val="8"/>
            <color indexed="81"/>
            <rFont val="Tahoma"/>
            <family val="2"/>
          </rPr>
          <t xml:space="preserve">
indicate the status of the test script </t>
        </r>
      </text>
    </comment>
    <comment ref="F3" authorId="0" shapeId="0" xr:uid="{00000000-0006-0000-0200-000007000000}">
      <text>
        <r>
          <rPr>
            <b/>
            <sz val="8"/>
            <color indexed="81"/>
            <rFont val="Tahoma"/>
            <family val="2"/>
          </rPr>
          <t>bruneau.melier:</t>
        </r>
        <r>
          <rPr>
            <sz val="8"/>
            <color indexed="81"/>
            <rFont val="Tahoma"/>
            <family val="2"/>
          </rPr>
          <t xml:space="preserve">
store the date when the test script was executed by the developer/tester</t>
        </r>
      </text>
    </comment>
    <comment ref="H3" authorId="0" shapeId="0" xr:uid="{00000000-0006-0000-0200-000008000000}">
      <text>
        <r>
          <rPr>
            <b/>
            <sz val="8"/>
            <color indexed="81"/>
            <rFont val="Tahoma"/>
            <family val="2"/>
          </rPr>
          <t>bruneau.melier:</t>
        </r>
        <r>
          <rPr>
            <sz val="8"/>
            <color indexed="81"/>
            <rFont val="Tahoma"/>
            <family val="2"/>
          </rPr>
          <t xml:space="preserve">
give the name of the reviewer of the test script </t>
        </r>
      </text>
    </comment>
    <comment ref="B4" authorId="0" shapeId="0" xr:uid="{00000000-0006-0000-0200-000009000000}">
      <text>
        <r>
          <rPr>
            <b/>
            <sz val="8"/>
            <color indexed="81"/>
            <rFont val="Tahoma"/>
            <family val="2"/>
          </rPr>
          <t>bruneau.melier:</t>
        </r>
        <r>
          <rPr>
            <sz val="8"/>
            <color indexed="81"/>
            <rFont val="Tahoma"/>
            <family val="2"/>
          </rPr>
          <t xml:space="preserve">
give a description of the purpose of the test script </t>
        </r>
      </text>
    </comment>
    <comment ref="A5" authorId="1" shapeId="0" xr:uid="{00000000-0006-0000-0200-00000A000000}">
      <text>
        <r>
          <rPr>
            <b/>
            <sz val="9"/>
            <color indexed="81"/>
            <rFont val="Tahoma"/>
            <family val="2"/>
          </rPr>
          <t>virish.seechurn:</t>
        </r>
        <r>
          <rPr>
            <sz val="9"/>
            <color indexed="81"/>
            <rFont val="Tahoma"/>
            <family val="2"/>
          </rPr>
          <t xml:space="preserve">
number identifying the order in which the step should be executed in the test script </t>
        </r>
      </text>
    </comment>
    <comment ref="B5" authorId="0" shapeId="0" xr:uid="{00000000-0006-0000-0200-00000B000000}">
      <text>
        <r>
          <rPr>
            <b/>
            <sz val="8"/>
            <color indexed="81"/>
            <rFont val="Tahoma"/>
            <family val="2"/>
          </rPr>
          <t>bruneau.melier:</t>
        </r>
        <r>
          <rPr>
            <sz val="8"/>
            <color indexed="81"/>
            <rFont val="Tahoma"/>
            <family val="2"/>
          </rPr>
          <t xml:space="preserve">
give a summary of the purpose of the test step </t>
        </r>
      </text>
    </comment>
    <comment ref="C5" authorId="0" shapeId="0" xr:uid="{00000000-0006-0000-0200-00000C000000}">
      <text>
        <r>
          <rPr>
            <b/>
            <sz val="8"/>
            <color indexed="81"/>
            <rFont val="Tahoma"/>
            <family val="2"/>
          </rPr>
          <t>bruneau.melier:</t>
        </r>
        <r>
          <rPr>
            <sz val="8"/>
            <color indexed="81"/>
            <rFont val="Tahoma"/>
            <family val="2"/>
          </rPr>
          <t xml:space="preserve">
give a detailed description of the purpose of the test step </t>
        </r>
      </text>
    </comment>
    <comment ref="D5" authorId="0" shapeId="0" xr:uid="{00000000-0006-0000-0200-00000D000000}">
      <text>
        <r>
          <rPr>
            <b/>
            <sz val="8"/>
            <color indexed="81"/>
            <rFont val="Tahoma"/>
            <family val="2"/>
          </rPr>
          <t>bruneau.melier:</t>
        </r>
        <r>
          <rPr>
            <sz val="8"/>
            <color indexed="81"/>
            <rFont val="Tahoma"/>
            <family val="2"/>
          </rPr>
          <t xml:space="preserve">
Instructions provided to the users using the test script for executing the steps </t>
        </r>
      </text>
    </comment>
    <comment ref="E5" authorId="0" shapeId="0" xr:uid="{00000000-0006-0000-0200-00000E000000}">
      <text>
        <r>
          <rPr>
            <b/>
            <sz val="8"/>
            <color indexed="81"/>
            <rFont val="Tahoma"/>
            <family val="2"/>
          </rPr>
          <t>bruneau.melier:</t>
        </r>
        <r>
          <rPr>
            <sz val="8"/>
            <color indexed="81"/>
            <rFont val="Tahoma"/>
            <family val="2"/>
          </rPr>
          <t xml:space="preserve">
SQL script (if any) to be used for executing the step</t>
        </r>
      </text>
    </comment>
    <comment ref="F5" authorId="0" shapeId="0" xr:uid="{00000000-0006-0000-0200-00000F000000}">
      <text>
        <r>
          <rPr>
            <b/>
            <sz val="8"/>
            <color indexed="81"/>
            <rFont val="Tahoma"/>
            <family val="2"/>
          </rPr>
          <t>bruneau.melier:</t>
        </r>
        <r>
          <rPr>
            <sz val="8"/>
            <color indexed="81"/>
            <rFont val="Tahoma"/>
            <family val="2"/>
          </rPr>
          <t xml:space="preserve">
Instructions to be executed by the user for ensuring the success of the step executed. When describing the expected result for the execution of a workflow, the author should specify the expected result in terms of INTEGRATION_ID and value of the different ATTRIB columns being populated.  </t>
        </r>
      </text>
    </comment>
    <comment ref="G5" authorId="0" shapeId="0" xr:uid="{00000000-0006-0000-0200-000010000000}">
      <text>
        <r>
          <rPr>
            <b/>
            <sz val="8"/>
            <color indexed="81"/>
            <rFont val="Tahoma"/>
            <family val="2"/>
          </rPr>
          <t>bruneau.melier:</t>
        </r>
        <r>
          <rPr>
            <sz val="8"/>
            <color indexed="81"/>
            <rFont val="Tahoma"/>
            <family val="2"/>
          </rPr>
          <t xml:space="preserve">
SQL script (if any) to be used for checking the results of the step executed </t>
        </r>
      </text>
    </comment>
    <comment ref="H5" authorId="0" shapeId="0" xr:uid="{00000000-0006-0000-0200-000011000000}">
      <text>
        <r>
          <rPr>
            <b/>
            <sz val="8"/>
            <color indexed="81"/>
            <rFont val="Tahoma"/>
            <family val="2"/>
          </rPr>
          <t>bruneau.melier:</t>
        </r>
        <r>
          <rPr>
            <sz val="8"/>
            <color indexed="81"/>
            <rFont val="Tahoma"/>
            <family val="2"/>
          </rPr>
          <t xml:space="preserve">
This should be filled in by the author of the test script on the first execution of the test script. The user should place in the actual result observed after following the instructions provided in the Expected Result</t>
        </r>
      </text>
    </comment>
    <comment ref="I5" authorId="0" shapeId="0" xr:uid="{00000000-0006-0000-0200-000013000000}">
      <text>
        <r>
          <rPr>
            <b/>
            <sz val="8"/>
            <color indexed="81"/>
            <rFont val="Tahoma"/>
            <family val="2"/>
          </rPr>
          <t>bruneau.melier:</t>
        </r>
        <r>
          <rPr>
            <sz val="8"/>
            <color indexed="81"/>
            <rFont val="Tahoma"/>
            <family val="2"/>
          </rPr>
          <t xml:space="preserve">
Takes the value of Not Executed, WIP, Passed or Failed</t>
        </r>
      </text>
    </comment>
    <comment ref="J5" authorId="0" shapeId="0" xr:uid="{00000000-0006-0000-0200-000014000000}">
      <text>
        <r>
          <rPr>
            <b/>
            <sz val="8"/>
            <color indexed="81"/>
            <rFont val="Tahoma"/>
            <family val="2"/>
          </rPr>
          <t>bruneau.melier:</t>
        </r>
        <r>
          <rPr>
            <sz val="8"/>
            <color indexed="81"/>
            <rFont val="Tahoma"/>
            <family val="2"/>
          </rPr>
          <t xml:space="preserve">
Comments related to the status of the Review Status (used for justifying a particular test review status)</t>
        </r>
      </text>
    </comment>
  </commentList>
</comments>
</file>

<file path=xl/sharedStrings.xml><?xml version="1.0" encoding="utf-8"?>
<sst xmlns="http://schemas.openxmlformats.org/spreadsheetml/2006/main" count="183" uniqueCount="133">
  <si>
    <t>Values</t>
  </si>
  <si>
    <t>UNIT TEST SCRIPT</t>
  </si>
  <si>
    <t>Trade Marketing Excellence Programme</t>
  </si>
  <si>
    <t>Markets Affected :</t>
  </si>
  <si>
    <t>Print Date:</t>
  </si>
  <si>
    <t>DATA VALIDATION</t>
  </si>
  <si>
    <t>Column E</t>
  </si>
  <si>
    <t>Column D</t>
  </si>
  <si>
    <t>Document Control</t>
  </si>
  <si>
    <t>Project:</t>
  </si>
  <si>
    <t>JTI</t>
  </si>
  <si>
    <t>Planned Prod Release Date:</t>
  </si>
  <si>
    <t>Doc Name</t>
  </si>
  <si>
    <t>AREA :</t>
  </si>
  <si>
    <t>Test Cycle 1</t>
  </si>
  <si>
    <t>Passed</t>
  </si>
  <si>
    <t>Failed</t>
  </si>
  <si>
    <t>DEVELOPMENT</t>
  </si>
  <si>
    <t>CR Title :</t>
  </si>
  <si>
    <t>Data</t>
  </si>
  <si>
    <t>UTS, TS SharePoint</t>
  </si>
  <si>
    <t>TS SharePoint</t>
  </si>
  <si>
    <t>ITS SharePoint</t>
  </si>
  <si>
    <t>Documentation checklist</t>
  </si>
  <si>
    <t>To-do</t>
  </si>
  <si>
    <t>Documentation Up-to-date (Y or N)</t>
  </si>
  <si>
    <t>High Level Functional Design (HLFD)</t>
  </si>
  <si>
    <t>Detail Technical Design (DTD)</t>
  </si>
  <si>
    <t>Detail Design (DD)</t>
  </si>
  <si>
    <t>Data Update Incident Template if any</t>
  </si>
  <si>
    <t>Data Impacted Objects Document Update</t>
  </si>
  <si>
    <t>Technical Solution, Data Update Flag &amp; Target Release on Scopesheet</t>
  </si>
  <si>
    <t>Test Script Passed</t>
  </si>
  <si>
    <t>Screenshots available</t>
  </si>
  <si>
    <t>Cross check Data update Document</t>
  </si>
  <si>
    <t xml:space="preserve">Not Ready </t>
  </si>
  <si>
    <t>Not Executed</t>
  </si>
  <si>
    <t>Ready</t>
  </si>
  <si>
    <t>WIP</t>
  </si>
  <si>
    <t xml:space="preserve">Testing – WIP </t>
  </si>
  <si>
    <t xml:space="preserve">WIP </t>
  </si>
  <si>
    <t xml:space="preserve">Testing – Passed </t>
  </si>
  <si>
    <t xml:space="preserve">Testing – Failed </t>
  </si>
  <si>
    <t>Mapping</t>
  </si>
  <si>
    <t>Entity</t>
  </si>
  <si>
    <t xml:space="preserve">Review – WIP </t>
  </si>
  <si>
    <t>Workflow</t>
  </si>
  <si>
    <t>Date tested</t>
  </si>
  <si>
    <t>Tested By</t>
  </si>
  <si>
    <t xml:space="preserve">Review – Passed </t>
  </si>
  <si>
    <t xml:space="preserve">Test Script Status </t>
  </si>
  <si>
    <t>Date reviewed</t>
  </si>
  <si>
    <t>Reviewed By</t>
  </si>
  <si>
    <t xml:space="preserve">Review – Failed </t>
  </si>
  <si>
    <t>Test Script Description</t>
  </si>
  <si>
    <t>Regression Flat File</t>
  </si>
  <si>
    <t>Planned PROD Release Date</t>
  </si>
  <si>
    <t>Date Tested</t>
  </si>
  <si>
    <t>Date Reviewed</t>
  </si>
  <si>
    <t>Change Request Number</t>
  </si>
  <si>
    <t>Market Affected</t>
  </si>
  <si>
    <t>Area</t>
  </si>
  <si>
    <t>Parameter Name</t>
  </si>
  <si>
    <t>Test Worksheet</t>
  </si>
  <si>
    <t>Review Status</t>
  </si>
  <si>
    <t>Review Status Comments</t>
  </si>
  <si>
    <t>Test Step No.</t>
  </si>
  <si>
    <t xml:space="preserve">Test Details 1 </t>
  </si>
  <si>
    <t>Test Details 2</t>
  </si>
  <si>
    <t>Test Execution</t>
  </si>
  <si>
    <t>Test Execution script</t>
  </si>
  <si>
    <t>Expected Result</t>
  </si>
  <si>
    <t>Expected Result script</t>
  </si>
  <si>
    <t>Actual Result Observed</t>
  </si>
  <si>
    <t>CR\INC:</t>
  </si>
  <si>
    <t>ADO Update</t>
  </si>
  <si>
    <t>Data Issue Log in ADO correctly Updated</t>
  </si>
  <si>
    <t>Stored Procedures on ADO</t>
  </si>
  <si>
    <t xml:space="preserve">PHP/IFB Update on ADO </t>
  </si>
  <si>
    <t>PRE_EIM_TABLES on ADO if any</t>
  </si>
  <si>
    <t xml:space="preserve">Test Case completed </t>
  </si>
  <si>
    <t>Send Email for columns creation</t>
  </si>
  <si>
    <t xml:space="preserve">Reset Test Data </t>
  </si>
  <si>
    <t>Run Script to reset test data</t>
  </si>
  <si>
    <t>SIEBEL_OLTP_DEV14</t>
  </si>
  <si>
    <t>Infa Server</t>
  </si>
  <si>
    <t>N/A</t>
  </si>
  <si>
    <t>Y</t>
  </si>
  <si>
    <t>Frank</t>
  </si>
  <si>
    <t>Run Script to check test data</t>
  </si>
  <si>
    <t>Screenshot 1</t>
  </si>
  <si>
    <t>Screenshot 2</t>
  </si>
  <si>
    <t>Screenshot 3</t>
  </si>
  <si>
    <t>Screenshot 4</t>
  </si>
  <si>
    <t>CT</t>
  </si>
  <si>
    <t>Jun , 2022</t>
  </si>
  <si>
    <t xml:space="preserve">1 row affected
</t>
  </si>
  <si>
    <t>Locate test data in Siebel Sales app</t>
  </si>
  <si>
    <t>SELECT O.ROW_ID,
O.BU_ID ORD_BI, 
BU.NAME  ORD_BU,
O.ORDER_NUM ORD_ORDER_NUM,
OT.NAME ORD_ORDTYP_NAME,
O. REV_NUM ORD_REV_NUM,
O.X_PROMO_PRG_ID,
O.PROMO_ID,
O.ACCNT_ID
--P.PAR_SRC_ID, P.TMPL_ID
 --INTO dbo.A_TAB
 --UPDATE O SET PROMO_ID = NULL
FROM S_ORDER O
LEFT JOIN S_BU BU ON O.BU_ID = BU.ROW_ID
LEFT JOIN S_ORDER_TYPE OT ON O.ORDER_TYPE_ID = OT.ROW_ID 
WHERE O.X_PROMO_PRG_ID IS NOT NULL
and O.PROMO_ID IS NULL</t>
  </si>
  <si>
    <t xml:space="preserve">1 row returned
</t>
  </si>
  <si>
    <t>SALES APP</t>
  </si>
  <si>
    <t xml:space="preserve">Create the promotion </t>
  </si>
  <si>
    <t>Open Workflow Manager.
Launch EIM_INTERFACE --&gt; RUN_Material_Order_Promotion_Batch</t>
  </si>
  <si>
    <t>Login as CSTADMESN
Go to Screen "Material Orders" and 
Query Order # ='1-65971283'</t>
  </si>
  <si>
    <t>Login as CSTADMESN
1.Go to Screen ' Material Orders' and 
Query Order # ='1-65971283' 
2.Copy the  Promotion Plan Id 
3.Go to Screen ' Promotions' and 
Query the id copied (ex id=1-1A2B3-0)</t>
  </si>
  <si>
    <t xml:space="preserve">IMPORTED
</t>
  </si>
  <si>
    <t>Check the new Promotion records created in Sales App</t>
  </si>
  <si>
    <t>check if the Promotion material items from the Promotion Program have been created under  the Promotion record</t>
  </si>
  <si>
    <t xml:space="preserve">
Scroll down the  Screen ' Promotions' and 
select the pane Promotion Material and compare withe the Promotion Material in Promotion Program</t>
  </si>
  <si>
    <t>delete from S_SRC where PAR_SRC_ID  = (select PROMO_ID from S_ORDER where ROW_ID = '1-139ZRN')
delete from S_SRC where ROW_ID  = (select PROMO_ID from S_ORDER where ROW_ID = '1-139ZRN')
update S_ORDER set PROMO_ID = NULL where ROW_ID = '1-139ZRN'</t>
  </si>
  <si>
    <t>SIL_Material_Order_Update</t>
  </si>
  <si>
    <t>S_ORDER, S_SRC</t>
  </si>
  <si>
    <t>RUN_Material_Order_Update_Batch, RUN_Material_Order_Promotion_Batch</t>
  </si>
  <si>
    <t>Material_Order_Promotion</t>
  </si>
  <si>
    <t xml:space="preserve">
Material_Order_Update</t>
  </si>
  <si>
    <t>SELECT O.ROW_ID,
O.BU_ID ORD_BI, 
BU.NAME  ORD_BU,
O.ORDER_NUM ORD_ORDER_NUM,
OT.NAME ORD_ORDTYP_NAME,
O. REV_NUM ORD_REV_NUM,
 P.VAL  O_X_ORDER_CAT_CD 
 , OX.X_ORDER_CAT_CD  OX_X_ORDER_CAT_CD
FROM S_ORDER O
LEFT OUTER JOIN S_ORDER_X (NOLOCK) OX ON O.ROW_ID = OX.ROW_ID
INNER JOIN S_BU BU ON O.BU_ID = BU.ROW_ID
INNER JOIN S_ORDER_TYPE OT ON O.ORDER_TYPE_ID = OT.ROW_ID 
INNER JOIN S_LST_OF_VAL C ON C.VAL = O.X_SUB_TYPE
INNER JOIN S_LST_OF_VAL P ON P.ROW_ID = C.PAR_ROW_ID
WHERE C.TYPE = 'JTI_SUBTYPE_TYPE'
AND C.LANG_ID = 'ENU'
AND O.ORDER_CAT_CD ='Material'
AND P.LANG_ID = 'ENU'
AND P.ACTIVE_FLG = 'Y'
AND OX.X_ORDER_CAT_CD IS NULL</t>
  </si>
  <si>
    <t>update S_ORDER_X set X_ORDER_CAT_CD = NULL where ROW_ID in ('1-4KD1S7','1-7VV219','1-7S6IRX','1-7SX0YY')</t>
  </si>
  <si>
    <t>4 rows updated</t>
  </si>
  <si>
    <t xml:space="preserve">Launch EIM_INTERFACE --&gt; RUN_Material_Order_Update_Batch </t>
  </si>
  <si>
    <t xml:space="preserve">
SELECT * FROM EIM_ORDER_DTL (NOLOCK) WHERE IF_ROW_BATCH_NUM BETWEEN 100000000 AND 100000999</t>
  </si>
  <si>
    <t>Screenshot 5</t>
  </si>
  <si>
    <t xml:space="preserve">check id data have been correctly upated </t>
  </si>
  <si>
    <t>SELECT O.ROW_ID,
O.BU_ID ORD_BI, 
BU.NAME  ORD_BU,
O.ORDER_NUM ORD_ORDER_NUM,
OT.NAME ORD_ORDTYP_NAME,
O. REV_NUM ORD_REV_NUM,
 P.VAL  O_X_ORDER_CAT_CD 
 , OX.X_ORDER_CAT_CD  OX_X_ORDER_CAT_CD
FROM S_ORDER O
LEFT OUTER JOIN S_ORDER_X (NOLOCK) OX ON O.ROW_ID = OX.ROW_ID
INNER JOIN S_BU BU ON O.BU_ID = BU.ROW_ID
INNER JOIN S_ORDER_TYPE OT ON O.ORDER_TYPE_ID = OT.ROW_ID 
INNER JOIN S_LST_OF_VAL C ON C.VAL = O.X_SUB_TYPE
INNER JOIN S_LST_OF_VAL P ON P.ROW_ID = C.PAR_ROW_ID
WHERE C.TYPE = 'JTI_SUBTYPE_TYPE'
AND C.LANG_ID = 'ENU'
AND O.ORDER_CAT_CD ='Material'
AND P.LANG_ID = 'ENU'
AND P.ACTIVE_FLG = 'Y'</t>
  </si>
  <si>
    <t xml:space="preserve">Update S_ORDER_X.X_ORDER_CAT_CD </t>
  </si>
  <si>
    <t>4 rows imported</t>
  </si>
  <si>
    <t>Screenshot 6</t>
  </si>
  <si>
    <t>4 rows returned with updated S_ORDER_X.X_ORDER_CAT_CD</t>
  </si>
  <si>
    <t>Screenshot 7</t>
  </si>
  <si>
    <r>
      <t xml:space="preserve">4 rows returned with Null S_ORDER_X.X_ORDER_CAT_CD
</t>
    </r>
    <r>
      <rPr>
        <b/>
        <sz val="10"/>
        <color rgb="FF00B050"/>
        <rFont val="Arial"/>
        <family val="2"/>
      </rPr>
      <t>Screenshot 5</t>
    </r>
  </si>
  <si>
    <t xml:space="preserve">SELECT IF_ROW_STAT, ACCNT_NAME,PROD_NAME, * FROM EIM_SRC  WHERE IF_ROW_BATCH_NUM BETWEEN 220000000 AND 220000999
select IF_ROW_STAT, ORD_ORDER_NUM, T_ORDER_PROMOI,* from EIM_ORDER  WHERE IF_ROW_BATCH_NUM BETWEEN 110000000 AND 110000999
SELECT O.ROW_ID,
O.BU_ID ORD_BI, 
BU.NAME  ORD_BU,
O.ORDER_NUM ORD_ORDER_NUM,
OT.NAME ORD_ORDTYP_NAME,
O. REV_NUM ORD_REV_NUM,
O.X_PROMO_PRG_ID,
O.PROMO_ID,
O.ACCNT_ID
--P.PAR_SRC_ID, P.TMPL_ID
 --INTO dbo.A_TAB
 --UPDATE O SET PROMO_ID = NULL
FROM S_ORDER O
LEFT JOIN S_BU BU ON O.BU_ID = BU.ROW_ID
LEFT JOIN S_ORDER_TYPE OT ON O.ORDER_TYPE_ID = OT.ROW_ID 
WHERE O.X_PROMO_PRG_ID IS NOT NULL
</t>
  </si>
  <si>
    <t>Test Material batch processes</t>
  </si>
  <si>
    <t>TMEC: OM - Harmonization</t>
  </si>
  <si>
    <t>CHG212977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</si>
</sst>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 _B_F_-;\-* #,##0.00\ _B_F_-;_-* &quot;-&quot;??\ _B_F_-;_-@_-"/>
    <numFmt numFmtId="165" formatCode="mm/dd/yy"/>
    <numFmt numFmtId="166" formatCode="mmm\-yyyy"/>
  </numFmts>
  <fonts count="49" x14ac:knownFonts="1">
    <font>
      <sz val="10"/>
      <name val="Arial"/>
    </font>
    <font>
      <sz val="11"/>
      <color theme="1"/>
      <name val="Calibri"/>
      <family val="2"/>
      <scheme val="minor"/>
    </font>
    <font>
      <sz val="8"/>
      <name val="Arial"/>
      <family val="2"/>
    </font>
    <font>
      <sz val="10"/>
      <name val="Arial"/>
      <family val="2"/>
    </font>
    <font>
      <b/>
      <sz val="10"/>
      <name val="Arial"/>
      <family val="2"/>
    </font>
    <font>
      <sz val="11"/>
      <color indexed="8"/>
      <name val="Calibri"/>
      <family val="2"/>
    </font>
    <font>
      <b/>
      <sz val="11"/>
      <color indexed="8"/>
      <name val="Calibri"/>
      <family val="2"/>
    </font>
    <font>
      <b/>
      <i/>
      <sz val="24"/>
      <color indexed="57"/>
      <name val="Arial"/>
      <family val="2"/>
    </font>
    <font>
      <sz val="8"/>
      <color indexed="81"/>
      <name val="Tahoma"/>
      <family val="2"/>
    </font>
    <font>
      <sz val="11"/>
      <color indexed="9"/>
      <name val="Calibri"/>
      <family val="2"/>
    </font>
    <font>
      <b/>
      <sz val="11"/>
      <color indexed="63"/>
      <name val="Calibri"/>
      <family val="2"/>
    </font>
    <font>
      <b/>
      <sz val="11"/>
      <color indexed="52"/>
      <name val="Calibri"/>
      <family val="2"/>
    </font>
    <font>
      <sz val="11"/>
      <color indexed="62"/>
      <name val="Calibri"/>
      <family val="2"/>
    </font>
    <font>
      <i/>
      <sz val="11"/>
      <color indexed="23"/>
      <name val="Calibri"/>
      <family val="2"/>
    </font>
    <font>
      <sz val="11"/>
      <color indexed="17"/>
      <name val="Calibri"/>
      <family val="2"/>
    </font>
    <font>
      <sz val="11"/>
      <color indexed="20"/>
      <name val="Calibri"/>
      <family val="2"/>
    </font>
    <font>
      <sz val="10"/>
      <name val="Helv"/>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sz val="11"/>
      <color indexed="10"/>
      <name val="Calibri"/>
      <family val="2"/>
    </font>
    <font>
      <b/>
      <sz val="11"/>
      <color indexed="9"/>
      <name val="Calibri"/>
      <family val="2"/>
    </font>
    <font>
      <b/>
      <sz val="24"/>
      <name val="Book Antiqua"/>
      <family val="1"/>
    </font>
    <font>
      <b/>
      <sz val="36"/>
      <name val="Book Antiqua"/>
      <family val="1"/>
    </font>
    <font>
      <b/>
      <sz val="36"/>
      <color indexed="12"/>
      <name val="Book Antiqua"/>
      <family val="1"/>
    </font>
    <font>
      <b/>
      <sz val="24"/>
      <color indexed="12"/>
      <name val="Book Antiqua"/>
      <family val="1"/>
    </font>
    <font>
      <b/>
      <sz val="18"/>
      <color indexed="12"/>
      <name val="Book Antiqua"/>
      <family val="1"/>
    </font>
    <font>
      <b/>
      <sz val="20"/>
      <name val="Book Antiqua"/>
      <family val="1"/>
    </font>
    <font>
      <sz val="10"/>
      <name val="Book Antiqua"/>
      <family val="1"/>
    </font>
    <font>
      <b/>
      <i/>
      <sz val="20"/>
      <name val="Book Antiqua"/>
      <family val="1"/>
    </font>
    <font>
      <sz val="12"/>
      <name val="Book Antiqua"/>
      <family val="1"/>
    </font>
    <font>
      <b/>
      <sz val="10"/>
      <color indexed="12"/>
      <name val="Arial"/>
      <family val="2"/>
    </font>
    <font>
      <sz val="10"/>
      <color indexed="12"/>
      <name val="Arial"/>
      <family val="2"/>
    </font>
    <font>
      <b/>
      <sz val="22"/>
      <name val="Arial"/>
      <family val="2"/>
    </font>
    <font>
      <i/>
      <sz val="14"/>
      <name val="Arial"/>
      <family val="2"/>
    </font>
    <font>
      <b/>
      <sz val="8"/>
      <color indexed="81"/>
      <name val="Tahoma"/>
      <family val="2"/>
    </font>
    <font>
      <sz val="11"/>
      <name val="Book Antiqua"/>
      <family val="1"/>
    </font>
    <font>
      <b/>
      <sz val="11"/>
      <color indexed="9"/>
      <name val="Book Antiqua"/>
      <family val="1"/>
    </font>
    <font>
      <b/>
      <sz val="12"/>
      <name val="Book Antiqua"/>
      <family val="1"/>
    </font>
    <font>
      <b/>
      <sz val="9"/>
      <color indexed="81"/>
      <name val="Tahoma"/>
      <family val="2"/>
    </font>
    <font>
      <sz val="9"/>
      <color indexed="81"/>
      <name val="Tahoma"/>
      <family val="2"/>
    </font>
    <font>
      <u/>
      <sz val="10"/>
      <color theme="10"/>
      <name val="Arial"/>
      <family val="2"/>
    </font>
    <font>
      <sz val="11"/>
      <color theme="1"/>
      <name val="Calibri"/>
      <family val="2"/>
      <scheme val="minor"/>
    </font>
    <font>
      <sz val="10"/>
      <color theme="10"/>
      <name val="Arial"/>
      <family val="2"/>
    </font>
    <font>
      <b/>
      <sz val="10"/>
      <color theme="0"/>
      <name val="Arial"/>
      <family val="2"/>
    </font>
    <font>
      <sz val="8"/>
      <name val="Arial"/>
    </font>
    <font>
      <b/>
      <sz val="10"/>
      <color rgb="FF00B050"/>
      <name val="Arial"/>
      <family val="2"/>
    </font>
  </fonts>
  <fills count="31">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26"/>
      </patternFill>
    </fill>
    <fill>
      <patternFill patternType="solid">
        <fgColor indexed="9"/>
        <bgColor indexed="64"/>
      </patternFill>
    </fill>
    <fill>
      <patternFill patternType="solid">
        <fgColor indexed="22"/>
        <bgColor indexed="64"/>
      </patternFill>
    </fill>
    <fill>
      <patternFill patternType="solid">
        <fgColor indexed="17"/>
        <bgColor indexed="64"/>
      </patternFill>
    </fill>
    <fill>
      <patternFill patternType="solid">
        <fgColor rgb="FF00B0F0"/>
        <bgColor indexed="64"/>
      </patternFill>
    </fill>
    <fill>
      <patternFill patternType="solid">
        <fgColor rgb="FF99FFCC"/>
        <bgColor indexed="64"/>
      </patternFill>
    </fill>
    <fill>
      <patternFill patternType="solid">
        <fgColor theme="6"/>
        <bgColor indexed="64"/>
      </patternFill>
    </fill>
    <fill>
      <patternFill patternType="solid">
        <fgColor theme="0"/>
        <bgColor indexed="64"/>
      </patternFill>
    </fill>
    <fill>
      <patternFill patternType="solid">
        <fgColor theme="0" tint="-0.34998626667073579"/>
        <bgColor indexed="64"/>
      </patternFill>
    </fill>
  </fills>
  <borders count="17">
    <border>
      <left/>
      <right/>
      <top/>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top/>
      <bottom style="thick">
        <color indexed="17"/>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54">
    <xf numFmtId="0" fontId="0" fillId="0" borderId="0"/>
    <xf numFmtId="0" fontId="5" fillId="2" borderId="0" applyNumberFormat="0" applyBorder="0" applyAlignment="0" applyProtection="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5" borderId="0" applyNumberFormat="0" applyBorder="0" applyAlignment="0" applyProtection="0"/>
    <xf numFmtId="0" fontId="5" fillId="8" borderId="0" applyNumberFormat="0" applyBorder="0" applyAlignment="0" applyProtection="0"/>
    <xf numFmtId="0" fontId="5" fillId="11" borderId="0" applyNumberFormat="0" applyBorder="0" applyAlignment="0" applyProtection="0"/>
    <xf numFmtId="0" fontId="9" fillId="12" borderId="0" applyNumberFormat="0" applyBorder="0" applyAlignment="0" applyProtection="0"/>
    <xf numFmtId="0" fontId="9" fillId="9" borderId="0" applyNumberFormat="0" applyBorder="0" applyAlignment="0" applyProtection="0"/>
    <xf numFmtId="0" fontId="9" fillId="10" borderId="0" applyNumberFormat="0" applyBorder="0" applyAlignment="0" applyProtection="0"/>
    <xf numFmtId="0" fontId="9" fillId="13" borderId="0" applyNumberFormat="0" applyBorder="0" applyAlignment="0" applyProtection="0"/>
    <xf numFmtId="0" fontId="9"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9" fillId="18" borderId="0" applyNumberFormat="0" applyBorder="0" applyAlignment="0" applyProtection="0"/>
    <xf numFmtId="0" fontId="9" fillId="13" borderId="0" applyNumberFormat="0" applyBorder="0" applyAlignment="0" applyProtection="0"/>
    <xf numFmtId="0" fontId="9" fillId="14" borderId="0" applyNumberFormat="0" applyBorder="0" applyAlignment="0" applyProtection="0"/>
    <xf numFmtId="0" fontId="9" fillId="19" borderId="0" applyNumberFormat="0" applyBorder="0" applyAlignment="0" applyProtection="0"/>
    <xf numFmtId="0" fontId="10" fillId="20" borderId="1" applyNumberFormat="0" applyAlignment="0" applyProtection="0"/>
    <xf numFmtId="0" fontId="11" fillId="20" borderId="2" applyNumberFormat="0" applyAlignment="0" applyProtection="0"/>
    <xf numFmtId="0" fontId="3" fillId="0" borderId="0" applyFont="0" applyFill="0" applyBorder="0" applyAlignment="0" applyProtection="0"/>
    <xf numFmtId="0" fontId="12" fillId="7" borderId="2" applyNumberFormat="0" applyAlignment="0" applyProtection="0"/>
    <xf numFmtId="0" fontId="6" fillId="0" borderId="4" applyNumberFormat="0" applyFill="0" applyAlignment="0" applyProtection="0"/>
    <xf numFmtId="0" fontId="13" fillId="0" borderId="0" applyNumberFormat="0" applyFill="0" applyBorder="0" applyAlignment="0" applyProtection="0"/>
    <xf numFmtId="0" fontId="14" fillId="4" borderId="0" applyNumberFormat="0" applyBorder="0" applyAlignment="0" applyProtection="0"/>
    <xf numFmtId="0" fontId="43" fillId="0" borderId="0" applyNumberFormat="0" applyFill="0" applyBorder="0" applyAlignment="0" applyProtection="0">
      <alignment vertical="top"/>
      <protection locked="0"/>
    </xf>
    <xf numFmtId="0" fontId="44" fillId="0" borderId="0"/>
    <xf numFmtId="0" fontId="3" fillId="0" borderId="0"/>
    <xf numFmtId="0" fontId="44" fillId="0" borderId="0"/>
    <xf numFmtId="0" fontId="44" fillId="0" borderId="0"/>
    <xf numFmtId="0" fontId="38" fillId="0" borderId="0"/>
    <xf numFmtId="0" fontId="3" fillId="0" borderId="0"/>
    <xf numFmtId="0" fontId="3" fillId="22" borderId="9" applyNumberFormat="0" applyFont="0" applyAlignment="0" applyProtection="0"/>
    <xf numFmtId="0" fontId="15" fillId="3" borderId="0" applyNumberFormat="0" applyBorder="0" applyAlignment="0" applyProtection="0"/>
    <xf numFmtId="0" fontId="3" fillId="0" borderId="0"/>
    <xf numFmtId="0" fontId="16" fillId="0" borderId="0"/>
    <xf numFmtId="0" fontId="17" fillId="0" borderId="0" applyNumberFormat="0" applyFill="0" applyBorder="0" applyAlignment="0" applyProtection="0"/>
    <xf numFmtId="0" fontId="18" fillId="0" borderId="5" applyNumberFormat="0" applyFill="0" applyAlignment="0" applyProtection="0"/>
    <xf numFmtId="0" fontId="19" fillId="0" borderId="6" applyNumberFormat="0" applyFill="0" applyAlignment="0" applyProtection="0"/>
    <xf numFmtId="0" fontId="20" fillId="0" borderId="7" applyNumberFormat="0" applyFill="0" applyAlignment="0" applyProtection="0"/>
    <xf numFmtId="0" fontId="20" fillId="0" borderId="0" applyNumberFormat="0" applyFill="0" applyBorder="0" applyAlignment="0" applyProtection="0"/>
    <xf numFmtId="0" fontId="21" fillId="0" borderId="8" applyNumberFormat="0" applyFill="0" applyAlignment="0" applyProtection="0"/>
    <xf numFmtId="0" fontId="22" fillId="0" borderId="0" applyNumberFormat="0" applyFill="0" applyBorder="0" applyAlignment="0" applyProtection="0"/>
    <xf numFmtId="0" fontId="23" fillId="21" borderId="3" applyNumberFormat="0" applyAlignment="0" applyProtection="0"/>
    <xf numFmtId="0" fontId="1" fillId="0" borderId="0"/>
    <xf numFmtId="0" fontId="1" fillId="0" borderId="0"/>
    <xf numFmtId="0" fontId="1" fillId="0" borderId="0"/>
  </cellStyleXfs>
  <cellXfs count="119">
    <xf numFmtId="0" fontId="0" fillId="0" borderId="0" xfId="0"/>
    <xf numFmtId="0" fontId="4" fillId="0" borderId="0" xfId="38" applyFont="1" applyAlignment="1">
      <alignment vertical="center"/>
    </xf>
    <xf numFmtId="0" fontId="3" fillId="0" borderId="0" xfId="38" applyAlignment="1">
      <alignment vertical="center"/>
    </xf>
    <xf numFmtId="0" fontId="3" fillId="0" borderId="0" xfId="38" applyFont="1" applyAlignment="1">
      <alignment vertical="center"/>
    </xf>
    <xf numFmtId="0" fontId="3" fillId="23" borderId="0" xfId="38" applyFill="1" applyAlignment="1">
      <alignment vertical="center"/>
    </xf>
    <xf numFmtId="0" fontId="4" fillId="23" borderId="0" xfId="38" applyFont="1" applyFill="1" applyAlignment="1">
      <alignment vertical="center"/>
    </xf>
    <xf numFmtId="0" fontId="26" fillId="0" borderId="0" xfId="27" applyFont="1" applyAlignment="1">
      <alignment vertical="center"/>
    </xf>
    <xf numFmtId="0" fontId="27" fillId="0" borderId="0" xfId="27" applyFont="1" applyAlignment="1">
      <alignment vertical="center"/>
    </xf>
    <xf numFmtId="0" fontId="29" fillId="0" borderId="0" xfId="27" applyFont="1" applyAlignment="1">
      <alignment vertical="center"/>
    </xf>
    <xf numFmtId="164" fontId="30" fillId="23" borderId="0" xfId="27" applyNumberFormat="1" applyFont="1" applyFill="1" applyAlignment="1">
      <alignment vertical="center"/>
    </xf>
    <xf numFmtId="164" fontId="3" fillId="23" borderId="0" xfId="27" applyNumberFormat="1" applyFill="1" applyAlignment="1">
      <alignment vertical="center"/>
    </xf>
    <xf numFmtId="0" fontId="2" fillId="0" borderId="0" xfId="34" applyFont="1" applyAlignment="1">
      <alignment vertical="center"/>
    </xf>
    <xf numFmtId="0" fontId="3" fillId="0" borderId="0" xfId="34" applyAlignment="1">
      <alignment vertical="center"/>
    </xf>
    <xf numFmtId="164" fontId="3" fillId="23" borderId="0" xfId="27" applyNumberFormat="1" applyFill="1" applyBorder="1" applyAlignment="1">
      <alignment vertical="center"/>
    </xf>
    <xf numFmtId="164" fontId="30" fillId="23" borderId="0" xfId="27" applyNumberFormat="1" applyFont="1" applyFill="1" applyBorder="1" applyAlignment="1">
      <alignment vertical="center"/>
    </xf>
    <xf numFmtId="0" fontId="3" fillId="0" borderId="0" xfId="27" applyFont="1" applyAlignment="1">
      <alignment vertical="center"/>
    </xf>
    <xf numFmtId="0" fontId="30" fillId="0" borderId="0" xfId="27" applyFont="1" applyAlignment="1">
      <alignment vertical="center"/>
    </xf>
    <xf numFmtId="0" fontId="31" fillId="0" borderId="0" xfId="27" applyFont="1" applyAlignment="1">
      <alignment vertical="center"/>
    </xf>
    <xf numFmtId="0" fontId="24" fillId="0" borderId="0" xfId="27" applyFont="1" applyAlignment="1">
      <alignment vertical="center"/>
    </xf>
    <xf numFmtId="0" fontId="32" fillId="0" borderId="0" xfId="27" applyFont="1" applyAlignment="1">
      <alignment vertical="center"/>
    </xf>
    <xf numFmtId="165" fontId="32" fillId="0" borderId="0" xfId="27" applyNumberFormat="1" applyFont="1" applyAlignment="1">
      <alignment horizontal="left" vertical="center"/>
    </xf>
    <xf numFmtId="0" fontId="33" fillId="23" borderId="0" xfId="38" applyFont="1" applyFill="1" applyAlignment="1">
      <alignment vertical="center" wrapText="1"/>
    </xf>
    <xf numFmtId="0" fontId="4" fillId="23" borderId="0" xfId="38" applyFont="1" applyFill="1" applyAlignment="1">
      <alignment horizontal="center" vertical="center" wrapText="1"/>
    </xf>
    <xf numFmtId="0" fontId="4" fillId="24" borderId="10" xfId="38" applyFont="1" applyFill="1" applyBorder="1" applyAlignment="1">
      <alignment horizontal="center" vertical="center" wrapText="1"/>
    </xf>
    <xf numFmtId="0" fontId="34" fillId="0" borderId="10" xfId="38" applyFont="1" applyBorder="1" applyAlignment="1">
      <alignment vertical="center" wrapText="1"/>
    </xf>
    <xf numFmtId="0" fontId="4" fillId="23" borderId="0" xfId="38" applyFont="1" applyFill="1" applyAlignment="1">
      <alignment vertical="center" wrapText="1"/>
    </xf>
    <xf numFmtId="0" fontId="4" fillId="24" borderId="10" xfId="38" applyFont="1" applyFill="1" applyBorder="1" applyAlignment="1">
      <alignment vertical="center"/>
    </xf>
    <xf numFmtId="0" fontId="34" fillId="0" borderId="10" xfId="38" applyFont="1" applyBorder="1" applyAlignment="1">
      <alignment horizontal="left" vertical="center" wrapText="1"/>
    </xf>
    <xf numFmtId="0" fontId="4" fillId="24" borderId="10" xfId="38" applyFont="1" applyFill="1" applyBorder="1" applyAlignment="1">
      <alignment vertical="center" wrapText="1"/>
    </xf>
    <xf numFmtId="0" fontId="36" fillId="23" borderId="11" xfId="38" applyFont="1" applyFill="1" applyBorder="1" applyAlignment="1">
      <alignment horizontal="right" vertical="center"/>
    </xf>
    <xf numFmtId="0" fontId="3" fillId="23" borderId="0" xfId="38" applyFont="1" applyFill="1" applyAlignment="1">
      <alignment vertical="center"/>
    </xf>
    <xf numFmtId="0" fontId="4" fillId="24" borderId="12" xfId="38" applyFont="1" applyFill="1" applyBorder="1" applyAlignment="1">
      <alignment vertical="center"/>
    </xf>
    <xf numFmtId="0" fontId="38" fillId="0" borderId="0" xfId="37" applyBorder="1"/>
    <xf numFmtId="0" fontId="38" fillId="0" borderId="0" xfId="37"/>
    <xf numFmtId="0" fontId="3" fillId="0" borderId="0" xfId="37" applyFont="1"/>
    <xf numFmtId="0" fontId="39" fillId="25" borderId="10" xfId="37" applyFont="1" applyFill="1" applyBorder="1" applyAlignment="1">
      <alignment horizontal="right" wrapText="1"/>
    </xf>
    <xf numFmtId="0" fontId="38" fillId="0" borderId="10" xfId="37" applyBorder="1" applyAlignment="1">
      <alignment wrapText="1"/>
    </xf>
    <xf numFmtId="0" fontId="38" fillId="0" borderId="10" xfId="37" applyBorder="1"/>
    <xf numFmtId="14" fontId="38" fillId="0" borderId="10" xfId="37" applyNumberFormat="1" applyBorder="1" applyAlignment="1">
      <alignment horizontal="right" wrapText="1"/>
    </xf>
    <xf numFmtId="14" fontId="38" fillId="0" borderId="10" xfId="37" applyNumberFormat="1" applyBorder="1" applyAlignment="1">
      <alignment wrapText="1"/>
    </xf>
    <xf numFmtId="0" fontId="38" fillId="0" borderId="10" xfId="37" applyFill="1" applyBorder="1" applyAlignment="1">
      <alignment wrapText="1"/>
    </xf>
    <xf numFmtId="0" fontId="38" fillId="0" borderId="10" xfId="37" applyFont="1" applyBorder="1" applyAlignment="1">
      <alignment wrapText="1"/>
    </xf>
    <xf numFmtId="0" fontId="4" fillId="24" borderId="13" xfId="38" applyFont="1" applyFill="1" applyBorder="1" applyAlignment="1">
      <alignment vertical="center"/>
    </xf>
    <xf numFmtId="0" fontId="3" fillId="23" borderId="0" xfId="38" applyFont="1" applyFill="1" applyBorder="1" applyAlignment="1">
      <alignment vertical="center"/>
    </xf>
    <xf numFmtId="0" fontId="3" fillId="23" borderId="0" xfId="38" applyFill="1" applyBorder="1" applyAlignment="1">
      <alignment vertical="center"/>
    </xf>
    <xf numFmtId="0" fontId="3" fillId="0" borderId="0" xfId="38" applyBorder="1" applyAlignment="1">
      <alignment vertical="center"/>
    </xf>
    <xf numFmtId="0" fontId="30" fillId="0" borderId="10" xfId="37" applyFont="1" applyFill="1" applyBorder="1" applyAlignment="1">
      <alignment vertical="top"/>
    </xf>
    <xf numFmtId="0" fontId="30" fillId="0" borderId="10" xfId="37" applyFont="1" applyBorder="1" applyAlignment="1">
      <alignment vertical="top" wrapText="1"/>
    </xf>
    <xf numFmtId="0" fontId="30" fillId="0" borderId="10" xfId="37" applyFont="1" applyBorder="1" applyAlignment="1">
      <alignment horizontal="left" vertical="top" wrapText="1"/>
    </xf>
    <xf numFmtId="0" fontId="30" fillId="0" borderId="10" xfId="37" applyFont="1" applyBorder="1" applyAlignment="1">
      <alignment vertical="top"/>
    </xf>
    <xf numFmtId="0" fontId="3" fillId="0" borderId="0" xfId="38" applyAlignment="1">
      <alignment vertical="center" wrapText="1"/>
    </xf>
    <xf numFmtId="0" fontId="3" fillId="0" borderId="0" xfId="38" applyFont="1" applyAlignment="1">
      <alignment vertical="center" wrapText="1"/>
    </xf>
    <xf numFmtId="0" fontId="3" fillId="23" borderId="0" xfId="38" applyFill="1" applyAlignment="1">
      <alignment vertical="center" wrapText="1"/>
    </xf>
    <xf numFmtId="0" fontId="3" fillId="23" borderId="0" xfId="38" applyNumberFormat="1" applyFill="1" applyAlignment="1">
      <alignment vertical="center" wrapText="1"/>
    </xf>
    <xf numFmtId="15" fontId="34" fillId="0" borderId="10" xfId="38" applyNumberFormat="1" applyFont="1" applyBorder="1" applyAlignment="1">
      <alignment horizontal="left" vertical="center" wrapText="1"/>
    </xf>
    <xf numFmtId="15" fontId="43" fillId="0" borderId="10" xfId="32" applyNumberFormat="1" applyBorder="1" applyAlignment="1" applyProtection="1">
      <alignment horizontal="left" vertical="center" wrapText="1"/>
    </xf>
    <xf numFmtId="0" fontId="3" fillId="23" borderId="0" xfId="38" applyFill="1" applyBorder="1" applyAlignment="1">
      <alignment vertical="center" wrapText="1"/>
    </xf>
    <xf numFmtId="0" fontId="3" fillId="0" borderId="0" xfId="38" applyBorder="1" applyAlignment="1">
      <alignment vertical="center" wrapText="1"/>
    </xf>
    <xf numFmtId="0" fontId="30" fillId="0" borderId="10" xfId="37" applyFont="1" applyFill="1" applyBorder="1" applyAlignment="1">
      <alignment wrapText="1"/>
    </xf>
    <xf numFmtId="15" fontId="45" fillId="0" borderId="10" xfId="32" applyNumberFormat="1" applyFont="1" applyBorder="1" applyAlignment="1" applyProtection="1">
      <alignment horizontal="left" vertical="center" wrapText="1"/>
    </xf>
    <xf numFmtId="0" fontId="38" fillId="0" borderId="0" xfId="37" applyAlignment="1">
      <alignment horizontal="left" vertical="top"/>
    </xf>
    <xf numFmtId="0" fontId="0" fillId="0" borderId="0" xfId="0" applyAlignment="1">
      <alignment horizontal="center"/>
    </xf>
    <xf numFmtId="0" fontId="46" fillId="26" borderId="0" xfId="0" applyFont="1" applyFill="1"/>
    <xf numFmtId="0" fontId="46" fillId="26" borderId="0" xfId="0" applyFont="1" applyFill="1" applyAlignment="1">
      <alignment horizontal="center"/>
    </xf>
    <xf numFmtId="0" fontId="4" fillId="27" borderId="10" xfId="0" applyFont="1" applyFill="1" applyBorder="1"/>
    <xf numFmtId="0" fontId="0" fillId="27" borderId="10" xfId="0" applyFill="1" applyBorder="1" applyAlignment="1">
      <alignment horizontal="center"/>
    </xf>
    <xf numFmtId="14" fontId="0" fillId="27" borderId="10" xfId="0" applyNumberFormat="1" applyFill="1" applyBorder="1" applyAlignment="1">
      <alignment horizontal="center"/>
    </xf>
    <xf numFmtId="14" fontId="3" fillId="27" borderId="10" xfId="0" quotePrefix="1" applyNumberFormat="1" applyFont="1" applyFill="1" applyBorder="1" applyAlignment="1">
      <alignment horizontal="center"/>
    </xf>
    <xf numFmtId="0" fontId="3" fillId="27" borderId="10" xfId="0" applyFont="1" applyFill="1" applyBorder="1" applyAlignment="1">
      <alignment horizontal="center"/>
    </xf>
    <xf numFmtId="166" fontId="0" fillId="27" borderId="10" xfId="0" applyNumberFormat="1" applyFill="1" applyBorder="1" applyAlignment="1">
      <alignment horizontal="center"/>
    </xf>
    <xf numFmtId="49" fontId="4" fillId="24" borderId="10" xfId="37" applyNumberFormat="1" applyFont="1" applyFill="1" applyBorder="1" applyAlignment="1">
      <alignment horizontal="center" vertical="top"/>
    </xf>
    <xf numFmtId="0" fontId="39" fillId="25" borderId="10" xfId="37" applyFont="1" applyFill="1" applyBorder="1" applyAlignment="1">
      <alignment horizontal="right" vertical="top" wrapText="1"/>
    </xf>
    <xf numFmtId="0" fontId="4" fillId="0" borderId="0" xfId="0" applyFont="1" applyFill="1"/>
    <xf numFmtId="0" fontId="0" fillId="0" borderId="0" xfId="0" applyFill="1"/>
    <xf numFmtId="0" fontId="38" fillId="0" borderId="10" xfId="37" applyFont="1" applyFill="1" applyBorder="1" applyAlignment="1">
      <alignment vertical="top" wrapText="1"/>
    </xf>
    <xf numFmtId="0" fontId="38" fillId="0" borderId="10" xfId="37" applyFont="1" applyBorder="1" applyAlignment="1">
      <alignment horizontal="left" vertical="top" wrapText="1"/>
    </xf>
    <xf numFmtId="0" fontId="38" fillId="0" borderId="10" xfId="37" applyBorder="1" applyAlignment="1">
      <alignment horizontal="left" vertical="top" wrapText="1"/>
    </xf>
    <xf numFmtId="0" fontId="30" fillId="0" borderId="10" xfId="37" applyFont="1" applyBorder="1" applyAlignment="1">
      <alignment vertical="top" wrapText="1"/>
    </xf>
    <xf numFmtId="0" fontId="30" fillId="0" borderId="10" xfId="37" applyFont="1" applyBorder="1" applyAlignment="1">
      <alignment horizontal="left" vertical="top" wrapText="1"/>
    </xf>
    <xf numFmtId="0" fontId="38" fillId="0" borderId="10" xfId="37" applyFont="1" applyFill="1" applyBorder="1" applyAlignment="1">
      <alignment vertical="top" wrapText="1"/>
    </xf>
    <xf numFmtId="0" fontId="38" fillId="0" borderId="10" xfId="37" applyFont="1" applyBorder="1" applyAlignment="1">
      <alignment horizontal="left" vertical="top" wrapText="1"/>
    </xf>
    <xf numFmtId="0" fontId="38" fillId="0" borderId="10" xfId="37" applyBorder="1" applyAlignment="1">
      <alignment horizontal="left" vertical="top" wrapText="1"/>
    </xf>
    <xf numFmtId="0" fontId="30" fillId="0" borderId="10" xfId="37" applyFont="1" applyBorder="1" applyAlignment="1">
      <alignment vertical="center" wrapText="1"/>
    </xf>
    <xf numFmtId="0" fontId="0" fillId="28" borderId="0" xfId="0" applyFill="1"/>
    <xf numFmtId="164" fontId="7" fillId="23" borderId="14" xfId="27" applyNumberFormat="1" applyFont="1" applyFill="1" applyBorder="1" applyAlignment="1">
      <alignment horizontal="center" vertical="center"/>
    </xf>
    <xf numFmtId="0" fontId="24" fillId="0" borderId="0" xfId="27" applyFont="1" applyAlignment="1">
      <alignment horizontal="center" vertical="center"/>
    </xf>
    <xf numFmtId="0" fontId="25" fillId="0" borderId="0" xfId="27" applyFont="1" applyAlignment="1">
      <alignment horizontal="center" vertical="center"/>
    </xf>
    <xf numFmtId="0" fontId="26" fillId="0" borderId="0" xfId="27" applyFont="1" applyAlignment="1">
      <alignment horizontal="right" vertical="center"/>
    </xf>
    <xf numFmtId="0" fontId="26" fillId="0" borderId="0" xfId="27" applyFont="1" applyAlignment="1">
      <alignment horizontal="left" vertical="center"/>
    </xf>
    <xf numFmtId="0" fontId="29" fillId="0" borderId="0" xfId="27" applyFont="1" applyAlignment="1">
      <alignment horizontal="right" vertical="center"/>
    </xf>
    <xf numFmtId="0" fontId="31" fillId="0" borderId="0" xfId="27" applyFont="1" applyAlignment="1">
      <alignment horizontal="left" vertical="center"/>
    </xf>
    <xf numFmtId="0" fontId="27" fillId="0" borderId="0" xfId="27" applyFont="1" applyAlignment="1">
      <alignment horizontal="right" vertical="center"/>
    </xf>
    <xf numFmtId="0" fontId="27" fillId="0" borderId="0" xfId="27" applyFont="1" applyAlignment="1">
      <alignment horizontal="left" vertical="center" wrapText="1"/>
    </xf>
    <xf numFmtId="0" fontId="28" fillId="0" borderId="0" xfId="27" applyFont="1" applyAlignment="1">
      <alignment horizontal="right" vertical="center"/>
    </xf>
    <xf numFmtId="0" fontId="28" fillId="0" borderId="0" xfId="27" applyFont="1" applyAlignment="1">
      <alignment horizontal="left" vertical="center" wrapText="1"/>
    </xf>
    <xf numFmtId="0" fontId="35" fillId="23" borderId="11" xfId="38" applyFont="1" applyFill="1" applyBorder="1" applyAlignment="1">
      <alignment horizontal="left" vertical="center"/>
    </xf>
    <xf numFmtId="0" fontId="33" fillId="23" borderId="0" xfId="38" applyFont="1" applyFill="1" applyAlignment="1">
      <alignment vertical="center"/>
    </xf>
    <xf numFmtId="0" fontId="33" fillId="24" borderId="15" xfId="38" applyFont="1" applyFill="1" applyBorder="1" applyAlignment="1">
      <alignment horizontal="center" vertical="center" wrapText="1"/>
    </xf>
    <xf numFmtId="0" fontId="44" fillId="0" borderId="15" xfId="36" applyBorder="1"/>
    <xf numFmtId="0" fontId="38" fillId="0" borderId="10" xfId="37" applyFont="1" applyBorder="1" applyAlignment="1">
      <alignment horizontal="center" wrapText="1"/>
    </xf>
    <xf numFmtId="0" fontId="38" fillId="0" borderId="10" xfId="37" applyBorder="1" applyAlignment="1">
      <alignment horizontal="center" wrapText="1"/>
    </xf>
    <xf numFmtId="0" fontId="40" fillId="0" borderId="10" xfId="37" applyFont="1" applyBorder="1" applyAlignment="1">
      <alignment horizontal="left" wrapText="1"/>
    </xf>
    <xf numFmtId="0" fontId="38" fillId="0" borderId="10" xfId="37" applyFont="1" applyBorder="1" applyAlignment="1">
      <alignment horizontal="left" wrapText="1"/>
    </xf>
    <xf numFmtId="0" fontId="38" fillId="0" borderId="10" xfId="37" applyBorder="1" applyAlignment="1">
      <alignment horizontal="left" wrapText="1"/>
    </xf>
    <xf numFmtId="49" fontId="4" fillId="29" borderId="10" xfId="37" applyNumberFormat="1" applyFont="1" applyFill="1" applyBorder="1" applyAlignment="1">
      <alignment horizontal="center" vertical="top"/>
    </xf>
    <xf numFmtId="0" fontId="38" fillId="29" borderId="0" xfId="37" applyFill="1" applyBorder="1"/>
    <xf numFmtId="0" fontId="3" fillId="29" borderId="0" xfId="37" applyFont="1" applyFill="1"/>
    <xf numFmtId="0" fontId="38" fillId="29" borderId="0" xfId="37" applyFill="1"/>
    <xf numFmtId="49" fontId="3" fillId="29" borderId="10" xfId="37" applyNumberFormat="1" applyFont="1" applyFill="1" applyBorder="1" applyAlignment="1">
      <alignment horizontal="center" vertical="top" wrapText="1"/>
    </xf>
    <xf numFmtId="49" fontId="3" fillId="29" borderId="10" xfId="37" applyNumberFormat="1" applyFont="1" applyFill="1" applyBorder="1" applyAlignment="1">
      <alignment horizontal="center" vertical="top"/>
    </xf>
    <xf numFmtId="49" fontId="3" fillId="29" borderId="10" xfId="37" applyNumberFormat="1" applyFont="1" applyFill="1" applyBorder="1" applyAlignment="1">
      <alignment horizontal="left" vertical="top"/>
    </xf>
    <xf numFmtId="49" fontId="48" fillId="29" borderId="10" xfId="37" applyNumberFormat="1" applyFont="1" applyFill="1" applyBorder="1" applyAlignment="1">
      <alignment horizontal="center" vertical="top"/>
    </xf>
    <xf numFmtId="49" fontId="3" fillId="29" borderId="10" xfId="37" applyNumberFormat="1" applyFont="1" applyFill="1" applyBorder="1" applyAlignment="1">
      <alignment horizontal="left" vertical="top" wrapText="1"/>
    </xf>
    <xf numFmtId="49" fontId="4" fillId="24" borderId="12" xfId="37" applyNumberFormat="1" applyFont="1" applyFill="1" applyBorder="1" applyAlignment="1">
      <alignment horizontal="center" vertical="top"/>
    </xf>
    <xf numFmtId="49" fontId="4" fillId="24" borderId="15" xfId="37" applyNumberFormat="1" applyFont="1" applyFill="1" applyBorder="1" applyAlignment="1">
      <alignment horizontal="center" vertical="top"/>
    </xf>
    <xf numFmtId="49" fontId="4" fillId="24" borderId="16" xfId="37" applyNumberFormat="1" applyFont="1" applyFill="1" applyBorder="1" applyAlignment="1">
      <alignment horizontal="center" vertical="top"/>
    </xf>
    <xf numFmtId="49" fontId="4" fillId="30" borderId="15" xfId="37" applyNumberFormat="1" applyFont="1" applyFill="1" applyBorder="1" applyAlignment="1">
      <alignment horizontal="center" vertical="top"/>
    </xf>
    <xf numFmtId="49" fontId="4" fillId="30" borderId="16" xfId="37" applyNumberFormat="1" applyFont="1" applyFill="1" applyBorder="1" applyAlignment="1">
      <alignment horizontal="center" vertical="top"/>
    </xf>
    <xf numFmtId="49" fontId="4" fillId="30" borderId="12" xfId="37" applyNumberFormat="1" applyFont="1" applyFill="1" applyBorder="1" applyAlignment="1">
      <alignment horizontal="center" vertical="top" wrapText="1"/>
    </xf>
  </cellXfs>
  <cellStyles count="54">
    <cellStyle name="20% - Akzent1" xfId="1" xr:uid="{00000000-0005-0000-0000-000000000000}"/>
    <cellStyle name="20% - Akzent2" xfId="2" xr:uid="{00000000-0005-0000-0000-000001000000}"/>
    <cellStyle name="20% - Akzent3" xfId="3" xr:uid="{00000000-0005-0000-0000-000002000000}"/>
    <cellStyle name="20% - Akzent4" xfId="4" xr:uid="{00000000-0005-0000-0000-000003000000}"/>
    <cellStyle name="20% - Akzent5" xfId="5" xr:uid="{00000000-0005-0000-0000-000004000000}"/>
    <cellStyle name="20% - Akzent6" xfId="6" xr:uid="{00000000-0005-0000-0000-000005000000}"/>
    <cellStyle name="40% - Akzent1" xfId="7" xr:uid="{00000000-0005-0000-0000-000006000000}"/>
    <cellStyle name="40% - Akzent2" xfId="8" xr:uid="{00000000-0005-0000-0000-000007000000}"/>
    <cellStyle name="40% - Akzent3" xfId="9" xr:uid="{00000000-0005-0000-0000-000008000000}"/>
    <cellStyle name="40% - Akzent4" xfId="10" xr:uid="{00000000-0005-0000-0000-000009000000}"/>
    <cellStyle name="40% - Akzent5" xfId="11" xr:uid="{00000000-0005-0000-0000-00000A000000}"/>
    <cellStyle name="40% - Akzent6" xfId="12" xr:uid="{00000000-0005-0000-0000-00000B000000}"/>
    <cellStyle name="60% - Akzent1" xfId="13" xr:uid="{00000000-0005-0000-0000-00000C000000}"/>
    <cellStyle name="60% - Akzent2" xfId="14" xr:uid="{00000000-0005-0000-0000-00000D000000}"/>
    <cellStyle name="60% - Akzent3" xfId="15" xr:uid="{00000000-0005-0000-0000-00000E000000}"/>
    <cellStyle name="60% - Akzent4" xfId="16" xr:uid="{00000000-0005-0000-0000-00000F000000}"/>
    <cellStyle name="60% - Akzent5" xfId="17" xr:uid="{00000000-0005-0000-0000-000010000000}"/>
    <cellStyle name="60% - Akzent6" xfId="18" xr:uid="{00000000-0005-0000-0000-000011000000}"/>
    <cellStyle name="Akzent1" xfId="19" xr:uid="{00000000-0005-0000-0000-000012000000}"/>
    <cellStyle name="Akzent2" xfId="20" xr:uid="{00000000-0005-0000-0000-000013000000}"/>
    <cellStyle name="Akzent3" xfId="21" xr:uid="{00000000-0005-0000-0000-000014000000}"/>
    <cellStyle name="Akzent4" xfId="22" xr:uid="{00000000-0005-0000-0000-000015000000}"/>
    <cellStyle name="Akzent5" xfId="23" xr:uid="{00000000-0005-0000-0000-000016000000}"/>
    <cellStyle name="Akzent6" xfId="24" xr:uid="{00000000-0005-0000-0000-000017000000}"/>
    <cellStyle name="Ausgabe" xfId="25" xr:uid="{00000000-0005-0000-0000-000018000000}"/>
    <cellStyle name="Berechnung" xfId="26" xr:uid="{00000000-0005-0000-0000-000019000000}"/>
    <cellStyle name="Comma_template landscape1" xfId="27" xr:uid="{00000000-0005-0000-0000-00001A000000}"/>
    <cellStyle name="Eingabe" xfId="28" xr:uid="{00000000-0005-0000-0000-00001B000000}"/>
    <cellStyle name="Ergebnis" xfId="29" xr:uid="{00000000-0005-0000-0000-00001C000000}"/>
    <cellStyle name="Erklärender Text" xfId="30" xr:uid="{00000000-0005-0000-0000-00001D000000}"/>
    <cellStyle name="Gut" xfId="31" xr:uid="{00000000-0005-0000-0000-00001E000000}"/>
    <cellStyle name="Hyperlink" xfId="32" builtinId="8"/>
    <cellStyle name="Normal" xfId="0" builtinId="0"/>
    <cellStyle name="Normal 2" xfId="33" xr:uid="{00000000-0005-0000-0000-000021000000}"/>
    <cellStyle name="Normal 2 2" xfId="34" xr:uid="{00000000-0005-0000-0000-000022000000}"/>
    <cellStyle name="Normal 2 3" xfId="51" xr:uid="{342756EC-806B-4EBA-970F-3EBE7CB75AA0}"/>
    <cellStyle name="Normal 3" xfId="35" xr:uid="{00000000-0005-0000-0000-000023000000}"/>
    <cellStyle name="Normal 3 2" xfId="36" xr:uid="{00000000-0005-0000-0000-000024000000}"/>
    <cellStyle name="Normal 3 2 2" xfId="53" xr:uid="{A4864466-F7BE-4F00-BB75-9F0EEAAEB7CE}"/>
    <cellStyle name="Normal 3 3" xfId="52" xr:uid="{D02B48AC-B257-4EB4-B7C1-2E966F47D925}"/>
    <cellStyle name="Normal 4" xfId="37" xr:uid="{00000000-0005-0000-0000-000025000000}"/>
    <cellStyle name="Normal_Analytics_Test Script_CR_XXXX_Template" xfId="38" xr:uid="{00000000-0005-0000-0000-000026000000}"/>
    <cellStyle name="Notiz" xfId="39" xr:uid="{00000000-0005-0000-0000-000027000000}"/>
    <cellStyle name="Schlecht" xfId="40" xr:uid="{00000000-0005-0000-0000-000028000000}"/>
    <cellStyle name="Standard 2" xfId="41" xr:uid="{00000000-0005-0000-0000-000029000000}"/>
    <cellStyle name="Style 1" xfId="42" xr:uid="{00000000-0005-0000-0000-00002A000000}"/>
    <cellStyle name="Überschrift" xfId="43" xr:uid="{00000000-0005-0000-0000-00002B000000}"/>
    <cellStyle name="Überschrift 1" xfId="44" xr:uid="{00000000-0005-0000-0000-00002C000000}"/>
    <cellStyle name="Überschrift 2" xfId="45" xr:uid="{00000000-0005-0000-0000-00002D000000}"/>
    <cellStyle name="Überschrift 3" xfId="46" xr:uid="{00000000-0005-0000-0000-00002E000000}"/>
    <cellStyle name="Überschrift 4" xfId="47" xr:uid="{00000000-0005-0000-0000-00002F000000}"/>
    <cellStyle name="Verknüpfte Zelle" xfId="48" xr:uid="{00000000-0005-0000-0000-000030000000}"/>
    <cellStyle name="Warnender Text" xfId="49" xr:uid="{00000000-0005-0000-0000-000031000000}"/>
    <cellStyle name="Zelle überprüfen" xfId="50" xr:uid="{00000000-0005-0000-0000-000032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5</xdr:col>
      <xdr:colOff>488950</xdr:colOff>
      <xdr:row>6</xdr:row>
      <xdr:rowOff>114300</xdr:rowOff>
    </xdr:from>
    <xdr:to>
      <xdr:col>5</xdr:col>
      <xdr:colOff>660400</xdr:colOff>
      <xdr:row>12</xdr:row>
      <xdr:rowOff>82550</xdr:rowOff>
    </xdr:to>
    <xdr:sp macro="" textlink="">
      <xdr:nvSpPr>
        <xdr:cNvPr id="1025" name="Rectangle 7">
          <a:extLst>
            <a:ext uri="{FF2B5EF4-FFF2-40B4-BE49-F238E27FC236}">
              <a16:creationId xmlns:a16="http://schemas.microsoft.com/office/drawing/2014/main" id="{00000000-0008-0000-0000-000001040000}"/>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6" name="Rectangle 10">
          <a:extLst>
            <a:ext uri="{FF2B5EF4-FFF2-40B4-BE49-F238E27FC236}">
              <a16:creationId xmlns:a16="http://schemas.microsoft.com/office/drawing/2014/main" id="{00000000-0008-0000-0000-000002040000}"/>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7" name="Rectangle 13">
          <a:extLst>
            <a:ext uri="{FF2B5EF4-FFF2-40B4-BE49-F238E27FC236}">
              <a16:creationId xmlns:a16="http://schemas.microsoft.com/office/drawing/2014/main" id="{00000000-0008-0000-0000-000003040000}"/>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8" name="Rectangle 16">
          <a:extLst>
            <a:ext uri="{FF2B5EF4-FFF2-40B4-BE49-F238E27FC236}">
              <a16:creationId xmlns:a16="http://schemas.microsoft.com/office/drawing/2014/main" id="{00000000-0008-0000-0000-000004040000}"/>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9" name="Rectangle 19">
          <a:extLst>
            <a:ext uri="{FF2B5EF4-FFF2-40B4-BE49-F238E27FC236}">
              <a16:creationId xmlns:a16="http://schemas.microsoft.com/office/drawing/2014/main" id="{00000000-0008-0000-0000-000005040000}"/>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0</xdr:col>
      <xdr:colOff>0</xdr:colOff>
      <xdr:row>0</xdr:row>
      <xdr:rowOff>0</xdr:rowOff>
    </xdr:from>
    <xdr:to>
      <xdr:col>18</xdr:col>
      <xdr:colOff>177800</xdr:colOff>
      <xdr:row>10</xdr:row>
      <xdr:rowOff>44450</xdr:rowOff>
    </xdr:to>
    <xdr:pic>
      <xdr:nvPicPr>
        <xdr:cNvPr id="1030" name="Picture 9">
          <a:extLst>
            <a:ext uri="{FF2B5EF4-FFF2-40B4-BE49-F238E27FC236}">
              <a16:creationId xmlns:a16="http://schemas.microsoft.com/office/drawing/2014/main" id="{00000000-0008-0000-0000-000006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3106400" cy="1606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251460</xdr:colOff>
      <xdr:row>2</xdr:row>
      <xdr:rowOff>99060</xdr:rowOff>
    </xdr:from>
    <xdr:to>
      <xdr:col>9</xdr:col>
      <xdr:colOff>618829</xdr:colOff>
      <xdr:row>17</xdr:row>
      <xdr:rowOff>99060</xdr:rowOff>
    </xdr:to>
    <xdr:pic>
      <xdr:nvPicPr>
        <xdr:cNvPr id="2" name="Picture 1">
          <a:extLst>
            <a:ext uri="{FF2B5EF4-FFF2-40B4-BE49-F238E27FC236}">
              <a16:creationId xmlns:a16="http://schemas.microsoft.com/office/drawing/2014/main" id="{62312193-47CB-4FE7-BD49-659160F4611B}"/>
            </a:ext>
          </a:extLst>
        </xdr:cNvPr>
        <xdr:cNvPicPr>
          <a:picLocks noChangeAspect="1"/>
        </xdr:cNvPicPr>
      </xdr:nvPicPr>
      <xdr:blipFill>
        <a:blip xmlns:r="http://schemas.openxmlformats.org/officeDocument/2006/relationships" r:embed="rId1"/>
        <a:stretch>
          <a:fillRect/>
        </a:stretch>
      </xdr:blipFill>
      <xdr:spPr>
        <a:xfrm>
          <a:off x="251460" y="434340"/>
          <a:ext cx="8383609" cy="2514600"/>
        </a:xfrm>
        <a:prstGeom prst="rect">
          <a:avLst/>
        </a:prstGeom>
      </xdr:spPr>
    </xdr:pic>
    <xdr:clientData/>
  </xdr:twoCellAnchor>
  <xdr:twoCellAnchor editAs="oneCell">
    <xdr:from>
      <xdr:col>0</xdr:col>
      <xdr:colOff>7620</xdr:colOff>
      <xdr:row>42</xdr:row>
      <xdr:rowOff>145356</xdr:rowOff>
    </xdr:from>
    <xdr:to>
      <xdr:col>11</xdr:col>
      <xdr:colOff>35819</xdr:colOff>
      <xdr:row>59</xdr:row>
      <xdr:rowOff>104085</xdr:rowOff>
    </xdr:to>
    <xdr:pic>
      <xdr:nvPicPr>
        <xdr:cNvPr id="7" name="Picture 6">
          <a:extLst>
            <a:ext uri="{FF2B5EF4-FFF2-40B4-BE49-F238E27FC236}">
              <a16:creationId xmlns:a16="http://schemas.microsoft.com/office/drawing/2014/main" id="{EFE24847-B092-431A-B917-CCF879732571}"/>
            </a:ext>
          </a:extLst>
        </xdr:cNvPr>
        <xdr:cNvPicPr>
          <a:picLocks noChangeAspect="1"/>
        </xdr:cNvPicPr>
      </xdr:nvPicPr>
      <xdr:blipFill>
        <a:blip xmlns:r="http://schemas.openxmlformats.org/officeDocument/2006/relationships" r:embed="rId2"/>
        <a:stretch>
          <a:fillRect/>
        </a:stretch>
      </xdr:blipFill>
      <xdr:spPr>
        <a:xfrm>
          <a:off x="7620" y="7186236"/>
          <a:ext cx="9294119" cy="2808609"/>
        </a:xfrm>
        <a:prstGeom prst="rect">
          <a:avLst/>
        </a:prstGeom>
      </xdr:spPr>
    </xdr:pic>
    <xdr:clientData/>
  </xdr:twoCellAnchor>
  <xdr:twoCellAnchor editAs="oneCell">
    <xdr:from>
      <xdr:col>0</xdr:col>
      <xdr:colOff>0</xdr:colOff>
      <xdr:row>21</xdr:row>
      <xdr:rowOff>8740</xdr:rowOff>
    </xdr:from>
    <xdr:to>
      <xdr:col>12</xdr:col>
      <xdr:colOff>22860</xdr:colOff>
      <xdr:row>38</xdr:row>
      <xdr:rowOff>72540</xdr:rowOff>
    </xdr:to>
    <xdr:pic>
      <xdr:nvPicPr>
        <xdr:cNvPr id="10" name="Picture 9">
          <a:extLst>
            <a:ext uri="{FF2B5EF4-FFF2-40B4-BE49-F238E27FC236}">
              <a16:creationId xmlns:a16="http://schemas.microsoft.com/office/drawing/2014/main" id="{AA9DA9BF-192E-45E8-B505-4843B4AE6534}"/>
            </a:ext>
          </a:extLst>
        </xdr:cNvPr>
        <xdr:cNvPicPr>
          <a:picLocks noChangeAspect="1"/>
        </xdr:cNvPicPr>
      </xdr:nvPicPr>
      <xdr:blipFill>
        <a:blip xmlns:r="http://schemas.openxmlformats.org/officeDocument/2006/relationships" r:embed="rId3"/>
        <a:stretch>
          <a:fillRect/>
        </a:stretch>
      </xdr:blipFill>
      <xdr:spPr>
        <a:xfrm>
          <a:off x="0" y="3529180"/>
          <a:ext cx="9913620" cy="2913680"/>
        </a:xfrm>
        <a:prstGeom prst="rect">
          <a:avLst/>
        </a:prstGeom>
      </xdr:spPr>
    </xdr:pic>
    <xdr:clientData/>
  </xdr:twoCellAnchor>
  <xdr:twoCellAnchor editAs="oneCell">
    <xdr:from>
      <xdr:col>0</xdr:col>
      <xdr:colOff>335280</xdr:colOff>
      <xdr:row>62</xdr:row>
      <xdr:rowOff>123424</xdr:rowOff>
    </xdr:from>
    <xdr:to>
      <xdr:col>10</xdr:col>
      <xdr:colOff>5334</xdr:colOff>
      <xdr:row>79</xdr:row>
      <xdr:rowOff>4963</xdr:rowOff>
    </xdr:to>
    <xdr:pic>
      <xdr:nvPicPr>
        <xdr:cNvPr id="11" name="Picture 10">
          <a:extLst>
            <a:ext uri="{FF2B5EF4-FFF2-40B4-BE49-F238E27FC236}">
              <a16:creationId xmlns:a16="http://schemas.microsoft.com/office/drawing/2014/main" id="{A88CD5F1-3E13-4B9C-B540-A9505031590F}"/>
            </a:ext>
          </a:extLst>
        </xdr:cNvPr>
        <xdr:cNvPicPr>
          <a:picLocks noChangeAspect="1"/>
        </xdr:cNvPicPr>
      </xdr:nvPicPr>
      <xdr:blipFill>
        <a:blip xmlns:r="http://schemas.openxmlformats.org/officeDocument/2006/relationships" r:embed="rId4"/>
        <a:stretch>
          <a:fillRect/>
        </a:stretch>
      </xdr:blipFill>
      <xdr:spPr>
        <a:xfrm>
          <a:off x="335280" y="11522944"/>
          <a:ext cx="8311134" cy="2731419"/>
        </a:xfrm>
        <a:prstGeom prst="rect">
          <a:avLst/>
        </a:prstGeom>
      </xdr:spPr>
    </xdr:pic>
    <xdr:clientData/>
  </xdr:twoCellAnchor>
  <xdr:twoCellAnchor editAs="oneCell">
    <xdr:from>
      <xdr:col>0</xdr:col>
      <xdr:colOff>304800</xdr:colOff>
      <xdr:row>80</xdr:row>
      <xdr:rowOff>141935</xdr:rowOff>
    </xdr:from>
    <xdr:to>
      <xdr:col>10</xdr:col>
      <xdr:colOff>2205</xdr:colOff>
      <xdr:row>97</xdr:row>
      <xdr:rowOff>7620</xdr:rowOff>
    </xdr:to>
    <xdr:pic>
      <xdr:nvPicPr>
        <xdr:cNvPr id="12" name="Picture 11">
          <a:extLst>
            <a:ext uri="{FF2B5EF4-FFF2-40B4-BE49-F238E27FC236}">
              <a16:creationId xmlns:a16="http://schemas.microsoft.com/office/drawing/2014/main" id="{B1650BC4-E694-45BB-BD6A-DE4FBF690393}"/>
            </a:ext>
          </a:extLst>
        </xdr:cNvPr>
        <xdr:cNvPicPr>
          <a:picLocks noChangeAspect="1"/>
        </xdr:cNvPicPr>
      </xdr:nvPicPr>
      <xdr:blipFill>
        <a:blip xmlns:r="http://schemas.openxmlformats.org/officeDocument/2006/relationships" r:embed="rId5"/>
        <a:stretch>
          <a:fillRect/>
        </a:stretch>
      </xdr:blipFill>
      <xdr:spPr>
        <a:xfrm>
          <a:off x="304800" y="14558975"/>
          <a:ext cx="8338485" cy="2715565"/>
        </a:xfrm>
        <a:prstGeom prst="rect">
          <a:avLst/>
        </a:prstGeom>
      </xdr:spPr>
    </xdr:pic>
    <xdr:clientData/>
  </xdr:twoCellAnchor>
  <xdr:twoCellAnchor editAs="oneCell">
    <xdr:from>
      <xdr:col>0</xdr:col>
      <xdr:colOff>0</xdr:colOff>
      <xdr:row>123</xdr:row>
      <xdr:rowOff>76704</xdr:rowOff>
    </xdr:from>
    <xdr:to>
      <xdr:col>7</xdr:col>
      <xdr:colOff>213361</xdr:colOff>
      <xdr:row>131</xdr:row>
      <xdr:rowOff>147863</xdr:rowOff>
    </xdr:to>
    <xdr:pic>
      <xdr:nvPicPr>
        <xdr:cNvPr id="13" name="Picture 12">
          <a:extLst>
            <a:ext uri="{FF2B5EF4-FFF2-40B4-BE49-F238E27FC236}">
              <a16:creationId xmlns:a16="http://schemas.microsoft.com/office/drawing/2014/main" id="{A7DA00D9-60B8-4084-92C5-CE1823A4F61F}"/>
            </a:ext>
          </a:extLst>
        </xdr:cNvPr>
        <xdr:cNvPicPr>
          <a:picLocks noChangeAspect="1"/>
        </xdr:cNvPicPr>
      </xdr:nvPicPr>
      <xdr:blipFill>
        <a:blip xmlns:r="http://schemas.openxmlformats.org/officeDocument/2006/relationships" r:embed="rId6"/>
        <a:stretch>
          <a:fillRect/>
        </a:stretch>
      </xdr:blipFill>
      <xdr:spPr>
        <a:xfrm>
          <a:off x="0" y="20696424"/>
          <a:ext cx="6979921" cy="1412279"/>
        </a:xfrm>
        <a:prstGeom prst="rect">
          <a:avLst/>
        </a:prstGeom>
      </xdr:spPr>
    </xdr:pic>
    <xdr:clientData/>
  </xdr:twoCellAnchor>
  <xdr:twoCellAnchor editAs="oneCell">
    <xdr:from>
      <xdr:col>0</xdr:col>
      <xdr:colOff>1</xdr:colOff>
      <xdr:row>134</xdr:row>
      <xdr:rowOff>53340</xdr:rowOff>
    </xdr:from>
    <xdr:to>
      <xdr:col>3</xdr:col>
      <xdr:colOff>426720</xdr:colOff>
      <xdr:row>152</xdr:row>
      <xdr:rowOff>58765</xdr:rowOff>
    </xdr:to>
    <xdr:pic>
      <xdr:nvPicPr>
        <xdr:cNvPr id="14" name="Picture 13">
          <a:extLst>
            <a:ext uri="{FF2B5EF4-FFF2-40B4-BE49-F238E27FC236}">
              <a16:creationId xmlns:a16="http://schemas.microsoft.com/office/drawing/2014/main" id="{31C66917-BD15-4E71-9FC1-EF80517C9A2A}"/>
            </a:ext>
          </a:extLst>
        </xdr:cNvPr>
        <xdr:cNvPicPr>
          <a:picLocks noChangeAspect="1"/>
        </xdr:cNvPicPr>
      </xdr:nvPicPr>
      <xdr:blipFill>
        <a:blip xmlns:r="http://schemas.openxmlformats.org/officeDocument/2006/relationships" r:embed="rId7"/>
        <a:stretch>
          <a:fillRect/>
        </a:stretch>
      </xdr:blipFill>
      <xdr:spPr>
        <a:xfrm>
          <a:off x="1" y="22517100"/>
          <a:ext cx="4693919" cy="3022945"/>
        </a:xfrm>
        <a:prstGeom prst="rect">
          <a:avLst/>
        </a:prstGeom>
      </xdr:spPr>
    </xdr:pic>
    <xdr:clientData/>
  </xdr:twoCellAnchor>
  <xdr:twoCellAnchor editAs="oneCell">
    <xdr:from>
      <xdr:col>0</xdr:col>
      <xdr:colOff>411480</xdr:colOff>
      <xdr:row>100</xdr:row>
      <xdr:rowOff>22860</xdr:rowOff>
    </xdr:from>
    <xdr:to>
      <xdr:col>4</xdr:col>
      <xdr:colOff>536878</xdr:colOff>
      <xdr:row>120</xdr:row>
      <xdr:rowOff>88777</xdr:rowOff>
    </xdr:to>
    <xdr:pic>
      <xdr:nvPicPr>
        <xdr:cNvPr id="15" name="Picture 14">
          <a:extLst>
            <a:ext uri="{FF2B5EF4-FFF2-40B4-BE49-F238E27FC236}">
              <a16:creationId xmlns:a16="http://schemas.microsoft.com/office/drawing/2014/main" id="{A8EA9EF1-4E84-410B-90CA-892C78515727}"/>
            </a:ext>
          </a:extLst>
        </xdr:cNvPr>
        <xdr:cNvPicPr>
          <a:picLocks noChangeAspect="1"/>
        </xdr:cNvPicPr>
      </xdr:nvPicPr>
      <xdr:blipFill>
        <a:blip xmlns:r="http://schemas.openxmlformats.org/officeDocument/2006/relationships" r:embed="rId8"/>
        <a:stretch>
          <a:fillRect/>
        </a:stretch>
      </xdr:blipFill>
      <xdr:spPr>
        <a:xfrm>
          <a:off x="411480" y="16786860"/>
          <a:ext cx="5017438" cy="3418717"/>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pageSetUpPr fitToPage="1"/>
  </sheetPr>
  <dimension ref="A1:S37"/>
  <sheetViews>
    <sheetView showGridLines="0" topLeftCell="A15" zoomScale="66" workbookViewId="0">
      <selection activeCell="K27" sqref="K27:S27"/>
    </sheetView>
  </sheetViews>
  <sheetFormatPr defaultColWidth="9.109375" defaultRowHeight="13.2" x14ac:dyDescent="0.25"/>
  <cols>
    <col min="1" max="9" width="10.6640625" style="12" customWidth="1"/>
    <col min="10" max="10" width="2.6640625" style="12" customWidth="1"/>
    <col min="11" max="19" width="10.6640625" style="12" customWidth="1"/>
    <col min="20" max="16384" width="9.109375" style="12"/>
  </cols>
  <sheetData>
    <row r="1" spans="1:19" s="11" customFormat="1" ht="13.8" x14ac:dyDescent="0.25">
      <c r="A1" s="9"/>
      <c r="B1" s="10"/>
      <c r="C1" s="10"/>
      <c r="D1" s="10"/>
      <c r="E1" s="10"/>
      <c r="F1" s="10"/>
      <c r="G1" s="10"/>
      <c r="H1" s="10"/>
      <c r="I1" s="10"/>
      <c r="J1" s="10"/>
      <c r="K1" s="10"/>
      <c r="L1" s="10"/>
      <c r="M1" s="10"/>
      <c r="N1" s="10"/>
      <c r="O1" s="10"/>
      <c r="P1" s="10"/>
      <c r="Q1" s="10"/>
      <c r="R1" s="10"/>
      <c r="S1" s="10"/>
    </row>
    <row r="2" spans="1:19" s="11" customFormat="1" x14ac:dyDescent="0.25">
      <c r="A2" s="10"/>
      <c r="B2" s="10"/>
      <c r="C2" s="10"/>
      <c r="D2" s="10"/>
      <c r="E2" s="10"/>
      <c r="F2" s="10"/>
      <c r="G2" s="10"/>
      <c r="H2" s="10"/>
      <c r="I2" s="10"/>
      <c r="J2" s="10"/>
      <c r="K2" s="10"/>
      <c r="L2" s="10"/>
      <c r="M2" s="10"/>
      <c r="N2" s="10"/>
      <c r="O2" s="10"/>
      <c r="P2" s="10"/>
      <c r="Q2" s="10"/>
      <c r="R2" s="10"/>
      <c r="S2" s="10"/>
    </row>
    <row r="3" spans="1:19" s="11" customFormat="1" x14ac:dyDescent="0.25">
      <c r="A3" s="10"/>
      <c r="B3" s="10"/>
      <c r="C3" s="10"/>
      <c r="D3" s="10"/>
      <c r="E3" s="10"/>
      <c r="F3" s="10"/>
      <c r="G3" s="10"/>
      <c r="H3" s="10"/>
      <c r="I3" s="10"/>
      <c r="J3" s="10"/>
      <c r="K3" s="10"/>
      <c r="L3" s="10"/>
      <c r="M3" s="10"/>
      <c r="N3" s="10"/>
      <c r="O3" s="10"/>
      <c r="P3" s="10"/>
      <c r="Q3" s="10"/>
      <c r="R3" s="10"/>
      <c r="S3" s="10"/>
    </row>
    <row r="4" spans="1:19" s="11" customFormat="1" x14ac:dyDescent="0.25">
      <c r="A4" s="10"/>
      <c r="B4" s="10"/>
      <c r="C4" s="10"/>
      <c r="D4" s="10"/>
      <c r="E4" s="10"/>
      <c r="F4" s="10"/>
      <c r="G4" s="10"/>
      <c r="H4" s="10"/>
      <c r="I4" s="10"/>
      <c r="J4" s="10"/>
      <c r="K4" s="10"/>
      <c r="L4" s="10"/>
      <c r="M4" s="10"/>
      <c r="N4" s="10"/>
      <c r="O4" s="10"/>
      <c r="P4" s="10"/>
      <c r="Q4" s="10"/>
      <c r="R4" s="10"/>
      <c r="S4" s="10"/>
    </row>
    <row r="5" spans="1:19" s="11" customFormat="1" x14ac:dyDescent="0.25">
      <c r="A5" s="10"/>
      <c r="B5" s="10"/>
      <c r="C5" s="10"/>
      <c r="D5" s="10"/>
      <c r="E5" s="10"/>
      <c r="F5" s="10"/>
      <c r="G5" s="10"/>
      <c r="H5" s="10"/>
      <c r="I5" s="10"/>
      <c r="J5" s="10"/>
      <c r="K5" s="10"/>
      <c r="L5" s="10"/>
      <c r="M5" s="10"/>
      <c r="N5" s="10"/>
      <c r="O5" s="10"/>
      <c r="P5" s="10"/>
      <c r="Q5" s="10"/>
      <c r="R5" s="10"/>
      <c r="S5" s="10"/>
    </row>
    <row r="6" spans="1:19" x14ac:dyDescent="0.25">
      <c r="A6" s="10"/>
      <c r="B6" s="10"/>
      <c r="C6" s="10"/>
      <c r="D6" s="10"/>
      <c r="E6" s="10"/>
      <c r="F6" s="10"/>
      <c r="G6" s="10"/>
      <c r="H6" s="10"/>
      <c r="I6" s="10"/>
      <c r="J6" s="10"/>
      <c r="K6" s="10"/>
      <c r="L6" s="10"/>
      <c r="M6" s="10"/>
      <c r="N6" s="10"/>
      <c r="O6" s="10"/>
      <c r="P6" s="10"/>
      <c r="Q6" s="10"/>
      <c r="R6" s="10"/>
      <c r="S6" s="10"/>
    </row>
    <row r="7" spans="1:19" ht="12.75" customHeight="1" x14ac:dyDescent="0.25">
      <c r="A7" s="10"/>
      <c r="B7" s="10"/>
      <c r="C7" s="10"/>
      <c r="D7" s="10"/>
      <c r="E7" s="10"/>
      <c r="F7" s="10"/>
      <c r="G7" s="10"/>
      <c r="H7" s="10"/>
      <c r="I7" s="10"/>
      <c r="J7" s="10"/>
      <c r="K7" s="10"/>
      <c r="L7" s="10"/>
      <c r="M7" s="10"/>
      <c r="N7" s="10"/>
      <c r="O7" s="10"/>
      <c r="P7" s="10"/>
      <c r="Q7" s="10"/>
      <c r="R7" s="10"/>
      <c r="S7" s="10"/>
    </row>
    <row r="8" spans="1:19" ht="9.75" customHeight="1" x14ac:dyDescent="0.25">
      <c r="A8" s="10"/>
      <c r="B8" s="10"/>
      <c r="C8" s="10"/>
      <c r="D8" s="10"/>
      <c r="E8" s="10"/>
      <c r="F8" s="10"/>
      <c r="G8" s="10"/>
      <c r="H8" s="10"/>
      <c r="I8" s="10"/>
      <c r="J8" s="10"/>
      <c r="K8" s="10"/>
      <c r="L8" s="10"/>
      <c r="M8" s="10"/>
      <c r="N8" s="10"/>
      <c r="O8" s="10"/>
      <c r="P8" s="10"/>
      <c r="Q8" s="10"/>
      <c r="R8" s="10"/>
      <c r="S8" s="10"/>
    </row>
    <row r="9" spans="1:19" x14ac:dyDescent="0.25">
      <c r="A9" s="10"/>
      <c r="B9" s="10"/>
      <c r="C9" s="10"/>
      <c r="D9" s="10"/>
      <c r="E9" s="10"/>
      <c r="F9" s="10"/>
      <c r="G9" s="10"/>
      <c r="H9" s="10"/>
      <c r="I9" s="10"/>
      <c r="J9" s="10"/>
      <c r="K9" s="10"/>
      <c r="L9" s="10"/>
      <c r="M9" s="10"/>
      <c r="N9" s="10"/>
      <c r="O9" s="10"/>
      <c r="P9" s="10"/>
      <c r="Q9" s="10"/>
      <c r="R9" s="10"/>
      <c r="S9" s="10"/>
    </row>
    <row r="10" spans="1:19" ht="13.8" x14ac:dyDescent="0.25">
      <c r="A10" s="9"/>
      <c r="B10" s="9"/>
      <c r="C10" s="9"/>
      <c r="D10" s="9"/>
      <c r="E10" s="9"/>
      <c r="F10" s="9"/>
      <c r="G10" s="9"/>
      <c r="H10" s="9"/>
      <c r="I10" s="9"/>
      <c r="J10" s="9"/>
      <c r="K10" s="9"/>
      <c r="L10" s="9"/>
      <c r="M10" s="10"/>
      <c r="N10" s="10"/>
      <c r="O10" s="10"/>
      <c r="P10" s="10"/>
      <c r="Q10" s="10"/>
      <c r="R10" s="10"/>
      <c r="S10" s="10"/>
    </row>
    <row r="11" spans="1:19" ht="13.8" x14ac:dyDescent="0.25">
      <c r="A11" s="9"/>
      <c r="B11" s="9"/>
      <c r="C11" s="9"/>
      <c r="D11" s="9"/>
      <c r="E11" s="9"/>
      <c r="F11" s="9"/>
      <c r="G11" s="9"/>
      <c r="H11" s="9"/>
      <c r="I11" s="9"/>
      <c r="J11" s="9"/>
      <c r="K11" s="9"/>
      <c r="L11" s="9"/>
      <c r="M11" s="10"/>
      <c r="N11" s="10"/>
      <c r="O11" s="10"/>
      <c r="P11" s="10"/>
      <c r="Q11" s="10"/>
      <c r="R11" s="10"/>
      <c r="S11" s="10"/>
    </row>
    <row r="12" spans="1:19" ht="13.8" x14ac:dyDescent="0.25">
      <c r="A12" s="9"/>
      <c r="B12" s="9"/>
      <c r="C12" s="9"/>
      <c r="D12" s="9"/>
      <c r="E12" s="9"/>
      <c r="F12" s="9"/>
      <c r="G12" s="9"/>
      <c r="H12" s="9"/>
      <c r="I12" s="9"/>
      <c r="J12" s="9"/>
      <c r="K12" s="9"/>
      <c r="L12" s="9"/>
      <c r="M12" s="10"/>
      <c r="N12" s="10"/>
      <c r="O12" s="10"/>
      <c r="P12" s="10"/>
      <c r="Q12" s="10"/>
      <c r="R12" s="10"/>
      <c r="S12" s="10"/>
    </row>
    <row r="13" spans="1:19" ht="30.6" thickBot="1" x14ac:dyDescent="0.3">
      <c r="A13" s="84" t="s">
        <v>2</v>
      </c>
      <c r="B13" s="84"/>
      <c r="C13" s="84"/>
      <c r="D13" s="84"/>
      <c r="E13" s="84"/>
      <c r="F13" s="84"/>
      <c r="G13" s="84"/>
      <c r="H13" s="84"/>
      <c r="I13" s="84"/>
      <c r="J13" s="84"/>
      <c r="K13" s="84"/>
      <c r="L13" s="84"/>
      <c r="M13" s="84"/>
      <c r="N13" s="84"/>
      <c r="O13" s="84"/>
      <c r="P13" s="84"/>
      <c r="Q13" s="84"/>
      <c r="R13" s="84"/>
      <c r="S13" s="84"/>
    </row>
    <row r="14" spans="1:19" ht="14.4" thickTop="1" x14ac:dyDescent="0.25">
      <c r="A14" s="9"/>
      <c r="B14" s="9"/>
      <c r="C14" s="9"/>
      <c r="D14" s="9"/>
      <c r="E14" s="9"/>
      <c r="F14" s="9"/>
      <c r="G14" s="9"/>
      <c r="H14" s="9"/>
      <c r="I14" s="9"/>
      <c r="J14" s="9"/>
      <c r="K14" s="9"/>
      <c r="L14" s="9"/>
      <c r="M14" s="10"/>
      <c r="N14" s="10"/>
      <c r="O14" s="10"/>
      <c r="P14" s="10"/>
      <c r="Q14" s="10"/>
      <c r="R14" s="10"/>
      <c r="S14" s="10"/>
    </row>
    <row r="15" spans="1:19" ht="13.8" x14ac:dyDescent="0.25">
      <c r="A15" s="9"/>
      <c r="B15" s="9"/>
      <c r="C15" s="9"/>
      <c r="D15" s="9"/>
      <c r="E15" s="9"/>
      <c r="F15" s="9"/>
      <c r="G15" s="9"/>
      <c r="H15" s="9"/>
      <c r="I15" s="9"/>
      <c r="J15" s="9"/>
      <c r="K15" s="9"/>
      <c r="L15" s="9"/>
      <c r="M15" s="10"/>
      <c r="N15" s="10"/>
      <c r="O15" s="10"/>
      <c r="P15" s="10"/>
      <c r="Q15" s="10"/>
      <c r="R15" s="13"/>
      <c r="S15" s="13"/>
    </row>
    <row r="16" spans="1:19" ht="13.8" x14ac:dyDescent="0.25">
      <c r="A16" s="14"/>
      <c r="B16" s="14"/>
      <c r="C16" s="14"/>
      <c r="D16" s="14"/>
      <c r="E16" s="14"/>
      <c r="F16" s="14"/>
      <c r="G16" s="14"/>
      <c r="H16" s="14"/>
      <c r="I16" s="14"/>
      <c r="J16" s="14"/>
      <c r="K16" s="14"/>
      <c r="L16" s="14"/>
      <c r="M16" s="13"/>
      <c r="N16" s="13"/>
      <c r="O16" s="13"/>
      <c r="P16" s="13"/>
      <c r="Q16" s="13"/>
      <c r="R16" s="13"/>
      <c r="S16" s="13"/>
    </row>
    <row r="17" spans="1:19" ht="13.8" x14ac:dyDescent="0.25">
      <c r="A17" s="14"/>
      <c r="B17" s="14"/>
      <c r="C17" s="14"/>
      <c r="D17" s="14"/>
      <c r="E17" s="14"/>
      <c r="F17" s="14"/>
      <c r="G17" s="14"/>
      <c r="H17" s="14"/>
      <c r="I17" s="14"/>
      <c r="J17" s="14"/>
      <c r="K17" s="14"/>
      <c r="L17" s="14"/>
      <c r="M17" s="13"/>
      <c r="N17" s="13"/>
      <c r="O17" s="13"/>
      <c r="P17" s="13"/>
      <c r="Q17" s="13"/>
      <c r="R17" s="13"/>
      <c r="S17" s="13"/>
    </row>
    <row r="18" spans="1:19" s="15" customFormat="1" ht="30.75" customHeight="1" x14ac:dyDescent="0.25">
      <c r="A18" s="85" t="s">
        <v>17</v>
      </c>
      <c r="B18" s="85"/>
      <c r="C18" s="85"/>
      <c r="D18" s="85"/>
      <c r="E18" s="85"/>
      <c r="F18" s="85"/>
      <c r="G18" s="85"/>
      <c r="H18" s="85"/>
      <c r="I18" s="85"/>
      <c r="J18" s="85"/>
      <c r="K18" s="85"/>
      <c r="L18" s="85"/>
      <c r="M18" s="85"/>
      <c r="N18" s="85"/>
      <c r="O18" s="85"/>
      <c r="P18" s="85"/>
      <c r="Q18" s="85"/>
      <c r="R18" s="85"/>
      <c r="S18" s="85"/>
    </row>
    <row r="19" spans="1:19" s="15" customFormat="1" ht="40.65" customHeight="1" x14ac:dyDescent="0.25">
      <c r="A19" s="86" t="s">
        <v>1</v>
      </c>
      <c r="B19" s="86"/>
      <c r="C19" s="86"/>
      <c r="D19" s="86"/>
      <c r="E19" s="86"/>
      <c r="F19" s="86"/>
      <c r="G19" s="86"/>
      <c r="H19" s="86"/>
      <c r="I19" s="86"/>
      <c r="J19" s="86"/>
      <c r="K19" s="86"/>
      <c r="L19" s="86"/>
      <c r="M19" s="86"/>
      <c r="N19" s="86"/>
      <c r="O19" s="86"/>
      <c r="P19" s="86"/>
      <c r="Q19" s="86"/>
      <c r="R19" s="86"/>
      <c r="S19" s="86"/>
    </row>
    <row r="20" spans="1:19" s="15" customFormat="1" ht="13.8" x14ac:dyDescent="0.25">
      <c r="A20" s="16"/>
      <c r="B20" s="16"/>
      <c r="C20" s="16"/>
      <c r="D20" s="16"/>
      <c r="E20" s="16"/>
      <c r="F20" s="16"/>
      <c r="G20" s="16"/>
      <c r="H20" s="16"/>
      <c r="I20" s="16"/>
      <c r="J20" s="16"/>
    </row>
    <row r="21" spans="1:19" s="15" customFormat="1" ht="58.65" customHeight="1" x14ac:dyDescent="0.25">
      <c r="A21" s="87" t="s">
        <v>74</v>
      </c>
      <c r="B21" s="87"/>
      <c r="C21" s="87"/>
      <c r="D21" s="87"/>
      <c r="E21" s="87"/>
      <c r="F21" s="87"/>
      <c r="G21" s="87"/>
      <c r="H21" s="87"/>
      <c r="I21" s="87"/>
      <c r="J21" s="6"/>
      <c r="K21" s="88" t="s">
        <v>132</v>
      </c>
      <c r="L21" s="88"/>
      <c r="M21" s="88"/>
      <c r="N21" s="88"/>
      <c r="O21" s="88"/>
      <c r="P21" s="88"/>
      <c r="Q21" s="88"/>
      <c r="R21" s="88"/>
      <c r="S21" s="88"/>
    </row>
    <row r="22" spans="1:19" s="15" customFormat="1" ht="13.8" x14ac:dyDescent="0.25">
      <c r="A22" s="16"/>
      <c r="B22" s="16"/>
      <c r="C22" s="16"/>
      <c r="D22" s="16"/>
      <c r="E22" s="16"/>
      <c r="F22" s="16"/>
      <c r="G22" s="16"/>
      <c r="H22" s="16"/>
      <c r="I22" s="16"/>
      <c r="J22" s="16"/>
    </row>
    <row r="23" spans="1:19" s="15" customFormat="1" ht="70.2" customHeight="1" x14ac:dyDescent="0.25">
      <c r="A23" s="91" t="s">
        <v>18</v>
      </c>
      <c r="B23" s="91"/>
      <c r="C23" s="91"/>
      <c r="D23" s="91"/>
      <c r="E23" s="91"/>
      <c r="F23" s="91"/>
      <c r="G23" s="91"/>
      <c r="H23" s="91"/>
      <c r="I23" s="91"/>
      <c r="J23" s="7"/>
      <c r="K23" s="92" t="s">
        <v>131</v>
      </c>
      <c r="L23" s="92"/>
      <c r="M23" s="92"/>
      <c r="N23" s="92"/>
      <c r="O23" s="92"/>
      <c r="P23" s="92"/>
      <c r="Q23" s="92"/>
      <c r="R23" s="92"/>
      <c r="S23" s="92"/>
    </row>
    <row r="24" spans="1:19" s="15" customFormat="1" ht="13.8" x14ac:dyDescent="0.25">
      <c r="A24" s="16"/>
      <c r="B24" s="16"/>
      <c r="C24" s="16"/>
      <c r="D24" s="16"/>
      <c r="E24" s="16"/>
      <c r="F24" s="16"/>
      <c r="G24" s="16"/>
      <c r="H24" s="16"/>
      <c r="I24" s="16"/>
      <c r="J24" s="16"/>
    </row>
    <row r="25" spans="1:19" s="15" customFormat="1" ht="70.2" customHeight="1" x14ac:dyDescent="0.25">
      <c r="A25" s="93" t="s">
        <v>3</v>
      </c>
      <c r="B25" s="93"/>
      <c r="C25" s="93"/>
      <c r="D25" s="93"/>
      <c r="E25" s="93"/>
      <c r="F25" s="93"/>
      <c r="G25" s="93"/>
      <c r="H25" s="93"/>
      <c r="I25" s="93"/>
      <c r="J25" s="7"/>
      <c r="K25" s="94" t="s">
        <v>94</v>
      </c>
      <c r="L25" s="94"/>
      <c r="M25" s="94"/>
      <c r="N25" s="94"/>
      <c r="O25" s="94"/>
      <c r="P25" s="94"/>
      <c r="Q25" s="94"/>
      <c r="R25" s="94"/>
      <c r="S25" s="94"/>
    </row>
    <row r="26" spans="1:19" s="15" customFormat="1" ht="13.8" x14ac:dyDescent="0.25">
      <c r="A26" s="16"/>
      <c r="B26" s="16"/>
      <c r="C26" s="16"/>
      <c r="D26" s="16"/>
      <c r="E26" s="16"/>
      <c r="F26" s="16"/>
      <c r="G26" s="16"/>
      <c r="H26" s="16"/>
      <c r="I26" s="16"/>
      <c r="J26" s="16"/>
    </row>
    <row r="27" spans="1:19" ht="27" customHeight="1" x14ac:dyDescent="0.25">
      <c r="A27" s="89" t="s">
        <v>13</v>
      </c>
      <c r="B27" s="89"/>
      <c r="C27" s="89"/>
      <c r="D27" s="89"/>
      <c r="E27" s="89"/>
      <c r="F27" s="89"/>
      <c r="G27" s="89"/>
      <c r="H27" s="89"/>
      <c r="I27" s="89"/>
      <c r="K27" s="90" t="s">
        <v>19</v>
      </c>
      <c r="L27" s="90"/>
      <c r="M27" s="90"/>
      <c r="N27" s="90"/>
      <c r="O27" s="90"/>
      <c r="P27" s="90"/>
      <c r="Q27" s="90"/>
      <c r="R27" s="90"/>
      <c r="S27" s="90"/>
    </row>
    <row r="28" spans="1:19" ht="27" customHeight="1" x14ac:dyDescent="0.25">
      <c r="A28" s="89"/>
      <c r="B28" s="89"/>
      <c r="C28" s="89"/>
      <c r="D28" s="89"/>
      <c r="E28" s="89"/>
      <c r="F28" s="89"/>
      <c r="G28" s="89"/>
      <c r="H28" s="89"/>
      <c r="I28" s="89"/>
      <c r="K28" s="90"/>
      <c r="L28" s="90"/>
      <c r="M28" s="90"/>
      <c r="N28" s="90"/>
      <c r="O28" s="17"/>
      <c r="P28" s="17"/>
      <c r="Q28" s="17"/>
      <c r="R28" s="17"/>
      <c r="S28" s="17"/>
    </row>
    <row r="29" spans="1:19" ht="27" customHeight="1" x14ac:dyDescent="0.25">
      <c r="A29" s="89"/>
      <c r="B29" s="89"/>
      <c r="C29" s="89"/>
      <c r="D29" s="89"/>
      <c r="E29" s="89"/>
      <c r="F29" s="89"/>
      <c r="G29" s="89"/>
      <c r="H29" s="89"/>
      <c r="I29" s="89"/>
      <c r="K29" s="90"/>
      <c r="L29" s="90"/>
      <c r="M29" s="90"/>
      <c r="N29" s="90"/>
      <c r="O29" s="90"/>
      <c r="P29" s="90"/>
      <c r="Q29" s="90"/>
      <c r="R29" s="90"/>
      <c r="S29" s="90"/>
    </row>
    <row r="30" spans="1:19" s="15" customFormat="1" ht="30.6" x14ac:dyDescent="0.25">
      <c r="A30" s="8"/>
      <c r="B30" s="18"/>
      <c r="C30" s="18"/>
      <c r="D30" s="18"/>
      <c r="E30" s="18"/>
      <c r="F30" s="18"/>
      <c r="G30" s="18"/>
      <c r="H30" s="18"/>
      <c r="I30" s="18"/>
      <c r="J30" s="18"/>
      <c r="K30" s="18"/>
      <c r="L30" s="18"/>
      <c r="M30" s="18"/>
      <c r="N30" s="18"/>
      <c r="O30" s="18"/>
      <c r="P30" s="18"/>
      <c r="Q30" s="18"/>
    </row>
    <row r="31" spans="1:19" x14ac:dyDescent="0.25">
      <c r="A31" s="10"/>
      <c r="B31" s="10"/>
      <c r="C31" s="10"/>
      <c r="D31" s="10"/>
      <c r="E31" s="10"/>
      <c r="F31" s="10"/>
      <c r="G31" s="10"/>
      <c r="H31" s="10"/>
      <c r="I31" s="10"/>
      <c r="J31" s="10"/>
      <c r="K31" s="10"/>
      <c r="L31" s="10"/>
      <c r="M31" s="10"/>
      <c r="N31" s="10"/>
      <c r="O31" s="10"/>
      <c r="P31" s="10"/>
      <c r="Q31" s="10"/>
      <c r="R31" s="10"/>
      <c r="S31" s="10"/>
    </row>
    <row r="32" spans="1:19" x14ac:dyDescent="0.25">
      <c r="A32" s="10"/>
      <c r="B32" s="10"/>
      <c r="C32" s="10"/>
      <c r="D32" s="10"/>
      <c r="E32" s="10"/>
      <c r="F32" s="10"/>
      <c r="G32" s="10"/>
      <c r="H32" s="10"/>
      <c r="I32" s="10"/>
      <c r="J32" s="10"/>
      <c r="K32" s="10"/>
      <c r="L32" s="10"/>
      <c r="M32" s="10"/>
      <c r="N32" s="10"/>
      <c r="O32" s="10"/>
      <c r="P32" s="10"/>
      <c r="Q32" s="10"/>
      <c r="R32" s="10"/>
      <c r="S32" s="10"/>
    </row>
    <row r="33" spans="1:19" x14ac:dyDescent="0.25">
      <c r="A33" s="10"/>
      <c r="B33" s="10"/>
      <c r="C33" s="10"/>
      <c r="D33" s="10"/>
      <c r="E33" s="10"/>
      <c r="F33" s="10"/>
      <c r="G33" s="10"/>
      <c r="H33" s="10"/>
      <c r="I33" s="10"/>
      <c r="J33" s="10"/>
      <c r="K33" s="10"/>
      <c r="L33" s="10"/>
      <c r="M33" s="10"/>
      <c r="N33" s="10"/>
      <c r="O33" s="10"/>
      <c r="P33" s="10"/>
      <c r="Q33" s="10"/>
      <c r="R33" s="10"/>
      <c r="S33" s="10"/>
    </row>
    <row r="34" spans="1:19" x14ac:dyDescent="0.25">
      <c r="A34" s="10"/>
      <c r="B34" s="10"/>
      <c r="C34" s="10"/>
      <c r="D34" s="10"/>
      <c r="E34" s="10"/>
      <c r="F34" s="10"/>
      <c r="G34" s="10"/>
      <c r="H34" s="10"/>
      <c r="I34" s="10"/>
      <c r="J34" s="10"/>
      <c r="K34" s="10"/>
      <c r="L34" s="10"/>
      <c r="M34" s="10"/>
      <c r="N34" s="10"/>
      <c r="O34" s="10"/>
      <c r="P34" s="10"/>
      <c r="Q34" s="10"/>
      <c r="R34" s="10"/>
      <c r="S34" s="10"/>
    </row>
    <row r="35" spans="1:19" x14ac:dyDescent="0.25">
      <c r="A35" s="10"/>
      <c r="B35" s="10"/>
      <c r="C35" s="10"/>
      <c r="D35" s="10"/>
      <c r="E35" s="10"/>
      <c r="F35" s="10"/>
      <c r="G35" s="10"/>
      <c r="H35" s="10"/>
      <c r="I35" s="10"/>
      <c r="J35" s="10"/>
      <c r="K35" s="10"/>
      <c r="L35" s="10"/>
      <c r="M35" s="10"/>
      <c r="N35" s="10"/>
      <c r="O35" s="10"/>
      <c r="P35" s="10"/>
      <c r="Q35" s="10"/>
      <c r="R35" s="10"/>
      <c r="S35" s="10"/>
    </row>
    <row r="36" spans="1:19" x14ac:dyDescent="0.25">
      <c r="A36" s="10"/>
      <c r="B36" s="10"/>
      <c r="C36" s="10"/>
      <c r="D36" s="10"/>
      <c r="E36" s="10"/>
      <c r="F36" s="10"/>
      <c r="G36" s="10"/>
      <c r="H36" s="10"/>
      <c r="I36" s="10"/>
      <c r="J36" s="10"/>
      <c r="K36" s="10"/>
      <c r="L36" s="10"/>
      <c r="M36" s="10"/>
      <c r="N36" s="10"/>
      <c r="O36" s="10"/>
      <c r="P36" s="10"/>
      <c r="Q36" s="10"/>
      <c r="R36" s="10"/>
      <c r="S36" s="10"/>
    </row>
    <row r="37" spans="1:19" s="15" customFormat="1" ht="15.6" x14ac:dyDescent="0.25">
      <c r="A37" s="19" t="s">
        <v>4</v>
      </c>
      <c r="C37" s="20">
        <f ca="1">TODAY()</f>
        <v>44659</v>
      </c>
      <c r="D37" s="16"/>
      <c r="E37" s="16"/>
      <c r="F37" s="16"/>
      <c r="G37" s="16"/>
      <c r="H37" s="16"/>
      <c r="I37" s="16"/>
      <c r="J37" s="16"/>
    </row>
  </sheetData>
  <mergeCells count="15">
    <mergeCell ref="A28:I28"/>
    <mergeCell ref="K28:N28"/>
    <mergeCell ref="A29:I29"/>
    <mergeCell ref="K29:S29"/>
    <mergeCell ref="A23:I23"/>
    <mergeCell ref="K23:S23"/>
    <mergeCell ref="A25:I25"/>
    <mergeCell ref="K25:S25"/>
    <mergeCell ref="A27:I27"/>
    <mergeCell ref="K27:S27"/>
    <mergeCell ref="A13:S13"/>
    <mergeCell ref="A18:S18"/>
    <mergeCell ref="A19:S19"/>
    <mergeCell ref="A21:I21"/>
    <mergeCell ref="K21:S21"/>
  </mergeCells>
  <printOptions horizontalCentered="1" verticalCentered="1"/>
  <pageMargins left="0.75" right="0.75" top="1" bottom="1" header="0.5" footer="0.5"/>
  <pageSetup paperSize="9" scale="62"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38"/>
  <sheetViews>
    <sheetView topLeftCell="A6" workbookViewId="0">
      <selection activeCell="A20" sqref="A20:XFD20"/>
    </sheetView>
  </sheetViews>
  <sheetFormatPr defaultColWidth="8" defaultRowHeight="13.2" x14ac:dyDescent="0.25"/>
  <cols>
    <col min="1" max="1" width="54.109375" style="2" customWidth="1"/>
    <col min="2" max="2" width="86.44140625" style="50" customWidth="1"/>
    <col min="3" max="3" width="25.109375" style="2" bestFit="1" customWidth="1"/>
    <col min="4" max="16384" width="8" style="2"/>
  </cols>
  <sheetData>
    <row r="1" spans="1:3" hidden="1" x14ac:dyDescent="0.25">
      <c r="A1" s="1" t="s">
        <v>5</v>
      </c>
    </row>
    <row r="2" spans="1:3" hidden="1" x14ac:dyDescent="0.25">
      <c r="A2" s="3" t="s">
        <v>20</v>
      </c>
      <c r="B2" s="51" t="s">
        <v>6</v>
      </c>
    </row>
    <row r="3" spans="1:3" hidden="1" x14ac:dyDescent="0.25">
      <c r="A3" s="3" t="s">
        <v>20</v>
      </c>
      <c r="B3" s="51" t="s">
        <v>6</v>
      </c>
    </row>
    <row r="4" spans="1:3" hidden="1" x14ac:dyDescent="0.25">
      <c r="A4" s="3" t="s">
        <v>21</v>
      </c>
      <c r="B4" s="51" t="s">
        <v>7</v>
      </c>
    </row>
    <row r="5" spans="1:3" hidden="1" x14ac:dyDescent="0.25">
      <c r="A5" s="3" t="s">
        <v>22</v>
      </c>
      <c r="B5" s="51" t="s">
        <v>7</v>
      </c>
    </row>
    <row r="6" spans="1:3" x14ac:dyDescent="0.25">
      <c r="A6" s="5"/>
      <c r="B6" s="52"/>
      <c r="C6" s="4"/>
    </row>
    <row r="7" spans="1:3" x14ac:dyDescent="0.25">
      <c r="A7" s="30"/>
      <c r="B7" s="52"/>
      <c r="C7" s="4"/>
    </row>
    <row r="8" spans="1:3" ht="28.2" x14ac:dyDescent="0.25">
      <c r="A8" s="95" t="s">
        <v>1</v>
      </c>
      <c r="B8" s="95"/>
      <c r="C8" s="29" t="s">
        <v>8</v>
      </c>
    </row>
    <row r="9" spans="1:3" x14ac:dyDescent="0.25">
      <c r="A9" s="4"/>
      <c r="B9" s="52"/>
      <c r="C9" s="4"/>
    </row>
    <row r="10" spans="1:3" x14ac:dyDescent="0.25">
      <c r="A10" s="5" t="s">
        <v>9</v>
      </c>
      <c r="B10" s="96" t="s">
        <v>10</v>
      </c>
      <c r="C10" s="96"/>
    </row>
    <row r="11" spans="1:3" x14ac:dyDescent="0.25">
      <c r="A11" s="25" t="s">
        <v>11</v>
      </c>
      <c r="B11" s="21" t="s">
        <v>95</v>
      </c>
      <c r="C11" s="22"/>
    </row>
    <row r="12" spans="1:3" x14ac:dyDescent="0.25">
      <c r="A12" s="30"/>
      <c r="B12" s="52"/>
      <c r="C12" s="4"/>
    </row>
    <row r="13" spans="1:3" x14ac:dyDescent="0.25">
      <c r="A13" s="30"/>
      <c r="B13" s="52"/>
      <c r="C13" s="4"/>
    </row>
    <row r="14" spans="1:3" ht="19.649999999999999" customHeight="1" x14ac:dyDescent="0.25">
      <c r="A14" s="26" t="str">
        <f>CONCATENATE("To be Performed by Tester : ",'Test Cycle 1'!H2)</f>
        <v>To be Performed by Tester : Frank</v>
      </c>
      <c r="B14" s="53"/>
      <c r="C14" s="4"/>
    </row>
    <row r="15" spans="1:3" ht="21.9" customHeight="1" x14ac:dyDescent="0.3">
      <c r="A15" s="31" t="s">
        <v>23</v>
      </c>
      <c r="B15" s="97"/>
      <c r="C15" s="98"/>
    </row>
    <row r="16" spans="1:3" ht="39.75" customHeight="1" x14ac:dyDescent="0.25">
      <c r="A16" s="28" t="s">
        <v>24</v>
      </c>
      <c r="B16" s="28" t="s">
        <v>12</v>
      </c>
      <c r="C16" s="23" t="s">
        <v>25</v>
      </c>
    </row>
    <row r="17" spans="1:3" x14ac:dyDescent="0.25">
      <c r="A17" s="24" t="s">
        <v>26</v>
      </c>
      <c r="B17" s="54"/>
      <c r="C17" s="27" t="s">
        <v>86</v>
      </c>
    </row>
    <row r="18" spans="1:3" x14ac:dyDescent="0.25">
      <c r="A18" s="24" t="s">
        <v>27</v>
      </c>
      <c r="B18" s="54"/>
      <c r="C18" s="27" t="s">
        <v>87</v>
      </c>
    </row>
    <row r="19" spans="1:3" x14ac:dyDescent="0.25">
      <c r="A19" s="24" t="s">
        <v>28</v>
      </c>
      <c r="B19" s="54"/>
      <c r="C19" s="27" t="s">
        <v>86</v>
      </c>
    </row>
    <row r="20" spans="1:3" x14ac:dyDescent="0.25">
      <c r="A20" s="24" t="s">
        <v>76</v>
      </c>
      <c r="B20" s="55"/>
      <c r="C20" s="27" t="s">
        <v>87</v>
      </c>
    </row>
    <row r="21" spans="1:3" x14ac:dyDescent="0.25">
      <c r="A21" s="24" t="s">
        <v>77</v>
      </c>
      <c r="B21" s="54"/>
      <c r="C21" s="27" t="s">
        <v>87</v>
      </c>
    </row>
    <row r="22" spans="1:3" x14ac:dyDescent="0.25">
      <c r="A22" s="24" t="s">
        <v>79</v>
      </c>
      <c r="B22" s="54"/>
      <c r="C22" s="27" t="s">
        <v>86</v>
      </c>
    </row>
    <row r="23" spans="1:3" x14ac:dyDescent="0.25">
      <c r="A23" s="24" t="s">
        <v>78</v>
      </c>
      <c r="B23" s="59"/>
      <c r="C23" s="27" t="s">
        <v>87</v>
      </c>
    </row>
    <row r="24" spans="1:3" x14ac:dyDescent="0.25">
      <c r="A24" s="24" t="s">
        <v>29</v>
      </c>
      <c r="B24" s="54"/>
      <c r="C24" s="27" t="s">
        <v>86</v>
      </c>
    </row>
    <row r="25" spans="1:3" x14ac:dyDescent="0.25">
      <c r="A25" s="24" t="s">
        <v>30</v>
      </c>
      <c r="B25" s="54"/>
      <c r="C25" s="27" t="s">
        <v>87</v>
      </c>
    </row>
    <row r="26" spans="1:3" ht="26.4" x14ac:dyDescent="0.25">
      <c r="A26" s="24" t="s">
        <v>31</v>
      </c>
      <c r="B26" s="27"/>
      <c r="C26" s="27" t="s">
        <v>87</v>
      </c>
    </row>
    <row r="27" spans="1:3" x14ac:dyDescent="0.25">
      <c r="A27" s="24" t="s">
        <v>55</v>
      </c>
      <c r="B27" s="27"/>
      <c r="C27" s="27" t="s">
        <v>86</v>
      </c>
    </row>
    <row r="28" spans="1:3" x14ac:dyDescent="0.25">
      <c r="A28" s="24" t="s">
        <v>80</v>
      </c>
      <c r="B28" s="54"/>
      <c r="C28" s="27" t="s">
        <v>87</v>
      </c>
    </row>
    <row r="29" spans="1:3" x14ac:dyDescent="0.25">
      <c r="A29" s="24" t="s">
        <v>81</v>
      </c>
      <c r="B29" s="54"/>
      <c r="C29" s="27" t="s">
        <v>86</v>
      </c>
    </row>
    <row r="30" spans="1:3" x14ac:dyDescent="0.25">
      <c r="A30" s="43"/>
      <c r="B30" s="56"/>
      <c r="C30" s="44"/>
    </row>
    <row r="31" spans="1:3" x14ac:dyDescent="0.25">
      <c r="A31" s="45"/>
      <c r="B31" s="57"/>
      <c r="C31" s="45"/>
    </row>
    <row r="32" spans="1:3" x14ac:dyDescent="0.25">
      <c r="A32" s="42" t="str">
        <f>CONCATENATE("To be Performed by Reviewer : ",'Test Cycle 1'!H3)</f>
        <v xml:space="preserve">To be Performed by Reviewer : </v>
      </c>
      <c r="B32" s="53"/>
      <c r="C32" s="4"/>
    </row>
    <row r="33" spans="1:3" ht="14.4" x14ac:dyDescent="0.3">
      <c r="A33" s="31" t="s">
        <v>23</v>
      </c>
      <c r="B33" s="97"/>
      <c r="C33" s="98"/>
    </row>
    <row r="34" spans="1:3" ht="26.4" x14ac:dyDescent="0.25">
      <c r="A34" s="28" t="s">
        <v>24</v>
      </c>
      <c r="B34" s="28"/>
      <c r="C34" s="23" t="s">
        <v>25</v>
      </c>
    </row>
    <row r="35" spans="1:3" x14ac:dyDescent="0.25">
      <c r="A35" s="24" t="s">
        <v>32</v>
      </c>
      <c r="B35" s="54"/>
      <c r="C35" s="27"/>
    </row>
    <row r="36" spans="1:3" x14ac:dyDescent="0.25">
      <c r="A36" s="24" t="s">
        <v>33</v>
      </c>
      <c r="B36" s="54"/>
      <c r="C36" s="27"/>
    </row>
    <row r="37" spans="1:3" x14ac:dyDescent="0.25">
      <c r="A37" s="24" t="s">
        <v>75</v>
      </c>
      <c r="B37" s="54"/>
      <c r="C37" s="27"/>
    </row>
    <row r="38" spans="1:3" x14ac:dyDescent="0.25">
      <c r="A38" s="24" t="s">
        <v>34</v>
      </c>
      <c r="B38" s="54"/>
      <c r="C38" s="27"/>
    </row>
  </sheetData>
  <mergeCells count="4">
    <mergeCell ref="A8:B8"/>
    <mergeCell ref="B10:C10"/>
    <mergeCell ref="B15:C15"/>
    <mergeCell ref="B33:C33"/>
  </mergeCells>
  <printOptions horizontalCentered="1"/>
  <pageMargins left="0.75" right="0.75" top="0.55000000000000004" bottom="0.6" header="0.23" footer="0.28000000000000003"/>
  <pageSetup scale="55" orientation="portrait" r:id="rId1"/>
  <headerFooter alignWithMargins="0">
    <oddFooter>&amp;L&amp;8© Accenture 2008 All rights reserved.&amp;C&amp;8&amp;P / &amp;N&amp;R&amp;8&amp;F</oddFoot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pageSetUpPr fitToPage="1"/>
  </sheetPr>
  <dimension ref="A1:BC35"/>
  <sheetViews>
    <sheetView topLeftCell="A14" zoomScale="70" zoomScaleNormal="70" workbookViewId="0">
      <selection activeCell="A25" sqref="A25:B30"/>
    </sheetView>
  </sheetViews>
  <sheetFormatPr defaultColWidth="9.109375" defaultRowHeight="14.4" x14ac:dyDescent="0.3"/>
  <cols>
    <col min="1" max="1" width="22.88671875" style="33" customWidth="1"/>
    <col min="2" max="2" width="37.109375" style="33" customWidth="1"/>
    <col min="3" max="3" width="54.33203125" style="33" customWidth="1"/>
    <col min="4" max="4" width="23.44140625" style="33" bestFit="1" customWidth="1"/>
    <col min="5" max="5" width="41.44140625" style="60" customWidth="1"/>
    <col min="6" max="6" width="36.88671875" style="33" customWidth="1"/>
    <col min="7" max="7" width="39.44140625" style="33" customWidth="1"/>
    <col min="8" max="8" width="36.88671875" style="33" customWidth="1"/>
    <col min="9" max="9" width="25" style="33" customWidth="1"/>
    <col min="10" max="10" width="23.44140625" style="33" customWidth="1"/>
    <col min="11" max="11" width="32" style="33" customWidth="1"/>
    <col min="12" max="12" width="30.88671875" style="33" customWidth="1"/>
    <col min="13" max="22" width="9.109375" style="32"/>
    <col min="23" max="23" width="17.109375" style="32" bestFit="1" customWidth="1"/>
    <col min="24" max="24" width="9.109375" style="32"/>
    <col min="25" max="25" width="14.33203125" style="32" bestFit="1" customWidth="1"/>
    <col min="26" max="48" width="9.109375" style="32"/>
    <col min="49" max="49" width="9" style="32" customWidth="1"/>
    <col min="50" max="52" width="9.109375" style="32" hidden="1" customWidth="1"/>
    <col min="53" max="53" width="27.6640625" style="32" customWidth="1"/>
    <col min="54" max="16384" width="9.109375" style="32"/>
  </cols>
  <sheetData>
    <row r="1" spans="1:55" s="33" customFormat="1" x14ac:dyDescent="0.3">
      <c r="A1" s="35" t="s">
        <v>43</v>
      </c>
      <c r="B1" s="99" t="s">
        <v>110</v>
      </c>
      <c r="C1" s="100"/>
      <c r="D1" s="100"/>
      <c r="E1" s="71" t="s">
        <v>44</v>
      </c>
      <c r="F1" s="36" t="s">
        <v>111</v>
      </c>
      <c r="G1" s="37"/>
      <c r="H1" s="37"/>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4" t="s">
        <v>35</v>
      </c>
      <c r="BB1" s="34" t="s">
        <v>35</v>
      </c>
      <c r="BC1" s="33" t="s">
        <v>36</v>
      </c>
    </row>
    <row r="2" spans="1:55" s="33" customFormat="1" x14ac:dyDescent="0.3">
      <c r="A2" s="35" t="s">
        <v>46</v>
      </c>
      <c r="B2" s="99" t="s">
        <v>112</v>
      </c>
      <c r="C2" s="100"/>
      <c r="D2" s="100"/>
      <c r="E2" s="71" t="s">
        <v>47</v>
      </c>
      <c r="F2" s="38">
        <v>44658</v>
      </c>
      <c r="G2" s="35" t="s">
        <v>48</v>
      </c>
      <c r="H2" s="41" t="s">
        <v>88</v>
      </c>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4" t="s">
        <v>37</v>
      </c>
      <c r="BB2" s="34" t="s">
        <v>37</v>
      </c>
      <c r="BC2" s="33" t="s">
        <v>38</v>
      </c>
    </row>
    <row r="3" spans="1:55" s="33" customFormat="1" ht="26.25" customHeight="1" x14ac:dyDescent="0.3">
      <c r="A3" s="35" t="s">
        <v>50</v>
      </c>
      <c r="B3" s="101" t="s">
        <v>37</v>
      </c>
      <c r="C3" s="101"/>
      <c r="D3" s="101"/>
      <c r="E3" s="71" t="s">
        <v>51</v>
      </c>
      <c r="F3" s="39"/>
      <c r="G3" s="35" t="s">
        <v>52</v>
      </c>
      <c r="H3" s="36"/>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4" t="s">
        <v>39</v>
      </c>
      <c r="BB3" s="34" t="s">
        <v>40</v>
      </c>
      <c r="BC3" s="33" t="s">
        <v>15</v>
      </c>
    </row>
    <row r="4" spans="1:55" s="33" customFormat="1" ht="19.649999999999999" customHeight="1" x14ac:dyDescent="0.3">
      <c r="A4" s="35" t="s">
        <v>54</v>
      </c>
      <c r="B4" s="102" t="s">
        <v>130</v>
      </c>
      <c r="C4" s="103"/>
      <c r="D4" s="103"/>
      <c r="E4" s="103"/>
      <c r="F4" s="103"/>
      <c r="G4" s="103"/>
      <c r="H4" s="103"/>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4" t="s">
        <v>41</v>
      </c>
      <c r="BB4" s="34" t="s">
        <v>15</v>
      </c>
      <c r="BC4" s="33" t="s">
        <v>16</v>
      </c>
    </row>
    <row r="5" spans="1:55" s="33" customFormat="1" ht="22.8" customHeight="1" x14ac:dyDescent="0.3">
      <c r="A5" s="70" t="s">
        <v>66</v>
      </c>
      <c r="B5" s="70" t="s">
        <v>67</v>
      </c>
      <c r="C5" s="70" t="s">
        <v>68</v>
      </c>
      <c r="D5" s="70" t="s">
        <v>69</v>
      </c>
      <c r="E5" s="70" t="s">
        <v>70</v>
      </c>
      <c r="F5" s="70" t="s">
        <v>71</v>
      </c>
      <c r="G5" s="70" t="s">
        <v>72</v>
      </c>
      <c r="H5" s="70" t="s">
        <v>73</v>
      </c>
      <c r="I5" s="70" t="s">
        <v>64</v>
      </c>
      <c r="J5" s="70" t="s">
        <v>65</v>
      </c>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4" t="s">
        <v>42</v>
      </c>
      <c r="AZ5" s="34" t="s">
        <v>16</v>
      </c>
    </row>
    <row r="6" spans="1:55" s="33" customFormat="1" ht="22.8" customHeight="1" x14ac:dyDescent="0.3">
      <c r="A6" s="113" t="s">
        <v>113</v>
      </c>
      <c r="B6" s="114"/>
      <c r="C6" s="114"/>
      <c r="D6" s="114"/>
      <c r="E6" s="114"/>
      <c r="F6" s="114"/>
      <c r="G6" s="114"/>
      <c r="H6" s="114"/>
      <c r="I6" s="114"/>
      <c r="J6" s="115"/>
      <c r="K6" s="32"/>
      <c r="L6" s="32"/>
      <c r="M6" s="32"/>
      <c r="N6" s="32"/>
      <c r="O6" s="32"/>
      <c r="P6" s="32"/>
      <c r="Q6" s="32"/>
      <c r="R6" s="32"/>
      <c r="S6" s="32"/>
      <c r="T6" s="32"/>
      <c r="U6" s="32"/>
      <c r="V6" s="32"/>
      <c r="W6" s="32"/>
      <c r="X6" s="32"/>
      <c r="Y6" s="32"/>
      <c r="Z6" s="32"/>
      <c r="AA6" s="32"/>
      <c r="AB6" s="32"/>
      <c r="AC6" s="32"/>
      <c r="AD6" s="32"/>
      <c r="AE6" s="32"/>
      <c r="AF6" s="32"/>
      <c r="AG6" s="32"/>
      <c r="AH6" s="32"/>
      <c r="AI6" s="32"/>
      <c r="AJ6" s="32"/>
      <c r="AK6" s="32"/>
      <c r="AL6" s="32"/>
      <c r="AM6" s="32"/>
      <c r="AN6" s="32"/>
      <c r="AO6" s="32"/>
      <c r="AP6" s="32"/>
      <c r="AQ6" s="32"/>
      <c r="AR6" s="32"/>
      <c r="AS6" s="32"/>
      <c r="AT6" s="32"/>
      <c r="AU6" s="32"/>
      <c r="AV6" s="32"/>
      <c r="AW6" s="32"/>
      <c r="AX6" s="32"/>
      <c r="AY6" s="34"/>
      <c r="AZ6" s="34"/>
    </row>
    <row r="7" spans="1:55" s="107" customFormat="1" ht="44.4" customHeight="1" x14ac:dyDescent="0.3">
      <c r="A7" s="109"/>
      <c r="B7" s="79" t="s">
        <v>82</v>
      </c>
      <c r="C7" s="78" t="s">
        <v>83</v>
      </c>
      <c r="D7" s="110"/>
      <c r="E7" s="108" t="s">
        <v>109</v>
      </c>
      <c r="F7" s="78" t="s">
        <v>96</v>
      </c>
      <c r="G7" s="108" t="s">
        <v>98</v>
      </c>
      <c r="H7" s="78" t="s">
        <v>99</v>
      </c>
      <c r="I7" s="104"/>
      <c r="J7" s="104"/>
      <c r="K7" s="105"/>
      <c r="L7" s="105"/>
      <c r="M7" s="105"/>
      <c r="N7" s="105"/>
      <c r="O7" s="105"/>
      <c r="P7" s="105"/>
      <c r="Q7" s="105"/>
      <c r="R7" s="105"/>
      <c r="S7" s="105"/>
      <c r="T7" s="105"/>
      <c r="U7" s="105"/>
      <c r="V7" s="105"/>
      <c r="W7" s="105"/>
      <c r="X7" s="105"/>
      <c r="Y7" s="105"/>
      <c r="Z7" s="105"/>
      <c r="AA7" s="105"/>
      <c r="AB7" s="105"/>
      <c r="AC7" s="105"/>
      <c r="AD7" s="105"/>
      <c r="AE7" s="105"/>
      <c r="AF7" s="105"/>
      <c r="AG7" s="105"/>
      <c r="AH7" s="105"/>
      <c r="AI7" s="105"/>
      <c r="AJ7" s="105"/>
      <c r="AK7" s="105"/>
      <c r="AL7" s="105"/>
      <c r="AM7" s="105"/>
      <c r="AN7" s="105"/>
      <c r="AO7" s="105"/>
      <c r="AP7" s="105"/>
      <c r="AQ7" s="105"/>
      <c r="AR7" s="105"/>
      <c r="AS7" s="105"/>
      <c r="AT7" s="105"/>
      <c r="AU7" s="105"/>
      <c r="AV7" s="105"/>
      <c r="AW7" s="105"/>
      <c r="AX7" s="105"/>
      <c r="AY7" s="106"/>
      <c r="AZ7" s="106"/>
    </row>
    <row r="8" spans="1:55" s="107" customFormat="1" ht="42" customHeight="1" x14ac:dyDescent="0.3">
      <c r="A8" s="109"/>
      <c r="B8" s="110" t="s">
        <v>97</v>
      </c>
      <c r="C8" s="112" t="s">
        <v>103</v>
      </c>
      <c r="D8" s="110" t="s">
        <v>100</v>
      </c>
      <c r="E8" s="109" t="s">
        <v>86</v>
      </c>
      <c r="F8" s="109" t="s">
        <v>86</v>
      </c>
      <c r="G8" s="109" t="s">
        <v>86</v>
      </c>
      <c r="H8" s="111" t="s">
        <v>90</v>
      </c>
      <c r="I8" s="104"/>
      <c r="J8" s="104"/>
      <c r="K8" s="105"/>
      <c r="L8" s="105"/>
      <c r="M8" s="105"/>
      <c r="N8" s="105"/>
      <c r="O8" s="105"/>
      <c r="P8" s="105"/>
      <c r="Q8" s="105"/>
      <c r="R8" s="105"/>
      <c r="S8" s="105"/>
      <c r="T8" s="105"/>
      <c r="U8" s="105"/>
      <c r="V8" s="105"/>
      <c r="W8" s="105"/>
      <c r="X8" s="105"/>
      <c r="Y8" s="105"/>
      <c r="Z8" s="105"/>
      <c r="AA8" s="105"/>
      <c r="AB8" s="105"/>
      <c r="AC8" s="105"/>
      <c r="AD8" s="105"/>
      <c r="AE8" s="105"/>
      <c r="AF8" s="105"/>
      <c r="AG8" s="105"/>
      <c r="AH8" s="105"/>
      <c r="AI8" s="105"/>
      <c r="AJ8" s="105"/>
      <c r="AK8" s="105"/>
      <c r="AL8" s="105"/>
      <c r="AM8" s="105"/>
      <c r="AN8" s="105"/>
      <c r="AO8" s="105"/>
      <c r="AP8" s="105"/>
      <c r="AQ8" s="105"/>
      <c r="AR8" s="105"/>
      <c r="AS8" s="105"/>
      <c r="AT8" s="105"/>
      <c r="AU8" s="105"/>
      <c r="AV8" s="105"/>
      <c r="AW8" s="105"/>
      <c r="AX8" s="105"/>
      <c r="AY8" s="106"/>
      <c r="AZ8" s="106"/>
    </row>
    <row r="9" spans="1:55" s="107" customFormat="1" ht="199.8" customHeight="1" x14ac:dyDescent="0.3">
      <c r="A9" s="109"/>
      <c r="B9" s="109" t="s">
        <v>101</v>
      </c>
      <c r="C9" s="81" t="s">
        <v>102</v>
      </c>
      <c r="D9" s="81" t="s">
        <v>85</v>
      </c>
      <c r="E9" s="112" t="s">
        <v>129</v>
      </c>
      <c r="F9" s="78" t="s">
        <v>105</v>
      </c>
      <c r="G9" s="112" t="s">
        <v>129</v>
      </c>
      <c r="H9" s="111" t="s">
        <v>91</v>
      </c>
      <c r="I9" s="104"/>
      <c r="J9" s="104"/>
      <c r="K9" s="105"/>
      <c r="L9" s="105"/>
      <c r="M9" s="105"/>
      <c r="N9" s="105"/>
      <c r="O9" s="105"/>
      <c r="P9" s="105"/>
      <c r="Q9" s="105"/>
      <c r="R9" s="105"/>
      <c r="S9" s="105"/>
      <c r="T9" s="105"/>
      <c r="U9" s="105"/>
      <c r="V9" s="105"/>
      <c r="W9" s="105"/>
      <c r="X9" s="105"/>
      <c r="Y9" s="105"/>
      <c r="Z9" s="105"/>
      <c r="AA9" s="105"/>
      <c r="AB9" s="105"/>
      <c r="AC9" s="105"/>
      <c r="AD9" s="105"/>
      <c r="AE9" s="105"/>
      <c r="AF9" s="105"/>
      <c r="AG9" s="105"/>
      <c r="AH9" s="105"/>
      <c r="AI9" s="105"/>
      <c r="AJ9" s="105"/>
      <c r="AK9" s="105"/>
      <c r="AL9" s="105"/>
      <c r="AM9" s="105"/>
      <c r="AN9" s="105"/>
      <c r="AO9" s="105"/>
      <c r="AP9" s="105"/>
      <c r="AQ9" s="105"/>
      <c r="AR9" s="105"/>
      <c r="AS9" s="105"/>
      <c r="AT9" s="105"/>
      <c r="AU9" s="105"/>
      <c r="AV9" s="105"/>
      <c r="AW9" s="105"/>
      <c r="AX9" s="105"/>
      <c r="AY9" s="106"/>
      <c r="AZ9" s="106"/>
    </row>
    <row r="10" spans="1:55" s="107" customFormat="1" ht="154.80000000000001" customHeight="1" x14ac:dyDescent="0.3">
      <c r="A10" s="109"/>
      <c r="B10" s="112" t="s">
        <v>106</v>
      </c>
      <c r="C10" s="112" t="s">
        <v>104</v>
      </c>
      <c r="D10" s="110" t="s">
        <v>100</v>
      </c>
      <c r="E10" s="109" t="s">
        <v>86</v>
      </c>
      <c r="F10" s="109" t="s">
        <v>86</v>
      </c>
      <c r="G10" s="109" t="s">
        <v>86</v>
      </c>
      <c r="H10" s="111" t="s">
        <v>92</v>
      </c>
      <c r="I10" s="104"/>
      <c r="J10" s="104"/>
      <c r="K10" s="105"/>
      <c r="L10" s="105"/>
      <c r="M10" s="105"/>
      <c r="N10" s="105"/>
      <c r="O10" s="105"/>
      <c r="P10" s="105"/>
      <c r="Q10" s="105"/>
      <c r="R10" s="105"/>
      <c r="S10" s="105"/>
      <c r="T10" s="105"/>
      <c r="U10" s="105"/>
      <c r="V10" s="105"/>
      <c r="W10" s="105"/>
      <c r="X10" s="105"/>
      <c r="Y10" s="105"/>
      <c r="Z10" s="105"/>
      <c r="AA10" s="105"/>
      <c r="AB10" s="105"/>
      <c r="AC10" s="105"/>
      <c r="AD10" s="105"/>
      <c r="AE10" s="105"/>
      <c r="AF10" s="105"/>
      <c r="AG10" s="105"/>
      <c r="AH10" s="105"/>
      <c r="AI10" s="105"/>
      <c r="AJ10" s="105"/>
      <c r="AK10" s="105"/>
      <c r="AL10" s="105"/>
      <c r="AM10" s="105"/>
      <c r="AN10" s="105"/>
      <c r="AO10" s="105"/>
      <c r="AP10" s="105"/>
      <c r="AQ10" s="105"/>
      <c r="AR10" s="105"/>
      <c r="AS10" s="105"/>
      <c r="AT10" s="105"/>
      <c r="AU10" s="105"/>
      <c r="AV10" s="105"/>
      <c r="AW10" s="105"/>
      <c r="AX10" s="105"/>
      <c r="AY10" s="106"/>
      <c r="AZ10" s="106"/>
    </row>
    <row r="11" spans="1:55" s="107" customFormat="1" ht="156" customHeight="1" x14ac:dyDescent="0.3">
      <c r="A11" s="109"/>
      <c r="B11" s="112" t="s">
        <v>107</v>
      </c>
      <c r="C11" s="112" t="s">
        <v>108</v>
      </c>
      <c r="D11" s="110" t="s">
        <v>100</v>
      </c>
      <c r="E11" s="109" t="s">
        <v>86</v>
      </c>
      <c r="F11" s="109" t="s">
        <v>86</v>
      </c>
      <c r="G11" s="109" t="s">
        <v>86</v>
      </c>
      <c r="H11" s="111" t="s">
        <v>93</v>
      </c>
      <c r="I11" s="104"/>
      <c r="J11" s="104"/>
      <c r="K11" s="105"/>
      <c r="L11" s="105"/>
      <c r="M11" s="105"/>
      <c r="N11" s="105"/>
      <c r="O11" s="105"/>
      <c r="P11" s="105"/>
      <c r="Q11" s="105"/>
      <c r="R11" s="105"/>
      <c r="S11" s="105"/>
      <c r="T11" s="105"/>
      <c r="U11" s="105"/>
      <c r="V11" s="105"/>
      <c r="W11" s="105"/>
      <c r="X11" s="105"/>
      <c r="Y11" s="105"/>
      <c r="Z11" s="105"/>
      <c r="AA11" s="105"/>
      <c r="AB11" s="105"/>
      <c r="AC11" s="105"/>
      <c r="AD11" s="105"/>
      <c r="AE11" s="105"/>
      <c r="AF11" s="105"/>
      <c r="AG11" s="105"/>
      <c r="AH11" s="105"/>
      <c r="AI11" s="105"/>
      <c r="AJ11" s="105"/>
      <c r="AK11" s="105"/>
      <c r="AL11" s="105"/>
      <c r="AM11" s="105"/>
      <c r="AN11" s="105"/>
      <c r="AO11" s="105"/>
      <c r="AP11" s="105"/>
      <c r="AQ11" s="105"/>
      <c r="AR11" s="105"/>
      <c r="AS11" s="105"/>
      <c r="AT11" s="105"/>
      <c r="AU11" s="105"/>
      <c r="AV11" s="105"/>
      <c r="AW11" s="105"/>
      <c r="AX11" s="105"/>
      <c r="AY11" s="106"/>
      <c r="AZ11" s="106"/>
    </row>
    <row r="12" spans="1:55" s="107" customFormat="1" ht="36.6" customHeight="1" x14ac:dyDescent="0.3">
      <c r="A12" s="118" t="s">
        <v>114</v>
      </c>
      <c r="B12" s="116"/>
      <c r="C12" s="116"/>
      <c r="D12" s="116"/>
      <c r="E12" s="116"/>
      <c r="F12" s="116"/>
      <c r="G12" s="116"/>
      <c r="H12" s="116"/>
      <c r="I12" s="116"/>
      <c r="J12" s="117"/>
      <c r="K12" s="105"/>
      <c r="L12" s="105"/>
      <c r="M12" s="105"/>
      <c r="N12" s="105"/>
      <c r="O12" s="105"/>
      <c r="P12" s="105"/>
      <c r="Q12" s="105"/>
      <c r="R12" s="105"/>
      <c r="S12" s="105"/>
      <c r="T12" s="105"/>
      <c r="U12" s="105"/>
      <c r="V12" s="105"/>
      <c r="W12" s="105"/>
      <c r="X12" s="105"/>
      <c r="Y12" s="105"/>
      <c r="Z12" s="105"/>
      <c r="AA12" s="105"/>
      <c r="AB12" s="105"/>
      <c r="AC12" s="105"/>
      <c r="AD12" s="105"/>
      <c r="AE12" s="105"/>
      <c r="AF12" s="105"/>
      <c r="AG12" s="105"/>
      <c r="AH12" s="105"/>
      <c r="AI12" s="105"/>
      <c r="AJ12" s="105"/>
      <c r="AK12" s="105"/>
      <c r="AL12" s="105"/>
      <c r="AM12" s="105"/>
      <c r="AN12" s="105"/>
      <c r="AO12" s="105"/>
      <c r="AP12" s="105"/>
      <c r="AQ12" s="105"/>
      <c r="AR12" s="105"/>
      <c r="AS12" s="105"/>
      <c r="AT12" s="105"/>
      <c r="AU12" s="105"/>
      <c r="AV12" s="105"/>
      <c r="AW12" s="105"/>
      <c r="AX12" s="105"/>
      <c r="AY12" s="106"/>
      <c r="AZ12" s="106"/>
    </row>
    <row r="13" spans="1:55" s="107" customFormat="1" ht="70.2" customHeight="1" x14ac:dyDescent="0.3">
      <c r="A13" s="109"/>
      <c r="B13" s="79" t="s">
        <v>82</v>
      </c>
      <c r="C13" s="77" t="s">
        <v>83</v>
      </c>
      <c r="D13" s="77" t="s">
        <v>84</v>
      </c>
      <c r="E13" s="108" t="s">
        <v>116</v>
      </c>
      <c r="F13" s="109" t="s">
        <v>117</v>
      </c>
      <c r="G13" s="108" t="s">
        <v>115</v>
      </c>
      <c r="H13" s="108" t="s">
        <v>128</v>
      </c>
      <c r="I13" s="104"/>
      <c r="J13" s="104"/>
      <c r="K13" s="105"/>
      <c r="L13" s="105"/>
      <c r="M13" s="105"/>
      <c r="N13" s="105"/>
      <c r="O13" s="105"/>
      <c r="P13" s="105"/>
      <c r="Q13" s="105"/>
      <c r="R13" s="105"/>
      <c r="S13" s="105"/>
      <c r="T13" s="105"/>
      <c r="U13" s="105"/>
      <c r="V13" s="105"/>
      <c r="W13" s="105"/>
      <c r="X13" s="105"/>
      <c r="Y13" s="105"/>
      <c r="Z13" s="105"/>
      <c r="AA13" s="105"/>
      <c r="AB13" s="105"/>
      <c r="AC13" s="105"/>
      <c r="AD13" s="105"/>
      <c r="AE13" s="105"/>
      <c r="AF13" s="105"/>
      <c r="AG13" s="105"/>
      <c r="AH13" s="105"/>
      <c r="AI13" s="105"/>
      <c r="AJ13" s="105"/>
      <c r="AK13" s="105"/>
      <c r="AL13" s="105"/>
      <c r="AM13" s="105"/>
      <c r="AN13" s="105"/>
      <c r="AO13" s="105"/>
      <c r="AP13" s="105"/>
      <c r="AQ13" s="105"/>
      <c r="AR13" s="105"/>
      <c r="AS13" s="105"/>
      <c r="AT13" s="105"/>
      <c r="AU13" s="105"/>
      <c r="AV13" s="105"/>
      <c r="AW13" s="105"/>
      <c r="AX13" s="105"/>
      <c r="AY13" s="106"/>
      <c r="AZ13" s="106"/>
    </row>
    <row r="14" spans="1:55" s="107" customFormat="1" ht="70.2" customHeight="1" x14ac:dyDescent="0.3">
      <c r="A14" s="109"/>
      <c r="B14" s="112" t="s">
        <v>123</v>
      </c>
      <c r="C14" s="81" t="s">
        <v>118</v>
      </c>
      <c r="D14" s="81" t="s">
        <v>85</v>
      </c>
      <c r="E14" s="108" t="s">
        <v>119</v>
      </c>
      <c r="F14" s="109" t="s">
        <v>124</v>
      </c>
      <c r="G14" s="108" t="s">
        <v>119</v>
      </c>
      <c r="H14" s="111" t="s">
        <v>125</v>
      </c>
      <c r="I14" s="104"/>
      <c r="J14" s="104"/>
      <c r="K14" s="105"/>
      <c r="L14" s="105"/>
      <c r="M14" s="105"/>
      <c r="N14" s="105"/>
      <c r="O14" s="105"/>
      <c r="P14" s="105"/>
      <c r="Q14" s="105"/>
      <c r="R14" s="105"/>
      <c r="S14" s="105"/>
      <c r="T14" s="105"/>
      <c r="U14" s="105"/>
      <c r="V14" s="105"/>
      <c r="W14" s="105"/>
      <c r="X14" s="105"/>
      <c r="Y14" s="105"/>
      <c r="Z14" s="105"/>
      <c r="AA14" s="105"/>
      <c r="AB14" s="105"/>
      <c r="AC14" s="105"/>
      <c r="AD14" s="105"/>
      <c r="AE14" s="105"/>
      <c r="AF14" s="105"/>
      <c r="AG14" s="105"/>
      <c r="AH14" s="105"/>
      <c r="AI14" s="105"/>
      <c r="AJ14" s="105"/>
      <c r="AK14" s="105"/>
      <c r="AL14" s="105"/>
      <c r="AM14" s="105"/>
      <c r="AN14" s="105"/>
      <c r="AO14" s="105"/>
      <c r="AP14" s="105"/>
      <c r="AQ14" s="105"/>
      <c r="AR14" s="105"/>
      <c r="AS14" s="105"/>
      <c r="AT14" s="105"/>
      <c r="AU14" s="105"/>
      <c r="AV14" s="105"/>
      <c r="AW14" s="105"/>
      <c r="AX14" s="105"/>
      <c r="AY14" s="106"/>
      <c r="AZ14" s="106"/>
    </row>
    <row r="15" spans="1:55" s="107" customFormat="1" ht="70.2" customHeight="1" x14ac:dyDescent="0.3">
      <c r="A15" s="109"/>
      <c r="B15" s="112" t="s">
        <v>121</v>
      </c>
      <c r="C15" s="77" t="s">
        <v>89</v>
      </c>
      <c r="D15" s="77" t="s">
        <v>84</v>
      </c>
      <c r="E15" s="108" t="s">
        <v>122</v>
      </c>
      <c r="F15" s="108" t="s">
        <v>126</v>
      </c>
      <c r="G15" s="108" t="s">
        <v>122</v>
      </c>
      <c r="H15" s="111" t="s">
        <v>127</v>
      </c>
      <c r="I15" s="104"/>
      <c r="J15" s="104"/>
      <c r="K15" s="105"/>
      <c r="L15" s="105"/>
      <c r="M15" s="105"/>
      <c r="N15" s="105"/>
      <c r="O15" s="105"/>
      <c r="P15" s="105"/>
      <c r="Q15" s="105"/>
      <c r="R15" s="105"/>
      <c r="S15" s="105"/>
      <c r="T15" s="105"/>
      <c r="U15" s="105"/>
      <c r="V15" s="105"/>
      <c r="W15" s="105"/>
      <c r="X15" s="105"/>
      <c r="Y15" s="105"/>
      <c r="Z15" s="105"/>
      <c r="AA15" s="105"/>
      <c r="AB15" s="105"/>
      <c r="AC15" s="105"/>
      <c r="AD15" s="105"/>
      <c r="AE15" s="105"/>
      <c r="AF15" s="105"/>
      <c r="AG15" s="105"/>
      <c r="AH15" s="105"/>
      <c r="AI15" s="105"/>
      <c r="AJ15" s="105"/>
      <c r="AK15" s="105"/>
      <c r="AL15" s="105"/>
      <c r="AM15" s="105"/>
      <c r="AN15" s="105"/>
      <c r="AO15" s="105"/>
      <c r="AP15" s="105"/>
      <c r="AQ15" s="105"/>
      <c r="AR15" s="105"/>
      <c r="AS15" s="105"/>
      <c r="AT15" s="105"/>
      <c r="AU15" s="105"/>
      <c r="AV15" s="105"/>
      <c r="AW15" s="105"/>
      <c r="AX15" s="105"/>
      <c r="AY15" s="106"/>
      <c r="AZ15" s="106"/>
    </row>
    <row r="16" spans="1:55" s="107" customFormat="1" ht="70.2" customHeight="1" x14ac:dyDescent="0.3">
      <c r="A16" s="109"/>
      <c r="B16" s="112"/>
      <c r="C16" s="109"/>
      <c r="D16" s="109"/>
      <c r="E16" s="109"/>
      <c r="F16" s="109"/>
      <c r="G16" s="109"/>
      <c r="H16" s="109"/>
      <c r="I16" s="104"/>
      <c r="J16" s="104"/>
      <c r="K16" s="105"/>
      <c r="L16" s="105"/>
      <c r="M16" s="105"/>
      <c r="N16" s="105"/>
      <c r="O16" s="105"/>
      <c r="P16" s="105"/>
      <c r="Q16" s="105"/>
      <c r="R16" s="105"/>
      <c r="S16" s="105"/>
      <c r="T16" s="105"/>
      <c r="U16" s="105"/>
      <c r="V16" s="105"/>
      <c r="W16" s="105"/>
      <c r="X16" s="105"/>
      <c r="Y16" s="105"/>
      <c r="Z16" s="105"/>
      <c r="AA16" s="105"/>
      <c r="AB16" s="105"/>
      <c r="AC16" s="105"/>
      <c r="AD16" s="105"/>
      <c r="AE16" s="105"/>
      <c r="AF16" s="105"/>
      <c r="AG16" s="105"/>
      <c r="AH16" s="105"/>
      <c r="AI16" s="105"/>
      <c r="AJ16" s="105"/>
      <c r="AK16" s="105"/>
      <c r="AL16" s="105"/>
      <c r="AM16" s="105"/>
      <c r="AN16" s="105"/>
      <c r="AO16" s="105"/>
      <c r="AP16" s="105"/>
      <c r="AQ16" s="105"/>
      <c r="AR16" s="105"/>
      <c r="AS16" s="105"/>
      <c r="AT16" s="105"/>
      <c r="AU16" s="105"/>
      <c r="AV16" s="105"/>
      <c r="AW16" s="105"/>
      <c r="AX16" s="105"/>
      <c r="AY16" s="106"/>
      <c r="AZ16" s="106"/>
    </row>
    <row r="17" spans="1:51" s="33" customFormat="1" x14ac:dyDescent="0.3">
      <c r="A17" s="46"/>
      <c r="B17" s="74"/>
      <c r="C17" s="47"/>
      <c r="D17" s="47"/>
      <c r="E17" s="48"/>
      <c r="F17" s="48"/>
      <c r="G17" s="78"/>
      <c r="H17" s="47"/>
      <c r="I17" s="37"/>
      <c r="J17" s="40"/>
      <c r="AY17" s="34" t="s">
        <v>45</v>
      </c>
    </row>
    <row r="18" spans="1:51" s="33" customFormat="1" ht="116.25" customHeight="1" x14ac:dyDescent="0.3">
      <c r="A18" s="49"/>
      <c r="B18" s="74"/>
      <c r="C18" s="75"/>
      <c r="D18" s="76"/>
      <c r="E18" s="75"/>
      <c r="F18" s="75"/>
      <c r="G18" s="80"/>
      <c r="H18" s="75"/>
      <c r="I18" s="37"/>
      <c r="J18" s="40"/>
      <c r="AY18" s="34" t="s">
        <v>49</v>
      </c>
    </row>
    <row r="19" spans="1:51" s="33" customFormat="1" x14ac:dyDescent="0.3">
      <c r="A19" s="47"/>
      <c r="B19" s="75"/>
      <c r="C19" s="76"/>
      <c r="D19" s="47"/>
      <c r="E19" s="48"/>
      <c r="F19" s="47"/>
      <c r="G19" s="78"/>
      <c r="H19" s="47"/>
      <c r="I19" s="37"/>
      <c r="J19" s="58"/>
      <c r="AY19" s="34" t="s">
        <v>53</v>
      </c>
    </row>
    <row r="20" spans="1:51" s="33" customFormat="1" x14ac:dyDescent="0.3">
      <c r="A20" s="46"/>
      <c r="B20" s="74"/>
      <c r="C20" s="76"/>
      <c r="D20" s="47"/>
      <c r="E20" s="48"/>
      <c r="F20" s="47"/>
      <c r="G20" s="78"/>
      <c r="H20" s="82"/>
      <c r="I20" s="37"/>
      <c r="J20" s="58"/>
      <c r="U20" s="32"/>
    </row>
    <row r="21" spans="1:51" s="33" customFormat="1" x14ac:dyDescent="0.3">
      <c r="A21" s="46"/>
      <c r="B21" s="79"/>
      <c r="C21" s="81"/>
      <c r="D21" s="77"/>
      <c r="E21" s="78"/>
      <c r="F21" s="77"/>
      <c r="G21" s="78"/>
      <c r="H21" s="82"/>
      <c r="I21" s="37"/>
      <c r="J21" s="58"/>
      <c r="U21" s="32"/>
    </row>
    <row r="22" spans="1:51" s="33" customFormat="1" ht="93" customHeight="1" x14ac:dyDescent="0.3">
      <c r="A22" s="46"/>
      <c r="B22" s="79"/>
      <c r="C22" s="81"/>
      <c r="D22" s="77"/>
      <c r="E22" s="78"/>
      <c r="F22" s="77"/>
      <c r="G22" s="78"/>
      <c r="H22" s="82"/>
      <c r="I22" s="37"/>
      <c r="J22" s="58"/>
      <c r="U22" s="32"/>
    </row>
    <row r="23" spans="1:51" s="33" customFormat="1" x14ac:dyDescent="0.3">
      <c r="A23" s="46"/>
      <c r="B23" s="74"/>
      <c r="C23" s="47"/>
      <c r="D23" s="47"/>
      <c r="E23" s="78"/>
      <c r="F23" s="78"/>
      <c r="G23" s="78"/>
      <c r="H23" s="77"/>
      <c r="I23" s="37"/>
      <c r="J23" s="58"/>
    </row>
    <row r="24" spans="1:51" s="33" customFormat="1" ht="135.75" customHeight="1" x14ac:dyDescent="0.3">
      <c r="A24" s="46"/>
      <c r="B24" s="74"/>
      <c r="C24" s="80"/>
      <c r="D24" s="76"/>
      <c r="E24" s="80"/>
      <c r="F24" s="75"/>
      <c r="G24" s="75"/>
      <c r="H24" s="75"/>
      <c r="I24" s="37"/>
      <c r="J24" s="58"/>
    </row>
    <row r="25" spans="1:51" s="33" customFormat="1" x14ac:dyDescent="0.3">
      <c r="A25" s="46"/>
      <c r="B25" s="74"/>
      <c r="C25" s="76"/>
      <c r="D25" s="47"/>
      <c r="E25" s="78"/>
      <c r="F25" s="77"/>
      <c r="G25" s="78"/>
      <c r="H25" s="77"/>
      <c r="I25" s="37"/>
      <c r="J25" s="58"/>
      <c r="U25" s="32"/>
    </row>
    <row r="26" spans="1:51" s="33" customFormat="1" ht="36.6" customHeight="1" x14ac:dyDescent="0.3">
      <c r="A26" s="46"/>
      <c r="B26" s="82"/>
      <c r="C26" s="47"/>
      <c r="D26" s="47"/>
      <c r="E26" s="78"/>
      <c r="F26" s="47"/>
      <c r="G26" s="48"/>
      <c r="H26" s="47"/>
      <c r="I26" s="37"/>
      <c r="J26" s="58"/>
    </row>
    <row r="27" spans="1:51" s="33" customFormat="1" x14ac:dyDescent="0.3">
      <c r="A27" s="46"/>
      <c r="B27" s="47"/>
      <c r="C27" s="47"/>
      <c r="D27" s="47"/>
      <c r="E27" s="78"/>
      <c r="F27" s="47"/>
      <c r="G27" s="48"/>
      <c r="H27" s="47"/>
      <c r="I27" s="37"/>
      <c r="J27" s="58"/>
    </row>
    <row r="28" spans="1:51" s="33" customFormat="1" x14ac:dyDescent="0.3">
      <c r="A28" s="46"/>
      <c r="B28" s="47"/>
      <c r="C28" s="47"/>
      <c r="D28" s="47"/>
      <c r="E28" s="48"/>
      <c r="F28" s="47"/>
      <c r="G28" s="48"/>
      <c r="H28" s="47"/>
      <c r="I28" s="37"/>
      <c r="J28" s="58"/>
    </row>
    <row r="29" spans="1:51" s="33" customFormat="1" ht="23.25" customHeight="1" x14ac:dyDescent="0.3">
      <c r="A29" s="46"/>
      <c r="B29" s="47"/>
      <c r="C29" s="47"/>
      <c r="D29" s="47"/>
      <c r="E29" s="48"/>
      <c r="F29" s="47"/>
      <c r="G29" s="48"/>
      <c r="H29" s="47"/>
      <c r="I29" s="37"/>
      <c r="J29" s="58"/>
    </row>
    <row r="30" spans="1:51" s="33" customFormat="1" ht="30" customHeight="1" x14ac:dyDescent="0.3">
      <c r="A30" s="46"/>
      <c r="B30" s="47"/>
      <c r="C30" s="47"/>
      <c r="D30" s="47"/>
      <c r="E30" s="48"/>
      <c r="F30" s="47"/>
      <c r="G30" s="48"/>
      <c r="H30" s="47"/>
      <c r="I30" s="37"/>
      <c r="J30" s="58"/>
    </row>
    <row r="31" spans="1:51" s="33" customFormat="1" x14ac:dyDescent="0.3">
      <c r="E31" s="60"/>
    </row>
    <row r="33" spans="5:5" s="33" customFormat="1" x14ac:dyDescent="0.3">
      <c r="E33" s="60"/>
    </row>
    <row r="34" spans="5:5" s="33" customFormat="1" ht="111.75" customHeight="1" x14ac:dyDescent="0.3">
      <c r="E34" s="60"/>
    </row>
    <row r="35" spans="5:5" s="33" customFormat="1" ht="111.75" customHeight="1" x14ac:dyDescent="0.3">
      <c r="E35" s="60"/>
    </row>
  </sheetData>
  <mergeCells count="6">
    <mergeCell ref="A12:J12"/>
    <mergeCell ref="A6:J6"/>
    <mergeCell ref="B1:D1"/>
    <mergeCell ref="B2:D2"/>
    <mergeCell ref="B3:D3"/>
    <mergeCell ref="B4:H4"/>
  </mergeCells>
  <phoneticPr fontId="47" type="noConversion"/>
  <dataValidations count="2">
    <dataValidation type="list" allowBlank="1" showInputMessage="1" showErrorMessage="1" sqref="B3:D3" xr:uid="{00000000-0002-0000-0200-000000000000}">
      <formula1>$BA$1:$BA$19</formula1>
    </dataValidation>
    <dataValidation type="list" allowBlank="1" showInputMessage="1" showErrorMessage="1" sqref="I17:I30" xr:uid="{00000000-0002-0000-0200-000001000000}">
      <formula1>$BB$1:$BB$5</formula1>
    </dataValidation>
  </dataValidations>
  <pageMargins left="0.75" right="0.75" top="1" bottom="1" header="0.5" footer="0.5"/>
  <pageSetup paperSize="9" scale="16" orientation="landscape"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FF0000"/>
  </sheetPr>
  <dimension ref="A1:B12"/>
  <sheetViews>
    <sheetView workbookViewId="0"/>
  </sheetViews>
  <sheetFormatPr defaultRowHeight="13.2" outlineLevelRow="1" x14ac:dyDescent="0.25"/>
  <cols>
    <col min="1" max="1" width="27.109375" customWidth="1"/>
    <col min="2" max="2" width="59.88671875" style="61" customWidth="1"/>
    <col min="3" max="3" width="24.44140625" customWidth="1"/>
  </cols>
  <sheetData>
    <row r="1" spans="1:2" x14ac:dyDescent="0.25">
      <c r="A1" s="62" t="s">
        <v>62</v>
      </c>
      <c r="B1" s="63" t="s">
        <v>0</v>
      </c>
    </row>
    <row r="2" spans="1:2" outlineLevel="1" x14ac:dyDescent="0.25">
      <c r="A2" s="64" t="s">
        <v>56</v>
      </c>
      <c r="B2" s="69" t="str">
        <f>PPRD</f>
        <v>Jun , 2022</v>
      </c>
    </row>
    <row r="3" spans="1:2" x14ac:dyDescent="0.25">
      <c r="A3" s="64" t="s">
        <v>59</v>
      </c>
      <c r="B3" s="65" t="str">
        <f>CRN</f>
        <v>CHG212977</v>
      </c>
    </row>
    <row r="4" spans="1:2" x14ac:dyDescent="0.25">
      <c r="A4" s="64" t="s">
        <v>60</v>
      </c>
      <c r="B4" s="65" t="str">
        <f>MA</f>
        <v>CT</v>
      </c>
    </row>
    <row r="5" spans="1:2" x14ac:dyDescent="0.25">
      <c r="A5" s="64" t="s">
        <v>61</v>
      </c>
      <c r="B5" s="65" t="str">
        <f>Area</f>
        <v>Data</v>
      </c>
    </row>
    <row r="6" spans="1:2" x14ac:dyDescent="0.25">
      <c r="A6" s="64" t="s">
        <v>44</v>
      </c>
      <c r="B6" s="65" t="str">
        <f>Entity</f>
        <v>S_ORDER, S_SRC</v>
      </c>
    </row>
    <row r="7" spans="1:2" x14ac:dyDescent="0.25">
      <c r="A7" s="64" t="s">
        <v>57</v>
      </c>
      <c r="B7" s="66">
        <f>DTested</f>
        <v>44658</v>
      </c>
    </row>
    <row r="8" spans="1:2" x14ac:dyDescent="0.25">
      <c r="A8" s="64" t="s">
        <v>58</v>
      </c>
      <c r="B8" s="67">
        <f>DReviewed</f>
        <v>0</v>
      </c>
    </row>
    <row r="9" spans="1:2" x14ac:dyDescent="0.25">
      <c r="A9" s="64" t="s">
        <v>48</v>
      </c>
      <c r="B9" s="65" t="str">
        <f>TestedBy</f>
        <v>Frank</v>
      </c>
    </row>
    <row r="10" spans="1:2" x14ac:dyDescent="0.25">
      <c r="A10" s="64" t="s">
        <v>52</v>
      </c>
      <c r="B10" s="65">
        <f>ReviewedBy</f>
        <v>0</v>
      </c>
    </row>
    <row r="12" spans="1:2" x14ac:dyDescent="0.25">
      <c r="A12" s="64" t="s">
        <v>63</v>
      </c>
      <c r="B12" s="68" t="s">
        <v>14</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A229"/>
  <sheetViews>
    <sheetView tabSelected="1" topLeftCell="A135" workbookViewId="0">
      <selection activeCell="D156" sqref="D156"/>
    </sheetView>
  </sheetViews>
  <sheetFormatPr defaultColWidth="9.109375" defaultRowHeight="13.2" x14ac:dyDescent="0.25"/>
  <cols>
    <col min="1" max="1" width="44" style="73" bestFit="1" customWidth="1"/>
    <col min="2" max="16384" width="9.109375" style="73"/>
  </cols>
  <sheetData>
    <row r="1" spans="1:1" x14ac:dyDescent="0.25">
      <c r="A1" s="72"/>
    </row>
    <row r="2" spans="1:1" s="83" customFormat="1" x14ac:dyDescent="0.25">
      <c r="A2" s="83" t="s">
        <v>90</v>
      </c>
    </row>
    <row r="20" spans="1:1" s="83" customFormat="1" x14ac:dyDescent="0.25">
      <c r="A20" s="83" t="s">
        <v>91</v>
      </c>
    </row>
    <row r="41" spans="1:1" s="83" customFormat="1" x14ac:dyDescent="0.25">
      <c r="A41" s="83" t="s">
        <v>92</v>
      </c>
    </row>
    <row r="62" spans="1:1" s="83" customFormat="1" x14ac:dyDescent="0.25">
      <c r="A62" s="83" t="s">
        <v>93</v>
      </c>
    </row>
    <row r="73" spans="1:1" x14ac:dyDescent="0.25">
      <c r="A73" s="72"/>
    </row>
    <row r="100" spans="1:1" s="83" customFormat="1" x14ac:dyDescent="0.25">
      <c r="A100" s="83" t="s">
        <v>120</v>
      </c>
    </row>
    <row r="114" spans="1:1" x14ac:dyDescent="0.25">
      <c r="A114" s="72"/>
    </row>
    <row r="122" spans="1:1" s="83" customFormat="1" x14ac:dyDescent="0.25">
      <c r="A122" s="83" t="s">
        <v>125</v>
      </c>
    </row>
    <row r="133" spans="1:1" s="83" customFormat="1" x14ac:dyDescent="0.25">
      <c r="A133" s="83" t="s">
        <v>127</v>
      </c>
    </row>
    <row r="155" spans="1:1" x14ac:dyDescent="0.25">
      <c r="A155" s="72"/>
    </row>
    <row r="194" spans="1:1" x14ac:dyDescent="0.25">
      <c r="A194" s="72"/>
    </row>
    <row r="229" spans="1:1" x14ac:dyDescent="0.25">
      <c r="A229" s="72"/>
    </row>
  </sheetData>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20</vt:i4>
      </vt:variant>
    </vt:vector>
  </HeadingPairs>
  <TitlesOfParts>
    <vt:vector size="25" baseType="lpstr">
      <vt:lpstr>Cover</vt:lpstr>
      <vt:lpstr>Version Control</vt:lpstr>
      <vt:lpstr>Test Cycle 1</vt:lpstr>
      <vt:lpstr>AppConfig</vt:lpstr>
      <vt:lpstr>Screenshot</vt:lpstr>
      <vt:lpstr>AppArea</vt:lpstr>
      <vt:lpstr>AppCRN</vt:lpstr>
      <vt:lpstr>AppDReviewed</vt:lpstr>
      <vt:lpstr>AppDTested</vt:lpstr>
      <vt:lpstr>AppEntity</vt:lpstr>
      <vt:lpstr>AppMA</vt:lpstr>
      <vt:lpstr>AppPPRD</vt:lpstr>
      <vt:lpstr>AppReviewedBy</vt:lpstr>
      <vt:lpstr>AppTestedBy</vt:lpstr>
      <vt:lpstr>Area</vt:lpstr>
      <vt:lpstr>CRN</vt:lpstr>
      <vt:lpstr>DReviewed</vt:lpstr>
      <vt:lpstr>DTested</vt:lpstr>
      <vt:lpstr>dTestedBy</vt:lpstr>
      <vt:lpstr>Entity</vt:lpstr>
      <vt:lpstr>MA</vt:lpstr>
      <vt:lpstr>PPRD</vt:lpstr>
      <vt:lpstr>ReviewedBy</vt:lpstr>
      <vt:lpstr>TestedBy</vt:lpstr>
      <vt:lpstr>TestWrkSht1</vt:lpstr>
    </vt:vector>
  </TitlesOfParts>
  <Company>Accenture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agathe.ravilly</dc:creator>
  <cp:lastModifiedBy>Mingoué Tchagou, Frank</cp:lastModifiedBy>
  <cp:lastPrinted>2013-10-17T06:50:38Z</cp:lastPrinted>
  <dcterms:created xsi:type="dcterms:W3CDTF">2006-03-30T08:28:02Z</dcterms:created>
  <dcterms:modified xsi:type="dcterms:W3CDTF">2022-04-08T09:36:53Z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