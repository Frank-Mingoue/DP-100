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f.mingoue.tchagou\Downloads\"/>
    </mc:Choice>
  </mc:AlternateContent>
  <xr:revisionPtr revIDLastSave="0" documentId="13_ncr:1_{8B7E7783-B633-449E-B997-B851EA21D5AA}" xr6:coauthVersionLast="47" xr6:coauthVersionMax="47" xr10:uidLastSave="{00000000-0000-0000-0000-000000000000}"/>
  <bookViews>
    <workbookView xWindow="-120" yWindow="-16320" windowWidth="29040" windowHeight="15840" tabRatio="893" firstSheet="7" activeTab="12"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8" i="21" l="1"/>
  <c r="B3" i="21"/>
  <c r="B9" i="21"/>
  <c r="B10" i="21"/>
  <c r="C17" i="21"/>
  <c r="C24" i="12" l="1"/>
  <c r="D8" i="1" l="1"/>
  <c r="D5" i="1"/>
  <c r="D4" i="1"/>
  <c r="D3" i="1"/>
  <c r="B38" i="11"/>
  <c r="B7" i="21" l="1"/>
  <c r="C27" i="12"/>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<sst xmlns="http://schemas.openxmlformats.org/spreadsheetml/2006/main" count="364" uniqueCount="279">
  <si>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</si>
  <si>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</si>
  <si>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</si>
  <si>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</si>
  <si>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</si>
  <si>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</si>
  <si>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</si>
  <si>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</si>
  <si>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</si>
  <si>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</si>
  <si>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</si>
  <si>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</si>
  <si>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</si>
  <si>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</si>
  <si>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</si>
  <si>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</si>
  <si>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</si>
  <si>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</si>
  <si>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</si>
  <si>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</si>
  <si>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</si>
  <si>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</si>
  <si>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</si>
  <si>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</si>
  <si>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</si>
  <si>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</si>
  <si>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</si>
  <si>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</si>
  <si>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</si>
  <si>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</si>
  <si>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</si>
  <si>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</si>
  <si>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</si>
  <si>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</si>
  <si>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</si>
  <si>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</si>
  <si>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</si>
  <si>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</si>
  <si>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</si>
  <si>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</si>
  <si>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</si>
  <si>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</si>
  <si>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</si>
  <si>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</si>
  <si>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</si>
  <si>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</si>
  <si>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</si>
  <si>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</si>
  <si>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</si>
  <si>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</si>
  <si>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</si>
  <si>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</si>
  <si>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</si>
  <si>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</si>
  <si>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</si>
  <si>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</si>
  <si>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</si>
  <si>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</si>
  <si>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</si>
  <si>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</si>
  <si>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</si>
  <si>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</si>
  <si>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</si>
  <si>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</si>
  <si>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</si>
  <si>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</si>
  <si>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</si>
  <si>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</si>
  <si>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</si>
  <si>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</si>
  <si>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</si>
  <si>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</si>
  <si>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</si>
  <si>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</si>
  <si>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</si>
  <si>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</si>
  <si>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</si>
  <si>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</si>
  <si>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</si>
  <si>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</si>
  <si>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</si>
  <si>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</si>
  <si>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</si>
  <si>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</si>
  <si>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</si>
  <si>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</si>
  <si>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</si>
  <si>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</si>
  <si>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</si>
  <si>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</si>
  <si>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</si>
  <si>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</si>
  <si>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</si>
  <si>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</si>
  <si>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</si>
  <si>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</si>
  <si>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</si>
  <si>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</si>
  <si>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</si>
  <si>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</si>
  <si>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</si>
  <si>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</si>
  <si>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</si>
  <si>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</si>
  <si>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</si>
  <si>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</si>
  <si>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</si>
  <si>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</si>
  <si>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</si>
  <si>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</si>
  <si>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</si>
  <si>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</si>
  <si>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</si>
  <si>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</si>
  <si>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</si>
  <si>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</si>
  <si>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</si>
  <si>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</si>
  <si>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</si>
  <si>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</si>
  <si>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</si>
  <si>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</si>
  <si>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</si>
  <si>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</si>
  <si>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</si>
  <si>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</si>
  <si>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</si>
  <si>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</si>
  <si>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</si>
  <si>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</si>
  <si>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</si>
  <si>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</si>
  <si>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</si>
  <si>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</si>
  <si>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</si>
  <si>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</si>
  <si>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</si>
  <si>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</si>
  <si>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</si>
  <si>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</si>
  <si>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</si>
  <si>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</si>
  <si>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</si>
  <si>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</si>
  <si>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</si>
  <si>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</si>
  <si>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</si>
  <si>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</si>
  <si>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</si>
  <si>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</si>
  <si>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</si>
  <si>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</si>
  <si>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</si>
  <si>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</si>
  <si>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</si>
  <si>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</si>
  <si>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</si>
  <si>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</si>
  <si>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</si>
  <si>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</si>
  <si>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</si>
  <si>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</si>
  <si>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</si>
  <si>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</si>
  <si>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</si>
  <si>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</si>
  <si>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</si>
  <si>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</si>
  <si>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</si>
  <si>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</si>
  <si>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</si>
  <si>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</si>
  <si>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</si>
  <si>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</si>
  <si>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</si>
  <si>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</si>
  <si>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</si>
  <si>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</si>
  <si>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</si>
  <si>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</si>
  <si>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</si>
  <si>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</si>
  <si>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</si>
  <si>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</si>
  <si>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</si>
  <si>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</si>
  <si>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</si>
  <si>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</si>
  <si>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</si>
  <si>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</si>
  <si>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</si>
  <si>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</si>
  <si>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</si>
  <si>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</si>
  <si>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</si>
  <si>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</si>
  <si>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</si>
  <si>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</si>
  <si>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</si>
  <si>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</si>
  <si>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</si>
  <si>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</si>
  <si>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</si>
  <si>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</si>
  <si>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</si>
  <si>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</si>
  <si>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</si>
  <si>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</si>
  <si>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</si>
  <si>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</si>
  <si>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</si>
  <si>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</si>
  <si>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</si>
  <si>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</si>
  <si>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</si>
  <si>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</si>
  <si>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</si>
  <si>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</si>
  <si>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</si>
  <si>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</si>
  <si>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</si>
  <si>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</si>
  <si>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</si>
  <si>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t>Reviewer</t>
  </si>
  <si>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</si>
  <si>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</si>
  <si>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</si>
  <si>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</si>
  <si>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</si>
  <si>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</si>
  <si>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</si>
  <si>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</si>
  <si>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</si>
  <si>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</si>
  <si>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</si>
  <si>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</si>
  <si>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</si>
  <si>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</si>
  <si>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</si>
  <si>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</si>
  <si>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</si>
  <si>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</si>
  <si>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</si>
  <si>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</si>
  <si>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</si>
  <si>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</si>
  <si>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</si>
  <si>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</si>
  <si>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</si>
  <si>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ad</t>
  </si>
  <si>
    <t>Impacted</t>
  </si>
  <si>
    <t>Santanoo</t>
  </si>
  <si>
    <t>RAMJUG</t>
  </si>
  <si>
    <t>ENYEGUE</t>
  </si>
  <si>
    <t>Jean Patrick</t>
  </si>
  <si>
    <t>Created based on INC4054059</t>
  </si>
  <si>
    <t>INC4054059</t>
  </si>
  <si>
    <t>Modification of the stored procedure sp_Delete_SalesData_Zero</t>
  </si>
  <si>
    <t>Not Impacted</t>
  </si>
  <si>
    <t>sp_Delete_SalesData_Zero</t>
  </si>
  <si>
    <t>OLAP</t>
  </si>
  <si>
    <t>Modification of the stored procedure sp_Delete_SalesData_Zero  to use INTEGRATION_ID2 instead of using INTEGRATION_ID in the insertion statement</t>
  </si>
  <si>
    <t>CT</t>
  </si>
  <si>
    <t>2022-02-28 13:15:34 - Lopez, MiguelWork Notes
Hello again Jean Patrick.
Two new records are returned by the mentioned query:
INTEGRATION_ID
BHmiLhRSv3EYJ44b5qlNDc20Ao50
6l06l4ulkC1wE$TtB0$ceWwicJU0
(the records have different SEGMENT_WID).
Then, as per your suggestion, we might need to use the INTEGRATION_ID2.
Waiting for your assessment.
Thank you and regards,
Miguel</t>
  </si>
  <si>
    <t>Custom</t>
  </si>
  <si>
    <t>sp launched by</t>
  </si>
  <si>
    <t>SIL_Weekly_Aggregate.wrk_SalesData_Fact_Deletion --&gt; s_SalesData_Fact_Deletion</t>
  </si>
  <si>
    <t>WC_SALES_0_DEL_F</t>
  </si>
  <si>
    <t>To Modify</t>
  </si>
  <si>
    <t>INTEGRATION_ID</t>
  </si>
  <si>
    <t>n/a</t>
  </si>
  <si>
    <t>nvarchar (30)</t>
  </si>
  <si>
    <r>
      <t xml:space="preserve">Rename Column to </t>
    </r>
    <r>
      <rPr>
        <b/>
        <sz val="10"/>
        <color theme="9" tint="-0.249977111117893"/>
        <rFont val="Arial"/>
        <family val="2"/>
      </rPr>
      <t>INTEGRATION_ID2</t>
    </r>
  </si>
  <si>
    <t>Proposed</t>
  </si>
  <si>
    <t>Curent</t>
  </si>
  <si>
    <r>
      <t xml:space="preserve">			SET @QUERY = 
				'INSERT INTO WC_SALES_0_DEL_F WITH (TABLOCK) 
					(</t>
    </r>
    <r>
      <rPr>
        <sz val="10"/>
        <color theme="9" tint="-0.249977111117893"/>
        <rFont val="Arial"/>
        <family val="2"/>
      </rPr>
      <t>INTEGRATION_ID2</t>
    </r>
    <r>
      <rPr>
        <sz val="10"/>
        <rFont val="Arial"/>
        <family val="2"/>
      </rPr>
      <t xml:space="preserve">
					, MONTH_WID) 
					SELECT TOP '+CAST(@ROW_COUNT AS NVARCHAR(10))+'
					</t>
    </r>
    <r>
      <rPr>
        <sz val="10"/>
        <color theme="9" tint="-0.249977111117893"/>
        <rFont val="Arial"/>
        <family val="2"/>
      </rPr>
      <t>F.INTEGRATION_ID2</t>
    </r>
    <r>
      <rPr>
        <sz val="10"/>
        <rFont val="Arial"/>
        <family val="2"/>
      </rPr>
      <t>,
					F.MONTH_WID 
					FROM '+@TARGET_TABLE+' F WITH (NOLOCK) 
					LEFT OUTER JOIN WC_SALES_0_DEL_F ON WC_SALES_0_DEL_F.</t>
    </r>
    <r>
      <rPr>
        <sz val="10"/>
        <color theme="9" tint="-0.249977111117893"/>
        <rFont val="Arial"/>
        <family val="2"/>
      </rPr>
      <t>INTEGRATION_ID2</t>
    </r>
    <r>
      <rPr>
        <sz val="10"/>
        <rFont val="Arial"/>
        <family val="2"/>
      </rPr>
      <t xml:space="preserve"> =F.</t>
    </r>
    <r>
      <rPr>
        <sz val="10"/>
        <color theme="9" tint="-0.249977111117893"/>
        <rFont val="Arial"/>
        <family val="2"/>
      </rPr>
      <t>INTEGRATION_ID2</t>
    </r>
    <r>
      <rPr>
        <sz val="10"/>
        <rFont val="Arial"/>
        <family val="2"/>
      </rPr>
      <t xml:space="preserve">
					WHERE .....
					AND WC_SALES_0_DEL_F.</t>
    </r>
    <r>
      <rPr>
        <sz val="10"/>
        <color theme="9" tint="-0.249977111117893"/>
        <rFont val="Arial"/>
        <family val="2"/>
      </rPr>
      <t>INTEGRATION_ID2</t>
    </r>
    <r>
      <rPr>
        <sz val="10"/>
        <rFont val="Arial"/>
        <family val="2"/>
      </rPr>
      <t xml:space="preserve"> IS NULL'</t>
    </r>
  </si>
  <si>
    <r>
      <t xml:space="preserve">			SET @DEL = 'DELETE FROM '+@TARGET_TABLE+'
						WHERE EXISTS (SELECT 1 
						FROM WC_SALES_0_DEL_F 
						WHERE WC_SALES_0_DEL_F.</t>
    </r>
    <r>
      <rPr>
        <sz val="10"/>
        <color theme="9" tint="-0.249977111117893"/>
        <rFont val="Arial"/>
        <family val="2"/>
      </rPr>
      <t>INTEGRATION_ID2</t>
    </r>
    <r>
      <rPr>
        <sz val="10"/>
        <rFont val="Arial"/>
        <family val="2"/>
      </rPr>
      <t xml:space="preserve"> = '+@TARGET_TABLE+'.</t>
    </r>
    <r>
      <rPr>
        <sz val="10"/>
        <color theme="9" tint="-0.249977111117893"/>
        <rFont val="Arial"/>
        <family val="2"/>
      </rPr>
      <t>INTEGRATION_ID2</t>
    </r>
    <r>
      <rPr>
        <sz val="10"/>
        <rFont val="Arial"/>
        <family val="2"/>
      </rPr>
      <t>)'</t>
    </r>
  </si>
  <si>
    <t xml:space="preserve">			SET @QUERY = 
				'INSERT INTO WC_SALES_0_DEL_F WITH (TABLOCK) 
					(INTEGRATION_ID
					, MONTH_WID) 
					SELECT TOP '+CAST(@ROW_COUNT AS NVARCHAR(10))+'
					F.INTEGRATION_ID,
					F.MONTH_WID 
					FROM '+@TARGET_TABLE+' F WITH (NOLOCK) 
					LEFT OUTER JOIN WC_SALES_0_DEL_F ON WC_SALES_0_DEL_F.INTEGRATION_ID =F.INTEGRATION_ID
					WHERE .....
					AND WC_SALES_0_DEL_F.INTEGRATION_ID IS NULL'</t>
  </si>
  <si>
    <t xml:space="preserve">			SET @DEL = 'DELETE FROM '+@TARGET_TABLE+'
						WHERE EXISTS (SELECT 1 
						FROM WC_SALES_0_DEL_F 
						WHERE WC_SALES_0_DEL_F.INTEGRATION_ID = '+@TARGET_TABLE+'.INTEGRATION_ID)'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</si>
</sst>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1"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1"/>
      <color rgb="FF006100"/>
      <name val="Calibri"/>
      <family val="2"/>
      <scheme val="minor"/>
    </font>
    <font>
      <sz val="10"/>
      <color theme="9" tint="-0.249977111117893"/>
      <name val="Arial"/>
      <family val="2"/>
    </font>
    <font>
      <b/>
      <sz val="10"/>
      <color theme="9" tint="-0.249977111117893"/>
      <name val="Arial"/>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48" fillId="35" borderId="0" applyNumberFormat="0" applyBorder="0" applyAlignment="0" applyProtection="0"/>
  </cellStyleXfs>
  <cellXfs count="160">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11" fillId="24" borderId="10" xfId="34" applyFont="1" applyFill="1" applyBorder="1" applyAlignment="1">
      <alignment horizontal="left" vertical="top"/>
    </xf>
    <xf numFmtId="167" fontId="4" fillId="0" borderId="19" xfId="34" applyNumberFormat="1" applyFont="1" applyBorder="1" applyAlignment="1">
      <alignment horizontal="left" vertical="top"/>
    </xf>
    <xf numFmtId="0" fontId="1" fillId="0" borderId="0" xfId="34" applyBorder="1" applyAlignment="1">
      <alignment vertical="top"/>
    </xf>
    <xf numFmtId="0" fontId="4" fillId="0" borderId="0" xfId="34" applyFont="1" applyBorder="1" applyAlignment="1">
      <alignment horizontal="center" vertical="top"/>
    </xf>
    <xf numFmtId="0" fontId="1" fillId="0" borderId="0" xfId="0" applyFont="1" applyAlignment="1">
      <alignment wrapText="1"/>
    </xf>
    <xf numFmtId="0" fontId="1" fillId="0" borderId="0" xfId="0" applyFont="1" applyAlignment="1">
      <alignment horizontal="left" vertical="top" wrapText="1"/>
    </xf>
    <xf numFmtId="0" fontId="33" fillId="26" borderId="0" xfId="0" applyFont="1" applyFill="1" applyBorder="1" applyAlignment="1">
      <alignment wrapText="1"/>
    </xf>
    <xf numFmtId="0" fontId="48" fillId="35" borderId="0" xfId="46"/>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4" fillId="0" borderId="10" xfId="34" applyFont="1" applyFill="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7">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ood" xfId="46" builtinId="26"/>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7" zoomScale="80" zoomScaleNormal="75" workbookViewId="0">
      <selection activeCell="J26" sqref="J26:K26"/>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2" width="21" style="2" customWidth="1"/>
    <col min="13"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06" t="s">
        <v>0</v>
      </c>
      <c r="B13" s="106"/>
      <c r="C13" s="106"/>
      <c r="D13" s="106"/>
      <c r="E13" s="106"/>
      <c r="F13" s="106"/>
      <c r="G13" s="106"/>
      <c r="H13" s="106"/>
      <c r="I13" s="106"/>
      <c r="J13" s="106"/>
      <c r="K13" s="106"/>
      <c r="L13" s="106"/>
      <c r="M13" s="106"/>
      <c r="N13" s="106"/>
      <c r="O13" s="106"/>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07" t="s">
        <v>12</v>
      </c>
      <c r="B20" s="107"/>
      <c r="C20" s="107"/>
      <c r="D20" s="107"/>
      <c r="E20" s="107"/>
      <c r="F20" s="107"/>
      <c r="G20" s="107"/>
      <c r="H20" s="107"/>
      <c r="I20" s="107"/>
      <c r="J20" s="107"/>
      <c r="K20" s="107"/>
      <c r="L20" s="107"/>
      <c r="M20" s="107"/>
      <c r="N20" s="107"/>
      <c r="O20" s="107"/>
    </row>
    <row r="21" spans="1:15" ht="30.6" x14ac:dyDescent="0.55000000000000004">
      <c r="A21" s="107" t="s">
        <v>13</v>
      </c>
      <c r="B21" s="107"/>
      <c r="C21" s="107"/>
      <c r="D21" s="107"/>
      <c r="E21" s="107"/>
      <c r="F21" s="107"/>
      <c r="G21" s="107"/>
      <c r="H21" s="107"/>
      <c r="I21" s="107"/>
      <c r="J21" s="107"/>
      <c r="K21" s="107"/>
      <c r="L21" s="107"/>
      <c r="M21" s="107"/>
      <c r="N21" s="107"/>
      <c r="O21" s="107"/>
    </row>
    <row r="22" spans="1:15" ht="13.8" x14ac:dyDescent="0.3">
      <c r="A22" s="1"/>
      <c r="B22" s="1"/>
      <c r="C22" s="1"/>
      <c r="D22" s="1"/>
      <c r="E22" s="1"/>
      <c r="F22" s="1"/>
      <c r="G22" s="1"/>
      <c r="H22" s="1"/>
      <c r="I22" s="1"/>
    </row>
    <row r="23" spans="1:15" ht="30.6" x14ac:dyDescent="0.55000000000000004">
      <c r="A23" s="87"/>
      <c r="B23" s="87"/>
      <c r="C23" s="87"/>
      <c r="D23" s="87"/>
      <c r="E23" s="87"/>
      <c r="F23" s="88"/>
      <c r="G23" s="107" t="s">
        <v>237</v>
      </c>
      <c r="H23" s="110"/>
      <c r="I23" s="90" t="s">
        <v>256</v>
      </c>
      <c r="J23" s="88"/>
      <c r="L23" s="87"/>
      <c r="M23" s="87"/>
      <c r="N23" s="87"/>
      <c r="O23" s="87"/>
    </row>
    <row r="24" spans="1:15" s="6" customFormat="1" ht="27.75" customHeight="1" x14ac:dyDescent="0.55000000000000004">
      <c r="A24" s="93"/>
      <c r="B24" s="93"/>
      <c r="C24" s="93"/>
      <c r="D24" s="93"/>
      <c r="F24" s="95"/>
      <c r="G24" s="107" t="s">
        <v>243</v>
      </c>
      <c r="H24" s="107"/>
      <c r="I24" s="90" t="s">
        <v>257</v>
      </c>
      <c r="J24" s="93"/>
      <c r="K24" s="93"/>
      <c r="L24" s="93"/>
      <c r="M24" s="93"/>
      <c r="N24" s="93"/>
      <c r="O24" s="93"/>
    </row>
    <row r="25" spans="1:15" ht="28.2" x14ac:dyDescent="0.5">
      <c r="F25" s="113" t="s">
        <v>236</v>
      </c>
      <c r="G25" s="113"/>
      <c r="H25" s="113"/>
      <c r="I25" s="113"/>
      <c r="J25" s="113"/>
      <c r="K25" s="113"/>
      <c r="L25" s="94">
        <v>44734</v>
      </c>
    </row>
    <row r="26" spans="1:15" ht="28.2" x14ac:dyDescent="0.5">
      <c r="F26" s="114" t="s">
        <v>244</v>
      </c>
      <c r="G26" s="114"/>
      <c r="H26" s="114"/>
      <c r="I26" s="114"/>
      <c r="J26" s="111" t="s">
        <v>262</v>
      </c>
      <c r="K26" s="112"/>
    </row>
    <row r="27" spans="1:15" ht="15.6" x14ac:dyDescent="0.3">
      <c r="A27" s="109"/>
      <c r="B27" s="109"/>
      <c r="C27" s="109"/>
      <c r="D27" s="109"/>
      <c r="E27" s="109"/>
      <c r="F27" s="109"/>
      <c r="G27" s="109"/>
      <c r="H27" s="109"/>
      <c r="I27" s="109"/>
    </row>
    <row r="28" spans="1:15" ht="18" customHeight="1" x14ac:dyDescent="0.35">
      <c r="A28" s="108"/>
      <c r="B28" s="108"/>
      <c r="C28" s="108"/>
      <c r="D28" s="108"/>
      <c r="E28" s="108"/>
      <c r="F28" s="108"/>
      <c r="G28" s="108"/>
      <c r="H28" s="108"/>
      <c r="I28" s="108"/>
    </row>
    <row r="37" spans="1:9" ht="18" customHeight="1" x14ac:dyDescent="0.25"/>
    <row r="38" spans="1:9" ht="15.6" x14ac:dyDescent="0.3">
      <c r="A38" s="3" t="s">
        <v>1</v>
      </c>
      <c r="B38" s="4">
        <f ca="1">TODAY()</f>
        <v>44637</v>
      </c>
      <c r="C38" s="1"/>
      <c r="D38" s="1"/>
      <c r="E38" s="1"/>
      <c r="F38" s="1"/>
      <c r="G38" s="1"/>
      <c r="H38" s="1"/>
      <c r="I38" s="1"/>
    </row>
    <row r="39" spans="1:9" ht="15.6" x14ac:dyDescent="0.3">
      <c r="A39" s="3" t="s">
        <v>2</v>
      </c>
      <c r="B39" s="5" t="s">
        <v>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Q11" sqref="Q11"/>
    </sheetView>
  </sheetViews>
  <sheetFormatPr defaultColWidth="9.109375" defaultRowHeight="13.8" x14ac:dyDescent="0.25"/>
  <cols>
    <col min="1" max="1" width="7.88671875" style="9" customWidth="1"/>
    <col min="2" max="2" width="22.109375" style="9" customWidth="1"/>
    <col min="3" max="3" width="6.44140625" style="9" customWidth="1"/>
    <col min="4" max="4" width="21.5546875" style="9" customWidth="1"/>
    <col min="5" max="5" width="0.109375" style="9" customWidth="1"/>
    <col min="6" max="6" width="9.109375" style="9" hidden="1" customWidth="1"/>
    <col min="7" max="7" width="19.6640625" style="9" customWidth="1"/>
    <col min="8" max="8" width="9.109375" style="9" hidden="1" customWidth="1"/>
    <col min="9" max="9" width="9.33203125" style="9" hidden="1" customWidth="1"/>
    <col min="10" max="10" width="11.109375" style="9" customWidth="1"/>
    <col min="11" max="11" width="12.44140625" style="9" customWidth="1"/>
    <col min="12" max="12" width="9.109375" style="9" hidden="1" customWidth="1"/>
    <col min="13" max="13" width="28" style="9" customWidth="1"/>
    <col min="14" max="15" width="9.109375" style="9"/>
    <col min="16" max="16" width="15" style="9" customWidth="1"/>
    <col min="17" max="17" width="37.109375" style="9" customWidth="1"/>
    <col min="18" max="24" width="9.109375" style="9"/>
    <col min="25" max="25" width="0" style="9" hidden="1" customWidth="1"/>
    <col min="26" max="16384" width="9.109375" style="9"/>
  </cols>
  <sheetData>
    <row r="1" spans="1:25" ht="15.6" x14ac:dyDescent="0.25">
      <c r="A1" s="7" t="s">
        <v>4</v>
      </c>
      <c r="B1" s="8"/>
      <c r="C1" s="8"/>
      <c r="D1" s="8"/>
      <c r="E1" s="8"/>
      <c r="F1" s="8"/>
      <c r="G1" s="8"/>
      <c r="H1" s="8"/>
      <c r="I1" s="8"/>
      <c r="Y1" s="9" t="s">
        <v>246</v>
      </c>
    </row>
    <row r="2" spans="1:25" x14ac:dyDescent="0.25">
      <c r="A2" s="10"/>
      <c r="B2" s="8"/>
      <c r="C2" s="8"/>
      <c r="D2" s="8"/>
      <c r="E2" s="8"/>
      <c r="F2" s="10"/>
      <c r="G2" s="8"/>
      <c r="H2" s="8"/>
      <c r="I2" s="8"/>
      <c r="Y2" s="9" t="s">
        <v>245</v>
      </c>
    </row>
    <row r="3" spans="1:25" x14ac:dyDescent="0.25">
      <c r="A3" s="128" t="s">
        <v>5</v>
      </c>
      <c r="B3" s="128"/>
      <c r="C3" s="128"/>
      <c r="D3" s="128" t="s">
        <v>6</v>
      </c>
      <c r="E3" s="128"/>
      <c r="F3" s="128"/>
      <c r="G3" s="128" t="s">
        <v>7</v>
      </c>
      <c r="H3" s="128"/>
      <c r="I3" s="128"/>
      <c r="J3" s="122" t="s">
        <v>8</v>
      </c>
      <c r="K3" s="126"/>
      <c r="L3" s="127"/>
      <c r="M3" s="128" t="s">
        <v>9</v>
      </c>
      <c r="N3" s="128"/>
      <c r="O3" s="128"/>
      <c r="P3" s="98" t="s">
        <v>149</v>
      </c>
      <c r="Q3" s="11" t="s">
        <v>10</v>
      </c>
      <c r="Y3" s="9" t="s">
        <v>247</v>
      </c>
    </row>
    <row r="4" spans="1:25" x14ac:dyDescent="0.25">
      <c r="A4" s="118" t="s">
        <v>253</v>
      </c>
      <c r="B4" s="119"/>
      <c r="C4" s="120"/>
      <c r="D4" s="118" t="s">
        <v>254</v>
      </c>
      <c r="E4" s="120"/>
      <c r="F4" s="12"/>
      <c r="G4" s="121" t="s">
        <v>225</v>
      </c>
      <c r="H4" s="121"/>
      <c r="I4" s="121"/>
      <c r="J4" s="132">
        <v>1</v>
      </c>
      <c r="K4" s="133"/>
      <c r="L4" s="13"/>
      <c r="M4" s="129">
        <v>44623</v>
      </c>
      <c r="N4" s="130"/>
      <c r="O4" s="131"/>
      <c r="P4" s="99" t="s">
        <v>246</v>
      </c>
      <c r="Q4" s="14" t="s">
        <v>255</v>
      </c>
      <c r="U4" s="15"/>
      <c r="Y4" s="9" t="s">
        <v>248</v>
      </c>
    </row>
    <row r="5" spans="1:25" x14ac:dyDescent="0.25">
      <c r="A5" s="118" t="s">
        <v>252</v>
      </c>
      <c r="B5" s="119"/>
      <c r="C5" s="120"/>
      <c r="D5" s="118" t="s">
        <v>251</v>
      </c>
      <c r="E5" s="120"/>
      <c r="F5" s="12"/>
      <c r="G5" s="121" t="s">
        <v>223</v>
      </c>
      <c r="H5" s="121"/>
      <c r="I5" s="121"/>
      <c r="J5" s="132">
        <v>1</v>
      </c>
      <c r="K5" s="133"/>
      <c r="L5" s="13"/>
      <c r="M5" s="129">
        <v>44623</v>
      </c>
      <c r="N5" s="130"/>
      <c r="O5" s="131"/>
      <c r="P5" s="99" t="s">
        <v>246</v>
      </c>
      <c r="Q5" s="14"/>
      <c r="U5" s="15"/>
    </row>
    <row r="6" spans="1:25" x14ac:dyDescent="0.25">
      <c r="A6" s="8"/>
      <c r="B6" s="8"/>
      <c r="C6" s="8"/>
      <c r="D6" s="8"/>
      <c r="E6" s="8"/>
      <c r="F6" s="8"/>
      <c r="G6" s="8"/>
      <c r="H6" s="8"/>
      <c r="I6" s="8"/>
    </row>
    <row r="7" spans="1:25" ht="15.6" x14ac:dyDescent="0.25">
      <c r="A7" s="7" t="s">
        <v>67</v>
      </c>
      <c r="B7" s="7"/>
      <c r="C7" s="7"/>
      <c r="D7" s="7"/>
      <c r="E7" s="8"/>
      <c r="F7" s="10"/>
      <c r="G7" s="8"/>
      <c r="H7" s="8"/>
      <c r="I7" s="8"/>
    </row>
    <row r="8" spans="1:25" x14ac:dyDescent="0.25">
      <c r="A8" s="8"/>
      <c r="B8" s="8"/>
      <c r="C8" s="8"/>
      <c r="D8" s="8"/>
      <c r="E8" s="8"/>
      <c r="F8" s="8"/>
      <c r="G8" s="8"/>
      <c r="H8" s="8"/>
      <c r="I8" s="8"/>
    </row>
    <row r="9" spans="1:25" ht="29.25" customHeight="1" x14ac:dyDescent="0.25">
      <c r="A9" s="125" t="s">
        <v>5</v>
      </c>
      <c r="B9" s="124"/>
      <c r="C9" s="125" t="s">
        <v>6</v>
      </c>
      <c r="D9" s="124"/>
      <c r="E9" s="125" t="s">
        <v>7</v>
      </c>
      <c r="F9" s="123"/>
      <c r="G9" s="124"/>
      <c r="H9" s="122" t="s">
        <v>8</v>
      </c>
      <c r="I9" s="123"/>
      <c r="J9" s="124"/>
      <c r="K9" s="125" t="s">
        <v>9</v>
      </c>
      <c r="L9" s="124"/>
      <c r="M9" s="125" t="s">
        <v>11</v>
      </c>
      <c r="N9" s="123"/>
      <c r="O9" s="124"/>
      <c r="P9" s="100"/>
    </row>
    <row r="10" spans="1:25" x14ac:dyDescent="0.25">
      <c r="A10" s="117"/>
      <c r="B10" s="117"/>
      <c r="C10" s="117"/>
      <c r="D10" s="117"/>
      <c r="E10" s="117"/>
      <c r="F10" s="117"/>
      <c r="G10" s="117"/>
      <c r="H10" s="117"/>
      <c r="I10" s="117"/>
      <c r="J10" s="117"/>
      <c r="K10" s="117"/>
      <c r="L10" s="117"/>
      <c r="M10" s="117"/>
      <c r="N10" s="117"/>
      <c r="O10" s="117"/>
      <c r="P10" s="101"/>
    </row>
    <row r="11" spans="1:25" x14ac:dyDescent="0.25">
      <c r="A11" s="117"/>
      <c r="B11" s="117"/>
      <c r="C11" s="117"/>
      <c r="D11" s="117"/>
      <c r="E11" s="117"/>
      <c r="F11" s="117"/>
      <c r="G11" s="117"/>
      <c r="H11" s="117"/>
      <c r="I11" s="117"/>
      <c r="J11" s="117"/>
      <c r="K11" s="117"/>
      <c r="L11" s="117"/>
      <c r="M11" s="117"/>
      <c r="N11" s="117"/>
      <c r="O11" s="117"/>
      <c r="P11" s="101"/>
    </row>
    <row r="12" spans="1:25" x14ac:dyDescent="0.25">
      <c r="A12" s="117"/>
      <c r="B12" s="117"/>
      <c r="C12" s="117"/>
      <c r="D12" s="117"/>
      <c r="E12" s="117"/>
      <c r="F12" s="117"/>
      <c r="G12" s="117"/>
      <c r="H12" s="117"/>
      <c r="I12" s="117"/>
      <c r="J12" s="117"/>
      <c r="K12" s="117"/>
      <c r="L12" s="117"/>
      <c r="M12" s="117"/>
      <c r="N12" s="117"/>
      <c r="O12" s="117"/>
      <c r="P12" s="101"/>
    </row>
    <row r="13" spans="1:25" x14ac:dyDescent="0.25">
      <c r="A13" s="117"/>
      <c r="B13" s="117"/>
      <c r="C13" s="117"/>
      <c r="D13" s="117"/>
      <c r="E13" s="117"/>
      <c r="F13" s="117"/>
      <c r="G13" s="117"/>
      <c r="H13" s="117"/>
      <c r="I13" s="117"/>
      <c r="J13" s="117"/>
      <c r="K13" s="117"/>
      <c r="L13" s="117"/>
      <c r="M13" s="117"/>
      <c r="N13" s="117"/>
      <c r="O13" s="117"/>
      <c r="P13" s="101"/>
    </row>
    <row r="14" spans="1:25" x14ac:dyDescent="0.25">
      <c r="A14" s="117"/>
      <c r="B14" s="117"/>
      <c r="C14" s="117"/>
      <c r="D14" s="117"/>
      <c r="E14" s="117"/>
      <c r="F14" s="117"/>
      <c r="G14" s="117"/>
      <c r="H14" s="117"/>
      <c r="I14" s="117"/>
      <c r="J14" s="117"/>
      <c r="K14" s="117"/>
      <c r="L14" s="117"/>
      <c r="M14" s="117"/>
      <c r="N14" s="117"/>
      <c r="O14" s="117"/>
      <c r="P14" s="101"/>
    </row>
    <row r="15" spans="1:25" x14ac:dyDescent="0.25">
      <c r="A15" s="117"/>
      <c r="B15" s="117"/>
      <c r="C15" s="117"/>
      <c r="D15" s="117"/>
      <c r="E15" s="117"/>
      <c r="F15" s="117"/>
      <c r="G15" s="117"/>
      <c r="H15" s="117"/>
      <c r="I15" s="117"/>
      <c r="J15" s="117"/>
      <c r="K15" s="117"/>
      <c r="L15" s="117"/>
      <c r="M15" s="117"/>
      <c r="N15" s="117"/>
      <c r="O15" s="117"/>
      <c r="P15" s="101"/>
    </row>
    <row r="16" spans="1:25" x14ac:dyDescent="0.25">
      <c r="A16" s="117"/>
      <c r="B16" s="117"/>
      <c r="C16" s="117"/>
      <c r="D16" s="117"/>
      <c r="E16" s="117"/>
      <c r="F16" s="117"/>
      <c r="G16" s="117"/>
      <c r="H16" s="117"/>
      <c r="I16" s="117"/>
      <c r="J16" s="117"/>
      <c r="K16" s="117"/>
      <c r="L16" s="117"/>
      <c r="M16" s="117"/>
      <c r="N16" s="117"/>
      <c r="O16" s="117"/>
      <c r="P16" s="101"/>
    </row>
    <row r="17" spans="1:16" x14ac:dyDescent="0.25">
      <c r="A17" s="117"/>
      <c r="B17" s="117"/>
      <c r="C17" s="117"/>
      <c r="D17" s="117"/>
      <c r="E17" s="117"/>
      <c r="F17" s="117"/>
      <c r="G17" s="117"/>
      <c r="H17" s="117"/>
      <c r="I17" s="117"/>
      <c r="J17" s="117"/>
      <c r="K17" s="117"/>
      <c r="L17" s="117"/>
      <c r="M17" s="117"/>
      <c r="N17" s="117"/>
      <c r="O17" s="117"/>
      <c r="P17" s="101"/>
    </row>
    <row r="20" spans="1:16" x14ac:dyDescent="0.25">
      <c r="A20" s="115" t="s">
        <v>14</v>
      </c>
      <c r="B20" s="115"/>
      <c r="C20" s="115" t="s">
        <v>15</v>
      </c>
      <c r="D20" s="115"/>
    </row>
    <row r="21" spans="1:16" x14ac:dyDescent="0.25">
      <c r="A21" s="116" t="s">
        <v>70</v>
      </c>
      <c r="B21" s="116"/>
      <c r="C21" s="117">
        <v>0</v>
      </c>
      <c r="D21" s="117"/>
    </row>
    <row r="22" spans="1:16" x14ac:dyDescent="0.25">
      <c r="A22" s="116" t="s">
        <v>71</v>
      </c>
      <c r="B22" s="116"/>
      <c r="C22" s="117">
        <v>0</v>
      </c>
      <c r="D22" s="117"/>
    </row>
    <row r="23" spans="1:16" x14ac:dyDescent="0.25">
      <c r="A23" s="116" t="s">
        <v>178</v>
      </c>
      <c r="B23" s="116"/>
      <c r="C23" s="117">
        <v>0</v>
      </c>
      <c r="D23" s="117"/>
    </row>
    <row r="24" spans="1:16" x14ac:dyDescent="0.25">
      <c r="A24" s="116" t="s">
        <v>16</v>
      </c>
      <c r="B24" s="116"/>
      <c r="C24" s="117">
        <f>'1.0 DB Schema'!B24+'2.0 Ifb &amp; PHP'!B29+'3.0 Mapping'!B8+'4.0 Worklet &amp; workflow'!B17+'5.0 Stored Procedure'!B10+'4.1 Session Details'!B9</f>
        <v>0</v>
      </c>
      <c r="D24" s="117"/>
    </row>
    <row r="25" spans="1:16" x14ac:dyDescent="0.25">
      <c r="A25" s="116" t="s">
        <v>19</v>
      </c>
      <c r="B25" s="116"/>
      <c r="C25" s="117">
        <v>0</v>
      </c>
      <c r="D25" s="117"/>
    </row>
    <row r="26" spans="1:16" x14ac:dyDescent="0.25">
      <c r="A26" s="116" t="s">
        <v>17</v>
      </c>
      <c r="B26" s="116"/>
      <c r="C26" s="144">
        <v>0</v>
      </c>
      <c r="D26" s="145"/>
    </row>
    <row r="27" spans="1:16" x14ac:dyDescent="0.25">
      <c r="A27" s="134" t="s">
        <v>18</v>
      </c>
      <c r="B27" s="134"/>
      <c r="C27" s="115">
        <f>SUM(C21:E26)</f>
        <v>0</v>
      </c>
      <c r="D27" s="115"/>
    </row>
    <row r="30" spans="1:16" x14ac:dyDescent="0.25">
      <c r="B30" s="141" t="s">
        <v>81</v>
      </c>
      <c r="C30" s="142"/>
      <c r="D30" s="142"/>
      <c r="E30" s="142"/>
      <c r="F30" s="142"/>
      <c r="G30" s="142"/>
      <c r="H30" s="142"/>
      <c r="I30" s="142"/>
      <c r="J30" s="142"/>
      <c r="K30" s="142"/>
      <c r="L30" s="142"/>
      <c r="M30" s="143"/>
    </row>
    <row r="31" spans="1:16" ht="33.75" customHeight="1" x14ac:dyDescent="0.25">
      <c r="B31" s="139" t="s">
        <v>70</v>
      </c>
      <c r="C31" s="140"/>
      <c r="D31" s="138" t="s">
        <v>177</v>
      </c>
      <c r="E31" s="138"/>
      <c r="F31" s="138"/>
      <c r="G31" s="138"/>
      <c r="H31" s="138"/>
      <c r="I31" s="138"/>
      <c r="J31" s="138"/>
      <c r="K31" s="138"/>
      <c r="L31" s="138"/>
      <c r="M31" s="138"/>
    </row>
    <row r="32" spans="1:16" ht="39.75" customHeight="1" x14ac:dyDescent="0.25">
      <c r="B32" s="139" t="s">
        <v>71</v>
      </c>
      <c r="C32" s="140"/>
      <c r="D32" s="138" t="s">
        <v>82</v>
      </c>
      <c r="E32" s="138"/>
      <c r="F32" s="138"/>
      <c r="G32" s="138"/>
      <c r="H32" s="138"/>
      <c r="I32" s="138"/>
      <c r="J32" s="138"/>
      <c r="K32" s="138"/>
      <c r="L32" s="138"/>
      <c r="M32" s="138"/>
    </row>
    <row r="33" spans="2:13" ht="236.25" customHeight="1" x14ac:dyDescent="0.25">
      <c r="B33" s="139" t="s">
        <v>178</v>
      </c>
      <c r="C33" s="140"/>
      <c r="D33" s="138" t="s">
        <v>249</v>
      </c>
      <c r="E33" s="138"/>
      <c r="F33" s="138"/>
      <c r="G33" s="138"/>
      <c r="H33" s="138"/>
      <c r="I33" s="138"/>
      <c r="J33" s="138"/>
      <c r="K33" s="138"/>
      <c r="L33" s="138"/>
      <c r="M33" s="138"/>
    </row>
    <row r="34" spans="2:13" x14ac:dyDescent="0.25">
      <c r="B34" s="139" t="s">
        <v>16</v>
      </c>
      <c r="C34" s="140"/>
      <c r="D34" s="138" t="s">
        <v>112</v>
      </c>
      <c r="E34" s="138"/>
      <c r="F34" s="138"/>
      <c r="G34" s="138"/>
      <c r="H34" s="138"/>
      <c r="I34" s="138"/>
      <c r="J34" s="138"/>
      <c r="K34" s="138"/>
      <c r="L34" s="138"/>
      <c r="M34" s="138"/>
    </row>
    <row r="35" spans="2:13" ht="52.5" customHeight="1" x14ac:dyDescent="0.25">
      <c r="B35" s="139" t="s">
        <v>19</v>
      </c>
      <c r="C35" s="140"/>
      <c r="D35" s="135" t="s">
        <v>113</v>
      </c>
      <c r="E35" s="136"/>
      <c r="F35" s="136"/>
      <c r="G35" s="136"/>
      <c r="H35" s="136"/>
      <c r="I35" s="136"/>
      <c r="J35" s="136"/>
      <c r="K35" s="136"/>
      <c r="L35" s="136"/>
      <c r="M35" s="137"/>
    </row>
    <row r="36" spans="2:13" ht="34.5" customHeight="1" x14ac:dyDescent="0.25">
      <c r="B36" s="139" t="s">
        <v>17</v>
      </c>
      <c r="C36" s="140"/>
      <c r="D36" s="138" t="s">
        <v>114</v>
      </c>
      <c r="E36" s="138"/>
      <c r="F36" s="138"/>
      <c r="G36" s="138"/>
      <c r="H36" s="138"/>
      <c r="I36" s="138"/>
      <c r="J36" s="138"/>
      <c r="K36" s="138"/>
      <c r="L36" s="138"/>
      <c r="M36" s="138"/>
    </row>
    <row r="37" spans="2:13" ht="29.25" customHeight="1" x14ac:dyDescent="0.25"/>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K6" sqref="K6"/>
    </sheetView>
  </sheetViews>
  <sheetFormatPr defaultColWidth="11.44140625" defaultRowHeight="13.2" x14ac:dyDescent="0.25"/>
  <cols>
    <col min="1" max="1" width="4.33203125" style="43" customWidth="1"/>
    <col min="2" max="2" width="87.44140625" style="26" customWidth="1"/>
    <col min="3" max="3" width="10.6640625" style="26" customWidth="1"/>
    <col min="4" max="16384" width="11.44140625" style="26"/>
  </cols>
  <sheetData>
    <row r="1" spans="1:2" ht="13.8" thickBot="1" x14ac:dyDescent="0.3">
      <c r="A1" s="146" t="s">
        <v>69</v>
      </c>
      <c r="B1" s="146"/>
    </row>
    <row r="2" spans="1:2" x14ac:dyDescent="0.25">
      <c r="A2" s="41"/>
      <c r="B2" s="30" t="s">
        <v>60</v>
      </c>
    </row>
    <row r="3" spans="1:2" x14ac:dyDescent="0.25">
      <c r="A3" s="42"/>
      <c r="B3" s="25"/>
    </row>
    <row r="4" spans="1:2" x14ac:dyDescent="0.25">
      <c r="B4" s="28"/>
    </row>
    <row r="5" spans="1:2" x14ac:dyDescent="0.25">
      <c r="A5" s="41" t="s">
        <v>59</v>
      </c>
      <c r="B5" s="29" t="s">
        <v>61</v>
      </c>
    </row>
    <row r="6" spans="1:2" ht="248.25" customHeight="1" x14ac:dyDescent="0.25">
      <c r="A6" s="42">
        <v>1</v>
      </c>
      <c r="B6" s="31" t="s">
        <v>263</v>
      </c>
    </row>
    <row r="7" spans="1:2" x14ac:dyDescent="0.25">
      <c r="A7" s="42">
        <v>2</v>
      </c>
      <c r="B7" s="25"/>
    </row>
    <row r="8" spans="1:2" x14ac:dyDescent="0.25">
      <c r="A8" s="42">
        <v>3</v>
      </c>
      <c r="B8" s="25"/>
    </row>
    <row r="9" spans="1:2" x14ac:dyDescent="0.25">
      <c r="A9" s="42" t="s">
        <v>62</v>
      </c>
      <c r="B9" s="25"/>
    </row>
    <row r="10" spans="1:2" x14ac:dyDescent="0.25">
      <c r="A10" s="42" t="s">
        <v>63</v>
      </c>
      <c r="B10" s="25"/>
    </row>
    <row r="12" spans="1:2" x14ac:dyDescent="0.25">
      <c r="A12" s="41" t="s">
        <v>59</v>
      </c>
      <c r="B12" s="29" t="s">
        <v>64</v>
      </c>
    </row>
    <row r="13" spans="1:2" x14ac:dyDescent="0.25">
      <c r="A13" s="42">
        <v>4</v>
      </c>
      <c r="B13" s="25"/>
    </row>
    <row r="15" spans="1:2" x14ac:dyDescent="0.25">
      <c r="A15" s="41" t="s">
        <v>59</v>
      </c>
      <c r="B15" s="29" t="s">
        <v>65</v>
      </c>
    </row>
    <row r="16" spans="1:2" x14ac:dyDescent="0.25">
      <c r="A16" s="42">
        <v>5</v>
      </c>
      <c r="B16" s="25"/>
    </row>
    <row r="17" spans="1:2" ht="13.8" thickBot="1" x14ac:dyDescent="0.3"/>
    <row r="18" spans="1:2" x14ac:dyDescent="0.25">
      <c r="A18" s="44" t="s">
        <v>59</v>
      </c>
      <c r="B18" s="27" t="s">
        <v>66</v>
      </c>
    </row>
    <row r="19" spans="1:2" x14ac:dyDescent="0.25">
      <c r="A19" s="42">
        <v>6</v>
      </c>
      <c r="B19" s="25"/>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B8" sqref="B8"/>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47" t="s">
        <v>143</v>
      </c>
      <c r="B1" s="148"/>
      <c r="C1" s="148"/>
      <c r="D1" s="149"/>
      <c r="M1" s="57" t="s">
        <v>144</v>
      </c>
      <c r="N1" s="58"/>
      <c r="O1" s="58"/>
      <c r="P1" s="58"/>
      <c r="Q1" s="58"/>
      <c r="R1" s="59"/>
    </row>
    <row r="2" spans="1:18" ht="13.8" thickBot="1" x14ac:dyDescent="0.3">
      <c r="C2" s="26"/>
      <c r="M2" s="60" t="s">
        <v>145</v>
      </c>
      <c r="N2" s="61"/>
      <c r="O2" s="61"/>
      <c r="P2" s="61"/>
      <c r="Q2" s="61"/>
      <c r="R2" s="62"/>
    </row>
    <row r="3" spans="1:18" x14ac:dyDescent="0.25">
      <c r="A3" s="67" t="s">
        <v>148</v>
      </c>
      <c r="B3" s="37"/>
      <c r="C3" s="37"/>
      <c r="M3" s="60" t="s">
        <v>146</v>
      </c>
      <c r="N3" s="61"/>
      <c r="O3" s="61"/>
      <c r="P3" s="61"/>
      <c r="Q3" s="61"/>
      <c r="R3" s="62"/>
    </row>
    <row r="4" spans="1:18" ht="25.5" customHeight="1" x14ac:dyDescent="0.25">
      <c r="A4" s="17" t="s">
        <v>150</v>
      </c>
      <c r="B4" s="17" t="s">
        <v>152</v>
      </c>
      <c r="C4" s="36" t="s">
        <v>149</v>
      </c>
      <c r="D4" s="36" t="s">
        <v>31</v>
      </c>
      <c r="M4" s="63" t="s">
        <v>147</v>
      </c>
      <c r="N4" s="61"/>
      <c r="O4" s="61"/>
      <c r="P4" s="61"/>
      <c r="Q4" s="61"/>
      <c r="R4" s="62"/>
    </row>
    <row r="5" spans="1:18" ht="132.6" thickBot="1" x14ac:dyDescent="0.3">
      <c r="A5" s="50" t="s">
        <v>151</v>
      </c>
      <c r="B5" s="31" t="s">
        <v>156</v>
      </c>
      <c r="C5" s="16"/>
      <c r="D5" s="16"/>
      <c r="M5" s="64"/>
      <c r="N5" s="65"/>
      <c r="O5" s="65"/>
      <c r="P5" s="65"/>
      <c r="Q5" s="65"/>
      <c r="R5" s="66"/>
    </row>
    <row r="6" spans="1:18" x14ac:dyDescent="0.25">
      <c r="A6" s="50" t="s">
        <v>153</v>
      </c>
      <c r="B6" s="50" t="s">
        <v>154</v>
      </c>
      <c r="C6" s="16"/>
      <c r="D6" s="16"/>
    </row>
    <row r="7" spans="1:18" x14ac:dyDescent="0.25">
      <c r="A7" s="50" t="s">
        <v>173</v>
      </c>
      <c r="B7" s="50" t="s">
        <v>174</v>
      </c>
      <c r="C7" s="16"/>
      <c r="D7" s="16"/>
    </row>
    <row r="8" spans="1:18" ht="92.4" x14ac:dyDescent="0.25">
      <c r="A8" s="50" t="s">
        <v>155</v>
      </c>
      <c r="B8" s="31" t="s">
        <v>157</v>
      </c>
      <c r="C8" s="16"/>
      <c r="D8" s="16"/>
    </row>
    <row r="9" spans="1:18" x14ac:dyDescent="0.25">
      <c r="A9" s="50" t="s">
        <v>158</v>
      </c>
      <c r="B9" s="50" t="s">
        <v>159</v>
      </c>
      <c r="C9" s="16"/>
      <c r="D9" s="16"/>
    </row>
    <row r="10" spans="1:18" x14ac:dyDescent="0.25">
      <c r="A10" s="50" t="s">
        <v>160</v>
      </c>
      <c r="B10" s="16"/>
      <c r="C10" s="16"/>
      <c r="D10" s="16"/>
    </row>
    <row r="11" spans="1:18" x14ac:dyDescent="0.25">
      <c r="A11" s="50" t="s">
        <v>161</v>
      </c>
      <c r="B11" s="50" t="s">
        <v>162</v>
      </c>
      <c r="C11" s="16"/>
      <c r="D11" s="16"/>
    </row>
    <row r="12" spans="1:18" x14ac:dyDescent="0.25">
      <c r="A12" s="50" t="s">
        <v>163</v>
      </c>
      <c r="B12" s="50" t="s">
        <v>164</v>
      </c>
      <c r="C12" s="16"/>
      <c r="D12" s="16"/>
    </row>
    <row r="13" spans="1:18" x14ac:dyDescent="0.25">
      <c r="A13" s="50" t="s">
        <v>165</v>
      </c>
      <c r="B13" s="50" t="s">
        <v>166</v>
      </c>
      <c r="C13" s="16"/>
      <c r="D13" s="16"/>
    </row>
    <row r="14" spans="1:18" x14ac:dyDescent="0.25">
      <c r="A14" s="50" t="s">
        <v>167</v>
      </c>
      <c r="B14" s="50" t="s">
        <v>168</v>
      </c>
      <c r="C14" s="16"/>
      <c r="D14" s="16"/>
    </row>
    <row r="15" spans="1:18" x14ac:dyDescent="0.25">
      <c r="A15" s="50" t="s">
        <v>169</v>
      </c>
      <c r="B15" s="50" t="s">
        <v>170</v>
      </c>
      <c r="C15" s="16"/>
      <c r="D15" s="16"/>
    </row>
    <row r="16" spans="1:18" x14ac:dyDescent="0.25">
      <c r="A16" s="50" t="s">
        <v>171</v>
      </c>
      <c r="B16" s="50" t="s">
        <v>172</v>
      </c>
      <c r="C16" s="16"/>
      <c r="D16" s="16"/>
    </row>
    <row r="17" spans="1:4" x14ac:dyDescent="0.25">
      <c r="A17" s="50" t="s">
        <v>175</v>
      </c>
      <c r="B17" s="50" t="s">
        <v>176</v>
      </c>
      <c r="C17" s="16"/>
      <c r="D17" s="16"/>
    </row>
    <row r="18" spans="1:4" x14ac:dyDescent="0.25">
      <c r="A18" s="70" t="s">
        <v>221</v>
      </c>
      <c r="B18" s="70" t="s">
        <v>222</v>
      </c>
      <c r="C18" s="16"/>
      <c r="D18" s="16"/>
    </row>
    <row r="19" spans="1:4" x14ac:dyDescent="0.25">
      <c r="A19" s="70" t="s">
        <v>240</v>
      </c>
      <c r="B19" s="50" t="s">
        <v>241</v>
      </c>
      <c r="C19" s="16"/>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80" t="s">
        <v>226</v>
      </c>
      <c r="B1" s="81" t="s">
        <v>227</v>
      </c>
    </row>
    <row r="2" spans="1:3" x14ac:dyDescent="0.25">
      <c r="A2" s="82" t="s">
        <v>228</v>
      </c>
      <c r="B2" s="83">
        <f>PPRD</f>
        <v>44734</v>
      </c>
      <c r="C2" s="69"/>
    </row>
    <row r="3" spans="1:3" x14ac:dyDescent="0.25">
      <c r="A3" s="82" t="s">
        <v>232</v>
      </c>
      <c r="B3" s="84" t="str">
        <f>CRNIRN</f>
        <v>INC4054059</v>
      </c>
      <c r="C3" s="69"/>
    </row>
    <row r="4" spans="1:3" x14ac:dyDescent="0.25">
      <c r="A4" s="82" t="s">
        <v>94</v>
      </c>
      <c r="B4" s="84" t="str">
        <f>MA</f>
        <v>CT</v>
      </c>
      <c r="C4" s="69"/>
    </row>
    <row r="5" spans="1:3" x14ac:dyDescent="0.25">
      <c r="A5" s="82" t="s">
        <v>229</v>
      </c>
      <c r="B5" s="84" t="s">
        <v>230</v>
      </c>
    </row>
    <row r="6" spans="1:3" x14ac:dyDescent="0.25">
      <c r="A6" s="82" t="s">
        <v>231</v>
      </c>
      <c r="B6" s="86" t="s">
        <v>233</v>
      </c>
    </row>
    <row r="7" spans="1:3" x14ac:dyDescent="0.25">
      <c r="A7" s="82" t="s">
        <v>235</v>
      </c>
      <c r="B7" s="89">
        <f>DevDReviewed</f>
        <v>44623</v>
      </c>
      <c r="C7" s="69"/>
    </row>
    <row r="8" spans="1:3" x14ac:dyDescent="0.25">
      <c r="A8" s="82" t="s">
        <v>239</v>
      </c>
      <c r="B8" s="86" t="str">
        <f>DevNameReviewed</f>
        <v>Jean PatrickENYEGUE</v>
      </c>
      <c r="C8" s="69"/>
    </row>
    <row r="9" spans="1:3" x14ac:dyDescent="0.25">
      <c r="A9" s="82" t="s">
        <v>234</v>
      </c>
      <c r="B9" s="85">
        <f>DateReviewed</f>
        <v>44623</v>
      </c>
      <c r="C9" s="69"/>
    </row>
    <row r="10" spans="1:3" x14ac:dyDescent="0.25">
      <c r="A10" s="82" t="s">
        <v>238</v>
      </c>
      <c r="B10" s="86" t="str">
        <f>ReviewedBy</f>
        <v>SantanooRAMJUG</v>
      </c>
      <c r="C10" s="69"/>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3" sqref="D3"/>
    </sheetView>
  </sheetViews>
  <sheetFormatPr defaultColWidth="9.109375" defaultRowHeight="13.2" x14ac:dyDescent="0.25"/>
  <cols>
    <col min="1" max="1" width="19.44140625" style="71" customWidth="1"/>
    <col min="2" max="2" width="42.5546875" style="71" customWidth="1"/>
    <col min="3" max="3" width="50.88671875" style="71" customWidth="1"/>
    <col min="4" max="4" width="27.44140625" style="71" customWidth="1"/>
    <col min="5" max="5" width="32.33203125" style="71" customWidth="1"/>
    <col min="6" max="16384" width="9.109375" style="71"/>
  </cols>
  <sheetData>
    <row r="1" spans="1:5" ht="13.8" thickBot="1" x14ac:dyDescent="0.3">
      <c r="A1" s="147" t="s">
        <v>46</v>
      </c>
      <c r="B1" s="148"/>
      <c r="C1" s="148"/>
      <c r="D1" s="150"/>
    </row>
    <row r="2" spans="1:5" x14ac:dyDescent="0.25">
      <c r="B2" s="17" t="s">
        <v>47</v>
      </c>
      <c r="C2" s="17" t="s">
        <v>141</v>
      </c>
      <c r="D2" s="17" t="s">
        <v>142</v>
      </c>
      <c r="E2" s="72"/>
    </row>
    <row r="3" spans="1:5" ht="39.6" x14ac:dyDescent="0.25">
      <c r="B3" s="73" t="s">
        <v>45</v>
      </c>
      <c r="C3" s="74" t="s">
        <v>53</v>
      </c>
      <c r="D3" s="75" t="str">
        <f>IF(ISBLANK('1.0 DB Schema'!B24)=FALSE,"Impacted","Not Impacted")</f>
        <v>Impacted</v>
      </c>
      <c r="E3" s="76"/>
    </row>
    <row r="4" spans="1:5" ht="26.4" x14ac:dyDescent="0.25">
      <c r="B4" s="73" t="s">
        <v>48</v>
      </c>
      <c r="C4" s="74" t="s">
        <v>54</v>
      </c>
      <c r="D4" s="75" t="str">
        <f>IF(ISBLANK('2.0 Ifb &amp; PHP'!B29)=FALSE,"Impacted","Not Impacted")</f>
        <v>Not Impacted</v>
      </c>
      <c r="E4" s="76"/>
    </row>
    <row r="5" spans="1:5" ht="39.6" x14ac:dyDescent="0.25">
      <c r="B5" s="73" t="s">
        <v>49</v>
      </c>
      <c r="C5" s="74" t="s">
        <v>55</v>
      </c>
      <c r="D5" s="75" t="str">
        <f>IF(ISBLANK('3.0 Mapping'!B8)=FALSE,"Impacted","Not Impacted")</f>
        <v>Not Impacted</v>
      </c>
      <c r="E5" s="76"/>
    </row>
    <row r="6" spans="1:5" ht="26.4" x14ac:dyDescent="0.25">
      <c r="B6" s="73" t="s">
        <v>50</v>
      </c>
      <c r="C6" s="74" t="s">
        <v>56</v>
      </c>
      <c r="D6" s="75" t="s">
        <v>258</v>
      </c>
      <c r="E6" s="76"/>
    </row>
    <row r="7" spans="1:5" ht="26.4" x14ac:dyDescent="0.25">
      <c r="B7" s="73" t="s">
        <v>34</v>
      </c>
      <c r="C7" s="74" t="s">
        <v>57</v>
      </c>
      <c r="D7" s="75" t="s">
        <v>250</v>
      </c>
      <c r="E7" s="76"/>
    </row>
    <row r="8" spans="1:5" ht="26.4" x14ac:dyDescent="0.25">
      <c r="B8" s="73" t="s">
        <v>43</v>
      </c>
      <c r="C8" s="74" t="s">
        <v>58</v>
      </c>
      <c r="D8" s="75" t="str">
        <f>IF(ISBLANK('6.0 Data Update'!E5)=FALSE,"Impacted","Not Impacted")</f>
        <v>Not Impacted</v>
      </c>
      <c r="E8" s="76"/>
    </row>
    <row r="10" spans="1:5" ht="13.8" thickBot="1" x14ac:dyDescent="0.3"/>
    <row r="11" spans="1:5" ht="13.8" thickBot="1" x14ac:dyDescent="0.3">
      <c r="B11" s="20" t="s">
        <v>218</v>
      </c>
    </row>
    <row r="12" spans="1:5" x14ac:dyDescent="0.25">
      <c r="B12" s="17" t="s">
        <v>182</v>
      </c>
      <c r="C12" s="17" t="s">
        <v>194</v>
      </c>
      <c r="D12" s="17" t="s">
        <v>217</v>
      </c>
    </row>
    <row r="13" spans="1:5" x14ac:dyDescent="0.25">
      <c r="B13" s="75" t="s">
        <v>183</v>
      </c>
      <c r="C13" s="75" t="s">
        <v>210</v>
      </c>
      <c r="D13" s="77" t="s">
        <v>205</v>
      </c>
    </row>
    <row r="14" spans="1:5" x14ac:dyDescent="0.25">
      <c r="B14" s="75" t="s">
        <v>184</v>
      </c>
      <c r="C14" s="77" t="s">
        <v>214</v>
      </c>
      <c r="D14" s="75" t="s">
        <v>195</v>
      </c>
    </row>
    <row r="15" spans="1:5" x14ac:dyDescent="0.25">
      <c r="B15" s="75" t="s">
        <v>185</v>
      </c>
      <c r="C15" s="75" t="s">
        <v>208</v>
      </c>
      <c r="D15" s="75" t="s">
        <v>196</v>
      </c>
    </row>
    <row r="16" spans="1:5" x14ac:dyDescent="0.25">
      <c r="B16" s="75" t="s">
        <v>186</v>
      </c>
      <c r="C16" s="75" t="s">
        <v>209</v>
      </c>
      <c r="D16" s="75" t="s">
        <v>197</v>
      </c>
    </row>
    <row r="17" spans="2:4" x14ac:dyDescent="0.25">
      <c r="B17" s="75" t="s">
        <v>187</v>
      </c>
      <c r="C17" s="77" t="s">
        <v>207</v>
      </c>
      <c r="D17" s="75" t="s">
        <v>198</v>
      </c>
    </row>
    <row r="18" spans="2:4" x14ac:dyDescent="0.25">
      <c r="B18" s="75" t="s">
        <v>188</v>
      </c>
      <c r="C18" s="75" t="s">
        <v>211</v>
      </c>
      <c r="D18" s="75" t="s">
        <v>199</v>
      </c>
    </row>
    <row r="19" spans="2:4" x14ac:dyDescent="0.25">
      <c r="B19" s="75" t="s">
        <v>189</v>
      </c>
      <c r="C19" s="75" t="s">
        <v>212</v>
      </c>
      <c r="D19" s="75" t="s">
        <v>200</v>
      </c>
    </row>
    <row r="20" spans="2:4" x14ac:dyDescent="0.25">
      <c r="B20" s="75" t="s">
        <v>190</v>
      </c>
      <c r="C20" s="77" t="s">
        <v>215</v>
      </c>
      <c r="D20" s="75" t="s">
        <v>201</v>
      </c>
    </row>
    <row r="21" spans="2:4" x14ac:dyDescent="0.25">
      <c r="B21" s="75" t="s">
        <v>191</v>
      </c>
      <c r="C21" s="77" t="s">
        <v>213</v>
      </c>
      <c r="D21" s="75" t="s">
        <v>204</v>
      </c>
    </row>
    <row r="22" spans="2:4" x14ac:dyDescent="0.25">
      <c r="B22" s="75" t="s">
        <v>192</v>
      </c>
      <c r="C22" s="77" t="s">
        <v>216</v>
      </c>
      <c r="D22" s="75" t="s">
        <v>202</v>
      </c>
    </row>
    <row r="23" spans="2:4" x14ac:dyDescent="0.25">
      <c r="B23" s="75" t="s">
        <v>193</v>
      </c>
      <c r="C23" s="75" t="s">
        <v>206</v>
      </c>
      <c r="D23" s="75" t="s">
        <v>203</v>
      </c>
    </row>
    <row r="24" spans="2:4" x14ac:dyDescent="0.25">
      <c r="B24" s="75" t="s">
        <v>179</v>
      </c>
      <c r="C24" s="75"/>
      <c r="D24" s="75"/>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24"/>
  <sheetViews>
    <sheetView workbookViewId="0">
      <selection activeCell="J14" sqref="J13:J14"/>
    </sheetView>
  </sheetViews>
  <sheetFormatPr defaultRowHeight="13.2" x14ac:dyDescent="0.25"/>
  <cols>
    <col min="1" max="1" width="31.88671875" bestFit="1" customWidth="1"/>
    <col min="2" max="2" width="25" bestFit="1" customWidth="1"/>
    <col min="3" max="3" width="41.44140625" bestFit="1" customWidth="1"/>
    <col min="4" max="4" width="25" bestFit="1" customWidth="1"/>
    <col min="5" max="5" width="20.5546875" bestFit="1" customWidth="1"/>
    <col min="6" max="6" width="43.109375" customWidth="1"/>
    <col min="10" max="10" width="18.88671875" bestFit="1" customWidth="1"/>
    <col min="11" max="11" width="26.5546875" bestFit="1" customWidth="1"/>
    <col min="25" max="25" width="20" customWidth="1"/>
  </cols>
  <sheetData>
    <row r="1" spans="1:27" ht="13.8" thickBot="1" x14ac:dyDescent="0.3">
      <c r="A1" s="147" t="s">
        <v>20</v>
      </c>
      <c r="B1" s="148"/>
      <c r="C1" s="149"/>
    </row>
    <row r="2" spans="1:27" ht="14.4" thickBot="1" x14ac:dyDescent="0.3">
      <c r="E2" s="92" t="s">
        <v>91</v>
      </c>
      <c r="F2" s="45"/>
      <c r="G2" s="45"/>
      <c r="H2" s="45"/>
      <c r="I2" s="45"/>
      <c r="J2" s="45"/>
      <c r="K2" s="45"/>
      <c r="W2" s="69"/>
    </row>
    <row r="3" spans="1:27" ht="13.8" thickBot="1" x14ac:dyDescent="0.3">
      <c r="A3" s="20" t="s">
        <v>51</v>
      </c>
      <c r="B3" s="18"/>
      <c r="C3" s="18"/>
      <c r="E3" s="46" t="s">
        <v>92</v>
      </c>
      <c r="F3" s="45"/>
      <c r="G3" s="45"/>
      <c r="H3" s="45"/>
      <c r="I3" s="45"/>
      <c r="J3" s="45"/>
      <c r="K3" s="45"/>
      <c r="X3" s="69"/>
    </row>
    <row r="4" spans="1:27" x14ac:dyDescent="0.25">
      <c r="A4" s="19" t="s">
        <v>21</v>
      </c>
      <c r="B4" s="17" t="s">
        <v>36</v>
      </c>
      <c r="C4" s="17" t="s">
        <v>31</v>
      </c>
      <c r="E4" s="46" t="s">
        <v>133</v>
      </c>
      <c r="F4" s="46"/>
      <c r="G4" s="46"/>
      <c r="H4" s="46"/>
      <c r="I4" s="46"/>
      <c r="J4" s="45"/>
      <c r="K4" s="45"/>
    </row>
    <row r="5" spans="1:27" x14ac:dyDescent="0.25">
      <c r="A5" s="50" t="s">
        <v>267</v>
      </c>
      <c r="B5" s="50" t="s">
        <v>260</v>
      </c>
      <c r="C5" s="50" t="s">
        <v>268</v>
      </c>
      <c r="E5" s="46" t="s">
        <v>93</v>
      </c>
      <c r="F5" s="46"/>
      <c r="G5" s="46"/>
      <c r="H5" s="46"/>
      <c r="I5" s="46"/>
      <c r="J5" s="45"/>
      <c r="K5" s="45"/>
    </row>
    <row r="6" spans="1:27" x14ac:dyDescent="0.25">
      <c r="A6" s="16"/>
      <c r="B6" s="16"/>
      <c r="C6" s="16"/>
      <c r="E6" s="91" t="s">
        <v>242</v>
      </c>
      <c r="F6" s="45"/>
      <c r="G6" s="45"/>
      <c r="H6" s="45"/>
      <c r="I6" s="45"/>
      <c r="J6" s="45"/>
      <c r="K6" s="45"/>
      <c r="X6" s="69"/>
    </row>
    <row r="7" spans="1:27" x14ac:dyDescent="0.25">
      <c r="A7" s="16"/>
      <c r="B7" s="16"/>
      <c r="C7" s="16"/>
    </row>
    <row r="8" spans="1:27" ht="13.8" thickBot="1" x14ac:dyDescent="0.3">
      <c r="X8" s="69"/>
    </row>
    <row r="9" spans="1:27" ht="13.8" thickBot="1" x14ac:dyDescent="0.3">
      <c r="A9" s="20" t="s">
        <v>52</v>
      </c>
      <c r="X9" s="69"/>
    </row>
    <row r="10" spans="1:27" x14ac:dyDescent="0.25">
      <c r="A10" s="19" t="s">
        <v>21</v>
      </c>
      <c r="B10" s="17" t="s">
        <v>22</v>
      </c>
      <c r="C10" s="17" t="s">
        <v>23</v>
      </c>
      <c r="D10" s="17" t="s">
        <v>36</v>
      </c>
      <c r="E10" s="17" t="s">
        <v>90</v>
      </c>
      <c r="F10" s="17" t="s">
        <v>31</v>
      </c>
      <c r="X10" s="69"/>
    </row>
    <row r="11" spans="1:27" x14ac:dyDescent="0.25">
      <c r="A11" s="50" t="s">
        <v>267</v>
      </c>
      <c r="B11" s="50" t="s">
        <v>269</v>
      </c>
      <c r="C11" s="50" t="s">
        <v>271</v>
      </c>
      <c r="D11" s="50" t="s">
        <v>260</v>
      </c>
      <c r="E11" s="50" t="s">
        <v>270</v>
      </c>
      <c r="F11" s="50" t="s">
        <v>272</v>
      </c>
    </row>
    <row r="12" spans="1:27" x14ac:dyDescent="0.25">
      <c r="A12" s="40"/>
      <c r="B12" s="40"/>
      <c r="C12" s="40"/>
      <c r="D12" s="40"/>
      <c r="E12" s="40"/>
      <c r="F12" s="40"/>
    </row>
    <row r="13" spans="1:27" ht="13.8" thickBot="1" x14ac:dyDescent="0.3">
      <c r="A13" s="32"/>
      <c r="B13" s="32"/>
      <c r="C13" s="32"/>
      <c r="D13" s="32"/>
      <c r="E13" s="32"/>
      <c r="F13" s="32"/>
    </row>
    <row r="14" spans="1:27" ht="13.8" thickBot="1" x14ac:dyDescent="0.3">
      <c r="A14" s="20" t="s">
        <v>85</v>
      </c>
      <c r="D14" s="32"/>
      <c r="E14" s="32"/>
      <c r="F14" s="32"/>
    </row>
    <row r="15" spans="1:27" x14ac:dyDescent="0.25">
      <c r="A15" s="19" t="s">
        <v>86</v>
      </c>
      <c r="B15" s="17" t="s">
        <v>87</v>
      </c>
      <c r="C15" s="17" t="s">
        <v>88</v>
      </c>
      <c r="D15" s="17" t="s">
        <v>89</v>
      </c>
      <c r="E15" s="32"/>
      <c r="F15" s="32"/>
    </row>
    <row r="16" spans="1:27" x14ac:dyDescent="0.25">
      <c r="A16" s="50" t="s">
        <v>179</v>
      </c>
      <c r="B16" s="40"/>
      <c r="C16" s="40"/>
      <c r="D16" s="16"/>
      <c r="E16" s="32"/>
      <c r="F16" s="32"/>
      <c r="AA16" s="69"/>
    </row>
    <row r="17" spans="1:29" x14ac:dyDescent="0.25">
      <c r="A17" s="40"/>
      <c r="B17" s="40"/>
      <c r="C17" s="40"/>
      <c r="D17" s="16"/>
      <c r="E17" s="32"/>
      <c r="F17" s="32"/>
      <c r="AA17" s="69"/>
    </row>
    <row r="18" spans="1:29" ht="13.8" thickBot="1" x14ac:dyDescent="0.3">
      <c r="A18" s="68"/>
      <c r="B18" s="68"/>
      <c r="C18" s="68"/>
      <c r="D18" s="32"/>
      <c r="E18" s="32"/>
      <c r="F18" s="32"/>
    </row>
    <row r="19" spans="1:29" ht="13.8" thickBot="1" x14ac:dyDescent="0.3">
      <c r="A19" s="20" t="s">
        <v>219</v>
      </c>
      <c r="B19" s="68"/>
      <c r="C19" s="68"/>
      <c r="D19" s="32"/>
      <c r="E19" s="32"/>
      <c r="F19" s="32"/>
    </row>
    <row r="20" spans="1:29" x14ac:dyDescent="0.25">
      <c r="A20" s="19" t="s">
        <v>182</v>
      </c>
      <c r="B20" s="17" t="s">
        <v>220</v>
      </c>
      <c r="E20" s="32"/>
      <c r="F20" s="32"/>
    </row>
    <row r="21" spans="1:29" x14ac:dyDescent="0.25">
      <c r="A21" s="40" t="s">
        <v>179</v>
      </c>
      <c r="B21" s="40"/>
      <c r="C21" s="32"/>
      <c r="D21" s="32"/>
      <c r="E21" s="32"/>
      <c r="F21" s="32"/>
      <c r="AC21" s="69"/>
    </row>
    <row r="22" spans="1:29" x14ac:dyDescent="0.25">
      <c r="A22" s="40"/>
      <c r="B22" s="40"/>
      <c r="C22" s="32"/>
      <c r="D22" s="32"/>
      <c r="E22" s="32"/>
      <c r="F22" s="32"/>
    </row>
    <row r="23" spans="1:29" x14ac:dyDescent="0.25">
      <c r="A23" s="24" t="s">
        <v>14</v>
      </c>
      <c r="B23" s="24" t="s">
        <v>44</v>
      </c>
    </row>
    <row r="24" spans="1:29" x14ac:dyDescent="0.25">
      <c r="A24" s="23"/>
      <c r="B24" s="23">
        <v>0</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29"/>
  <sheetViews>
    <sheetView workbookViewId="0">
      <selection activeCell="D23" sqref="D23"/>
    </sheetView>
  </sheetViews>
  <sheetFormatPr defaultRowHeight="13.2" x14ac:dyDescent="0.25"/>
  <cols>
    <col min="1" max="1" width="28.33203125" bestFit="1" customWidth="1"/>
    <col min="2" max="2" width="36.33203125" style="26" customWidth="1"/>
    <col min="3" max="3" width="32.88671875" customWidth="1"/>
  </cols>
  <sheetData>
    <row r="1" spans="1:3" ht="13.8" thickBot="1" x14ac:dyDescent="0.3">
      <c r="A1" s="147" t="s">
        <v>24</v>
      </c>
      <c r="B1" s="148"/>
      <c r="C1" s="149"/>
    </row>
    <row r="2" spans="1:3" ht="13.8" thickBot="1" x14ac:dyDescent="0.3"/>
    <row r="3" spans="1:3" ht="13.8" thickBot="1" x14ac:dyDescent="0.3">
      <c r="A3" s="21" t="s">
        <v>84</v>
      </c>
      <c r="B3" s="37"/>
    </row>
    <row r="4" spans="1:3" x14ac:dyDescent="0.25">
      <c r="A4" s="19" t="s">
        <v>25</v>
      </c>
      <c r="B4" s="36" t="s">
        <v>31</v>
      </c>
    </row>
    <row r="5" spans="1:3" x14ac:dyDescent="0.25">
      <c r="A5" s="50" t="s">
        <v>179</v>
      </c>
      <c r="B5" s="25"/>
    </row>
    <row r="6" spans="1:3" x14ac:dyDescent="0.25">
      <c r="A6" s="16"/>
      <c r="B6" s="25"/>
    </row>
    <row r="7" spans="1:3" ht="13.8" thickBot="1" x14ac:dyDescent="0.3"/>
    <row r="8" spans="1:3" ht="13.8" thickBot="1" x14ac:dyDescent="0.3">
      <c r="A8" s="21" t="s">
        <v>26</v>
      </c>
      <c r="B8" s="37"/>
      <c r="C8" s="18"/>
    </row>
    <row r="9" spans="1:3" x14ac:dyDescent="0.25">
      <c r="A9" s="19" t="s">
        <v>27</v>
      </c>
      <c r="B9" s="36" t="s">
        <v>31</v>
      </c>
    </row>
    <row r="10" spans="1:3" x14ac:dyDescent="0.25">
      <c r="A10" s="50" t="s">
        <v>179</v>
      </c>
      <c r="B10" s="25"/>
    </row>
    <row r="11" spans="1:3" x14ac:dyDescent="0.25">
      <c r="A11" s="16"/>
      <c r="B11" s="25"/>
    </row>
    <row r="12" spans="1:3" ht="13.8" thickBot="1" x14ac:dyDescent="0.3"/>
    <row r="13" spans="1:3" ht="13.8" thickBot="1" x14ac:dyDescent="0.3">
      <c r="A13" s="21" t="s">
        <v>33</v>
      </c>
    </row>
    <row r="14" spans="1:3" x14ac:dyDescent="0.25">
      <c r="A14" s="19" t="s">
        <v>25</v>
      </c>
      <c r="B14" s="36" t="s">
        <v>31</v>
      </c>
    </row>
    <row r="15" spans="1:3" x14ac:dyDescent="0.25">
      <c r="A15" s="50" t="s">
        <v>179</v>
      </c>
      <c r="B15" s="25"/>
    </row>
    <row r="16" spans="1:3" x14ac:dyDescent="0.25">
      <c r="A16" s="16"/>
      <c r="B16" s="25"/>
    </row>
    <row r="17" spans="1:2" ht="13.8" thickBot="1" x14ac:dyDescent="0.3">
      <c r="A17" s="32"/>
      <c r="B17" s="28"/>
    </row>
    <row r="18" spans="1:2" ht="13.8" thickBot="1" x14ac:dyDescent="0.3">
      <c r="A18" s="21" t="s">
        <v>128</v>
      </c>
    </row>
    <row r="19" spans="1:2" x14ac:dyDescent="0.25">
      <c r="A19" s="19" t="s">
        <v>25</v>
      </c>
      <c r="B19" s="36" t="s">
        <v>31</v>
      </c>
    </row>
    <row r="20" spans="1:2" x14ac:dyDescent="0.25">
      <c r="A20" s="50" t="s">
        <v>179</v>
      </c>
      <c r="B20" s="25"/>
    </row>
    <row r="21" spans="1:2" x14ac:dyDescent="0.25">
      <c r="A21" s="16"/>
      <c r="B21" s="25"/>
    </row>
    <row r="22" spans="1:2" ht="13.8" thickBot="1" x14ac:dyDescent="0.3">
      <c r="A22" s="32"/>
      <c r="B22" s="28"/>
    </row>
    <row r="23" spans="1:2" ht="13.8" thickBot="1" x14ac:dyDescent="0.3">
      <c r="A23" s="21" t="s">
        <v>127</v>
      </c>
    </row>
    <row r="24" spans="1:2" x14ac:dyDescent="0.25">
      <c r="A24" s="19" t="s">
        <v>25</v>
      </c>
      <c r="B24" s="36" t="s">
        <v>31</v>
      </c>
    </row>
    <row r="25" spans="1:2" x14ac:dyDescent="0.25">
      <c r="A25" s="50" t="s">
        <v>179</v>
      </c>
      <c r="B25" s="25"/>
    </row>
    <row r="26" spans="1:2" x14ac:dyDescent="0.25">
      <c r="A26" s="16"/>
      <c r="B26" s="25"/>
    </row>
    <row r="28" spans="1:2" x14ac:dyDescent="0.25">
      <c r="A28" s="24" t="s">
        <v>14</v>
      </c>
      <c r="B28" s="38" t="s">
        <v>44</v>
      </c>
    </row>
    <row r="29" spans="1:2" x14ac:dyDescent="0.25">
      <c r="A29" s="23"/>
      <c r="B29" s="39"/>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8"/>
  <sheetViews>
    <sheetView workbookViewId="0">
      <selection activeCell="K22" sqref="K22"/>
    </sheetView>
  </sheetViews>
  <sheetFormatPr defaultRowHeight="13.2" x14ac:dyDescent="0.25"/>
  <cols>
    <col min="1" max="1" width="19.109375" customWidth="1"/>
    <col min="2" max="2" width="14.44140625" bestFit="1" customWidth="1"/>
    <col min="3" max="3" width="9.5546875" bestFit="1" customWidth="1"/>
  </cols>
  <sheetData>
    <row r="1" spans="1:3" ht="13.8" thickBot="1" x14ac:dyDescent="0.3">
      <c r="A1" s="147" t="s">
        <v>28</v>
      </c>
      <c r="B1" s="148"/>
      <c r="C1" s="149"/>
    </row>
    <row r="3" spans="1:3" x14ac:dyDescent="0.25">
      <c r="A3" s="17" t="s">
        <v>29</v>
      </c>
      <c r="B3" s="17" t="s">
        <v>30</v>
      </c>
      <c r="C3" s="17" t="s">
        <v>31</v>
      </c>
    </row>
    <row r="4" spans="1:3" x14ac:dyDescent="0.25">
      <c r="A4" s="50" t="s">
        <v>179</v>
      </c>
      <c r="B4" s="16"/>
      <c r="C4" s="16"/>
    </row>
    <row r="5" spans="1:3" x14ac:dyDescent="0.25">
      <c r="A5" s="16"/>
      <c r="B5" s="16"/>
      <c r="C5" s="16"/>
    </row>
    <row r="7" spans="1:3" x14ac:dyDescent="0.25">
      <c r="A7" s="24" t="s">
        <v>14</v>
      </c>
      <c r="B7" s="24" t="s">
        <v>44</v>
      </c>
    </row>
    <row r="8" spans="1:3" x14ac:dyDescent="0.25">
      <c r="A8" s="23"/>
      <c r="B8" s="23"/>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12"/>
  <sheetViews>
    <sheetView workbookViewId="0">
      <selection activeCell="G21" sqref="G21"/>
    </sheetView>
  </sheetViews>
  <sheetFormatPr defaultRowHeight="13.2" x14ac:dyDescent="0.25"/>
  <cols>
    <col min="1" max="1" width="14.44140625" bestFit="1" customWidth="1"/>
    <col min="2" max="2" width="15" bestFit="1" customWidth="1"/>
    <col min="3" max="3" width="14.6640625" bestFit="1" customWidth="1"/>
    <col min="4" max="4" width="9.6640625" bestFit="1" customWidth="1"/>
    <col min="5" max="5" width="12.6640625" bestFit="1" customWidth="1"/>
    <col min="6" max="6" width="15" bestFit="1" customWidth="1"/>
    <col min="7" max="7" width="14.44140625" bestFit="1" customWidth="1"/>
    <col min="8" max="8" width="9.6640625" bestFit="1" customWidth="1"/>
    <col min="9" max="9" width="21.109375" bestFit="1" customWidth="1"/>
    <col min="10" max="10" width="24" customWidth="1"/>
  </cols>
  <sheetData>
    <row r="1" spans="1:10" ht="13.8" thickBot="1" x14ac:dyDescent="0.3">
      <c r="A1" s="147" t="s">
        <v>83</v>
      </c>
      <c r="B1" s="148"/>
      <c r="C1" s="148"/>
      <c r="D1" s="149"/>
    </row>
    <row r="3" spans="1:10" x14ac:dyDescent="0.25">
      <c r="A3" s="17" t="s">
        <v>30</v>
      </c>
      <c r="B3" s="151" t="s">
        <v>179</v>
      </c>
      <c r="C3" s="152"/>
    </row>
    <row r="5" spans="1:10" x14ac:dyDescent="0.25">
      <c r="A5" s="17" t="s">
        <v>72</v>
      </c>
      <c r="B5" s="17" t="s">
        <v>74</v>
      </c>
      <c r="C5" s="17" t="s">
        <v>73</v>
      </c>
      <c r="D5" s="17" t="s">
        <v>75</v>
      </c>
      <c r="E5" s="17" t="s">
        <v>76</v>
      </c>
      <c r="F5" s="17" t="s">
        <v>74</v>
      </c>
      <c r="G5" s="17" t="s">
        <v>77</v>
      </c>
      <c r="H5" s="17" t="s">
        <v>75</v>
      </c>
      <c r="I5" s="17" t="s">
        <v>78</v>
      </c>
      <c r="J5" s="17" t="s">
        <v>79</v>
      </c>
    </row>
    <row r="6" spans="1:10" x14ac:dyDescent="0.25">
      <c r="A6" s="50" t="s">
        <v>179</v>
      </c>
      <c r="B6" s="16"/>
      <c r="C6" s="16"/>
      <c r="D6" s="16"/>
      <c r="E6" s="16"/>
      <c r="F6" s="16"/>
      <c r="G6" s="16"/>
      <c r="H6" s="16"/>
      <c r="I6" s="16"/>
      <c r="J6" s="16"/>
    </row>
    <row r="7" spans="1:10" x14ac:dyDescent="0.25">
      <c r="A7" s="16"/>
      <c r="B7" s="16"/>
      <c r="C7" s="16"/>
      <c r="D7" s="16"/>
      <c r="E7" s="16"/>
      <c r="F7" s="16"/>
      <c r="G7" s="16"/>
      <c r="H7" s="16"/>
      <c r="I7" s="16"/>
      <c r="J7" s="16"/>
    </row>
    <row r="8" spans="1:10" x14ac:dyDescent="0.25">
      <c r="A8" s="16"/>
      <c r="B8" s="16"/>
      <c r="C8" s="16"/>
      <c r="D8" s="25"/>
      <c r="E8" s="16"/>
      <c r="F8" s="16"/>
      <c r="G8" s="16"/>
      <c r="H8" s="25"/>
      <c r="I8" s="16"/>
      <c r="J8" s="16"/>
    </row>
    <row r="9" spans="1:10" x14ac:dyDescent="0.25">
      <c r="A9" s="16"/>
      <c r="B9" s="16"/>
      <c r="C9" s="16"/>
      <c r="D9" s="25"/>
      <c r="E9" s="16"/>
      <c r="F9" s="16"/>
      <c r="G9" s="16"/>
      <c r="H9" s="25"/>
      <c r="I9" s="16"/>
      <c r="J9" s="16"/>
    </row>
    <row r="10" spans="1:10" x14ac:dyDescent="0.25">
      <c r="A10" s="16"/>
      <c r="B10" s="16"/>
      <c r="C10" s="16"/>
      <c r="D10" s="25"/>
      <c r="E10" s="16"/>
      <c r="F10" s="16"/>
      <c r="G10" s="16"/>
      <c r="H10" s="25"/>
      <c r="I10" s="16"/>
      <c r="J10" s="16"/>
    </row>
    <row r="11" spans="1:10" x14ac:dyDescent="0.25">
      <c r="A11" s="16"/>
      <c r="B11" s="16"/>
      <c r="C11" s="16"/>
      <c r="D11" s="25"/>
      <c r="E11" s="16"/>
      <c r="F11" s="16"/>
      <c r="G11" s="16"/>
      <c r="H11" s="25"/>
      <c r="I11" s="16"/>
      <c r="J11" s="16"/>
    </row>
    <row r="12" spans="1:10" x14ac:dyDescent="0.25">
      <c r="A12" s="16"/>
      <c r="B12" s="16"/>
      <c r="C12" s="16"/>
      <c r="D12" s="16"/>
      <c r="E12" s="16"/>
      <c r="F12" s="16"/>
      <c r="G12" s="16"/>
      <c r="H12" s="16"/>
      <c r="I12" s="16"/>
      <c r="J12" s="16"/>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17"/>
  <sheetViews>
    <sheetView workbookViewId="0">
      <selection activeCell="D22" sqref="D22"/>
    </sheetView>
  </sheetViews>
  <sheetFormatPr defaultRowHeight="13.2" x14ac:dyDescent="0.25"/>
  <cols>
    <col min="1" max="1" width="18.5546875" customWidth="1"/>
    <col min="2" max="2" width="75.109375" customWidth="1"/>
    <col min="3" max="3" width="52.44140625" bestFit="1" customWidth="1"/>
    <col min="4" max="4" width="31.5546875" customWidth="1"/>
    <col min="5" max="5" width="25.5546875" bestFit="1" customWidth="1"/>
    <col min="6" max="6" width="48.44140625" style="26" bestFit="1" customWidth="1"/>
  </cols>
  <sheetData>
    <row r="1" spans="1:5" ht="13.8" thickBot="1" x14ac:dyDescent="0.3">
      <c r="A1" s="147" t="s">
        <v>41</v>
      </c>
      <c r="B1" s="148"/>
      <c r="C1" s="149"/>
    </row>
    <row r="2" spans="1:5" ht="13.8" thickBot="1" x14ac:dyDescent="0.3"/>
    <row r="3" spans="1:5" ht="13.8" thickBot="1" x14ac:dyDescent="0.3">
      <c r="A3" s="147" t="s">
        <v>38</v>
      </c>
      <c r="B3" s="148"/>
      <c r="C3" s="149"/>
    </row>
    <row r="4" spans="1:5" x14ac:dyDescent="0.25">
      <c r="A4" s="19" t="s">
        <v>29</v>
      </c>
      <c r="B4" s="19" t="s">
        <v>32</v>
      </c>
      <c r="C4" s="19" t="s">
        <v>31</v>
      </c>
    </row>
    <row r="5" spans="1:5" x14ac:dyDescent="0.25">
      <c r="A5" s="50" t="s">
        <v>264</v>
      </c>
      <c r="B5" s="50" t="s">
        <v>266</v>
      </c>
      <c r="C5" s="50" t="s">
        <v>265</v>
      </c>
    </row>
    <row r="6" spans="1:5" x14ac:dyDescent="0.25">
      <c r="A6" s="16"/>
      <c r="B6" s="16"/>
      <c r="C6" s="16"/>
    </row>
    <row r="7" spans="1:5" x14ac:dyDescent="0.25">
      <c r="A7" s="16"/>
      <c r="B7" s="16"/>
      <c r="C7" s="16"/>
    </row>
    <row r="8" spans="1:5" x14ac:dyDescent="0.25">
      <c r="E8" s="33"/>
    </row>
    <row r="9" spans="1:5" ht="13.8" thickBot="1" x14ac:dyDescent="0.3">
      <c r="E9" s="33"/>
    </row>
    <row r="10" spans="1:5" ht="13.8" thickBot="1" x14ac:dyDescent="0.3">
      <c r="A10" s="147" t="s">
        <v>37</v>
      </c>
      <c r="B10" s="148"/>
      <c r="C10" s="149"/>
      <c r="E10" s="33"/>
    </row>
    <row r="11" spans="1:5" x14ac:dyDescent="0.25">
      <c r="A11" s="19" t="s">
        <v>29</v>
      </c>
      <c r="B11" s="19" t="s">
        <v>32</v>
      </c>
      <c r="C11" s="19" t="s">
        <v>39</v>
      </c>
      <c r="D11" s="17" t="s">
        <v>10</v>
      </c>
      <c r="E11" s="34"/>
    </row>
    <row r="12" spans="1:5" x14ac:dyDescent="0.25">
      <c r="A12" s="50"/>
      <c r="B12" s="16"/>
      <c r="C12" s="16"/>
      <c r="D12" s="16"/>
      <c r="E12" s="35"/>
    </row>
    <row r="13" spans="1:5" x14ac:dyDescent="0.25">
      <c r="A13" s="16"/>
      <c r="B13" s="16"/>
      <c r="C13" s="16"/>
      <c r="D13" s="16"/>
      <c r="E13" s="32"/>
    </row>
    <row r="16" spans="1:5" x14ac:dyDescent="0.25">
      <c r="A16" s="24" t="s">
        <v>14</v>
      </c>
      <c r="B16" s="24" t="s">
        <v>44</v>
      </c>
    </row>
    <row r="17" spans="1:2" x14ac:dyDescent="0.25">
      <c r="A17" s="23"/>
      <c r="B17" s="23"/>
    </row>
  </sheetData>
  <mergeCells count="3">
    <mergeCell ref="A1:C1"/>
    <mergeCell ref="A10:C10"/>
    <mergeCell ref="A3:C3"/>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9"/>
  <sheetViews>
    <sheetView workbookViewId="0">
      <selection activeCell="F26" sqref="F26"/>
    </sheetView>
  </sheetViews>
  <sheetFormatPr defaultRowHeight="13.2" x14ac:dyDescent="0.25"/>
  <cols>
    <col min="1" max="1" width="12.109375" bestFit="1" customWidth="1"/>
    <col min="2" max="2" width="35" customWidth="1"/>
    <col min="3" max="3" width="32.44140625" customWidth="1"/>
    <col min="4" max="4" width="29.33203125" bestFit="1" customWidth="1"/>
    <col min="5" max="5" width="38.33203125" bestFit="1"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48" bestFit="1" customWidth="1"/>
    <col min="23" max="23" width="13.109375" bestFit="1" customWidth="1"/>
    <col min="24" max="24" width="48.44140625" style="26" bestFit="1" customWidth="1"/>
  </cols>
  <sheetData>
    <row r="1" spans="1:24" ht="13.8" thickBot="1" x14ac:dyDescent="0.3">
      <c r="A1" s="147" t="s">
        <v>80</v>
      </c>
      <c r="B1" s="148"/>
      <c r="C1" s="149"/>
    </row>
    <row r="2" spans="1:24" x14ac:dyDescent="0.25">
      <c r="F2" s="156" t="s">
        <v>132</v>
      </c>
      <c r="G2" s="156"/>
      <c r="H2" s="156"/>
      <c r="I2" s="153" t="s">
        <v>115</v>
      </c>
      <c r="J2" s="154"/>
      <c r="K2" s="154"/>
      <c r="L2" s="153" t="s">
        <v>119</v>
      </c>
      <c r="M2" s="154"/>
      <c r="N2" s="154"/>
      <c r="O2" s="154"/>
      <c r="P2" s="154"/>
      <c r="Q2" s="155"/>
      <c r="R2" s="153" t="s">
        <v>122</v>
      </c>
      <c r="S2" s="154"/>
      <c r="T2" s="154"/>
      <c r="U2" s="155"/>
      <c r="V2" s="153" t="s">
        <v>124</v>
      </c>
      <c r="W2" s="155"/>
    </row>
    <row r="3" spans="1:24" s="55" customFormat="1" ht="34.200000000000003"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224</v>
      </c>
      <c r="O3" s="52" t="s">
        <v>138</v>
      </c>
      <c r="P3" s="52" t="s">
        <v>139</v>
      </c>
      <c r="Q3" s="52" t="s">
        <v>140</v>
      </c>
      <c r="R3" s="53" t="s">
        <v>120</v>
      </c>
      <c r="S3" s="53" t="s">
        <v>121</v>
      </c>
      <c r="T3" s="53" t="s">
        <v>181</v>
      </c>
      <c r="U3" s="54" t="s">
        <v>123</v>
      </c>
      <c r="V3" s="54" t="s">
        <v>125</v>
      </c>
      <c r="W3" s="54" t="s">
        <v>126</v>
      </c>
      <c r="X3" s="52" t="s">
        <v>10</v>
      </c>
    </row>
    <row r="4" spans="1:24" x14ac:dyDescent="0.25">
      <c r="A4" s="50" t="s">
        <v>179</v>
      </c>
      <c r="B4" s="16"/>
      <c r="C4" s="16"/>
      <c r="D4" s="16"/>
      <c r="E4" s="16"/>
      <c r="F4" s="16"/>
      <c r="G4" s="16"/>
      <c r="H4" s="16"/>
      <c r="I4" s="16"/>
      <c r="J4" s="16"/>
      <c r="K4" s="16"/>
      <c r="L4" s="16"/>
      <c r="M4" s="16"/>
      <c r="N4" s="16"/>
      <c r="O4" s="16"/>
      <c r="P4" s="16"/>
      <c r="Q4" s="16"/>
      <c r="R4" s="16"/>
      <c r="S4" s="16"/>
      <c r="T4" s="16"/>
      <c r="U4" s="16"/>
      <c r="V4" s="16"/>
      <c r="W4" s="16"/>
      <c r="X4" s="25"/>
    </row>
    <row r="5" spans="1:24" x14ac:dyDescent="0.25">
      <c r="A5" s="16"/>
      <c r="B5" s="16"/>
      <c r="C5" s="16"/>
      <c r="D5" s="16"/>
      <c r="E5" s="16"/>
      <c r="F5" s="16"/>
      <c r="G5" s="16"/>
      <c r="H5" s="16"/>
      <c r="I5" s="16"/>
      <c r="J5" s="16"/>
      <c r="K5" s="16"/>
      <c r="L5" s="16"/>
      <c r="M5" s="16"/>
      <c r="N5" s="16"/>
      <c r="O5" s="16"/>
      <c r="P5" s="16"/>
      <c r="Q5" s="16"/>
      <c r="R5" s="16"/>
      <c r="S5" s="16"/>
      <c r="T5" s="16"/>
      <c r="U5" s="16"/>
      <c r="V5" s="16"/>
      <c r="W5" s="16"/>
      <c r="X5" s="25"/>
    </row>
    <row r="6" spans="1:24" x14ac:dyDescent="0.25">
      <c r="A6" s="16"/>
      <c r="B6" s="16"/>
      <c r="C6" s="16"/>
      <c r="D6" s="16"/>
      <c r="E6" s="16"/>
      <c r="F6" s="16"/>
      <c r="G6" s="16"/>
      <c r="H6" s="16"/>
      <c r="I6" s="16"/>
      <c r="J6" s="16"/>
      <c r="K6" s="16"/>
      <c r="L6" s="16"/>
      <c r="M6" s="16"/>
      <c r="N6" s="16"/>
      <c r="O6" s="16"/>
      <c r="P6" s="16"/>
      <c r="Q6" s="16"/>
      <c r="R6" s="16"/>
      <c r="S6" s="16"/>
      <c r="T6" s="16"/>
      <c r="U6" s="16"/>
      <c r="V6" s="16"/>
      <c r="W6" s="16"/>
      <c r="X6" s="25"/>
    </row>
    <row r="8" spans="1:24" x14ac:dyDescent="0.25">
      <c r="A8" s="24" t="s">
        <v>14</v>
      </c>
      <c r="B8" s="24" t="s">
        <v>44</v>
      </c>
    </row>
    <row r="9" spans="1:24" x14ac:dyDescent="0.25">
      <c r="A9" s="23"/>
      <c r="B9" s="23">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H10"/>
  <sheetViews>
    <sheetView tabSelected="1" topLeftCell="A3" workbookViewId="0">
      <selection activeCell="A5" sqref="A5"/>
    </sheetView>
  </sheetViews>
  <sheetFormatPr defaultRowHeight="13.2" x14ac:dyDescent="0.25"/>
  <cols>
    <col min="1" max="1" width="27.5546875" customWidth="1"/>
    <col min="2" max="2" width="15.33203125" customWidth="1"/>
    <col min="3" max="3" width="39.109375" customWidth="1"/>
    <col min="6" max="6" width="93.33203125" customWidth="1"/>
    <col min="7" max="7" width="2.109375" customWidth="1"/>
    <col min="8" max="8" width="86.88671875" customWidth="1"/>
  </cols>
  <sheetData>
    <row r="1" spans="1:8" ht="13.8" thickBot="1" x14ac:dyDescent="0.3">
      <c r="A1" s="147" t="s">
        <v>34</v>
      </c>
      <c r="B1" s="148"/>
      <c r="C1" s="149"/>
    </row>
    <row r="3" spans="1:8" ht="40.200000000000003" x14ac:dyDescent="0.3">
      <c r="A3" s="36" t="s">
        <v>35</v>
      </c>
      <c r="B3" s="36" t="s">
        <v>36</v>
      </c>
      <c r="C3" s="36" t="s">
        <v>31</v>
      </c>
      <c r="F3" s="104" t="s">
        <v>274</v>
      </c>
      <c r="H3" s="105" t="s">
        <v>273</v>
      </c>
    </row>
    <row r="4" spans="1:8" x14ac:dyDescent="0.25">
      <c r="A4" s="50" t="s">
        <v>179</v>
      </c>
      <c r="B4" s="16"/>
      <c r="C4" s="16"/>
    </row>
    <row r="5" spans="1:8" ht="202.5" customHeight="1" x14ac:dyDescent="0.25">
      <c r="A5" s="50" t="s">
        <v>259</v>
      </c>
      <c r="B5" s="16" t="s">
        <v>260</v>
      </c>
      <c r="C5" s="31" t="s">
        <v>261</v>
      </c>
      <c r="F5" s="103" t="s">
        <v>277</v>
      </c>
      <c r="H5" s="103" t="s">
        <v>275</v>
      </c>
    </row>
    <row r="6" spans="1:8" x14ac:dyDescent="0.25">
      <c r="A6" s="16"/>
      <c r="B6" s="16"/>
      <c r="C6" s="16"/>
      <c r="F6" s="103"/>
      <c r="G6" s="103"/>
      <c r="H6" s="103"/>
    </row>
    <row r="7" spans="1:8" ht="66" x14ac:dyDescent="0.25">
      <c r="F7" s="103" t="s">
        <v>278</v>
      </c>
      <c r="H7" s="102" t="s">
        <v>276</v>
      </c>
    </row>
    <row r="9" spans="1:8" x14ac:dyDescent="0.25">
      <c r="A9" s="24" t="s">
        <v>14</v>
      </c>
      <c r="B9" s="24" t="s">
        <v>44</v>
      </c>
    </row>
    <row r="10" spans="1:8" x14ac:dyDescent="0.25">
      <c r="A10" s="23"/>
      <c r="B10" s="23"/>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16" ht="13.8" thickBot="1" x14ac:dyDescent="0.3">
      <c r="A1" s="147" t="s">
        <v>43</v>
      </c>
      <c r="B1" s="148"/>
      <c r="C1" s="148"/>
      <c r="D1" s="149"/>
    </row>
    <row r="3" spans="1:16" x14ac:dyDescent="0.25">
      <c r="A3" s="17" t="s">
        <v>42</v>
      </c>
      <c r="B3" s="17" t="s">
        <v>107</v>
      </c>
      <c r="C3" s="17" t="s">
        <v>94</v>
      </c>
      <c r="D3" s="17" t="s">
        <v>95</v>
      </c>
      <c r="E3" s="17" t="s">
        <v>109</v>
      </c>
      <c r="F3" s="17" t="s">
        <v>180</v>
      </c>
    </row>
    <row r="4" spans="1:16" x14ac:dyDescent="0.25">
      <c r="A4" s="22" t="s">
        <v>68</v>
      </c>
      <c r="B4" s="49"/>
      <c r="C4" s="50"/>
      <c r="D4" s="16"/>
      <c r="E4" s="16"/>
      <c r="F4" s="16" t="s">
        <v>179</v>
      </c>
    </row>
    <row r="5" spans="1:16" x14ac:dyDescent="0.25">
      <c r="A5" s="22" t="s">
        <v>68</v>
      </c>
      <c r="B5" s="16"/>
      <c r="C5" s="16"/>
      <c r="D5" s="16"/>
      <c r="E5" s="16"/>
      <c r="F5" s="16" t="s">
        <v>179</v>
      </c>
    </row>
    <row r="8" spans="1:16" x14ac:dyDescent="0.25">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5">
      <c r="A9" s="17" t="s">
        <v>108</v>
      </c>
      <c r="B9" s="48"/>
      <c r="C9" s="48"/>
      <c r="D9" s="48"/>
      <c r="E9" s="48"/>
      <c r="F9" s="48"/>
      <c r="G9" s="48"/>
      <c r="H9" s="48"/>
      <c r="I9" s="33"/>
      <c r="J9" s="33"/>
      <c r="K9" s="33"/>
      <c r="L9" s="33"/>
      <c r="M9" s="33"/>
      <c r="N9" s="33"/>
      <c r="O9" s="33"/>
      <c r="P9" s="33"/>
    </row>
    <row r="10" spans="1:16" x14ac:dyDescent="0.25">
      <c r="A10" s="17" t="s">
        <v>108</v>
      </c>
      <c r="B10" s="48"/>
      <c r="C10" s="48"/>
      <c r="D10" s="48"/>
      <c r="E10" s="48"/>
      <c r="F10" s="48"/>
      <c r="G10" s="48"/>
      <c r="H10" s="48"/>
    </row>
    <row r="11" spans="1:16" x14ac:dyDescent="0.25">
      <c r="A11" s="17" t="s">
        <v>108</v>
      </c>
      <c r="B11" s="48"/>
      <c r="C11" s="48"/>
      <c r="D11" s="48"/>
      <c r="E11" s="48"/>
      <c r="F11" s="48"/>
      <c r="G11" s="48"/>
      <c r="H11" s="48"/>
    </row>
    <row r="15" spans="1:16" x14ac:dyDescent="0.25">
      <c r="B15" s="46" t="s">
        <v>110</v>
      </c>
      <c r="C15" s="157" t="s">
        <v>111</v>
      </c>
      <c r="D15" s="157"/>
      <c r="E15" s="157"/>
      <c r="F15" s="157"/>
      <c r="G15" s="157"/>
    </row>
    <row r="16" spans="1:16" x14ac:dyDescent="0.25">
      <c r="B16" s="46" t="s">
        <v>96</v>
      </c>
      <c r="C16" s="157"/>
      <c r="D16" s="157"/>
      <c r="E16" s="157"/>
      <c r="F16" s="157"/>
      <c r="G16" s="157"/>
    </row>
    <row r="17" spans="2:7" x14ac:dyDescent="0.25">
      <c r="B17" s="46" t="s">
        <v>97</v>
      </c>
      <c r="C17" s="157"/>
      <c r="D17" s="157"/>
      <c r="E17" s="157"/>
      <c r="F17" s="157"/>
      <c r="G17" s="157"/>
    </row>
    <row r="18" spans="2:7" x14ac:dyDescent="0.25">
      <c r="B18" s="46" t="s">
        <v>98</v>
      </c>
      <c r="C18" s="157"/>
      <c r="D18" s="157"/>
      <c r="E18" s="157"/>
      <c r="F18" s="157"/>
      <c r="G18" s="157"/>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3.2" x14ac:dyDescent="0.25"/>
  <cols>
    <col min="1" max="1" width="15.109375" bestFit="1" customWidth="1"/>
    <col min="2" max="2" width="48" customWidth="1"/>
  </cols>
  <sheetData>
    <row r="1" spans="1:2" x14ac:dyDescent="0.25">
      <c r="A1" s="158" t="s">
        <v>134</v>
      </c>
      <c r="B1" s="159"/>
    </row>
    <row r="2" spans="1:2" x14ac:dyDescent="0.25">
      <c r="A2" s="78" t="s">
        <v>136</v>
      </c>
      <c r="B2" s="96" t="s">
        <v>179</v>
      </c>
    </row>
    <row r="3" spans="1:2" x14ac:dyDescent="0.25">
      <c r="A3" s="78" t="s">
        <v>135</v>
      </c>
      <c r="B3" s="96" t="s">
        <v>179</v>
      </c>
    </row>
    <row r="4" spans="1:2" ht="13.8" thickBot="1" x14ac:dyDescent="0.3">
      <c r="A4" s="79" t="s">
        <v>137</v>
      </c>
      <c r="B4" s="97" t="s">
        <v>179</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Mingoué Tchagou, Frank</cp:lastModifiedBy>
  <dcterms:created xsi:type="dcterms:W3CDTF">2009-06-01T12:18:44Z</dcterms:created>
  <dcterms:modified xsi:type="dcterms:W3CDTF">2022-03-17T07:21:29Z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