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21656B06-1B9B-AA78-C99D-37B55691406E}"/>
  <workbookPr codeName="ThisWorkbook" defaultThemeVersion="124226"/>
  <mc:AlternateContent xmlns:mc="http://schemas.openxmlformats.org/markup-compatibility/2006">
    <mc:Choice Requires="x15">
      <x15ac:absPath xmlns:x15ac="http://schemas.microsoft.com/office/spreadsheetml/2010/11/ac" url="C:\Ricky\CHG\JUN22\INC4054059\"/>
    </mc:Choice>
  </mc:AlternateContent>
  <xr:revisionPtr revIDLastSave="0" documentId="13_ncr:1_{AB25CA5B-79B8-46F2-A636-9AA0C299A76D}" xr6:coauthVersionLast="47" xr6:coauthVersionMax="47" xr10:uidLastSave="{00000000-0000-0000-0000-000000000000}"/>
  <bookViews>
    <workbookView xWindow="-108" yWindow="-108" windowWidth="23256" windowHeight="12576" tabRatio="926" xr2:uid="{00000000-000D-0000-FFFF-FFFF00000000}"/>
  </bookViews>
  <sheets>
    <sheet name="Cover" sheetId="20" r:id="rId1"/>
    <sheet name="Version Control" sheetId="23" r:id="rId2"/>
    <sheet name="Test Cycle 1" sheetId="24" r:id="rId3"/>
    <sheet name="AppConfig" sheetId="26" state="hidden" r:id="rId4"/>
    <sheet name="Screenshots" sheetId="28"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7" i="20" l="1"/>
  <c r="B10" i="26"/>
  <c r="B9" i="26"/>
  <c r="B8" i="26"/>
  <c r="B7" i="26"/>
  <c r="B6" i="26"/>
  <c r="B5" i="26"/>
  <c r="B4" i="26"/>
  <c r="B3" i="26"/>
  <c r="B2" i="26"/>
  <c r="A14" i="23"/>
  <c r="A3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699509EE-BAB4-44F7-86B5-45BDAAABB1FA}">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<sst xmlns="http://schemas.openxmlformats.org/spreadsheetml/2006/main" count="150" uniqueCount="115">
  <si>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</si>
  <si>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</si>
  <si>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</si>
  <si>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</si>
  <si>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</si>
  <si>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</si>
  <si>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</si>
  <si>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</si>
  <si>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</si>
  <si>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</si>
  <si>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</si>
  <si>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</si>
  <si>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</si>
  <si>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</si>
  <si>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</si>
  <si>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</si>
  <si>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</si>
  <si>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</si>
  <si>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</si>
  <si>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</si>
  <si>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</si>
  <si>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</si>
  <si>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</si>
  <si>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</si>
  <si>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</si>
  <si>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</si>
  <si>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</si>
  <si>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</si>
  <si>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</si>
  <si>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</si>
  <si>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</si>
  <si>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</si>
  <si>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</si>
  <si>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</si>
  <si>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</si>
  <si>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</si>
  <si>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</si>
  <si>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</si>
  <si>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</si>
  <si>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</si>
  <si>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</si>
  <si>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</si>
  <si>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</si>
  <si>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</si>
  <si>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</si>
  <si>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</si>
  <si>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</si>
  <si>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</si>
  <si>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</si>
  <si>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</si>
  <si>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</si>
  <si>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</si>
  <si>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</si>
  <si>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</si>
  <si>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</si>
  <si>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</si>
  <si>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</si>
  <si>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</si>
  <si>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</si>
  <si>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</si>
  <si>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</si>
  <si>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</si>
  <si>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</si>
  <si>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</si>
  <si>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</si>
  <si>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</si>
  <si>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</si>
  <si>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</si>
  <si>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</si>
  <si>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</si>
  <si>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</si>
  <si>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</si>
  <si>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</si>
  <si>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</si>
  <si>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</si>
  <si>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</si>
  <si>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</si>
  <si>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</si>
  <si>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</si>
  <si>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</si>
  <si>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</si>
  <si>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</si>
  <si>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N</t>
  </si>
  <si>
    <t>Y</t>
  </si>
  <si>
    <t>Mingoué Frank</t>
  </si>
  <si>
    <t>Screenshot 1</t>
  </si>
  <si>
    <t>Screenshot 2</t>
  </si>
  <si>
    <t>N/A</t>
  </si>
  <si>
    <t>Jun , 2022</t>
  </si>
  <si>
    <t xml:space="preserve">INC4054059 </t>
  </si>
  <si>
    <t xml:space="preserve">CT	</t>
  </si>
  <si>
    <t>SIL_Weekly_Aggregate.wrk_SalesData_Zero_Deletion --&gt; s_SalesData_Fact_Deletion</t>
  </si>
  <si>
    <t>1. Launch INSERT in OLAP</t>
  </si>
  <si>
    <t>OLAP</t>
  </si>
  <si>
    <t>Records inserted</t>
  </si>
  <si>
    <t>IF NOT EXISTS ( SELECT 1 FROM WC_SALES_F_ES WHERE INTEGRATION_ID2='INC4054059_INTEGRATION_ID2_1')
BEGIN
INSERT INTO WC_SALES_F_ES 
(ROW_WID,DATASOURCE_NUM_ID,INTEGRATION_ID,ETL_PROC_WID,SALES_TYPE_WID,SALES_TYPE_DESC,START_DT_WID,END_DT_WID,COUNTRY_CODE,ACTL_SHIPMENT_QTY_C,ACTL_SHIPMENT_QTY,ACTL_GROSS_SHIPMENT_AMT,ACTL_GROSS_SHIPMENT_AMT_USD,INTEGRATION_ID2) 
VALUES 
((SELECT MAX(ROW_WID)+1 FROM WC_SALES_F_ES (NOLOCK)),1,'INC4054059_INTEGRATION_ID1',(SELECT MAX(ETL_PROC_WID) FROM W_PARAM_G (NOLOCK)),7011,'Economical Indexes',20180101,20181230,'ES','-5','5','200','-200','INC4054059_INTEGRATION_ID2_1')
END
GO
IF NOT EXISTS ( SELECT 1 FROM WC_SALES_F_ES WHERE INTEGRATION_ID2='INC4054059_INTEGRATION_ID2_2')
BEGIN
INSERT INTO WC_SALES_F_ES 
(ROW_WID,DATASOURCE_NUM_ID,INTEGRATION_ID,ETL_PROC_WID,SALES_TYPE_WID,SALES_TYPE_DESC,START_DT_WID,END_DT_WID,COUNTRY_CODE,ACTL_SHIPMENT_QTY_C,ACTL_SHIPMENT_QTY,ACTL_GROSS_SHIPMENT_AMT,ACTL_GROSS_SHIPMENT_AMT_USD,INTEGRATION_ID2) 
VALUES 
((SELECT MAX(ROW_WID)+1 FROM WC_SALES_F_ES (NOLOCK)),1,'INC4054059_INTEGRATION_ID1',(SELECT MAX(ETL_PROC_WID) FROM W_PARAM_G (NOLOCK)),7011,'Economical Indexes',20180101,20181230,'ES','-5','5','200','-200','INC4054059_INTEGRATION_ID2_2')
END
GO</t>
  </si>
  <si>
    <t>Create test data</t>
  </si>
  <si>
    <t>check test data</t>
  </si>
  <si>
    <t>run script to check test data</t>
  </si>
  <si>
    <t>SELECT INTEGRATION_ID, INTEGRATION_ID2, * FROM WC_SALES_F_ES WHERE INTEGRATION_ID = 'INC4054059_INTEGRATION_ID1'</t>
  </si>
  <si>
    <t xml:space="preserve">2 records </t>
  </si>
  <si>
    <t xml:space="preserve">2 records inserted
</t>
  </si>
  <si>
    <t xml:space="preserve">Test delation of Sales data with same INTEGRATION_ID </t>
  </si>
  <si>
    <t>Launch Workflow</t>
  </si>
  <si>
    <t>Run workflow Custom --&gt; JTI_SalesData_Zero_Deletion</t>
  </si>
  <si>
    <t>INFA</t>
  </si>
  <si>
    <t>Workflow run successful</t>
  </si>
  <si>
    <t>Check specific records deleted.</t>
  </si>
  <si>
    <t>Launch SELECT in OLAP</t>
  </si>
  <si>
    <t>SELECT COUNT(*) FROM WC_SALES_F_ES WHERE INTEGRATION_ID = 'INC4054059_INTEGRATION_ID1'</t>
  </si>
  <si>
    <t>the records with same INTEGRADION_ID2 have been deleted</t>
  </si>
  <si>
    <t>2 records returned
screenshot 1</t>
  </si>
  <si>
    <t>0 record returned 
(Screenshot 2)</t>
  </si>
  <si>
    <t>y</t>
  </si>
  <si>
    <t xml:space="preserve">Delation of Sales data with same INTEGRATION_ID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</si>
</sst>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51"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b/>
      <sz val="12"/>
      <color indexed="9"/>
      <name val="Book Antiqua"/>
      <family val="1"/>
    </font>
    <font>
      <sz val="12"/>
      <name val="Arial"/>
      <family val="2"/>
    </font>
    <font>
      <b/>
      <sz val="12"/>
      <name val="Arial"/>
      <family val="2"/>
    </font>
    <font>
      <sz val="16"/>
      <name val="Book Antiqua"/>
      <family val="1"/>
    </font>
    <font>
      <sz val="8"/>
      <name val="Arial"/>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rgb="FF00B050"/>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2" fillId="0" borderId="0" applyNumberFormat="0" applyFill="0" applyBorder="0" applyAlignment="0" applyProtection="0">
      <alignment vertical="top"/>
      <protection locked="0"/>
    </xf>
    <xf numFmtId="0" fontId="43" fillId="0" borderId="0"/>
    <xf numFmtId="0" fontId="3" fillId="0" borderId="0"/>
    <xf numFmtId="0" fontId="43" fillId="0" borderId="0"/>
    <xf numFmtId="0" fontId="43"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04">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2"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15" fontId="44" fillId="0" borderId="10" xfId="32" applyNumberFormat="1" applyFont="1" applyBorder="1" applyAlignment="1" applyProtection="1">
      <alignment horizontal="left" vertical="center" wrapText="1"/>
    </xf>
    <xf numFmtId="0" fontId="0" fillId="0" borderId="0" xfId="0" applyAlignment="1">
      <alignment horizontal="center"/>
    </xf>
    <xf numFmtId="0" fontId="45" fillId="26" borderId="0" xfId="0" applyFont="1" applyFill="1"/>
    <xf numFmtId="0" fontId="45"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0" fontId="46" fillId="25" borderId="10" xfId="37" applyFont="1" applyFill="1" applyBorder="1" applyAlignment="1">
      <alignment horizontal="right" wrapText="1"/>
    </xf>
    <xf numFmtId="0" fontId="46" fillId="25" borderId="10" xfId="37" applyFont="1" applyFill="1" applyBorder="1" applyAlignment="1">
      <alignment horizontal="right" vertical="top" wrapText="1"/>
    </xf>
    <xf numFmtId="0" fontId="32" fillId="0" borderId="10" xfId="37" applyFont="1" applyBorder="1" applyAlignment="1">
      <alignment wrapText="1"/>
    </xf>
    <xf numFmtId="0" fontId="32" fillId="0" borderId="10" xfId="37" applyFont="1" applyBorder="1"/>
    <xf numFmtId="0" fontId="32" fillId="0" borderId="0" xfId="37" applyFont="1"/>
    <xf numFmtId="0" fontId="32" fillId="0" borderId="0" xfId="37" applyFont="1" applyBorder="1"/>
    <xf numFmtId="0" fontId="47" fillId="0" borderId="0" xfId="37" applyFont="1"/>
    <xf numFmtId="14" fontId="32" fillId="0" borderId="10" xfId="37" applyNumberFormat="1" applyFont="1" applyBorder="1" applyAlignment="1">
      <alignment horizontal="right" wrapText="1"/>
    </xf>
    <xf numFmtId="14" fontId="32" fillId="0" borderId="10" xfId="37" applyNumberFormat="1" applyFont="1" applyBorder="1" applyAlignment="1">
      <alignment wrapText="1"/>
    </xf>
    <xf numFmtId="49" fontId="48" fillId="24" borderId="10" xfId="37" applyNumberFormat="1" applyFont="1" applyFill="1" applyBorder="1" applyAlignment="1">
      <alignment horizontal="center" vertical="top"/>
    </xf>
    <xf numFmtId="0" fontId="32" fillId="0" borderId="0" xfId="37" applyFont="1" applyAlignment="1">
      <alignment horizontal="left" vertical="top"/>
    </xf>
    <xf numFmtId="0" fontId="3" fillId="28" borderId="0" xfId="0" applyFont="1" applyFill="1"/>
    <xf numFmtId="0" fontId="0" fillId="28" borderId="0" xfId="0" applyFill="1"/>
    <xf numFmtId="0" fontId="32" fillId="0" borderId="10" xfId="37" applyFont="1" applyBorder="1" applyAlignment="1">
      <alignment horizontal="left" vertical="center" wrapText="1"/>
    </xf>
    <xf numFmtId="0" fontId="32" fillId="0" borderId="10" xfId="37" applyFont="1" applyBorder="1" applyAlignment="1">
      <alignment vertical="center"/>
    </xf>
    <xf numFmtId="0" fontId="32" fillId="0" borderId="10" xfId="37" applyFont="1" applyBorder="1" applyAlignment="1">
      <alignment horizontal="center" vertical="center" wrapText="1"/>
    </xf>
    <xf numFmtId="0" fontId="32" fillId="0" borderId="10" xfId="37" applyFont="1" applyBorder="1" applyAlignment="1">
      <alignment vertical="center" wrapText="1"/>
    </xf>
    <xf numFmtId="0" fontId="32" fillId="0" borderId="10" xfId="37" applyFont="1" applyFill="1" applyBorder="1" applyAlignment="1">
      <alignment vertical="center" wrapText="1"/>
    </xf>
    <xf numFmtId="0" fontId="32" fillId="0" borderId="0" xfId="37" applyFont="1" applyAlignment="1">
      <alignment vertical="center"/>
    </xf>
    <xf numFmtId="0" fontId="47" fillId="0" borderId="0" xfId="37" applyFont="1" applyAlignment="1">
      <alignment vertical="center"/>
    </xf>
    <xf numFmtId="0" fontId="32" fillId="0" borderId="0" xfId="37" applyFont="1" applyBorder="1" applyAlignment="1">
      <alignment vertical="center"/>
    </xf>
    <xf numFmtId="0" fontId="32" fillId="0" borderId="10" xfId="37" applyFont="1" applyBorder="1" applyAlignment="1">
      <alignment horizontal="left" vertical="top" wrapText="1"/>
    </xf>
    <xf numFmtId="49" fontId="48" fillId="24" borderId="10" xfId="37" applyNumberFormat="1" applyFont="1" applyFill="1" applyBorder="1" applyAlignment="1">
      <alignment horizontal="center" vertical="center"/>
    </xf>
    <xf numFmtId="0" fontId="32" fillId="0" borderId="0" xfId="37" applyFont="1" applyAlignment="1">
      <alignment horizontal="center" vertical="center"/>
    </xf>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3" fillId="0" borderId="15" xfId="36" applyBorder="1"/>
    <xf numFmtId="0" fontId="32" fillId="0" borderId="10" xfId="37" applyFont="1" applyBorder="1" applyAlignment="1">
      <alignment horizontal="center" wrapText="1"/>
    </xf>
    <xf numFmtId="0" fontId="39" fillId="0" borderId="10" xfId="37" applyFont="1" applyBorder="1" applyAlignment="1">
      <alignment horizontal="left" wrapText="1"/>
    </xf>
    <xf numFmtId="0" fontId="49" fillId="0" borderId="10" xfId="37" applyFont="1" applyBorder="1" applyAlignment="1">
      <alignment horizontal="left" wrapText="1"/>
    </xf>
    <xf numFmtId="0" fontId="38" fillId="0" borderId="10" xfId="37" applyFont="1" applyBorder="1" applyAlignment="1">
      <alignment horizontal="left" vertical="center" wrapText="1"/>
    </xf>
    <xf numFmtId="0" fontId="38" fillId="0" borderId="10" xfId="37" applyFont="1" applyBorder="1" applyAlignment="1">
      <alignment horizontal="left" vertical="top" wrapText="1"/>
    </xf>
    <xf numFmtId="0" fontId="38" fillId="0" borderId="10" xfId="37" quotePrefix="1" applyFont="1" applyBorder="1" applyAlignment="1">
      <alignment horizontal="left" vertical="top" wrapText="1"/>
    </xf>
    <xf numFmtId="0" fontId="38" fillId="0" borderId="10" xfId="37" applyFont="1" applyBorder="1" applyAlignment="1">
      <alignment vertical="top" wrapText="1"/>
    </xf>
    <xf numFmtId="0" fontId="38" fillId="0" borderId="10" xfId="37" applyFont="1" applyFill="1" applyBorder="1" applyAlignment="1">
      <alignment vertical="top"/>
    </xf>
    <xf numFmtId="0" fontId="38" fillId="0" borderId="10" xfId="37" applyFont="1" applyBorder="1" applyAlignment="1">
      <alignment vertical="center" wrapText="1"/>
    </xf>
    <xf numFmtId="0" fontId="38" fillId="0" borderId="10" xfId="37" applyFont="1" applyFill="1" applyBorder="1" applyAlignment="1">
      <alignment vertical="center" wrapText="1"/>
    </xf>
    <xf numFmtId="0" fontId="30" fillId="0" borderId="10" xfId="37" applyFont="1" applyFill="1" applyBorder="1" applyAlignment="1">
      <alignment vertical="top"/>
    </xf>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A78E07E7-964A-4774-9F2F-6EA047B6E49C}"/>
    <cellStyle name="Normal 3" xfId="35" xr:uid="{00000000-0005-0000-0000-000023000000}"/>
    <cellStyle name="Normal 3 2" xfId="36" xr:uid="{00000000-0005-0000-0000-000024000000}"/>
    <cellStyle name="Normal 3 2 2" xfId="53" xr:uid="{7EA838CA-DBEF-4540-9372-617BF53F5A41}"/>
    <cellStyle name="Normal 3 3" xfId="52" xr:uid="{24D7B803-A5CB-4F72-BED7-1051AA8D1727}"/>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668020</xdr:colOff>
      <xdr:row>12</xdr:row>
      <xdr:rowOff>92075</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668020</xdr:colOff>
      <xdr:row>12</xdr:row>
      <xdr:rowOff>92075</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668020</xdr:colOff>
      <xdr:row>12</xdr:row>
      <xdr:rowOff>92075</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668020</xdr:colOff>
      <xdr:row>12</xdr:row>
      <xdr:rowOff>92075</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668020</xdr:colOff>
      <xdr:row>12</xdr:row>
      <xdr:rowOff>92075</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170180</xdr:colOff>
      <xdr:row>10</xdr:row>
      <xdr:rowOff>53975</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21</xdr:col>
      <xdr:colOff>398400</xdr:colOff>
      <xdr:row>15</xdr:row>
      <xdr:rowOff>18790</xdr:rowOff>
    </xdr:to>
    <xdr:pic>
      <xdr:nvPicPr>
        <xdr:cNvPr id="2" name="Picture 1">
          <a:extLst>
            <a:ext uri="{FF2B5EF4-FFF2-40B4-BE49-F238E27FC236}">
              <a16:creationId xmlns:a16="http://schemas.microsoft.com/office/drawing/2014/main" id="{14D26654-2C23-423A-A1DE-7AF4ED209152}"/>
            </a:ext>
          </a:extLst>
        </xdr:cNvPr>
        <xdr:cNvPicPr>
          <a:picLocks noChangeAspect="1"/>
        </xdr:cNvPicPr>
      </xdr:nvPicPr>
      <xdr:blipFill>
        <a:blip xmlns:r="http://schemas.openxmlformats.org/officeDocument/2006/relationships" r:embed="rId1"/>
        <a:stretch>
          <a:fillRect/>
        </a:stretch>
      </xdr:blipFill>
      <xdr:spPr>
        <a:xfrm>
          <a:off x="0" y="514350"/>
          <a:ext cx="13200000" cy="2076190"/>
        </a:xfrm>
        <a:prstGeom prst="rect">
          <a:avLst/>
        </a:prstGeom>
      </xdr:spPr>
    </xdr:pic>
    <xdr:clientData/>
  </xdr:twoCellAnchor>
  <xdr:twoCellAnchor editAs="oneCell">
    <xdr:from>
      <xdr:col>0</xdr:col>
      <xdr:colOff>0</xdr:colOff>
      <xdr:row>20</xdr:row>
      <xdr:rowOff>0</xdr:rowOff>
    </xdr:from>
    <xdr:to>
      <xdr:col>14</xdr:col>
      <xdr:colOff>113219</xdr:colOff>
      <xdr:row>30</xdr:row>
      <xdr:rowOff>114071</xdr:rowOff>
    </xdr:to>
    <xdr:pic>
      <xdr:nvPicPr>
        <xdr:cNvPr id="3" name="Picture 2">
          <a:extLst>
            <a:ext uri="{FF2B5EF4-FFF2-40B4-BE49-F238E27FC236}">
              <a16:creationId xmlns:a16="http://schemas.microsoft.com/office/drawing/2014/main" id="{44130D30-9D87-4550-A82B-D1B0D7ABE6E0}"/>
            </a:ext>
          </a:extLst>
        </xdr:cNvPr>
        <xdr:cNvPicPr>
          <a:picLocks noChangeAspect="1"/>
        </xdr:cNvPicPr>
      </xdr:nvPicPr>
      <xdr:blipFill>
        <a:blip xmlns:r="http://schemas.openxmlformats.org/officeDocument/2006/relationships" r:embed="rId2"/>
        <a:stretch>
          <a:fillRect/>
        </a:stretch>
      </xdr:blipFill>
      <xdr:spPr>
        <a:xfrm>
          <a:off x="0" y="3429000"/>
          <a:ext cx="8647619" cy="182857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abSelected="1" topLeftCell="A13" zoomScale="66" workbookViewId="0">
      <selection activeCell="K21" sqref="K21:S21"/>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84" t="s">
        <v>2</v>
      </c>
      <c r="B13" s="84"/>
      <c r="C13" s="84"/>
      <c r="D13" s="84"/>
      <c r="E13" s="84"/>
      <c r="F13" s="84"/>
      <c r="G13" s="84"/>
      <c r="H13" s="84"/>
      <c r="I13" s="84"/>
      <c r="J13" s="84"/>
      <c r="K13" s="84"/>
      <c r="L13" s="84"/>
      <c r="M13" s="84"/>
      <c r="N13" s="84"/>
      <c r="O13" s="84"/>
      <c r="P13" s="84"/>
      <c r="Q13" s="84"/>
      <c r="R13" s="84"/>
      <c r="S13" s="84"/>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85" t="s">
        <v>17</v>
      </c>
      <c r="B18" s="85"/>
      <c r="C18" s="85"/>
      <c r="D18" s="85"/>
      <c r="E18" s="85"/>
      <c r="F18" s="85"/>
      <c r="G18" s="85"/>
      <c r="H18" s="85"/>
      <c r="I18" s="85"/>
      <c r="J18" s="85"/>
      <c r="K18" s="85"/>
      <c r="L18" s="85"/>
      <c r="M18" s="85"/>
      <c r="N18" s="85"/>
      <c r="O18" s="85"/>
      <c r="P18" s="85"/>
      <c r="Q18" s="85"/>
      <c r="R18" s="85"/>
      <c r="S18" s="85"/>
    </row>
    <row r="19" spans="1:19" s="15" customFormat="1" ht="40.65" customHeight="1" x14ac:dyDescent="0.25">
      <c r="A19" s="86" t="s">
        <v>1</v>
      </c>
      <c r="B19" s="86"/>
      <c r="C19" s="86"/>
      <c r="D19" s="86"/>
      <c r="E19" s="86"/>
      <c r="F19" s="86"/>
      <c r="G19" s="86"/>
      <c r="H19" s="86"/>
      <c r="I19" s="86"/>
      <c r="J19" s="86"/>
      <c r="K19" s="86"/>
      <c r="L19" s="86"/>
      <c r="M19" s="86"/>
      <c r="N19" s="86"/>
      <c r="O19" s="86"/>
      <c r="P19" s="86"/>
      <c r="Q19" s="86"/>
      <c r="R19" s="86"/>
      <c r="S19" s="86"/>
    </row>
    <row r="20" spans="1:19" s="15" customFormat="1" ht="13.8" x14ac:dyDescent="0.25">
      <c r="A20" s="16"/>
      <c r="B20" s="16"/>
      <c r="C20" s="16"/>
      <c r="D20" s="16"/>
      <c r="E20" s="16"/>
      <c r="F20" s="16"/>
      <c r="G20" s="16"/>
      <c r="H20" s="16"/>
      <c r="I20" s="16"/>
      <c r="J20" s="16"/>
    </row>
    <row r="21" spans="1:19" s="15" customFormat="1" ht="58.65" customHeight="1" x14ac:dyDescent="0.25">
      <c r="A21" s="87" t="s">
        <v>74</v>
      </c>
      <c r="B21" s="87"/>
      <c r="C21" s="87"/>
      <c r="D21" s="87"/>
      <c r="E21" s="87"/>
      <c r="F21" s="87"/>
      <c r="G21" s="87"/>
      <c r="H21" s="87"/>
      <c r="I21" s="87"/>
      <c r="J21" s="6"/>
      <c r="K21" s="88" t="s">
        <v>89</v>
      </c>
      <c r="L21" s="88"/>
      <c r="M21" s="88"/>
      <c r="N21" s="88"/>
      <c r="O21" s="88"/>
      <c r="P21" s="88"/>
      <c r="Q21" s="88"/>
      <c r="R21" s="88"/>
      <c r="S21" s="88"/>
    </row>
    <row r="22" spans="1:19" s="15" customFormat="1" ht="13.8" x14ac:dyDescent="0.25">
      <c r="A22" s="16"/>
      <c r="B22" s="16"/>
      <c r="C22" s="16"/>
      <c r="D22" s="16"/>
      <c r="E22" s="16"/>
      <c r="F22" s="16"/>
      <c r="G22" s="16"/>
      <c r="H22" s="16"/>
      <c r="I22" s="16"/>
      <c r="J22" s="16"/>
    </row>
    <row r="23" spans="1:19" s="15" customFormat="1" ht="70.2" customHeight="1" x14ac:dyDescent="0.25">
      <c r="A23" s="80" t="s">
        <v>18</v>
      </c>
      <c r="B23" s="80"/>
      <c r="C23" s="80"/>
      <c r="D23" s="80"/>
      <c r="E23" s="80"/>
      <c r="F23" s="80"/>
      <c r="G23" s="80"/>
      <c r="H23" s="80"/>
      <c r="I23" s="80"/>
      <c r="J23" s="7"/>
      <c r="K23" s="81" t="s">
        <v>114</v>
      </c>
      <c r="L23" s="81"/>
      <c r="M23" s="81"/>
      <c r="N23" s="81"/>
      <c r="O23" s="81"/>
      <c r="P23" s="81"/>
      <c r="Q23" s="81"/>
      <c r="R23" s="81"/>
      <c r="S23" s="81"/>
    </row>
    <row r="24" spans="1:19" s="15" customFormat="1" ht="13.8" x14ac:dyDescent="0.25">
      <c r="A24" s="16"/>
      <c r="B24" s="16"/>
      <c r="C24" s="16"/>
      <c r="D24" s="16"/>
      <c r="E24" s="16"/>
      <c r="F24" s="16"/>
      <c r="G24" s="16"/>
      <c r="H24" s="16"/>
      <c r="I24" s="16"/>
      <c r="J24" s="16"/>
    </row>
    <row r="25" spans="1:19" s="15" customFormat="1" ht="70.2" customHeight="1" x14ac:dyDescent="0.25">
      <c r="A25" s="82" t="s">
        <v>3</v>
      </c>
      <c r="B25" s="82"/>
      <c r="C25" s="82"/>
      <c r="D25" s="82"/>
      <c r="E25" s="82"/>
      <c r="F25" s="82"/>
      <c r="G25" s="82"/>
      <c r="H25" s="82"/>
      <c r="I25" s="82"/>
      <c r="J25" s="7"/>
      <c r="K25" s="83" t="s">
        <v>90</v>
      </c>
      <c r="L25" s="83"/>
      <c r="M25" s="83"/>
      <c r="N25" s="83"/>
      <c r="O25" s="83"/>
      <c r="P25" s="83"/>
      <c r="Q25" s="83"/>
      <c r="R25" s="83"/>
      <c r="S25" s="83"/>
    </row>
    <row r="26" spans="1:19" s="15" customFormat="1" ht="13.8" x14ac:dyDescent="0.25">
      <c r="A26" s="16"/>
      <c r="B26" s="16"/>
      <c r="C26" s="16"/>
      <c r="D26" s="16"/>
      <c r="E26" s="16"/>
      <c r="F26" s="16"/>
      <c r="G26" s="16"/>
      <c r="H26" s="16"/>
      <c r="I26" s="16"/>
      <c r="J26" s="16"/>
    </row>
    <row r="27" spans="1:19" ht="27" customHeight="1" x14ac:dyDescent="0.25">
      <c r="A27" s="78" t="s">
        <v>13</v>
      </c>
      <c r="B27" s="78"/>
      <c r="C27" s="78"/>
      <c r="D27" s="78"/>
      <c r="E27" s="78"/>
      <c r="F27" s="78"/>
      <c r="G27" s="78"/>
      <c r="H27" s="78"/>
      <c r="I27" s="78"/>
      <c r="K27" s="79" t="s">
        <v>19</v>
      </c>
      <c r="L27" s="79"/>
      <c r="M27" s="79"/>
      <c r="N27" s="79"/>
      <c r="O27" s="79"/>
      <c r="P27" s="79"/>
      <c r="Q27" s="79"/>
      <c r="R27" s="79"/>
      <c r="S27" s="79"/>
    </row>
    <row r="28" spans="1:19" ht="27" customHeight="1" x14ac:dyDescent="0.25">
      <c r="A28" s="78"/>
      <c r="B28" s="78"/>
      <c r="C28" s="78"/>
      <c r="D28" s="78"/>
      <c r="E28" s="78"/>
      <c r="F28" s="78"/>
      <c r="G28" s="78"/>
      <c r="H28" s="78"/>
      <c r="I28" s="78"/>
      <c r="K28" s="79"/>
      <c r="L28" s="79"/>
      <c r="M28" s="79"/>
      <c r="N28" s="79"/>
      <c r="O28" s="17"/>
      <c r="P28" s="17"/>
      <c r="Q28" s="17"/>
      <c r="R28" s="17"/>
      <c r="S28" s="17"/>
    </row>
    <row r="29" spans="1:19" ht="27" customHeight="1" x14ac:dyDescent="0.25">
      <c r="A29" s="78"/>
      <c r="B29" s="78"/>
      <c r="C29" s="78"/>
      <c r="D29" s="78"/>
      <c r="E29" s="78"/>
      <c r="F29" s="78"/>
      <c r="G29" s="78"/>
      <c r="H29" s="78"/>
      <c r="I29" s="78"/>
      <c r="K29" s="79"/>
      <c r="L29" s="79"/>
      <c r="M29" s="79"/>
      <c r="N29" s="79"/>
      <c r="O29" s="79"/>
      <c r="P29" s="79"/>
      <c r="Q29" s="79"/>
      <c r="R29" s="79"/>
      <c r="S29" s="79"/>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44644</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15" workbookViewId="0">
      <selection activeCell="F26" sqref="F26"/>
    </sheetView>
  </sheetViews>
  <sheetFormatPr defaultColWidth="8" defaultRowHeight="13.2" x14ac:dyDescent="0.25"/>
  <cols>
    <col min="1" max="1" width="54.109375" style="2" customWidth="1"/>
    <col min="2" max="2" width="86.44140625" style="36" customWidth="1"/>
    <col min="3" max="3" width="25.109375" style="2" bestFit="1" customWidth="1"/>
    <col min="4" max="16384" width="8" style="2"/>
  </cols>
  <sheetData>
    <row r="1" spans="1:3" hidden="1" x14ac:dyDescent="0.25">
      <c r="A1" s="1" t="s">
        <v>5</v>
      </c>
    </row>
    <row r="2" spans="1:3" hidden="1" x14ac:dyDescent="0.25">
      <c r="A2" s="3" t="s">
        <v>20</v>
      </c>
      <c r="B2" s="37" t="s">
        <v>6</v>
      </c>
    </row>
    <row r="3" spans="1:3" hidden="1" x14ac:dyDescent="0.25">
      <c r="A3" s="3" t="s">
        <v>20</v>
      </c>
      <c r="B3" s="37" t="s">
        <v>6</v>
      </c>
    </row>
    <row r="4" spans="1:3" hidden="1" x14ac:dyDescent="0.25">
      <c r="A4" s="3" t="s">
        <v>21</v>
      </c>
      <c r="B4" s="37" t="s">
        <v>7</v>
      </c>
    </row>
    <row r="5" spans="1:3" hidden="1" x14ac:dyDescent="0.25">
      <c r="A5" s="3" t="s">
        <v>22</v>
      </c>
      <c r="B5" s="37" t="s">
        <v>7</v>
      </c>
    </row>
    <row r="6" spans="1:3" x14ac:dyDescent="0.25">
      <c r="A6" s="5"/>
      <c r="B6" s="38"/>
      <c r="C6" s="4"/>
    </row>
    <row r="7" spans="1:3" x14ac:dyDescent="0.25">
      <c r="A7" s="30"/>
      <c r="B7" s="38"/>
      <c r="C7" s="4"/>
    </row>
    <row r="8" spans="1:3" ht="28.2" x14ac:dyDescent="0.25">
      <c r="A8" s="89" t="s">
        <v>1</v>
      </c>
      <c r="B8" s="89"/>
      <c r="C8" s="29" t="s">
        <v>8</v>
      </c>
    </row>
    <row r="9" spans="1:3" x14ac:dyDescent="0.25">
      <c r="A9" s="4"/>
      <c r="B9" s="38"/>
      <c r="C9" s="4"/>
    </row>
    <row r="10" spans="1:3" x14ac:dyDescent="0.25">
      <c r="A10" s="5" t="s">
        <v>9</v>
      </c>
      <c r="B10" s="90" t="s">
        <v>10</v>
      </c>
      <c r="C10" s="90"/>
    </row>
    <row r="11" spans="1:3" x14ac:dyDescent="0.25">
      <c r="A11" s="25" t="s">
        <v>11</v>
      </c>
      <c r="B11" s="21" t="s">
        <v>88</v>
      </c>
      <c r="C11" s="22"/>
    </row>
    <row r="12" spans="1:3" x14ac:dyDescent="0.25">
      <c r="A12" s="30"/>
      <c r="B12" s="38"/>
      <c r="C12" s="4"/>
    </row>
    <row r="13" spans="1:3" x14ac:dyDescent="0.25">
      <c r="A13" s="30"/>
      <c r="B13" s="38"/>
      <c r="C13" s="4"/>
    </row>
    <row r="14" spans="1:3" ht="19.649999999999999" customHeight="1" x14ac:dyDescent="0.25">
      <c r="A14" s="26" t="str">
        <f>CONCATENATE("To be Performed by Tester : ",'Test Cycle 1'!H2)</f>
        <v>To be Performed by Tester : Mingoué Frank</v>
      </c>
      <c r="B14" s="39"/>
      <c r="C14" s="4"/>
    </row>
    <row r="15" spans="1:3" ht="21.9" customHeight="1" x14ac:dyDescent="0.3">
      <c r="A15" s="31" t="s">
        <v>23</v>
      </c>
      <c r="B15" s="91"/>
      <c r="C15" s="92"/>
    </row>
    <row r="16" spans="1:3" ht="39.75" customHeight="1" x14ac:dyDescent="0.25">
      <c r="A16" s="28" t="s">
        <v>24</v>
      </c>
      <c r="B16" s="28" t="s">
        <v>12</v>
      </c>
      <c r="C16" s="23" t="s">
        <v>25</v>
      </c>
    </row>
    <row r="17" spans="1:3" x14ac:dyDescent="0.25">
      <c r="A17" s="24" t="s">
        <v>26</v>
      </c>
      <c r="B17" s="40"/>
      <c r="C17" s="27" t="s">
        <v>87</v>
      </c>
    </row>
    <row r="18" spans="1:3" x14ac:dyDescent="0.25">
      <c r="A18" s="24" t="s">
        <v>27</v>
      </c>
      <c r="B18" s="40"/>
      <c r="C18" s="27" t="s">
        <v>83</v>
      </c>
    </row>
    <row r="19" spans="1:3" x14ac:dyDescent="0.25">
      <c r="A19" s="24" t="s">
        <v>28</v>
      </c>
      <c r="B19" s="40"/>
      <c r="C19" s="27" t="s">
        <v>87</v>
      </c>
    </row>
    <row r="20" spans="1:3" x14ac:dyDescent="0.25">
      <c r="A20" s="24" t="s">
        <v>76</v>
      </c>
      <c r="B20" s="41"/>
      <c r="C20" s="27" t="s">
        <v>113</v>
      </c>
    </row>
    <row r="21" spans="1:3" x14ac:dyDescent="0.25">
      <c r="A21" s="24" t="s">
        <v>77</v>
      </c>
      <c r="B21" s="40"/>
      <c r="C21" s="27" t="s">
        <v>83</v>
      </c>
    </row>
    <row r="22" spans="1:3" x14ac:dyDescent="0.25">
      <c r="A22" s="24" t="s">
        <v>79</v>
      </c>
      <c r="B22" s="40"/>
      <c r="C22" s="27" t="s">
        <v>87</v>
      </c>
    </row>
    <row r="23" spans="1:3" x14ac:dyDescent="0.25">
      <c r="A23" s="24" t="s">
        <v>78</v>
      </c>
      <c r="B23" s="44"/>
      <c r="C23" s="27" t="s">
        <v>87</v>
      </c>
    </row>
    <row r="24" spans="1:3" x14ac:dyDescent="0.25">
      <c r="A24" s="24" t="s">
        <v>29</v>
      </c>
      <c r="B24" s="40"/>
      <c r="C24" s="27" t="s">
        <v>87</v>
      </c>
    </row>
    <row r="25" spans="1:3" x14ac:dyDescent="0.25">
      <c r="A25" s="24" t="s">
        <v>30</v>
      </c>
      <c r="B25" s="40"/>
      <c r="C25" s="27" t="s">
        <v>83</v>
      </c>
    </row>
    <row r="26" spans="1:3" ht="26.4" x14ac:dyDescent="0.25">
      <c r="A26" s="24" t="s">
        <v>31</v>
      </c>
      <c r="B26" s="27"/>
      <c r="C26" s="27" t="s">
        <v>87</v>
      </c>
    </row>
    <row r="27" spans="1:3" x14ac:dyDescent="0.25">
      <c r="A27" s="24" t="s">
        <v>55</v>
      </c>
      <c r="B27" s="27"/>
      <c r="C27" s="27" t="s">
        <v>87</v>
      </c>
    </row>
    <row r="28" spans="1:3" x14ac:dyDescent="0.25">
      <c r="A28" s="24" t="s">
        <v>80</v>
      </c>
      <c r="B28" s="40"/>
      <c r="C28" s="27" t="s">
        <v>87</v>
      </c>
    </row>
    <row r="29" spans="1:3" x14ac:dyDescent="0.25">
      <c r="A29" s="24" t="s">
        <v>81</v>
      </c>
      <c r="B29" s="40"/>
      <c r="C29" s="27" t="s">
        <v>87</v>
      </c>
    </row>
    <row r="30" spans="1:3" x14ac:dyDescent="0.25">
      <c r="A30" s="33"/>
      <c r="B30" s="42"/>
      <c r="C30" s="34"/>
    </row>
    <row r="31" spans="1:3" x14ac:dyDescent="0.25">
      <c r="A31" s="35"/>
      <c r="B31" s="43"/>
      <c r="C31" s="35"/>
    </row>
    <row r="32" spans="1:3" x14ac:dyDescent="0.25">
      <c r="A32" s="32" t="str">
        <f>CONCATENATE("To be Performed by Reviewer : ",'Test Cycle 1'!H3)</f>
        <v xml:space="preserve">To be Performed by Reviewer : </v>
      </c>
      <c r="B32" s="39"/>
      <c r="C32" s="4"/>
    </row>
    <row r="33" spans="1:3" ht="14.4" x14ac:dyDescent="0.3">
      <c r="A33" s="31" t="s">
        <v>23</v>
      </c>
      <c r="B33" s="91"/>
      <c r="C33" s="92"/>
    </row>
    <row r="34" spans="1:3" ht="26.4" x14ac:dyDescent="0.25">
      <c r="A34" s="28" t="s">
        <v>24</v>
      </c>
      <c r="B34" s="28"/>
      <c r="C34" s="23" t="s">
        <v>25</v>
      </c>
    </row>
    <row r="35" spans="1:3" x14ac:dyDescent="0.25">
      <c r="A35" s="24" t="s">
        <v>32</v>
      </c>
      <c r="B35" s="40"/>
      <c r="C35" s="27" t="s">
        <v>82</v>
      </c>
    </row>
    <row r="36" spans="1:3" x14ac:dyDescent="0.25">
      <c r="A36" s="24" t="s">
        <v>33</v>
      </c>
      <c r="B36" s="40"/>
      <c r="C36" s="27" t="s">
        <v>82</v>
      </c>
    </row>
    <row r="37" spans="1:3" x14ac:dyDescent="0.25">
      <c r="A37" s="24" t="s">
        <v>75</v>
      </c>
      <c r="B37" s="40"/>
      <c r="C37" s="27" t="s">
        <v>82</v>
      </c>
    </row>
    <row r="38" spans="1:3" x14ac:dyDescent="0.25">
      <c r="A38" s="24" t="s">
        <v>34</v>
      </c>
      <c r="B38" s="40"/>
      <c r="C38" s="27" t="s">
        <v>82</v>
      </c>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5"/>
  <sheetViews>
    <sheetView zoomScale="60" zoomScaleNormal="60" workbookViewId="0">
      <selection activeCell="B4" sqref="B4:H4"/>
    </sheetView>
  </sheetViews>
  <sheetFormatPr defaultColWidth="9.109375" defaultRowHeight="15.6" x14ac:dyDescent="0.3"/>
  <cols>
    <col min="1" max="1" width="22.88671875" style="58" customWidth="1"/>
    <col min="2" max="2" width="37.109375" style="58" customWidth="1"/>
    <col min="3" max="3" width="62.109375" style="58" customWidth="1"/>
    <col min="4" max="4" width="23.44140625" style="77" bestFit="1" customWidth="1"/>
    <col min="5" max="5" width="41.44140625" style="64" customWidth="1"/>
    <col min="6" max="6" width="36.88671875" style="58" customWidth="1"/>
    <col min="7" max="7" width="39.44140625" style="58" customWidth="1"/>
    <col min="8" max="8" width="36.88671875" style="58" customWidth="1"/>
    <col min="9" max="9" width="25" style="58" customWidth="1"/>
    <col min="10" max="10" width="23.44140625" style="58" customWidth="1"/>
    <col min="11" max="11" width="32" style="58" customWidth="1"/>
    <col min="12" max="12" width="30.88671875" style="58" customWidth="1"/>
    <col min="13" max="22" width="9.109375" style="59"/>
    <col min="23" max="23" width="17.109375" style="59" bestFit="1" customWidth="1"/>
    <col min="24" max="24" width="9.109375" style="59"/>
    <col min="25" max="25" width="14.33203125" style="59" bestFit="1" customWidth="1"/>
    <col min="26" max="48" width="9.109375" style="59"/>
    <col min="49" max="49" width="9" style="59" customWidth="1"/>
    <col min="50" max="52" width="9.109375" style="59" hidden="1" customWidth="1"/>
    <col min="53" max="53" width="27.6640625" style="59" customWidth="1"/>
    <col min="54" max="16384" width="9.109375" style="59"/>
  </cols>
  <sheetData>
    <row r="1" spans="1:55" s="58" customFormat="1" ht="24.6" customHeight="1" x14ac:dyDescent="0.3">
      <c r="A1" s="54" t="s">
        <v>43</v>
      </c>
      <c r="B1" s="93"/>
      <c r="C1" s="93"/>
      <c r="D1" s="93"/>
      <c r="E1" s="55" t="s">
        <v>44</v>
      </c>
      <c r="F1" s="56"/>
      <c r="G1" s="57"/>
      <c r="H1" s="57"/>
      <c r="M1" s="59"/>
      <c r="N1" s="59"/>
      <c r="O1" s="59"/>
      <c r="P1" s="59"/>
      <c r="Q1" s="59"/>
      <c r="R1" s="59"/>
      <c r="S1" s="59"/>
      <c r="T1" s="59"/>
      <c r="U1" s="59"/>
      <c r="V1" s="59"/>
      <c r="W1" s="59"/>
      <c r="X1" s="59"/>
      <c r="Y1" s="59"/>
      <c r="Z1" s="59"/>
      <c r="AA1" s="59"/>
      <c r="AB1" s="59"/>
      <c r="AC1" s="59"/>
      <c r="AD1" s="59"/>
      <c r="AE1" s="59"/>
      <c r="AF1" s="59"/>
      <c r="AG1" s="59"/>
      <c r="AH1" s="59"/>
      <c r="AI1" s="59"/>
      <c r="AJ1" s="59"/>
      <c r="AK1" s="59"/>
      <c r="AL1" s="59"/>
      <c r="AM1" s="59"/>
      <c r="AN1" s="59"/>
      <c r="AO1" s="59"/>
      <c r="AP1" s="59"/>
      <c r="AQ1" s="59"/>
      <c r="AR1" s="59"/>
      <c r="AS1" s="59"/>
      <c r="AT1" s="59"/>
      <c r="AU1" s="59"/>
      <c r="AV1" s="59"/>
      <c r="AW1" s="59"/>
      <c r="AX1" s="59"/>
      <c r="AY1" s="59"/>
      <c r="AZ1" s="59"/>
      <c r="BA1" s="60" t="s">
        <v>35</v>
      </c>
      <c r="BB1" s="60" t="s">
        <v>35</v>
      </c>
      <c r="BC1" s="58" t="s">
        <v>36</v>
      </c>
    </row>
    <row r="2" spans="1:55" s="58" customFormat="1" ht="19.2" customHeight="1" x14ac:dyDescent="0.3">
      <c r="A2" s="54" t="s">
        <v>46</v>
      </c>
      <c r="B2" s="93" t="s">
        <v>91</v>
      </c>
      <c r="C2" s="93"/>
      <c r="D2" s="93"/>
      <c r="E2" s="55" t="s">
        <v>47</v>
      </c>
      <c r="F2" s="61">
        <v>44642</v>
      </c>
      <c r="G2" s="54" t="s">
        <v>48</v>
      </c>
      <c r="H2" s="56" t="s">
        <v>84</v>
      </c>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60" t="s">
        <v>37</v>
      </c>
      <c r="BB2" s="60" t="s">
        <v>37</v>
      </c>
      <c r="BC2" s="58" t="s">
        <v>38</v>
      </c>
    </row>
    <row r="3" spans="1:55" s="58" customFormat="1" ht="26.25" customHeight="1" x14ac:dyDescent="0.3">
      <c r="A3" s="54" t="s">
        <v>50</v>
      </c>
      <c r="B3" s="94" t="s">
        <v>39</v>
      </c>
      <c r="C3" s="94"/>
      <c r="D3" s="94"/>
      <c r="E3" s="55" t="s">
        <v>51</v>
      </c>
      <c r="F3" s="62"/>
      <c r="G3" s="54" t="s">
        <v>52</v>
      </c>
      <c r="H3" s="56"/>
      <c r="M3" s="59"/>
      <c r="N3" s="59"/>
      <c r="O3" s="59"/>
      <c r="P3" s="59"/>
      <c r="Q3" s="59"/>
      <c r="R3" s="59"/>
      <c r="S3" s="59"/>
      <c r="T3" s="59"/>
      <c r="U3" s="59"/>
      <c r="V3" s="59"/>
      <c r="W3" s="59"/>
      <c r="X3" s="59"/>
      <c r="Y3" s="59"/>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60" t="s">
        <v>39</v>
      </c>
      <c r="BB3" s="60" t="s">
        <v>40</v>
      </c>
      <c r="BC3" s="58" t="s">
        <v>15</v>
      </c>
    </row>
    <row r="4" spans="1:55" s="58" customFormat="1" ht="27" customHeight="1" x14ac:dyDescent="0.4">
      <c r="A4" s="54" t="s">
        <v>54</v>
      </c>
      <c r="B4" s="95" t="s">
        <v>102</v>
      </c>
      <c r="C4" s="95"/>
      <c r="D4" s="95"/>
      <c r="E4" s="95"/>
      <c r="F4" s="95"/>
      <c r="G4" s="95"/>
      <c r="H4" s="95"/>
      <c r="M4" s="59"/>
      <c r="N4" s="59"/>
      <c r="O4" s="59"/>
      <c r="P4" s="59"/>
      <c r="Q4" s="59"/>
      <c r="R4" s="59"/>
      <c r="S4" s="59"/>
      <c r="T4" s="59"/>
      <c r="U4" s="59"/>
      <c r="V4" s="59"/>
      <c r="W4" s="59"/>
      <c r="X4" s="59"/>
      <c r="Y4" s="59"/>
      <c r="Z4" s="59"/>
      <c r="AA4" s="59"/>
      <c r="AB4" s="59"/>
      <c r="AC4" s="59"/>
      <c r="AD4" s="59"/>
      <c r="AE4" s="59"/>
      <c r="AF4" s="59"/>
      <c r="AG4" s="59"/>
      <c r="AH4" s="59"/>
      <c r="AI4" s="59"/>
      <c r="AJ4" s="59"/>
      <c r="AK4" s="59"/>
      <c r="AL4" s="59"/>
      <c r="AM4" s="59"/>
      <c r="AN4" s="59"/>
      <c r="AO4" s="59"/>
      <c r="AP4" s="59"/>
      <c r="AQ4" s="59"/>
      <c r="AR4" s="59"/>
      <c r="AS4" s="59"/>
      <c r="AT4" s="59"/>
      <c r="AU4" s="59"/>
      <c r="AV4" s="59"/>
      <c r="AW4" s="59"/>
      <c r="AX4" s="59"/>
      <c r="AY4" s="59"/>
      <c r="AZ4" s="59"/>
      <c r="BA4" s="60" t="s">
        <v>41</v>
      </c>
      <c r="BB4" s="60" t="s">
        <v>15</v>
      </c>
      <c r="BC4" s="58" t="s">
        <v>16</v>
      </c>
    </row>
    <row r="5" spans="1:55" s="58" customFormat="1" x14ac:dyDescent="0.3">
      <c r="A5" s="63" t="s">
        <v>66</v>
      </c>
      <c r="B5" s="63" t="s">
        <v>67</v>
      </c>
      <c r="C5" s="63" t="s">
        <v>68</v>
      </c>
      <c r="D5" s="76" t="s">
        <v>69</v>
      </c>
      <c r="E5" s="63" t="s">
        <v>70</v>
      </c>
      <c r="F5" s="63" t="s">
        <v>71</v>
      </c>
      <c r="G5" s="63" t="s">
        <v>72</v>
      </c>
      <c r="H5" s="63" t="s">
        <v>73</v>
      </c>
      <c r="I5" s="63" t="s">
        <v>64</v>
      </c>
      <c r="J5" s="63" t="s">
        <v>65</v>
      </c>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9"/>
      <c r="AV5" s="59"/>
      <c r="AW5" s="59"/>
      <c r="AX5" s="59"/>
      <c r="AY5" s="60" t="s">
        <v>42</v>
      </c>
      <c r="AZ5" s="60" t="s">
        <v>16</v>
      </c>
    </row>
    <row r="6" spans="1:55" s="72" customFormat="1" ht="93.6" customHeight="1" x14ac:dyDescent="0.25">
      <c r="A6" s="100">
        <v>1</v>
      </c>
      <c r="B6" s="99" t="s">
        <v>96</v>
      </c>
      <c r="C6" s="99" t="s">
        <v>92</v>
      </c>
      <c r="D6" s="99" t="s">
        <v>93</v>
      </c>
      <c r="E6" s="98" t="s">
        <v>95</v>
      </c>
      <c r="F6" s="99" t="s">
        <v>94</v>
      </c>
      <c r="G6" s="98" t="s">
        <v>95</v>
      </c>
      <c r="H6" s="99" t="s">
        <v>101</v>
      </c>
      <c r="I6" s="68"/>
      <c r="J6" s="71"/>
      <c r="AY6" s="73"/>
    </row>
    <row r="7" spans="1:55" s="72" customFormat="1" ht="51.6" customHeight="1" x14ac:dyDescent="0.25">
      <c r="A7" s="100">
        <v>2</v>
      </c>
      <c r="B7" s="102" t="s">
        <v>97</v>
      </c>
      <c r="C7" s="101" t="s">
        <v>98</v>
      </c>
      <c r="D7" s="99" t="s">
        <v>93</v>
      </c>
      <c r="E7" s="96" t="s">
        <v>99</v>
      </c>
      <c r="F7" s="101" t="s">
        <v>100</v>
      </c>
      <c r="G7" s="96" t="s">
        <v>99</v>
      </c>
      <c r="H7" s="99" t="s">
        <v>111</v>
      </c>
      <c r="I7" s="68"/>
      <c r="J7" s="71"/>
      <c r="AY7" s="73"/>
    </row>
    <row r="8" spans="1:55" s="72" customFormat="1" ht="84.6" customHeight="1" x14ac:dyDescent="0.25">
      <c r="A8" s="100">
        <v>3</v>
      </c>
      <c r="B8" s="99" t="s">
        <v>103</v>
      </c>
      <c r="C8" s="99" t="s">
        <v>104</v>
      </c>
      <c r="D8" s="99" t="s">
        <v>105</v>
      </c>
      <c r="E8" s="97" t="s">
        <v>87</v>
      </c>
      <c r="F8" s="99" t="s">
        <v>106</v>
      </c>
      <c r="G8" s="97" t="s">
        <v>87</v>
      </c>
      <c r="H8" s="101"/>
      <c r="I8" s="68"/>
      <c r="J8" s="71"/>
      <c r="AY8" s="73" t="s">
        <v>45</v>
      </c>
    </row>
    <row r="9" spans="1:55" s="72" customFormat="1" ht="163.80000000000001" customHeight="1" x14ac:dyDescent="0.25">
      <c r="A9" s="100">
        <v>4</v>
      </c>
      <c r="B9" s="99" t="s">
        <v>107</v>
      </c>
      <c r="C9" s="99" t="s">
        <v>108</v>
      </c>
      <c r="D9" s="96" t="s">
        <v>109</v>
      </c>
      <c r="E9" s="98" t="s">
        <v>87</v>
      </c>
      <c r="F9" s="99" t="s">
        <v>110</v>
      </c>
      <c r="G9" s="96" t="s">
        <v>109</v>
      </c>
      <c r="H9" s="101" t="s">
        <v>112</v>
      </c>
      <c r="I9" s="68"/>
      <c r="J9" s="71"/>
      <c r="AY9" s="73" t="s">
        <v>49</v>
      </c>
    </row>
    <row r="10" spans="1:55" s="72" customFormat="1" ht="193.8" customHeight="1" x14ac:dyDescent="0.25">
      <c r="A10" s="103">
        <v>5</v>
      </c>
      <c r="B10" s="67"/>
      <c r="C10" s="67"/>
      <c r="D10" s="69"/>
      <c r="E10" s="67"/>
      <c r="F10" s="70"/>
      <c r="G10" s="67"/>
      <c r="H10" s="70"/>
      <c r="I10" s="68"/>
      <c r="J10" s="71"/>
      <c r="AY10" s="73" t="s">
        <v>53</v>
      </c>
    </row>
    <row r="11" spans="1:55" s="72" customFormat="1" ht="197.4" customHeight="1" x14ac:dyDescent="0.25">
      <c r="A11" s="103">
        <v>6</v>
      </c>
      <c r="B11" s="71"/>
      <c r="C11" s="67"/>
      <c r="D11" s="69"/>
      <c r="E11" s="67"/>
      <c r="F11" s="70"/>
      <c r="G11" s="67"/>
      <c r="H11" s="70"/>
      <c r="I11" s="68"/>
      <c r="J11" s="71"/>
      <c r="U11" s="74"/>
    </row>
    <row r="12" spans="1:55" s="72" customFormat="1" ht="145.80000000000001" customHeight="1" x14ac:dyDescent="0.25">
      <c r="A12" s="103">
        <v>7</v>
      </c>
      <c r="B12" s="71"/>
      <c r="C12" s="67"/>
      <c r="D12" s="69"/>
      <c r="E12" s="67"/>
      <c r="F12" s="70"/>
      <c r="G12" s="67"/>
      <c r="H12" s="70"/>
      <c r="I12" s="68"/>
      <c r="J12" s="71"/>
      <c r="U12" s="74"/>
    </row>
    <row r="13" spans="1:55" s="72" customFormat="1" ht="121.8" customHeight="1" x14ac:dyDescent="0.25">
      <c r="A13" s="103">
        <v>8</v>
      </c>
      <c r="B13" s="71"/>
      <c r="C13" s="67"/>
      <c r="D13" s="69"/>
      <c r="E13" s="67"/>
      <c r="F13" s="70"/>
      <c r="G13" s="67"/>
      <c r="H13" s="70"/>
      <c r="I13" s="68"/>
      <c r="J13" s="71"/>
    </row>
    <row r="14" spans="1:55" s="72" customFormat="1" ht="149.4" customHeight="1" x14ac:dyDescent="0.25">
      <c r="A14" s="103">
        <v>9</v>
      </c>
      <c r="B14" s="71"/>
      <c r="C14" s="67"/>
      <c r="D14" s="69"/>
      <c r="E14" s="75"/>
      <c r="F14" s="70"/>
      <c r="G14" s="75"/>
      <c r="H14" s="70"/>
      <c r="I14" s="68"/>
      <c r="J14" s="71"/>
    </row>
    <row r="15" spans="1:55" s="72" customFormat="1" x14ac:dyDescent="0.25">
      <c r="A15" s="103">
        <v>10</v>
      </c>
      <c r="B15" s="71"/>
      <c r="C15" s="67"/>
      <c r="D15" s="69"/>
      <c r="E15" s="67"/>
      <c r="F15" s="70"/>
      <c r="G15" s="67"/>
      <c r="H15" s="70"/>
      <c r="I15" s="68"/>
      <c r="J15" s="71"/>
      <c r="U15" s="74"/>
    </row>
    <row r="16" spans="1:55" s="72" customFormat="1" x14ac:dyDescent="0.25">
      <c r="A16" s="103">
        <v>11</v>
      </c>
      <c r="B16" s="70"/>
      <c r="C16" s="70"/>
      <c r="D16" s="69"/>
      <c r="E16" s="67"/>
      <c r="F16" s="70"/>
      <c r="G16" s="67"/>
      <c r="H16" s="70"/>
      <c r="I16" s="68"/>
      <c r="J16" s="71"/>
    </row>
    <row r="17" spans="1:10" s="72" customFormat="1" x14ac:dyDescent="0.25">
      <c r="A17" s="103">
        <v>12</v>
      </c>
      <c r="B17" s="70"/>
      <c r="C17" s="70"/>
      <c r="D17" s="69"/>
      <c r="E17" s="67"/>
      <c r="F17" s="70"/>
      <c r="G17" s="67"/>
      <c r="H17" s="70"/>
      <c r="I17" s="68"/>
      <c r="J17" s="71"/>
    </row>
    <row r="18" spans="1:10" s="72" customFormat="1" x14ac:dyDescent="0.25">
      <c r="A18" s="103">
        <v>13</v>
      </c>
      <c r="B18" s="70"/>
      <c r="C18" s="70"/>
      <c r="D18" s="69"/>
      <c r="E18" s="67"/>
      <c r="F18" s="70"/>
      <c r="G18" s="67"/>
      <c r="H18" s="70"/>
      <c r="I18" s="68"/>
      <c r="J18" s="71"/>
    </row>
    <row r="19" spans="1:10" s="72" customFormat="1" ht="23.25" customHeight="1" x14ac:dyDescent="0.25">
      <c r="A19" s="103">
        <v>14</v>
      </c>
      <c r="B19" s="70"/>
      <c r="C19" s="70"/>
      <c r="D19" s="69"/>
      <c r="E19" s="67"/>
      <c r="F19" s="70"/>
      <c r="G19" s="67"/>
      <c r="H19" s="70"/>
      <c r="I19" s="68"/>
      <c r="J19" s="71"/>
    </row>
    <row r="20" spans="1:10" s="72" customFormat="1" ht="30" customHeight="1" x14ac:dyDescent="0.25">
      <c r="A20" s="103">
        <v>15</v>
      </c>
      <c r="B20" s="70"/>
      <c r="C20" s="70"/>
      <c r="D20" s="69"/>
      <c r="E20" s="67"/>
      <c r="F20" s="70"/>
      <c r="G20" s="67"/>
      <c r="H20" s="70"/>
      <c r="I20" s="68"/>
      <c r="J20" s="71"/>
    </row>
    <row r="21" spans="1:10" s="58" customFormat="1" x14ac:dyDescent="0.3">
      <c r="D21" s="77"/>
      <c r="E21" s="64"/>
    </row>
    <row r="23" spans="1:10" s="58" customFormat="1" x14ac:dyDescent="0.3">
      <c r="D23" s="77"/>
      <c r="E23" s="64"/>
    </row>
    <row r="24" spans="1:10" s="58" customFormat="1" ht="111.75" customHeight="1" x14ac:dyDescent="0.3">
      <c r="D24" s="77"/>
      <c r="E24" s="64"/>
    </row>
    <row r="25" spans="1:10" s="58" customFormat="1" ht="111.75" customHeight="1" x14ac:dyDescent="0.3">
      <c r="D25" s="77"/>
      <c r="E25" s="64"/>
    </row>
  </sheetData>
  <mergeCells count="4">
    <mergeCell ref="B1:D1"/>
    <mergeCell ref="B2:D2"/>
    <mergeCell ref="B3:D3"/>
    <mergeCell ref="B4:H4"/>
  </mergeCells>
  <phoneticPr fontId="50" type="noConversion"/>
  <dataValidations count="2">
    <dataValidation type="list" allowBlank="1" showInputMessage="1" showErrorMessage="1" sqref="I6:I20" xr:uid="{00000000-0002-0000-0200-000001000000}">
      <formula1>$BB$1:$BB$5</formula1>
    </dataValidation>
    <dataValidation type="list" allowBlank="1" showInputMessage="1" showErrorMessage="1" sqref="B3:D3" xr:uid="{00000000-0002-0000-0200-000000000000}">
      <formula1>$BA$1:$BA$10</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45" customWidth="1"/>
    <col min="3" max="3" width="24.44140625" customWidth="1"/>
  </cols>
  <sheetData>
    <row r="1" spans="1:2" x14ac:dyDescent="0.25">
      <c r="A1" s="46" t="s">
        <v>62</v>
      </c>
      <c r="B1" s="47" t="s">
        <v>0</v>
      </c>
    </row>
    <row r="2" spans="1:2" outlineLevel="1" x14ac:dyDescent="0.25">
      <c r="A2" s="48" t="s">
        <v>56</v>
      </c>
      <c r="B2" s="53" t="str">
        <f>PPRD</f>
        <v>Jun , 2022</v>
      </c>
    </row>
    <row r="3" spans="1:2" x14ac:dyDescent="0.25">
      <c r="A3" s="48" t="s">
        <v>59</v>
      </c>
      <c r="B3" s="49" t="str">
        <f>CRN</f>
        <v xml:space="preserve">INC4054059 </v>
      </c>
    </row>
    <row r="4" spans="1:2" x14ac:dyDescent="0.25">
      <c r="A4" s="48" t="s">
        <v>60</v>
      </c>
      <c r="B4" s="49" t="str">
        <f>MA</f>
        <v xml:space="preserve">CT	</v>
      </c>
    </row>
    <row r="5" spans="1:2" x14ac:dyDescent="0.25">
      <c r="A5" s="48" t="s">
        <v>61</v>
      </c>
      <c r="B5" s="49" t="str">
        <f>Area</f>
        <v>Data</v>
      </c>
    </row>
    <row r="6" spans="1:2" x14ac:dyDescent="0.25">
      <c r="A6" s="48" t="s">
        <v>44</v>
      </c>
      <c r="B6" s="49">
        <f>Entity</f>
        <v>0</v>
      </c>
    </row>
    <row r="7" spans="1:2" x14ac:dyDescent="0.25">
      <c r="A7" s="48" t="s">
        <v>57</v>
      </c>
      <c r="B7" s="50">
        <f>DTested</f>
        <v>44642</v>
      </c>
    </row>
    <row r="8" spans="1:2" x14ac:dyDescent="0.25">
      <c r="A8" s="48" t="s">
        <v>58</v>
      </c>
      <c r="B8" s="51">
        <f>DReviewed</f>
        <v>0</v>
      </c>
    </row>
    <row r="9" spans="1:2" x14ac:dyDescent="0.25">
      <c r="A9" s="48" t="s">
        <v>48</v>
      </c>
      <c r="B9" s="49" t="str">
        <f>TestedBy</f>
        <v>Mingoué Frank</v>
      </c>
    </row>
    <row r="10" spans="1:2" x14ac:dyDescent="0.25">
      <c r="A10" s="48" t="s">
        <v>52</v>
      </c>
      <c r="B10" s="49">
        <f>ReviewedBy</f>
        <v>0</v>
      </c>
    </row>
    <row r="12" spans="1:2" x14ac:dyDescent="0.25">
      <c r="A12" s="48" t="s">
        <v>63</v>
      </c>
      <c r="B12" s="52"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3DDDB-CAC4-49AB-9E00-AC2D6CD6BA03}">
  <dimension ref="A2:A53"/>
  <sheetViews>
    <sheetView topLeftCell="A5" workbookViewId="0">
      <selection activeCell="J43" sqref="J43"/>
    </sheetView>
  </sheetViews>
  <sheetFormatPr defaultRowHeight="13.2" x14ac:dyDescent="0.25"/>
  <sheetData>
    <row r="2" spans="1:1" s="66" customFormat="1" x14ac:dyDescent="0.25">
      <c r="A2" s="65" t="s">
        <v>85</v>
      </c>
    </row>
    <row r="19" spans="1:1" s="66" customFormat="1" x14ac:dyDescent="0.25">
      <c r="A19" s="65" t="s">
        <v>86</v>
      </c>
    </row>
    <row r="35" spans="1:1" s="66" customFormat="1" x14ac:dyDescent="0.25">
      <c r="A35" s="65"/>
    </row>
    <row r="53" spans="1:1" s="66" customFormat="1" x14ac:dyDescent="0.25">
      <c r="A53" s="65"/>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Screenshots</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2022-03-24T04:51:27Z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