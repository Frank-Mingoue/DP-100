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j.jeetun\Desktop\DTD and Test Scripts\"/>
    </mc:Choice>
  </mc:AlternateContent>
  <xr:revisionPtr revIDLastSave="0" documentId="13_ncr:1_{70FDCD6E-D3AA-4C80-B6FA-50D91F54DD3B}" xr6:coauthVersionLast="46" xr6:coauthVersionMax="47" xr10:uidLastSave="{00000000-0000-0000-0000-000000000000}"/>
  <bookViews>
    <workbookView xWindow="-108" yWindow="-108" windowWidth="23256" windowHeight="12720" tabRatio="893"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4" i="6" l="1"/>
  <c r="B28" i="5"/>
  <c r="B85" i="7"/>
  <c r="B69" i="8"/>
  <c r="B109" i="16"/>
  <c r="G21" i="12"/>
  <c r="G22" i="12"/>
  <c r="G23" i="12"/>
  <c r="G25" i="12"/>
  <c r="G26" i="12"/>
  <c r="B8" i="21" l="1"/>
  <c r="B3" i="21"/>
  <c r="B9" i="21"/>
  <c r="B10" i="21"/>
  <c r="C17" i="21"/>
  <c r="C24" i="12" l="1"/>
  <c r="G24" i="12" l="1"/>
  <c r="C27" i="12"/>
  <c r="G27" i="12" s="1"/>
  <c r="D8" i="1"/>
  <c r="D7" i="1"/>
  <c r="D6" i="1"/>
  <c r="D5" i="1"/>
  <c r="D4" i="1"/>
  <c r="D3" i="1"/>
  <c r="B38" i="11"/>
  <c r="B7" i="21" l="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<sst xmlns="http://schemas.openxmlformats.org/spreadsheetml/2006/main" count="3033" uniqueCount="629">
  <si>
    <t>Trade Marketing Excellence Programme</t>
  </si>
  <si>
    <t>DATA</t>
  </si>
  <si>
    <t>Technical Design Mapping, Workflow &amp; Stored Procedure</t>
  </si>
  <si>
    <t>CHG/INC:</t>
  </si>
  <si>
    <t>CHG215150</t>
  </si>
  <si>
    <t xml:space="preserve">        Title:</t>
  </si>
  <si>
    <t>TME CZ extension to HU and SK markets - new markets deployment</t>
  </si>
  <si>
    <t>Planned Prod Release Date:</t>
  </si>
  <si>
    <t>Feb, 2022</t>
  </si>
  <si>
    <t xml:space="preserve">  Market Affected:</t>
  </si>
  <si>
    <t>SK</t>
  </si>
  <si>
    <t>Date:</t>
  </si>
  <si>
    <t>Status:</t>
  </si>
  <si>
    <t xml:space="preserve">Draft </t>
  </si>
  <si>
    <t>Reviewer Control Section</t>
  </si>
  <si>
    <t>Completed</t>
  </si>
  <si>
    <t>Failed</t>
  </si>
  <si>
    <t>Name</t>
  </si>
  <si>
    <t>First Name</t>
  </si>
  <si>
    <t>Function</t>
  </si>
  <si>
    <t>Document Version</t>
  </si>
  <si>
    <t>Date</t>
  </si>
  <si>
    <t>Status</t>
  </si>
  <si>
    <t>Comments</t>
  </si>
  <si>
    <t>In Progress</t>
  </si>
  <si>
    <t>Mingoué</t>
  </si>
  <si>
    <t>Frank</t>
  </si>
  <si>
    <t>Developer</t>
  </si>
  <si>
    <t>Created based on CHG215150</t>
  </si>
  <si>
    <t>Not Started</t>
  </si>
  <si>
    <t>Seeburn</t>
  </si>
  <si>
    <t>Vikram</t>
  </si>
  <si>
    <t>Reviewer</t>
  </si>
  <si>
    <t>Review Mapping ,Worklet &amp; worflow, Session Details</t>
  </si>
  <si>
    <t>Jeetun</t>
  </si>
  <si>
    <t>Jhanvi</t>
  </si>
  <si>
    <t>Review DB Schema, Ifb &amp; PHP</t>
  </si>
  <si>
    <t>Sign-off Control Section (a CoE and GDC sign-off names are required)</t>
  </si>
  <si>
    <t>Signature</t>
  </si>
  <si>
    <t>Testing</t>
  </si>
  <si>
    <t>Estimation</t>
  </si>
  <si>
    <t>Manday</t>
  </si>
  <si>
    <t>Hours</t>
  </si>
  <si>
    <t>Test a OLTP Interface to Test PHP, Java, EXP_BATCH_NUM_NEW transformations for KZA, SLK - 3 files</t>
  </si>
  <si>
    <t>Design(HLFD, DTD)</t>
  </si>
  <si>
    <t>Other IFBs will be tested by Deployment</t>
  </si>
  <si>
    <t>ETL Detail Design</t>
  </si>
  <si>
    <t>Dev Admin Task</t>
  </si>
  <si>
    <t>Review</t>
  </si>
  <si>
    <t>Dev/Configuration</t>
  </si>
  <si>
    <t>Revies Test script and prepare test case</t>
  </si>
  <si>
    <t>Reviewer to double check if all IFB have been correctly updated</t>
  </si>
  <si>
    <t>Peer Review</t>
  </si>
  <si>
    <t>Reviewer to double check if all Sessions have been correctly updated with new IFB</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</si>
  <si>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</si>
  <si>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</si>
  <si>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</si>
  <si>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</si>
  <si>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</si>
  <si>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</si>
  <si>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</si>
  <si>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</si>
  <si>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</si>
  <si>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</si>
  <si>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</si>
  <si>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</si>
  <si>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In the scope of TME Connect project, we need to extend Czech TME to Hungary and Slovakia markets to unify the solution across the whole CzHuSk cluster and prepare all markets for mobile application deployment. This extension should be completed with standard Feb 22 release.
HU and SK markets will NOT use mobile client applications.</t>
  </si>
  <si>
    <t>3.1</t>
  </si>
  <si>
    <t>3.2</t>
  </si>
  <si>
    <t>Automation Requirements</t>
  </si>
  <si>
    <t>Error Control Requirements</t>
  </si>
  <si>
    <t>Documentation Requirements</t>
  </si>
  <si>
    <t>HLFD_XXX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</si>
  <si>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</si>
  <si>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</si>
  <si>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</si>
  <si>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</si>
  <si>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</si>
  <si>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</si>
  <si>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</si>
  <si>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</si>
  <si>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</si>
  <si>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</si>
  <si>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</si>
  <si>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</si>
  <si>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</si>
  <si>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</si>
  <si>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</si>
  <si>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</si>
  <si>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</si>
  <si>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</si>
  <si>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</si>
  <si>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</si>
  <si>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</si>
  <si>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</si>
  <si>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</si>
  <si>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</si>
  <si>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</si>
  <si>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</si>
  <si>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</si>
  <si>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</si>
  <si>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</si>
  <si>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</si>
  <si>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</si>
  <si>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</si>
  <si>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</si>
  <si>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</si>
  <si>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</si>
  <si>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</si>
  <si>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</si>
  <si>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</si>
  <si>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</si>
  <si>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</si>
  <si>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</si>
  <si>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</si>
  <si>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</si>
  <si>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</si>
  <si>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</si>
  <si>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</si>
  <si>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</si>
  <si>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</si>
  <si>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</si>
  <si>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</si>
  <si>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</si>
  <si>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</si>
  <si>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</si>
  <si>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</si>
  <si>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</si>
  <si>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</si>
  <si>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</si>
  <si>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</si>
  <si>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</si>
  <si>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</si>
  <si>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</si>
  <si>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</si>
  <si>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</si>
  <si>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</si>
  <si>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</si>
  <si>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</si>
  <si>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</si>
  <si>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</si>
  <si>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</si>
  <si>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</si>
  <si>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</si>
  <si>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</si>
  <si>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</si>
  <si>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</si>
  <si>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</si>
  <si>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</si>
  <si>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</si>
  <si>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</si>
  <si>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</si>
  <si>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</si>
  <si>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</si>
  <si>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</si>
  <si>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</si>
  <si>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</si>
  <si>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</si>
  <si>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</si>
  <si>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</si>
  <si>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</si>
  <si>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</si>
  <si>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</si>
  <si>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</si>
  <si>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</si>
  <si>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</si>
  <si>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</si>
  <si>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</si>
  <si>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</si>
  <si>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</si>
  <si>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</si>
  <si>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</si>
  <si>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</si>
  <si>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</si>
  <si>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</si>
  <si>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</si>
  <si>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</si>
  <si>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</si>
  <si>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</si>
  <si>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</si>
  <si>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</si>
  <si>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</si>
  <si>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</si>
  <si>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</si>
  <si>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</si>
  <si>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WC_FF_COUNTRY_LANG_ID</t>
  </si>
  <si>
    <t>OLAP</t>
  </si>
  <si>
    <t xml:space="preserve">Use below script to add parameters for SLK
INSERT INTO WC_FF_COUNTRY_LANG_ID VALUES ('SK', 'Slovakia', 'SLK', 33000, 'DLTMEETLSlovakia@jti.com,DLTMEBTSDataOperations@jti.com,TME_Helpdesk@accenture.com,DLETLGDCSiebel@jti.com,DLTMEETLOPERATORS@jti.com', NULL)
</t>
  </si>
  <si>
    <t>Vardecimal compression should be applied for OLAP</t>
  </si>
  <si>
    <t>MERGE_WC_SALES_F_SK</t>
  </si>
  <si>
    <t>Table to create</t>
  </si>
  <si>
    <t>When populating WC_FF_ENTITY_DETAILS, populate COUNTRY with value from WC_FF_COUNTRY_LANG_ID</t>
  </si>
  <si>
    <t>WC_SALES_F_SK</t>
  </si>
  <si>
    <t>WC_SALES_M_A_BRAND_SK</t>
  </si>
  <si>
    <t>WC_SALES_M_A_PRE_SK</t>
  </si>
  <si>
    <t>WC_SALES_M_A_SK</t>
  </si>
  <si>
    <t>WC_SALES_M_DENORM_EIM_SK</t>
  </si>
  <si>
    <t>WC_SALES_Y_A_SK</t>
  </si>
  <si>
    <t>MERGE_WC_RTLAUDIT_F_SK</t>
  </si>
  <si>
    <t>WC_LAST_RTLAUDIT_BRAND_A_SK</t>
  </si>
  <si>
    <t>WC_LAST_RTLAUDIT_F_SK</t>
  </si>
  <si>
    <t>WC_RTLAUDIT_BRAND_A_SK</t>
  </si>
  <si>
    <t>WC_RTLAUDIT_F_SK</t>
  </si>
  <si>
    <t>WC_RTLAUDIT_M_TREND_A_SK</t>
  </si>
  <si>
    <t>WC_RTLAUDIT_ML_M_TREND_A_SK</t>
  </si>
  <si>
    <t>WC_DAY_D_SK</t>
  </si>
  <si>
    <t>WC_ASSORTMENT_SCD_SK</t>
  </si>
  <si>
    <t>MERGE_WCV_SALES_F_CEU</t>
  </si>
  <si>
    <t>View to modify</t>
  </si>
  <si>
    <t>MERGE_WCV_SALES_F_MASTER</t>
  </si>
  <si>
    <t>WCV_SALES_F_CEU</t>
  </si>
  <si>
    <t>WCV_SALES_F_MASTER</t>
  </si>
  <si>
    <t>WCV_INCR_BRAND_SALES_M_A_CEU_ROLLBACK_CCSI</t>
  </si>
  <si>
    <t>WCV_SALES_BRAND_M_A_CEU</t>
  </si>
  <si>
    <t>WCV_SALES_BRAND_M_A_MASTER</t>
  </si>
  <si>
    <t>WCV_SALES_M_A_CEU</t>
  </si>
  <si>
    <t>WCV_SALES_M_A_MASTER</t>
  </si>
  <si>
    <t>WCV_SALES_Y_A_CEU</t>
  </si>
  <si>
    <t>WCV_SALES_Y_A_MASTER</t>
  </si>
  <si>
    <t>MERGE_WCV_RTLAUDIT_F_CEU</t>
  </si>
  <si>
    <t>MERGE_WCV_RTLAUDIT_F_MASTER</t>
  </si>
  <si>
    <t>WCV_LAST_RTLAUDIT_BRAND_A_MASTER</t>
  </si>
  <si>
    <t>WCV_LAST_RTLAUDIT_BRAND_A_CEU</t>
  </si>
  <si>
    <t>WCV_LAST_RTLAUDIT_F_MASTER</t>
  </si>
  <si>
    <t>WCV_LAST_RTLAUDIT_F_CEU</t>
  </si>
  <si>
    <t>WCV_RTLAUDIT_BRAND_A_MASTER</t>
  </si>
  <si>
    <t>WCV_RTLAUDIT_BRAND_A_CEU</t>
  </si>
  <si>
    <t>WCV_RTLAUDIT_F_MASTER</t>
  </si>
  <si>
    <t>WCV_RTLAUDIT_F_CEU</t>
  </si>
  <si>
    <t>WCV_RTLAUDIT_M_TREND_A_MASTER</t>
  </si>
  <si>
    <t>WCV_RTLAUDIT_M_TREND_A_CEU</t>
  </si>
  <si>
    <t>WC_ASSORTMENT_SCD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</si>
  <si>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</si>
  <si>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</si>
  <si>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</si>
  <si>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</si>
  <si>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</si>
  <si>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</si>
  <si>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</si>
  <si>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</si>
  <si>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</si>
  <si>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</si>
  <si>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</si>
  <si>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</si>
  <si>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</si>
  <si>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</si>
  <si>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</si>
  <si>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fileTransform_v1.9.jar</t>
  </si>
  <si>
    <t>No Changes; Parameterized in WC_FF_COUNTRY_LANG_ID</t>
  </si>
  <si>
    <t>process-file.php</t>
  </si>
  <si>
    <t xml:space="preserve">1. Define Variable global $SLK_Recipient in below files;
   OLTP: \\Server\Staging\Scripts\OLTP\process-file.php
   OLAP: \\Server\Staging\Scripts\process-file.php	
2. Add entry for SK as per below:
   In OLTP: \\Server\Staging\Scripts\OLTP\process-file.php
   else if ($country=="SK"){
     $lang_id = "SLK";
	 $recipients=$SLK_Recipient;}
  In OLAP: \\Server\Staging\Scripts\process-file.php	 
   else if ($countrycode=="SK"){
	 $recipients=$SLK_Recipient;}
</t>
  </si>
  <si>
    <t xml:space="preserve">UAT; PRD and DEV </t>
  </si>
  <si>
    <t>Email-setting.php</t>
  </si>
  <si>
    <t xml:space="preserve">1. Define Variable global $SLK_Recipient in below files;
   OLTP: \\Server\Staging\Scripts\OLTP\Email-setting.php
   OLAP: \\Server\Staging\Scripts\Email-setting.php	
2. Add entry for SK as per below:
   In OLTP: \\Server\Staging\Scripts\OLTP\Email-setting.php
	$SLK_Recipient ='DLTMEETLSlovakia@jti.com,DLITBTSMSTMEDataOperations@jti.com,TME_Helpdesk@accenture.com,DLETLGDCSiebel@jti.com,DLTMEETLOPERATORS@jti.com';
  In OLAP: \\Server\Staging\Scripts\Email-setting.php	 
	$SLK_Recipient ='DLTMEETLSlovakia@jti.com,DLITBTSMSTMEDataOperations@jti.com,TME_Helpdesk@accenture.com,DLETLGDCSiebel@jti.com,DLTMEETLOPERATORS@jti.com';
</t>
  </si>
  <si>
    <t>pre-ETL.php</t>
  </si>
  <si>
    <t xml:space="preserve">Add SK in $COUNTRIES in files below:
OLTP: \\Server\Staging\Scripts\OLTP\pre-ETL.php
OLAP: \\Server\Staging\Scripts\pre-ETL.php
$COUNTRIES =
  array('ES', 'IT', 'WW', 'UA', 'FR', 'BE', 'NL', 'RU', 'CH', 'MY', 'TW', 'KR', 'CA', 'RO', 'IE', 'EC', 'KZ', 'PL', 'CZ', 'AT', 'SR', 'GE', 'PT', 'SE','UK', 'XX' ,'EX','GR','CI','US','AZ');
</t>
  </si>
  <si>
    <t>IFBs</t>
  </si>
  <si>
    <t>Ifb Name</t>
  </si>
  <si>
    <t>IFA_SLK_CH_Contract.ifb</t>
  </si>
  <si>
    <t>Create IFB and Replace batch numbers</t>
  </si>
  <si>
    <t>IFA_SLK_PU_ProductUK.ifb</t>
  </si>
  <si>
    <t>IFA_SLK_AU_Account_Userkey_IMP.ifb</t>
  </si>
  <si>
    <t>IFA_SLK_AU_Account_Userkey_POP.ifb</t>
  </si>
  <si>
    <t>IFA_SLK_CI_Contract_Items.ifb</t>
  </si>
  <si>
    <t>IFA_SLK_AF_Agreement_Attachment.ifb</t>
  </si>
  <si>
    <t>IFA_SLK_AN_Accounts.ifb</t>
  </si>
  <si>
    <t>IFA_SLK_AK_Assortment_Attachment.ifb</t>
  </si>
  <si>
    <t>IFA_SLK_BI_Bank_Cards.ifb</t>
  </si>
  <si>
    <t>IFA_SLK_CA_ContractAwardProduct.ifb</t>
  </si>
  <si>
    <t>IFA_SLK_IC_Contract.ifb</t>
  </si>
  <si>
    <t>IFA_SLK_EC_EventCost.ifb</t>
  </si>
  <si>
    <t>IFA_SLK_EV_Events.ifb</t>
  </si>
  <si>
    <t>IFA_SLK_IL_InvoiceLineItem.ifb</t>
  </si>
  <si>
    <t>IFA_SLK_LT_Literature.ifb</t>
  </si>
  <si>
    <t>IFA_SLK_ML_MerchandizingLocations_new.ifb</t>
  </si>
  <si>
    <t>IFA_SLK_PD_ProductDistribution.ifb</t>
  </si>
  <si>
    <t>IFA_SLK_SF_SaleFigures.ifb</t>
  </si>
  <si>
    <t>IFA_SLK_TM_TimeReport.ifb</t>
  </si>
  <si>
    <t>IFA_SLK_AV_VisitInbound.ifb</t>
  </si>
  <si>
    <t>IFA_SLK_PY_Payments.ifb</t>
  </si>
  <si>
    <t>IFA_SLK_FA_Account_Attachment.ifb</t>
  </si>
  <si>
    <t>IFA_SLK_GE_Geography.ifb</t>
  </si>
  <si>
    <t>IFA_SLK_MI_MerchandisingMaterialImport.ifb</t>
  </si>
  <si>
    <t>IFA_SLK_OT_ObjectiveTerritory.ifb</t>
  </si>
  <si>
    <t>IFA_SLK_Order_Product.ifb</t>
  </si>
  <si>
    <t>IFA_SLK_PO_PriceList.ifb</t>
  </si>
  <si>
    <t>IFA_SLK_EL_Product_Eligibility.ifb</t>
  </si>
  <si>
    <t>IFA_SLK_RT_Account_Route.ifb</t>
  </si>
  <si>
    <t>IFA_SLK_TA_TemplateAssessment.ifb</t>
  </si>
  <si>
    <t>IFA_SLK_ZC_ZipCodes.ifb</t>
  </si>
  <si>
    <t>IFA_SLK_AC_Accounts.ifb</t>
  </si>
  <si>
    <t>IFA_SLK_AC_Accounts_Pass2.ifb</t>
  </si>
  <si>
    <t>IFA_SLK_AS_Assets_IMP.ifb</t>
  </si>
  <si>
    <t>IFA_SLK_AS_Assets_POP.ifb</t>
  </si>
  <si>
    <t>IFA_SLK_AM_AssigmentManager.ifb</t>
  </si>
  <si>
    <t>IFA_SLK_AR_Assortments.ifb</t>
  </si>
  <si>
    <t>IFA_SLK_AT_AccountsTS.ifb</t>
  </si>
  <si>
    <t>IFA_SLK_OH_OpeningHours.ifb</t>
  </si>
  <si>
    <t>IFA_SLK_MA_PermMaterialsAudit.ifb</t>
  </si>
  <si>
    <t>IFA_SLK_PI_ProfitInvestment.ifb</t>
  </si>
  <si>
    <t>IFA_SLK_CT_PromotionsInbound_IMP1.ifb</t>
  </si>
  <si>
    <t>IFA_SLK_VL_VendingVL.ifb</t>
  </si>
  <si>
    <t>IFA_SLK_VN_VendingVM.ifb</t>
  </si>
  <si>
    <t>IFA_SLK_AE_AssetSubComponents.ifb</t>
  </si>
  <si>
    <t>IFA_SLK_MC_MarketingCalender.ifb</t>
  </si>
  <si>
    <t>IFA_SLK_CT_PromotionsInbound_POP.ifb</t>
  </si>
  <si>
    <t>IFA_SLK_CAP_STEP_2_ADD_OUTLET_TO_ROUTES.ifb</t>
  </si>
  <si>
    <t>IFA_SLK_CAP_STEP_2_LINK_ACT_TO_ROUTES.ifb</t>
  </si>
  <si>
    <t>IFA_SLK_CAP_STEP_5_IMPORT_VISITS.ifb</t>
  </si>
  <si>
    <t>IFA_SLK_CAP_STEP_7_LINK_NR_TO_VISITS.ifb</t>
  </si>
  <si>
    <t>IFA_SLK_CAP_STEP_9_GENERATE_ROUTINE.ifb</t>
  </si>
  <si>
    <t>IFA_SLK_CAP_STEP_10_UPDATE_OBJECTIVE.ifb</t>
  </si>
  <si>
    <t>IFA_SLK_CAP_STEP_2_LINK_NR_TO_VISITS_WITHOUT_ROUTES.ifb</t>
  </si>
  <si>
    <t>IFA_SLK_CAP_STEP_5_GENERATE_ROUTINE_WITHOUT_ROUTES.ifb</t>
  </si>
  <si>
    <t>IFA_SLK_CAP_STEP_10_UPDATE_OBJECTIVE_WITHOUT_ROUTES.ifb</t>
  </si>
  <si>
    <t>Parameter Files</t>
  </si>
  <si>
    <t>Configuration File (*.ini)</t>
  </si>
  <si>
    <t>Bat Files</t>
  </si>
  <si>
    <t>01_00_ProcessPRDMarketFiles_Phase2.bat</t>
  </si>
  <si>
    <t xml:space="preserve">1. Add the call for the new bat file for the SK market as per below in file 01_00_ProcessPRDMarketFiles_Phase2.bat:
   [path: \\server\Staging_IP14\IndirectFiles\File_Transfer_Mechanism]
@echo Processing flat files for HU market (PRD)
call 01_10_ProcessPRDSKFiles_Phase2.bat
2. Add bat file 01_10_ProcessPRDSKFiles_Phase2.bat in same path [\\server\Staging_IP14\IndirectFiles\File_Transfer_Mechanism]
</t>
  </si>
  <si>
    <t>02_00_ProcessPRDErrorFiles_phase2.bat</t>
  </si>
  <si>
    <t xml:space="preserve">1. Add the call for the new bat file for the HU market as per below in file 02_00_ProcessPRDErrorFiles_phase2.bat:
   [path: \\server\Staging_IP14\IndirectFiles\File_Transfer_Mechanism]
@echo Processing error files for Slovakia  market (PRD)
call 02_10_ProcessPRSKErrorFiles_phase2.bat
2. Add bat file 02_10_ProcessPRDSKErrorFiles_phase2.bat in same path [\\server\Staging_IP14\IndirectFiles\File_Transfer_Mechanism]
</t>
  </si>
  <si>
    <t>03_00_ProcessOutboundPRDMarketFiles_Phase2.bat</t>
  </si>
  <si>
    <t>1. Add the call for the new bat file for the HU market as per below in file 03_00_ProcessOutboundPRDMarketFiles_Phase2.bat:
   [path: \\server\Staging_IP14\IndirectFiles\File_Transfer_Mechanism]
@echo Processing flat files for Hungary market(PRD)
call 03_10_ProcessOutboundPRDHUFiles_Phase2.bat
2. Add bat file 03_10_ProcessOutboundPRDHUFiles_Phase2.bat in same path [\\server\Staging_IP14\IndirectFiles\File_Transfer_Mechanism]</t>
  </si>
  <si>
    <t xml:space="preserve">Mapping </t>
  </si>
  <si>
    <t>Folder Name</t>
  </si>
  <si>
    <t>Mapping Name</t>
  </si>
  <si>
    <t>EIM_INTERFACE</t>
  </si>
  <si>
    <t>FDE_INT*</t>
  </si>
  <si>
    <t>To validate due to change in the reusable transformation EXP_BATCH_NUM_NEW, EXP_BATCH_NUM_NEW_INCR</t>
  </si>
  <si>
    <t>Mapping Details</t>
  </si>
  <si>
    <t>Source Table</t>
  </si>
  <si>
    <t>Instance Name</t>
  </si>
  <si>
    <t>Source Column</t>
  </si>
  <si>
    <t>Datatype</t>
  </si>
  <si>
    <t>Target Table</t>
  </si>
  <si>
    <t>Target Column</t>
  </si>
  <si>
    <t>Functional
Summary</t>
  </si>
  <si>
    <t>Transformations</t>
  </si>
  <si>
    <t>Batch number is 34000- SLK; 
Create Port REC_NO_EM, BATCH_NUM_V_SLK
Modify and add entry in port REC_NO_OTHER, REC_NO, COUNTRY_BATCH, BATCH_NUM_V_OTHER, BATCH_NUM_V, ROW_ID_V_OTHER, ROW_ID_V</t>
  </si>
  <si>
    <t>EXP_BATCH_NUM_NEW</t>
  </si>
  <si>
    <t>EXP_BATCH_NUM_NEW_INCR</t>
  </si>
  <si>
    <t>Session , worklet &amp; workflow</t>
  </si>
  <si>
    <t>Workflow</t>
  </si>
  <si>
    <t>Worflow Name</t>
  </si>
  <si>
    <t>EC4U</t>
  </si>
  <si>
    <t>JTI_DWH_ETLComplete_Incremental</t>
  </si>
  <si>
    <t>Impacted</t>
  </si>
  <si>
    <t>JTI_OLTP_and_OLAP_Product_Load</t>
  </si>
  <si>
    <t>JTI_OLTP_EIM</t>
  </si>
  <si>
    <t>JTI_OLTP_OLAP_FlatFiles</t>
  </si>
  <si>
    <t>JTI_OLTP_OLAP_GeneralDim_Sales</t>
  </si>
  <si>
    <t>JTI_OLTP_OLAP_Intraday</t>
  </si>
  <si>
    <t>JTI_OLTP_AC_AD_FlatFile</t>
  </si>
  <si>
    <t>RUN_EIM_PROCESS</t>
  </si>
  <si>
    <t>RUN_EIM_PROCESS_ADHOC</t>
  </si>
  <si>
    <t>RUN_EIM_PROCESS_GENERIC</t>
  </si>
  <si>
    <t>RUN_EIM_PROCESS_JAVA</t>
  </si>
  <si>
    <t>RUN_EIM_PROCESS_VISIT_INBOUND</t>
  </si>
  <si>
    <t>RUN_INTERFACE_OD_OI</t>
  </si>
  <si>
    <t>RUN_INTERFACE_OD_OI_2nd</t>
  </si>
  <si>
    <t>RUN_INTERFACE_PAYMENT</t>
  </si>
  <si>
    <t>RUN_CAP_SK</t>
  </si>
  <si>
    <t>Add new Workflow</t>
  </si>
  <si>
    <t>RUN_CAP_WITHOUT_ROUTES_SK</t>
  </si>
  <si>
    <t>RUN_COMMIT_PROMOTION_SK</t>
  </si>
  <si>
    <t>RUN_COMMIT_PROMOTION</t>
  </si>
  <si>
    <t>Add sessions for SK</t>
  </si>
  <si>
    <t>RUN_FCP_SK</t>
  </si>
  <si>
    <t>Session Details</t>
  </si>
  <si>
    <t>General</t>
  </si>
  <si>
    <t>Properties</t>
  </si>
  <si>
    <t>Mapping/Source</t>
  </si>
  <si>
    <t>Mapping/Target</t>
  </si>
  <si>
    <t>Component</t>
  </si>
  <si>
    <t>Worklet Name</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</si>
  <si>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</si>
  <si>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</si>
  <si>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</si>
  <si>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</si>
  <si>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</si>
  <si>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</si>
  <si>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</si>
  <si>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</si>
  <si>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</si>
  <si>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</si>
  <si>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</si>
  <si>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</si>
  <si>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</si>
  <si>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</si>
  <si>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</si>
  <si>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</si>
  <si>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</si>
  <si>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JTI_DWH_ETLComplete_Incremental,JTI_DWH_ETLComplete_Incremental,JTI_DWH_ETLComplete_Incremental,JTI_DWH_ETLComplete_Incremental,JTI_OLTP_OLAP_FlatFiles,JTI_OLTP_OLAP_FlatFiles,JTI_OLTP_OLAP_FlatFiles,JTI_OLTP_OLAP_FlatFiles,JTI_OLTP_EIM,JTI_OLTP_EIM,JTI_OLTP_EIM,JTI_OLTP_EIM,JTI_OLTP_OLAP_GeneralDim_Sales,JTI_OLTP_OLAP_GeneralDim_Sales,JTI_OLTP_OLAP_GeneralDim_Sales,JTI_OLTP_OLAP_GeneralDim_Sales,JTI_DWH_ETLComplete_Incremental,JTI_DWH_ETLComplete_Incremental,JTI_DWH_ETLComplete_Incremental,JTI_DWH_ETLComplete_Incremental,JTI_OLTP_OLAP_FlatFiles,JTI_OLTP_OLAP_FlatFiles,JTI_OLTP_OLAP_FlatFiles,JTI_OLTP_OLAP_FlatFiles,JTI_OLTP_EIM,JTI_OLTP_EIM,JTI_OLTP_EIM,JTI_OLTP_EIM,JTI_OLTP_OLAP_GeneralDim_Sales,JTI_OLTP_OLAP_GeneralDim_Sales,JTI_OLTP_OLAP_GeneralDim_Sales,JTI_OLTP_OLAP_GeneralDim_Sales</t>
  </si>
  <si>
    <t>Load_EIM/wrk_Contract_CH_Interface_Generic/</t>
  </si>
  <si>
    <t>EIM_Process_CH</t>
  </si>
  <si>
    <t>Shortcut_to_DummyMap</t>
  </si>
  <si>
    <t>n/a</t>
  </si>
  <si>
    <t>Restart Task</t>
  </si>
  <si>
    <t>Y</t>
  </si>
  <si>
    <t>$PMSourceFileDir\Scripts\run-EIM-process_perf.bat "IFA_SLK_CH_Contract.ifb" "SLK"</t>
  </si>
  <si>
    <t>To add command</t>
  </si>
  <si>
    <t>JTI_DWH_ETLComplete_Incremental,JTI_DWH_ETLComplete_Incremental,JTI_DWH_ETLComplete_Incremental,JTI_OLTP_OLAP_FlatFiles,JTI_OLTP_OLAP_FlatFiles,JTI_OLTP_OLAP_FlatFiles,JTI_OLTP_EIM,JTI_OLTP_EIM,JTI_OLTP_EIM,JTI_OLTP_OLAP_GeneralDim_Sales,JTI_OLTP_OLAP_GeneralDim_Sales,JTI_OLTP_OLAP_GeneralDim_Sales,JTI_DWH_ETLComplete_Incremental,JTI_DWH_ETLComplete_Incremental,JTI_DWH_ETLComplete_Incremental,JTI_OLTP_OLAP_FlatFiles,JTI_OLTP_OLAP_FlatFiles,JTI_OLTP_OLAP_FlatFiles,JTI_OLTP_EIM,JTI_OLTP_EIM,JTI_OLTP_EIM,JTI_OLTP_OLAP_GeneralDim_Sales,JTI_OLTP_OLAP_GeneralDim_Sales,JTI_OLTP_OLAP_GeneralDim_Sales</t>
  </si>
  <si>
    <t>Load_EIM/wrk_Product_UserKey_Interface/</t>
  </si>
  <si>
    <t>EIM_Process</t>
  </si>
  <si>
    <t>$PMSourceFileDir\Scripts\run-EIM-process_perf.bat "IFA_SLK_PU_ProductUK.ifb" "SLK"</t>
  </si>
  <si>
    <t>JTI_DWH_ETLComplete_Incremental,JTI_DWH_ETLComplete_Incremental,JTI_OLTP_OLAP_FlatFiles,JTI_OLTP_OLAP_FlatFiles,JTI_OLTP_EIM,JTI_OLTP_EIM,JTI_OLTP_OLAP_GeneralDim_Sales,JTI_OLTP_OLAP_GeneralDim_Sales,JTI_DWH_ETLComplete_Incremental,JTI_DWH_ETLComplete_Incremental,JTI_OLTP_OLAP_FlatFiles,JTI_OLTP_OLAP_FlatFiles,JTI_OLTP_EIM,JTI_OLTP_EIM,JTI_OLTP_OLAP_GeneralDim_Sales,JTI_OLTP_OLAP_GeneralDim_Sales</t>
  </si>
  <si>
    <t>Load_EIM/wrk_Account_UserKey_Interface/</t>
  </si>
  <si>
    <t>$PMSourceFileDir\Scripts\run-EIM-process_perf.bat "IFA_SLK_AU_Account_Userkey_IMP.ifb" "SLK"</t>
  </si>
  <si>
    <t>$PMSourceFileDir\Scripts\run-EIM-process_perf.bat "IFA_SLK_AU_Account_Userkey_POP.ifb" "SLK"</t>
  </si>
  <si>
    <t>Load_EIM/wrk_ContractItems_Interface_Generic/</t>
  </si>
  <si>
    <t>EIM_Process_Contract_Items</t>
  </si>
  <si>
    <t>$PMSourceFileDir\Scripts\run-EIM-process_perf.bat "IFA_SLK_CI_Contract_Items.ifb" "SLK"</t>
  </si>
  <si>
    <t>EIM_Process_Contract_Items_V1</t>
  </si>
  <si>
    <t>JTI_DWH_ETLComplete_Incremental,JTI_OLTP_OLAP_FlatFiles,JTI_OLTP_EIM,JTI_OLTP_OLAP_GeneralDim_Sales,JTI_DWH_ETLComplete_Incremental,JTI_OLTP_OLAP_FlatFiles,JTI_OLTP_EIM,JTI_OLTP_OLAP_GeneralDim_Sales</t>
  </si>
  <si>
    <t>Load_EIM/wrk_Agreement_Attachment_Interface/</t>
  </si>
  <si>
    <t>EIM_PROCESS</t>
  </si>
  <si>
    <t>$PMSourceFileDir\Scripts\run-EIM-process_perf.bat "IFA_SLK_AF_Agreement_Attachment.ifb" "SLK"</t>
  </si>
  <si>
    <t>Load_EIM/wrk_AN_Account_Interface/cmd_EIM_PROCESS/</t>
  </si>
  <si>
    <t>cmd_EIM_PROCESS</t>
  </si>
  <si>
    <t>$PMSourceFileDir\Scripts\run-EIM-process_perf.bat "IFA_SLK_AN_Accounts.ifb" "SLK"</t>
  </si>
  <si>
    <t>Load_EIM/wrk_Assortment_Attachment_Interface/</t>
  </si>
  <si>
    <t>$PMSourceFileDir\Scripts\run-EIM-process_perf.bat "IFA_SLK_AK_Assortment_Attachment.ifb" "SLK"</t>
  </si>
  <si>
    <t>Load_EIM/wrk_Bank_Cards_Interface/</t>
  </si>
  <si>
    <t>s_Check_EIM_Batch</t>
  </si>
  <si>
    <t>Shortcut_to_DUMMY_BATCH</t>
  </si>
  <si>
    <t>$PMSourceFileDir\Scripts\run-EIM-process_perf.bat "IFA_SLK_BI_Bank_Cards.ifb" "SLK"</t>
  </si>
  <si>
    <t>Load_EIM/Wrk_Contract_Awards_Product/EIM_PROCESS/</t>
  </si>
  <si>
    <t>$PMSourceFileDir\Scripts\run-EIM-process_perf.bat "IFA_SLK_CA_ContractAwardProduct.ifb" "SLK"</t>
  </si>
  <si>
    <t>Load_EIM/wrk_ContractIncentives_Interface/</t>
  </si>
  <si>
    <t>EIM_Process_Contact_Incentives</t>
  </si>
  <si>
    <t>$PMSourceFileDir\Scripts\run-EIM-process_perf.bat "IFA_SLK_IC_Contract.ifb" "SLK"</t>
  </si>
  <si>
    <t>Load_EIM/wrk_Event_Cost/</t>
  </si>
  <si>
    <t>$PMSourceFileDir\Scripts\run-EIM-process_perf.bat "IFA_SLK_EC_EventCost.ifb" "SLK"</t>
  </si>
  <si>
    <t>Load_EIM/wrk_Events_Interface/</t>
  </si>
  <si>
    <t>$PMSourceFileDir\Scripts\run-EIM-process_perf.bat "IFA_SLK_EV_Events.ifb" "SLK"</t>
  </si>
  <si>
    <t>Load_EIM/wrk_Invoice_Item_Interface/</t>
  </si>
  <si>
    <t>$PMSourceFileDir\Scripts\run-EIM-process_perf.bat "IFA_SLK_IL_InvoiceLineItem.ifb" "SLK"</t>
  </si>
  <si>
    <t>Load_EIM/wrk_Literature_Interface/</t>
  </si>
  <si>
    <t>$PMSourceFileDir\Scripts\run-EIM-process_perf.bat "IFA_SLK_LT_Literature.ifb" "SLK"</t>
  </si>
  <si>
    <t>Load_EIM/wrk_Merchandising_Locations_Interface/</t>
  </si>
  <si>
    <t>$PMSourceFileDir\Scripts\run-EIM-process_perf.bat "IFA_SLK_ML_MerchandizingLocations_new.ifb" "SLK"</t>
  </si>
  <si>
    <t>Load_EIM/wrk_Product_Distribution/</t>
  </si>
  <si>
    <t>$PMSourceFileDir\Scripts\run-EIM-process_perf.bat "IFA_SLK_PD_ProductDistribution.ifb" "SLK"</t>
  </si>
  <si>
    <t>Load_EIM/wrk_Sales_Figures_Interface/</t>
  </si>
  <si>
    <t>$PMSourceFileDir\Scripts\run-EIM-process_perf.bat "IFA_SLK_SF_SaleFigures.ifb" "SLK"</t>
  </si>
  <si>
    <t>Load_EIM/wrk_Time_Report_Interface/</t>
  </si>
  <si>
    <t>$PMSourceFileDir\Scripts\run-EIM-process_perf.bat "IFA_SLK_TM_TimeReport.ifb" "SLK"</t>
  </si>
  <si>
    <t>Load_EIM/wrk_Visit_Inbound/</t>
  </si>
  <si>
    <t>$PMSourceFileDir\Scripts\run-EIM-process_perf.bat "IFA_SLK_AV_VisitInbound.ifb" "SLK"</t>
  </si>
  <si>
    <t>JTI_OLTP_and_OLAP_Product_Load,JTI_OLTP_and_OLAP_Product_Load,JTI_OLTP_and_OLAP_Product_Load,JTI_OLTP_and_OLAP_Product_Load,JTI_OLTP_and_OLAP_Product_Load,JTI_OLTP_and_OLAP_Product_Load</t>
  </si>
  <si>
    <t>Load_OLTP_Product/wrk_Product_UserKey_Interface/</t>
  </si>
  <si>
    <t>JTI_OLTP_OLAP_GeneralDim_Sales,JTI_DWH_ETLComplete_Incremental,JTI_DWH_ETLComplete_Incremental,JTI_DWH_ETLComplete_Incremental,JTI_DWH_ETLComplete_Incremental,JTI_OLTP_OLAP_FlatFiles,JTI_OLTP_OLAP_FlatFiles,JTI_OLTP_OLAP_FlatFiles,JTI_OLTP_OLAP_FlatFiles,JTI_OLTP_EIM,JTI_OLTP_EIM,JTI_OLTP_EIM,JTI_OLTP_EIM,JTI_OLTP_OLAP_GeneralDim_Sales,JTI_OLTP_OLAP_GeneralDim_Sales,JTI_OLTP_OLAP_GeneralDim_Sales,JTI_OLTP_OLAP_GeneralDim_Sales,JTI_DWH_ETLComplete_Incremental,JTI_DWH_ETLComplete_Incremental,JTI_DWH_ETLComplete_Incremental,JTI_DWH_ETLComplete_Incremental,JTI_OLTP_OLAP_FlatFiles,JTI_OLTP_OLAP_FlatFiles,JTI_OLTP_OLAP_FlatFiles,JTI_OLTP_OLAP_FlatFiles,JTI_OLTP_EIM,JTI_OLTP_EIM,JTI_OLTP_EIM,JTI_OLTP_EIM,JTI_OLTP_OLAP_GeneralDim_Sales,JTI_OLTP_OLAP_GeneralDim_Sales,JTI_OLTP_OLAP_GeneralDim_Sales</t>
  </si>
  <si>
    <t>Load_EIM/wrk_Payments_Interface_Generic/</t>
  </si>
  <si>
    <t>EIM_Process_PAYMENTS</t>
  </si>
  <si>
    <t>$PMSourceFileDir\Scripts\run-EIM-process_perf.bat "IFA_SLK_PY_Payments.ifb" "SLK"</t>
  </si>
  <si>
    <t>JTI_OLTP_OLAP_GeneralDim_Sales,JTI_DWH_ETLComplete_Incremental,JTI_OLTP_OLAP_FlatFiles,JTI_OLTP_EIM,JTI_OLTP_OLAP_GeneralDim_Sales,JTI_DWH_ETLComplete_Incremental,JTI_OLTP_OLAP_FlatFiles,JTI_OLTP_EIM</t>
  </si>
  <si>
    <t>Load_EIM/wrk_Account_Attachment_Interface/</t>
  </si>
  <si>
    <t>$PMSourceFileDir\Scripts\run-EIM-process_perf.bat "IFA_SLK_FA_Account_Attachment.ifb" "SLK"</t>
  </si>
  <si>
    <t>Load_EIM/wrk_Geography_Interface/</t>
  </si>
  <si>
    <t>$PMSourceFileDir\Scripts\run-EIM-process_perf.bat "IFA_SLK_GE_Geography.ifb" "SLK"</t>
  </si>
  <si>
    <t>Load_EIM/wrk_Merchandising_Material_Interface/</t>
  </si>
  <si>
    <t>$PMSourceFileDir\Scripts\run-EIM-process_perf.bat "IFA_SLK_MI_MerchandisingMaterialImport.ifb" "SLK"</t>
  </si>
  <si>
    <t>Load_EIM/wrk_Objective_Territory_Interface/</t>
  </si>
  <si>
    <t>EIM_Process_All</t>
  </si>
  <si>
    <t>$PMSourceFileDir\Scripts\run-EIM-process_perf.bat "IFA_SLK_OT_ObjectiveTerritory.ifb" "SLK"</t>
  </si>
  <si>
    <t>Load_EIM/wrk_Order_Product_Template_Interface/</t>
  </si>
  <si>
    <t>$PMSourceFileDir\Scripts\run-EIM-process_perf.bat "IFA_SLK_Order_Product.ifb" "SLK"</t>
  </si>
  <si>
    <t>Load_EIM/wrk_Price_List_Interface/</t>
  </si>
  <si>
    <t>$PMSourceFileDir\Scripts\run-EIM-process_perf.bat "IFA_SLK_PO_PriceList.ifb" "SLK"</t>
  </si>
  <si>
    <t>Load_EIM/wrk_Product_Eligibility_Interface/</t>
  </si>
  <si>
    <t>EIM_PROCESS_EL</t>
  </si>
  <si>
    <t>$PMSourceFileDir\Scripts\run-EIM-process_perf.bat "IFA_SLK_EL_Product_Eligibility.ifb" "SLK"</t>
  </si>
  <si>
    <t>Load_EIM/wrk_Route_Data_Interface/</t>
  </si>
  <si>
    <t>$PMSourceFileDir\Scripts\run-EIM-process_perf.bat "IFA_SLK_RT_Account_Route.ifb" "SLK"</t>
  </si>
  <si>
    <t>Load_EIM/wrk_Template_Assessment_Interface/</t>
  </si>
  <si>
    <t>$PMSourceFileDir\Scripts\run-EIM-process_perf.bat "IFA_SLK_TA_TemplateAssessment.ifb" "SLK"</t>
  </si>
  <si>
    <t>Load_EIM/wrk_Zipcodes_Interface/</t>
  </si>
  <si>
    <t>$PMSourceFileDir\Scripts\run-EIM-process_perf.bat "IFA_SLK_ZC_ZipCodes.ifb" "SLK"</t>
  </si>
  <si>
    <t>JTI_OLTP_OLAP_GeneralDim_Sales,JTI_DWH_ETLComplete_Incremental,JTI_OLTP_OLAP_FlatFiles,JTI_OLTP_EIM,JTI_OLTP_OLAP_GeneralDim_Sales,JTI_OLTP_OLAP_GeneralDim_Sales,JTI_DWH_ETLComplete_Incremental,JTI_DWH_ETLComplete_Incremental,JTI_OLTP_OLAP_FlatFiles,JTI_OLTP_OLAP_FlatFiles,JTI_OLTP_EIM,JTI_OLTP_EIM,JTI_OLTP_OLAP_GeneralDim_Sales,JTI_OLTP_OLAP_GeneralDim_Sales,JTI_DWH_ETLComplete_Incremental,JTI_DWH_ETLComplete_Incremental,JTI_OLTP_OLAP_FlatFiles,JTI_OLTP_OLAP_FlatFiles,JTI_OLTP_EIM,JTI_OLTP_EIM,JTI_OLTP_OLAP_GeneralDim_Sales,JTI_DWH_ETLComplete_Incremental,JTI_OLTP_OLAP_FlatFiles,JTI_OLTP_EIM</t>
  </si>
  <si>
    <t>Load_EIM/wrk_Accounts_Interface_Generic/</t>
  </si>
  <si>
    <t>EIM_Process_Account_SK</t>
  </si>
  <si>
    <t>$PMSourceFileDir\Scripts\run-EIM-process_perf.bat "IFA_SLK_AC_Accounts.ifb" "SLK"</t>
  </si>
  <si>
    <t>$PMSourceFileDir\Scripts\run-EIM-process_perf.bat "IFA_SLK_AC_Accounts_Pass2.ifb" "SLK"</t>
  </si>
  <si>
    <t>s_FDE_INT_ACCOUNT_CHECK_SK</t>
  </si>
  <si>
    <t>Shortcut_to_FDE_INT_ACCOUNT_CHECK</t>
  </si>
  <si>
    <t>EIM Check</t>
  </si>
  <si>
    <t>JTI_OLTP_OLAP_GeneralDim_Sales,JTI_OLTP_OLAP_GeneralDim_Sales,JTI_DWH_ETLComplete_Incremental,JTI_DWH_ETLComplete_Incremental,JTI_OLTP_OLAP_FlatFiles,JTI_OLTP_OLAP_FlatFiles,JTI_OLTP_EIM,JTI_OLTP_EIM,JTI_OLTP_OLAP_GeneralDim_Sales,JTI_OLTP_OLAP_GeneralDim_Sales,JTI_DWH_ETLComplete_Incremental,JTI_DWH_ETLComplete_Incremental,JTI_OLTP_OLAP_FlatFiles,JTI_OLTP_OLAP_FlatFiles,JTI_OLTP_EIM,JTI_OLTP_EIM</t>
  </si>
  <si>
    <t>Load_EIM/wrk_Assets_Interface/</t>
  </si>
  <si>
    <t>$PMSourceFileDir\Scripts\run-EIM-process_perf.bat "IFA_SLK_AS_Assets_IMP.ifb" "SLK"</t>
  </si>
  <si>
    <t>$PMSourceFileDir\Scripts\run-EIM-process_perf.bat "IFA_SLK_AS_Assets_POP.ifb" "SLK"</t>
  </si>
  <si>
    <t>JTI_OLTP_OLAP_Intraday,JTI_OLTP_OLAP_Intraday,JTI_OLTP_OLAP_Intraday,JTI_OLTP_OLAP_Intraday,JTI_OLTP_OLAP_Intraday,JTI_OLTP_OLAP_Intraday</t>
  </si>
  <si>
    <t>Load_EIM_Product_Intraday/wrk_Product_UserKey_Interface/</t>
  </si>
  <si>
    <t>JTI_OLTP_AC_AD_FlatFile,RUN_EIM_PROCESS_GENERIC,JTI_OLTP_AC_AD_FlatFile,JTI_OLTP_AC_AD_FlatFile,JTI_OLTP_AC_AD_FlatFile,JTI_OLTP_AC_AD_FlatFile,JTI_OLTP_AC_AD_FlatFile,JTI_OLTP_AC_AD_FlatFile,JTI_OLTP_AC_AD_FlatFile,JTI_OLTP_AC_AD_FlatFile,RUN_EIM_PROCESS_GENERIC,RUN_EIM_PROCESS_GENERIC,RUN_EIM_PROCESS_GENERIC,RUN_EIM_PROCESS_GENERIC,JTI_OLTP_AC_AD_FlatFile,RUN_EIM_PROCESS_GENERIC,RUN_EIM_PROCESS_GENERIC,RUN_EIM_PROCESS_GENERIC,RUN_EIM_PROCESS_GENERIC,RUN_EIM_PROCESS_GENERIC</t>
  </si>
  <si>
    <t>wrk_Accounts_Interface_Generic/</t>
  </si>
  <si>
    <t>DummyMap</t>
  </si>
  <si>
    <t>FDE_INT_ACCOUNT_CHECK</t>
  </si>
  <si>
    <t>RUN_EIM_PROCESS,RUN_EIM_PROCESS</t>
  </si>
  <si>
    <t>wrk_Account_Attachment_Interface/</t>
  </si>
  <si>
    <t>wrk_Agreement_Attachment_Interface/</t>
  </si>
  <si>
    <t>wrk_Assortment_Attachment_Interface/</t>
  </si>
  <si>
    <t>wrk_Bank_Cards_Interface/</t>
  </si>
  <si>
    <t>RUN_EIM_PROCESS,RUN_EIM_PROCESS,RUN_EIM_PROCESS,RUN_EIM_PROCESS,RUN_EIM_PROCESS,RUN_EIM_PROCESS,RUN_EIM_PROCESS,RUN_EIM_PROCESS</t>
  </si>
  <si>
    <t>wrk_Account_UserKey_Interface/</t>
  </si>
  <si>
    <t>RUN_EIM_PROCESS_ADHOC,RUN_EIM_PROCESS_ADHOC</t>
  </si>
  <si>
    <t>wrk_Assignment_Manager_Interface/</t>
  </si>
  <si>
    <t>s_EIM_PROCESS</t>
  </si>
  <si>
    <t>$PMSourceFileDir\Scripts\run-EIM-process_perf.bat "IFA_SLK_AM_AssigmentManager.ifb" "SLK"</t>
  </si>
  <si>
    <t>wrk_Assortment_Interface/</t>
  </si>
  <si>
    <t>$PMSourceFileDir\Scripts\run-EIM-process_perf.bat "IFA_SLK_AR_Assortments.ifb" "SLK"</t>
  </si>
  <si>
    <t>wrk_AT_Interface/</t>
  </si>
  <si>
    <t>$PMSourceFileDir\Scripts\run-EIM-process_perf.bat "IFA_SLK_AT_AccountsTS.ifb" "SLK"</t>
  </si>
  <si>
    <t>Wrk_Contract_Awards_Product/</t>
  </si>
  <si>
    <t>wrk_Invoice_Item_Interface/</t>
  </si>
  <si>
    <t>wrk_Literature_Interface/</t>
  </si>
  <si>
    <t>wrk_Opening_Hours_Interface/</t>
  </si>
  <si>
    <t>$PMSourceFileDir\Scripts\run-EIM-process_perf.bat "IFA_SLK_OH_OpeningHours.ifb" "SLK"</t>
  </si>
  <si>
    <t>wrk_Order_Product_Template_Interface/</t>
  </si>
  <si>
    <t>wrk_Permanent_Materials_Audit/</t>
  </si>
  <si>
    <t>$PMSourceFileDir\Scripts\run-EIM-process_perf.bat "IFA_SLK_MA_PermMaterialsAudit.ifb" "SLK"</t>
  </si>
  <si>
    <t>wrk_Price_List_Interface/</t>
  </si>
  <si>
    <t>wrk_Profit_Investment/</t>
  </si>
  <si>
    <t>$PMSourceFileDir\Scripts\run-EIM-process_perf.bat "IFA_SLK_PI_ProfitInvestment.ifb" "SLK"</t>
  </si>
  <si>
    <t>wrk_Promotions_CT/EIM_PROCESS_GENERIC/</t>
  </si>
  <si>
    <t>EIM_PROCESS_GENERIC</t>
  </si>
  <si>
    <t>$PMSourceFileDir\Scripts\run-EIM-process_perf.bat "IFA_SLK_CT_PromotionsInbound_POP.ifb" "SLK"</t>
  </si>
  <si>
    <t>$PMSourceFileDir\Scripts\run-EIM-process_perf.bat "IFA_SLK_CT_PromotionsInbound_IMP1.ifb" "SLK"</t>
  </si>
  <si>
    <t>Wrk_Route_Data_Interface/</t>
  </si>
  <si>
    <t>wrk_Sales_Figures_Interface/</t>
  </si>
  <si>
    <t>wrk_Template_Assessment_Interface/</t>
  </si>
  <si>
    <t>wrk_Time_Report_Interface/</t>
  </si>
  <si>
    <t>wrk_Vending_Label_VL_Interface/cmd_EIM_PROCESS/</t>
  </si>
  <si>
    <t>$PMSourceFileDir\Scripts\run-EIM-process_perf.bat "IFA_SLK_VL_VendingVL.ifb" "SLK"</t>
  </si>
  <si>
    <t>wrk_Vending_Machine_VN_Interface/cmd_EIM_PROCESS/</t>
  </si>
  <si>
    <t>$PMSourceFileDir\Scripts\run-EIM-process_perf.bat "IFA_SLK_VN_VendingVM.ifb" "SLK"</t>
  </si>
  <si>
    <t>RUN_EIM_PROCESS_ADHOC,RUN_EIM_PROCESS_ADHOC,RUN_EIM_PROCESS,RUN_EIM_PROCESS,RUN_EIM_PROCESS_ADHOC,RUN_EIM_PROCESS_ADHOC,RUN_EIM_PROCESS,RUN_EIM_PROCESS</t>
  </si>
  <si>
    <t>wrk_Event_Cost/</t>
  </si>
  <si>
    <t>wrk_Events_Interface/</t>
  </si>
  <si>
    <t>RUN_EIM_PROCESS_ADHOC,RUN_EIM_PROCESS_ADHOC,RUN_EIM_PROCESS_ADHOC,RUN_EIM_PROCESS_ADHOC,RUN_EIM_PROCESS_ADHOC,RUN_EIM_PROCESS_ADHOC,RUN_EIM_PROCESS_JAVA,RUN_EIM_PROCESS_JAVA,RUN_EIM_PROCESS_JAVA,RUN_EIM_PROCESS_JAVA,RUN_EIM_PROCESS_JAVA,RUN_EIM_PROCESS_JAVA,RUN_EIM_PROCESS,RUN_EIM_PROCESS,RUN_EIM_PROCESS,RUN_EIM_PROCESS,RUN_EIM_PROCESS,RUN_EIM_PROCESS,RUN_EIM_PROCESS_ADHOC,RUN_EIM_PROCESS_ADHOC,RUN_EIM_PROCESS_ADHOC,RUN_EIM_PROCESS_ADHOC,RUN_EIM_PROCESS_ADHOC,RUN_EIM_PROCESS_ADHOC,RUN_EIM_PROCESS_JAVA,RUN_EIM_PROCESS_JAVA,RUN_EIM_PROCESS_JAVA,RUN_EIM_PROCESS_JAVA,RUN_EIM_PROCESS_JAVA,RUN_EIM_PROCESS_JAVA,RUN_EIM_PROCESS,RUN_EIM_PROCESS,RUN_EIM_PROCESS,RUN_EIM_PROCESS,RUN_EIM_PROCESS,RUN_EIM_PROCESS</t>
  </si>
  <si>
    <t>wrk_Assets_Interface/</t>
  </si>
  <si>
    <t>RUN_EIM_PROCESS_ADHOC,RUN_EIM_PROCESS_ADHOC,RUN_EIM_PROCESS_ADHOC,RUN_EIM_PROCESS_ADHOC,RUN_EIM_PROCESS_JAVA,RUN_EIM_PROCESS_JAVA,RUN_EIM_PROCESS_JAVA,RUN_EIM_PROCESS_JAVA,RUN_EIM_PROCESS,RUN_EIM_PROCESS,RUN_EIM_PROCESS,RUN_EIM_PROCESS,RUN_EIM_PROCESS_ADHOC,RUN_EIM_PROCESS_ADHOC,RUN_EIM_PROCESS_ADHOC,RUN_EIM_PROCESS_ADHOC,RUN_EIM_PROCESS_JAVA,RUN_EIM_PROCESS_JAVA,RUN_EIM_PROCESS_JAVA,RUN_EIM_PROCESS_JAVA,RUN_EIM_PROCESS,RUN_EIM_PROCESS,RUN_EIM_PROCESS,RUN_EIM_PROCESS</t>
  </si>
  <si>
    <t>wrk_Objective_Territory_Interface/</t>
  </si>
  <si>
    <t>wrk_Product_Distribution/</t>
  </si>
  <si>
    <t>RUN_EIM_PROCESS_ADHOC,RUN_EIM_PROCESS_ADHOC,RUN_EIM_PROCESS_ADHOC,RUN_EIM_PROCESS_ADHOC,RUN_EIM_PROCESS_JAVA,RUN_EIM_PROCESS_JAVA,RUN_EIM_PROCESS_JAVA,RUN_EIM_PROCESS_JAVA,RUN_EIM_PROCESS,RUN_EIM_PROCESS,RUN_EIM_PROCESS_ADHOC,RUN_EIM_PROCESS_ADHOC,RUN_EIM_PROCESS_ADHOC,RUN_EIM_PROCESS_ADHOC,RUN_EIM_PROCESS_JAVA,RUN_EIM_PROCESS_JAVA,RUN_EIM_PROCESS_JAVA,RUN_EIM_PROCESS_JAVA,RUN_EIM_PROCESS,RUN_EIM_PROCESS,RUN_EIM_PROCESS,RUN_EIM_PROCESS,RUN_EIM_PROCESS,RUN_EIM_PROCESS</t>
  </si>
  <si>
    <t>wrk_Zipcodes_Interface/</t>
  </si>
  <si>
    <t>RUN_EIM_PROCESS_ADHOC,RUN_EIM_PROCESS_ADHOC,RUN_EIM_PROCESS_ADHOC,RUN_EIM_PROCESS_ADHOC,RUN_EIM_PROCESS_JAVA,RUN_EIM_PROCESS_JAVA,RUN_EIM_PROCESS_JAVA,RUN_EIM_PROCESS_JAVA,RUN_EIM_PROCESS_ADHOC,RUN_EIM_PROCESS_ADHOC,RUN_EIM_PROCESS_ADHOC,RUN_EIM_PROCESS_ADHOC,RUN_EIM_PROCESS_JAVA,RUN_EIM_PROCESS_JAVA,RUN_EIM_PROCESS_JAVA,RUN_EIM_PROCESS_JAVA,RUN_EIM_PROCESS,RUN_EIM_PROCESS,RUN_EIM_PROCESS,RUN_EIM_PROCESS,RUN_EIM_PROCESS,RUN_EIM_PROCESS,RUN_EIM_PROCESS,RUN_EIM_PROCESS</t>
  </si>
  <si>
    <t>wrk_Geography_Interface/</t>
  </si>
  <si>
    <t>RUN_EIM_PROCESS_ADHOC,RUN_EIM_PROCESS_ADHOC,RUN_EIM_PROCESS_ADHOC,RUN_EIM_PROCESS_JAVA,RUN_EIM_PROCESS_JAVA,RUN_EIM_PROCESS_JAVA,RUN_EIM_PROCESS,RUN_EIM_PROCESS,RUN_EIM_PROCESS,RUN_EIM_PROCESS_ADHOC,RUN_EIM_PROCESS_ADHOC,RUN_EIM_PROCESS_ADHOC,RUN_EIM_PROCESS_JAVA,RUN_EIM_PROCESS_JAVA,RUN_EIM_PROCESS_JAVA,RUN_EIM_PROCESS,RUN_EIM_PROCESS,RUN_EIM_PROCESS</t>
  </si>
  <si>
    <t>wrk_Merchandising_Material_Interface/</t>
  </si>
  <si>
    <t>RUN_EIM_PROCESS_ADHOC,RUN_EIM_PROCESS_ADHOC,RUN_EIM_PROCESS_ADHOC,RUN_EIM_PROCESS_JAVA,RUN_EIM_PROCESS_JAVA,RUN_EIM_PROCESS_JAVA,RUN_EIM_PROCESS_ADHOC,RUN_EIM_PROCESS_ADHOC,RUN_EIM_PROCESS_ADHOC,RUN_EIM_PROCESS_JAVA,RUN_EIM_PROCESS_JAVA,RUN_EIM_PROCESS_JAVA,RUN_EIM_PROCESS,RUN_EIM_PROCESS,RUN_EIM_PROCESS,RUN_EIM_PROCESS,RUN_EIM_PROCESS,RUN_EIM_PROCESS</t>
  </si>
  <si>
    <t>wrk_Merchandising_Locations_Interface/</t>
  </si>
  <si>
    <t>RUN_EIM_PROCESS_GENERIC,RUN_EIM_PROCESS_GENERIC,RUN_EIM_PROCESS_GENERIC,RUN_EIM_PROCESS_GENERIC,RUN_EIM_PROCESS_GENERIC,RUN_EIM_PROCESS_GENERIC,RUN_EIM_PROCESS_GENERIC,RUN_EIM_PROCESS_GENERIC,RUN_EIM_PROCESS_GENERIC,RUN_EIM_PROCESS_GENERIC,RUN_EIM_PROCESS_GENERIC,RUN_EIM_PROCESS_GENERIC,RUN_EIM_PROCESS_GENERIC,RUN_EIM_PROCESS_GENERIC,RUN_EIM_PROCESS_GENERIC,RUN_EIM_PROCESS_GENERIC</t>
  </si>
  <si>
    <t>wrk_Contract_CH_Interface_Generic/</t>
  </si>
  <si>
    <t>RUN_EIM_PROCESS_JAVA,RUN_EIM_PROCESS_JAVA</t>
  </si>
  <si>
    <t>wrk_AN_Account_Interface/cmd_EIM_PROCESS/</t>
  </si>
  <si>
    <t>wrk_AssetSubComponent_Interface/</t>
  </si>
  <si>
    <t>$PMSourceFileDir\Scripts\run-EIM-process_perf.bat "IFA_SLK_AE_AssetSubComponents.ifb" "SLK"</t>
  </si>
  <si>
    <t>Wrk_Marketing_Calendar_Interface/</t>
  </si>
  <si>
    <t>$PMSourceFileDir\Scripts\run-EIM-process_perf.bat "IFA_SLK_MC_MarketingCalender.ifb" "SLK"</t>
  </si>
  <si>
    <t>wrk_Product_Eligibility_Interface/</t>
  </si>
  <si>
    <t>RUN_EIM_PROCESS_JAVA,RUN_EIM_PROCESS_JAVA,RUN_EIM_PROCESS,RUN_EIM_PROCESS,RUN_EIM_PROCESS_JAVA,RUN_EIM_PROCESS_JAVA,RUN_EIM_PROCESS,RUN_EIM_PROCESS</t>
  </si>
  <si>
    <t>wrk_ContractIncentives_Interface/</t>
  </si>
  <si>
    <t>RUN_EIM_PROCESS_JAVA,RUN_EIM_PROCESS_JAVA,RUN_EIM_PROCESS_JAVA,RUN_EIM_PROCESS_JAVA,RUN_EIM_PROCESS_JAVA,RUN_EIM_PROCESS_JAVA,RUN_EIM_PROCESS,RUN_EIM_PROCESS,RUN_EIM_PROCESS,RUN_EIM_PROCESS,RUN_EIM_PROCESS,RUN_EIM_PROCESS</t>
  </si>
  <si>
    <t>wrk_Product_UserKey_Interface/</t>
  </si>
  <si>
    <t>RUN_EIM_PROCESS_JAVA,RUN_EIM_PROCESS_JAVA,RUN_EIM_PROCESS_JAVA,RUN_EIM_PROCESS_JAVA,RUN_EIM_PROCESS_JAVA,RUN_EIM_PROCESS_JAVA,RUN_EIM_PROCESS_JAVA,RUN_EIM_PROCESS_JAVA,RUN_EIM_PROCESS_GENERIC,RUN_EIM_PROCESS_GENERIC,RUN_EIM_PROCESS_GENERIC,RUN_EIM_PROCESS_GENERIC,RUN_EIM_PROCESS_GENERIC,RUN_EIM_PROCESS_GENERIC,RUN_EIM_PROCESS_GENERIC,RUN_EIM_PROCESS_GENERIC</t>
  </si>
  <si>
    <t>wrk_ContractItems_Interface_Generic/</t>
  </si>
  <si>
    <t>RUN_EIM_PROCESS_VISIT_INBOUND,RUN_EIM_PROCESS_VISIT_INBOUND</t>
  </si>
  <si>
    <t>wrk_Visit_Inbound/</t>
  </si>
  <si>
    <t>RUN_INTERFACE_PAYMENT,RUN_INTERFACE_PAYMENT,RUN_INTERFACE_PAYMENT,RUN_INTERFACE_PAYMENT,RUN_INTERFACE_PAYMENT,RUN_INTERFACE_PAYMENT,RUN_INTERFACE_PAYMENT,RUN_INTERFACE_PAYMENT,RUN_INTERFACE_PAYMENT,RUN_INTERFACE_PAYMENT,RUN_INTERFACE_PAYMENT,RUN_INTERFACE_PAYMENT,RUN_INTERFACE_PAYMENT,RUN_INTERFACE_PAYMENT,RUN_INTERFACE_PAYMENT,RUN_INTERFACE_PAYMENT,RUN_INTERFACE_PAYMENT,RUN_INTERFACE_PAYMENT,RUN_INTERFACE_PAYMENT,RUN_INTERFACE_PAYMENT,RUN_EIM_PROCESS_GENERIC,RUN_EIM_PROCESS_GENERIC,RUN_EIM_PROCESS_GENERIC,RUN_EIM_PROCESS_GENERIC,RUN_EIM_PROCESS_GENERIC,RUN_EIM_PROCESS_GENERIC,RUN_EIM_PROCESS_GENERIC,RUN_EIM_PROCESS_GENERIC,RUN_EIM_PROCESS_GENERIC,RUN_EIM_PROCESS_GENERIC,RUN_EIM_PROCESS_GENERIC,RUN_EIM_PROCESS_GENERIC,RUN_INTERFACE_PAYMENT,RUN_INTERFACE_PAYMENT,RUN_INTERFACE_PAYMENT,RUN_INTERFACE_PAYMENT,RUN_EIM_PROCESS_GENERIC,RUN_EIM_PROCESS_GENERIC,RUN_EIM_PROCESS_GENERIC,RUN_EIM_PROCESS_GENERIC,RUN_EIM_PROCESS_GENERIC,RUN_EIM_PROCESS_GENERIC,RUN_EIM_PROCESS_GENERIC,RUN_EIM_PROCESS_GENERIC,RUN_EIM_PROCESS_GENERIC,RUN_EIM_PROCESS_GENERIC,RUN_EIM_PROCESS_GENERIC,RUN_EIM_PROCESS_GENERIC</t>
  </si>
  <si>
    <t>wrk_Payments_Interface_Generic/</t>
  </si>
  <si>
    <t>LAUNCH_EIM_ADD_OUTLET_TO_RT</t>
  </si>
  <si>
    <t>DUMMY_BATCH</t>
  </si>
  <si>
    <t>$PMSourceFileDir\Scripts\run-EIM-process_perf.bat "IFA_HU_CAP_STEP_2_ADD_OUTLET_TO_ROUTES.ifb" "ENU"</t>
  </si>
  <si>
    <t>To add workflow and command\verify correct BU and batch number</t>
  </si>
  <si>
    <t>LAUNCH_EIM_LINK_NR_TO_RT</t>
  </si>
  <si>
    <t>$PMSourceFileDir\Scripts\run-EIM-process_perf.bat "IFA_SK_CAP_STEP_2_LINK_ACT_TO_ROUTES.ifb" "ENU"</t>
  </si>
  <si>
    <t>LAUNCH_EIM_FOR_VISITS</t>
  </si>
  <si>
    <t>$PMSourceFileDir\Scripts\run-EIM-process_perf.bat "IFA_SK_CAP_STEP_5_IMPORT_VISITS.ifb" "ENU"</t>
  </si>
  <si>
    <t>LAUNCH_LINK_NR_TO_VISITS_EIM</t>
  </si>
  <si>
    <t>$PMSourceFileDir\Scripts\run-EIM-process_perf.bat "IFA_SK_CAP_STEP_7_LINK_NR_TO_VISITS.ifb" "ENU"</t>
  </si>
  <si>
    <t>LAUNCH_ROUTINE_EIM</t>
  </si>
  <si>
    <t>$PMSourceFileDir\Scripts\run-EIM-process_perf.bat "IFA_SK_CAP_STEP_9_GENERATE_ROUTINE.ifb" "ENU"</t>
  </si>
  <si>
    <t>LAUNCH_OBJECTIVE_EIM</t>
  </si>
  <si>
    <t>$PMSourceFileDir\Scripts\run-EIM-process_perf.bat "IFA_SK_CAP_STEP_10_UPDATE_OBJECTIVE.ifb" "ENU"</t>
  </si>
  <si>
    <t>$PMSourceFileDir\Scripts\run-EIM-process_perf.bat "IFA_SK_CAP_STEP_2_LINK_NR_TO_VISITS_WITHOUT_ROUTES.ifb" "ENU"</t>
  </si>
  <si>
    <t>$PMSourceFileDir\Scripts\run-EIM-process_perf.bat "IFA_SK_CAP_STEP_5_GENERATE_ROUTINE_WITHOUT_ROUTES.ifb" "ENU"</t>
  </si>
  <si>
    <t>$PMSourceFileDir\Scripts\run-EIM-process_perf.bat "IFA_SK_CAP_STEP_10_UPDATE_OBJECTIVE_WITHOUT_ROUTES.ifb" "ENU"</t>
  </si>
  <si>
    <t>PRE_COMMIT_PROMOTION_SK</t>
  </si>
  <si>
    <t>PRE_COMMIT_PROMOTION</t>
  </si>
  <si>
    <t>$PMSourceFileDir\Scripts\run-EIM-process_perf.bat "commit_promotion_SK.ifb" "ENU"</t>
  </si>
  <si>
    <t>CHECK_RECORDS_SK</t>
  </si>
  <si>
    <t>To add Session</t>
  </si>
  <si>
    <t>LAUNCH_EIM_SK</t>
  </si>
  <si>
    <t>$PMSourceFileDir\Scripts\run-EIM-process_perf.bat "commit_promotion_SK.ifb" "ENU"
$PMSourceFileDir\Scripts\run-EIM-process_perf.bat "commit_promotion_SK_a.ifb" "ENU"</t>
  </si>
  <si>
    <t>To add Session and commands</t>
  </si>
  <si>
    <t>POST_COMMIT_PROMOTION_SK</t>
  </si>
  <si>
    <t>$PMSourceFileDir\Scripts\ThrowIbotEmail_EIMControl.bat ETL_Promotion_SK</t>
  </si>
  <si>
    <t>$PMSourceFileDir\Scripts\EC4U_SeedCachingiBots.bat ETLPromotion_SK</t>
  </si>
  <si>
    <t>Procedure Name</t>
  </si>
  <si>
    <t>sp_WC_SALES_F_SK</t>
  </si>
  <si>
    <t>TO CREATE</t>
  </si>
  <si>
    <t>sp_sales_m_denorm_SK</t>
  </si>
  <si>
    <t>sp_Weekly_SIL_Aggregate_By_Mth</t>
  </si>
  <si>
    <t>TO MODIFY</t>
  </si>
  <si>
    <t>sp_Weekly_SIL_Aggregate_By_Mth_Adhoc</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</si>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</sst>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7"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5">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9">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1" fillId="0" borderId="0" xfId="34" applyAlignment="1">
      <alignment vertical="top"/>
    </xf>
    <xf numFmtId="0" fontId="4" fillId="0" borderId="0" xfId="34" applyFont="1" applyAlignment="1">
      <alignment horizontal="center" vertical="top"/>
    </xf>
    <xf numFmtId="0" fontId="1" fillId="0" borderId="0" xfId="34" applyAlignment="1">
      <alignment horizontal="left"/>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0" fillId="0" borderId="10" xfId="0" applyBorder="1" applyAlignment="1">
      <alignment vertical="center"/>
    </xf>
    <xf numFmtId="0" fontId="1" fillId="0" borderId="0" xfId="0" applyFont="1" applyBorder="1"/>
    <xf numFmtId="0" fontId="0" fillId="0" borderId="0" xfId="0" applyBorder="1"/>
    <xf numFmtId="0" fontId="1" fillId="0" borderId="34" xfId="0" applyFont="1" applyBorder="1" applyAlignment="1">
      <alignment wrapText="1"/>
    </xf>
    <xf numFmtId="0" fontId="33" fillId="26" borderId="0" xfId="0" applyFont="1" applyFill="1" applyBorder="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32" fillId="27" borderId="10" xfId="34" applyFont="1" applyFill="1" applyBorder="1" applyAlignment="1">
      <alignment horizontal="center"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7" borderId="10" xfId="34" applyFont="1" applyFill="1" applyBorder="1" applyAlignment="1">
      <alignment horizontal="left" vertical="top"/>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1" fillId="0" borderId="33" xfId="0" applyFont="1" applyBorder="1" applyAlignment="1">
      <alignment horizontal="left" vertical="top" wrapText="1"/>
    </xf>
    <xf numFmtId="0" fontId="1" fillId="0" borderId="11" xfId="0" applyFont="1" applyBorder="1" applyAlignment="1">
      <alignment horizontal="left" vertical="top" wrapText="1"/>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5</xdr:row>
          <xdr:rowOff>0</xdr:rowOff>
        </xdr:from>
        <xdr:to>
          <xdr:col>3</xdr:col>
          <xdr:colOff>982980</xdr:colOff>
          <xdr:row>8</xdr:row>
          <xdr:rowOff>137160</xdr:rowOff>
        </xdr:to>
        <xdr:sp macro="" textlink="">
          <xdr:nvSpPr>
            <xdr:cNvPr id="15361" name="Object 1" hidden="1">
              <a:extLst>
                <a:ext uri="{63B3BB69-23CF-44E3-9099-C40C66FF867C}">
                  <a14:compatExt spid="_x0000_s15361"/>
                </a:ext>
                <a:ext uri="{FF2B5EF4-FFF2-40B4-BE49-F238E27FC236}">
                  <a16:creationId xmlns:a16="http://schemas.microsoft.com/office/drawing/2014/main" id="{00000000-0008-0000-0600-000001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abSelected="1" zoomScale="80" zoomScaleNormal="75" workbookViewId="0">
      <selection activeCell="A13" sqref="A13:O13"/>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94" t="s">
        <v>0</v>
      </c>
      <c r="B13" s="94"/>
      <c r="C13" s="94"/>
      <c r="D13" s="94"/>
      <c r="E13" s="94"/>
      <c r="F13" s="94"/>
      <c r="G13" s="94"/>
      <c r="H13" s="94"/>
      <c r="I13" s="94"/>
      <c r="J13" s="94"/>
      <c r="K13" s="94"/>
      <c r="L13" s="94"/>
      <c r="M13" s="94"/>
      <c r="N13" s="94"/>
      <c r="O13" s="94"/>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95" t="s">
        <v>1</v>
      </c>
      <c r="B20" s="95"/>
      <c r="C20" s="95"/>
      <c r="D20" s="95"/>
      <c r="E20" s="95"/>
      <c r="F20" s="95"/>
      <c r="G20" s="95"/>
      <c r="H20" s="95"/>
      <c r="I20" s="95"/>
      <c r="J20" s="95"/>
      <c r="K20" s="95"/>
      <c r="L20" s="95"/>
      <c r="M20" s="95"/>
      <c r="N20" s="95"/>
      <c r="O20" s="95"/>
    </row>
    <row r="21" spans="1:15" ht="30.6" x14ac:dyDescent="0.55000000000000004">
      <c r="A21" s="95" t="s">
        <v>2</v>
      </c>
      <c r="B21" s="95"/>
      <c r="C21" s="95"/>
      <c r="D21" s="95"/>
      <c r="E21" s="95"/>
      <c r="F21" s="95"/>
      <c r="G21" s="95"/>
      <c r="H21" s="95"/>
      <c r="I21" s="95"/>
      <c r="J21" s="95"/>
      <c r="K21" s="95"/>
      <c r="L21" s="95"/>
      <c r="M21" s="95"/>
      <c r="N21" s="95"/>
      <c r="O21" s="95"/>
    </row>
    <row r="22" spans="1:15" ht="13.8" x14ac:dyDescent="0.3">
      <c r="A22" s="1"/>
      <c r="B22" s="1"/>
      <c r="C22" s="1"/>
      <c r="D22" s="1"/>
      <c r="E22" s="1"/>
      <c r="F22" s="1"/>
      <c r="G22" s="1"/>
      <c r="H22" s="1"/>
      <c r="I22" s="1"/>
    </row>
    <row r="23" spans="1:15" ht="30.6" x14ac:dyDescent="0.55000000000000004">
      <c r="A23" s="83"/>
      <c r="B23" s="83"/>
      <c r="C23" s="83"/>
      <c r="D23" s="83"/>
      <c r="E23" s="83"/>
      <c r="F23" s="84"/>
      <c r="G23" s="95" t="s">
        <v>3</v>
      </c>
      <c r="H23" s="98"/>
      <c r="I23" s="73" t="s">
        <v>4</v>
      </c>
      <c r="J23" s="84"/>
      <c r="L23" s="83"/>
      <c r="M23" s="83"/>
      <c r="N23" s="83"/>
      <c r="O23" s="83"/>
    </row>
    <row r="24" spans="1:15" s="6" customFormat="1" ht="27.75" customHeight="1" x14ac:dyDescent="0.55000000000000004">
      <c r="A24" s="85"/>
      <c r="B24" s="85"/>
      <c r="C24" s="85"/>
      <c r="D24" s="85"/>
      <c r="F24" s="77"/>
      <c r="G24" s="95" t="s">
        <v>5</v>
      </c>
      <c r="H24" s="95"/>
      <c r="I24" s="73" t="s">
        <v>6</v>
      </c>
      <c r="J24" s="85"/>
      <c r="K24" s="85"/>
      <c r="L24" s="85"/>
      <c r="M24" s="85"/>
      <c r="N24" s="85"/>
      <c r="O24" s="85"/>
    </row>
    <row r="25" spans="1:15" ht="28.2" x14ac:dyDescent="0.5">
      <c r="F25" s="101" t="s">
        <v>7</v>
      </c>
      <c r="G25" s="101"/>
      <c r="H25" s="101"/>
      <c r="I25" s="101"/>
      <c r="J25" s="101"/>
      <c r="K25" s="101"/>
      <c r="L25" s="76" t="s">
        <v>8</v>
      </c>
    </row>
    <row r="26" spans="1:15" ht="28.2" x14ac:dyDescent="0.5">
      <c r="F26" s="102" t="s">
        <v>9</v>
      </c>
      <c r="G26" s="102"/>
      <c r="H26" s="102"/>
      <c r="I26" s="102"/>
      <c r="J26" s="99" t="s">
        <v>10</v>
      </c>
      <c r="K26" s="100"/>
    </row>
    <row r="27" spans="1:15" ht="15.6" x14ac:dyDescent="0.3">
      <c r="A27" s="97"/>
      <c r="B27" s="97"/>
      <c r="C27" s="97"/>
      <c r="D27" s="97"/>
      <c r="E27" s="97"/>
      <c r="F27" s="97"/>
      <c r="G27" s="97"/>
      <c r="H27" s="97"/>
      <c r="I27" s="97"/>
    </row>
    <row r="28" spans="1:15" ht="18" customHeight="1" x14ac:dyDescent="0.35">
      <c r="A28" s="96"/>
      <c r="B28" s="96"/>
      <c r="C28" s="96"/>
      <c r="D28" s="96"/>
      <c r="E28" s="96"/>
      <c r="F28" s="96"/>
      <c r="G28" s="96"/>
      <c r="H28" s="96"/>
      <c r="I28" s="96"/>
    </row>
    <row r="37" spans="1:9" ht="18" customHeight="1" x14ac:dyDescent="0.25"/>
    <row r="38" spans="1:9" ht="15.6" x14ac:dyDescent="0.3">
      <c r="A38" s="3" t="s">
        <v>11</v>
      </c>
      <c r="B38" s="4">
        <f ca="1">TODAY()</f>
        <v>44473</v>
      </c>
      <c r="C38" s="1"/>
      <c r="D38" s="1"/>
      <c r="E38" s="1"/>
      <c r="F38" s="1"/>
      <c r="G38" s="1"/>
      <c r="H38" s="1"/>
      <c r="I38" s="1"/>
    </row>
    <row r="39" spans="1:9" ht="15.6" x14ac:dyDescent="0.3">
      <c r="A39" s="3" t="s">
        <v>12</v>
      </c>
      <c r="B39" s="5" t="s">
        <v>13</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heetViews>
  <sheetFormatPr defaultColWidth="9.109375" defaultRowHeight="13.8" x14ac:dyDescent="0.25"/>
  <cols>
    <col min="1" max="1" width="7.88671875" style="8" customWidth="1"/>
    <col min="2" max="2" width="22.109375" style="8" customWidth="1"/>
    <col min="3" max="3" width="6.44140625" style="8" customWidth="1"/>
    <col min="4" max="4" width="21.5546875" style="8" customWidth="1"/>
    <col min="5" max="5" width="0.109375" style="8" customWidth="1"/>
    <col min="6" max="6" width="9.109375" style="8" hidden="1" customWidth="1"/>
    <col min="7" max="7" width="19.6640625" style="8" customWidth="1"/>
    <col min="8" max="8" width="9.109375" style="8" hidden="1" customWidth="1"/>
    <col min="9" max="9" width="9.33203125" style="8" hidden="1" customWidth="1"/>
    <col min="10" max="10" width="11.109375" style="8" customWidth="1"/>
    <col min="11" max="11" width="12.44140625" style="8" customWidth="1"/>
    <col min="12" max="12" width="9.109375" style="8" hidden="1" customWidth="1"/>
    <col min="13" max="13" width="28" style="8" customWidth="1"/>
    <col min="14" max="15" width="9.109375" style="8"/>
    <col min="16" max="16" width="15" style="8" customWidth="1"/>
    <col min="17" max="17" width="37.109375" style="8" customWidth="1"/>
    <col min="18" max="24" width="9.109375" style="8"/>
    <col min="25" max="25" width="0" style="8" hidden="1" customWidth="1"/>
    <col min="26" max="16384" width="9.109375" style="8"/>
  </cols>
  <sheetData>
    <row r="1" spans="1:25" ht="15.6" x14ac:dyDescent="0.25">
      <c r="A1" s="7" t="s">
        <v>14</v>
      </c>
      <c r="Y1" s="8" t="s">
        <v>15</v>
      </c>
    </row>
    <row r="2" spans="1:25" x14ac:dyDescent="0.25">
      <c r="A2" s="9"/>
      <c r="F2" s="9"/>
      <c r="Y2" s="8" t="s">
        <v>16</v>
      </c>
    </row>
    <row r="3" spans="1:25" x14ac:dyDescent="0.25">
      <c r="A3" s="118" t="s">
        <v>17</v>
      </c>
      <c r="B3" s="118"/>
      <c r="C3" s="118"/>
      <c r="D3" s="118" t="s">
        <v>18</v>
      </c>
      <c r="E3" s="118"/>
      <c r="F3" s="118"/>
      <c r="G3" s="118" t="s">
        <v>19</v>
      </c>
      <c r="H3" s="118"/>
      <c r="I3" s="118"/>
      <c r="J3" s="119" t="s">
        <v>20</v>
      </c>
      <c r="K3" s="120"/>
      <c r="L3" s="121"/>
      <c r="M3" s="118" t="s">
        <v>21</v>
      </c>
      <c r="N3" s="118"/>
      <c r="O3" s="118"/>
      <c r="P3" s="87" t="s">
        <v>22</v>
      </c>
      <c r="Q3" s="87" t="s">
        <v>23</v>
      </c>
      <c r="Y3" s="8" t="s">
        <v>24</v>
      </c>
    </row>
    <row r="4" spans="1:25" x14ac:dyDescent="0.25">
      <c r="A4" s="122" t="s">
        <v>25</v>
      </c>
      <c r="B4" s="123"/>
      <c r="C4" s="124"/>
      <c r="D4" s="122" t="s">
        <v>26</v>
      </c>
      <c r="E4" s="124"/>
      <c r="F4" s="86"/>
      <c r="G4" s="106" t="s">
        <v>27</v>
      </c>
      <c r="H4" s="106"/>
      <c r="I4" s="106"/>
      <c r="J4" s="131">
        <v>1</v>
      </c>
      <c r="K4" s="132"/>
      <c r="L4" s="86"/>
      <c r="M4" s="128"/>
      <c r="N4" s="129"/>
      <c r="O4" s="130"/>
      <c r="P4" s="88" t="s">
        <v>15</v>
      </c>
      <c r="Q4" s="10" t="s">
        <v>28</v>
      </c>
      <c r="U4" s="82"/>
      <c r="Y4" s="8" t="s">
        <v>29</v>
      </c>
    </row>
    <row r="5" spans="1:25" ht="27.6" x14ac:dyDescent="0.25">
      <c r="A5" s="122" t="s">
        <v>30</v>
      </c>
      <c r="B5" s="123"/>
      <c r="C5" s="124"/>
      <c r="D5" s="122" t="s">
        <v>31</v>
      </c>
      <c r="E5" s="124"/>
      <c r="F5" s="86"/>
      <c r="G5" s="106" t="s">
        <v>32</v>
      </c>
      <c r="H5" s="106"/>
      <c r="I5" s="106"/>
      <c r="J5" s="131">
        <v>1</v>
      </c>
      <c r="K5" s="132"/>
      <c r="L5" s="86"/>
      <c r="M5" s="128"/>
      <c r="N5" s="129"/>
      <c r="O5" s="130"/>
      <c r="P5" s="88" t="s">
        <v>15</v>
      </c>
      <c r="Q5" s="10" t="s">
        <v>33</v>
      </c>
      <c r="U5" s="82"/>
    </row>
    <row r="6" spans="1:25" x14ac:dyDescent="0.25">
      <c r="A6" s="122" t="s">
        <v>34</v>
      </c>
      <c r="B6" s="123"/>
      <c r="C6" s="124"/>
      <c r="D6" s="122" t="s">
        <v>35</v>
      </c>
      <c r="E6" s="124"/>
      <c r="F6" s="86"/>
      <c r="G6" s="106" t="s">
        <v>32</v>
      </c>
      <c r="H6" s="106"/>
      <c r="I6" s="106"/>
      <c r="J6" s="131">
        <v>1</v>
      </c>
      <c r="K6" s="132"/>
      <c r="L6" s="86"/>
      <c r="M6" s="128">
        <v>44468</v>
      </c>
      <c r="N6" s="129"/>
      <c r="O6" s="130"/>
      <c r="P6" s="88" t="s">
        <v>15</v>
      </c>
      <c r="Q6" s="10" t="s">
        <v>36</v>
      </c>
    </row>
    <row r="7" spans="1:25" ht="15.6" x14ac:dyDescent="0.25">
      <c r="A7" s="7" t="s">
        <v>37</v>
      </c>
      <c r="B7" s="7"/>
      <c r="C7" s="7"/>
      <c r="D7" s="7"/>
      <c r="F7" s="9"/>
    </row>
    <row r="9" spans="1:25" ht="29.25" customHeight="1" x14ac:dyDescent="0.25">
      <c r="A9" s="125" t="s">
        <v>17</v>
      </c>
      <c r="B9" s="126"/>
      <c r="C9" s="125" t="s">
        <v>18</v>
      </c>
      <c r="D9" s="126"/>
      <c r="E9" s="125" t="s">
        <v>19</v>
      </c>
      <c r="F9" s="127"/>
      <c r="G9" s="126"/>
      <c r="H9" s="119" t="s">
        <v>20</v>
      </c>
      <c r="I9" s="127"/>
      <c r="J9" s="126"/>
      <c r="K9" s="125" t="s">
        <v>21</v>
      </c>
      <c r="L9" s="126"/>
      <c r="M9" s="125" t="s">
        <v>38</v>
      </c>
      <c r="N9" s="127"/>
      <c r="O9" s="126"/>
      <c r="P9" s="80"/>
    </row>
    <row r="10" spans="1:25" x14ac:dyDescent="0.25">
      <c r="A10" s="109"/>
      <c r="B10" s="109"/>
      <c r="C10" s="109"/>
      <c r="D10" s="109"/>
      <c r="E10" s="109"/>
      <c r="F10" s="109"/>
      <c r="G10" s="109"/>
      <c r="H10" s="109"/>
      <c r="I10" s="109"/>
      <c r="J10" s="109"/>
      <c r="K10" s="109"/>
      <c r="L10" s="109"/>
      <c r="M10" s="109"/>
      <c r="N10" s="109"/>
      <c r="O10" s="109"/>
      <c r="P10" s="81"/>
    </row>
    <row r="11" spans="1:25" x14ac:dyDescent="0.25">
      <c r="A11" s="109"/>
      <c r="B11" s="109"/>
      <c r="C11" s="109"/>
      <c r="D11" s="109"/>
      <c r="E11" s="109"/>
      <c r="F11" s="109"/>
      <c r="G11" s="109"/>
      <c r="H11" s="109"/>
      <c r="I11" s="109"/>
      <c r="J11" s="109"/>
      <c r="K11" s="109"/>
      <c r="L11" s="109"/>
      <c r="M11" s="109"/>
      <c r="N11" s="109"/>
      <c r="O11" s="109"/>
      <c r="P11" s="81"/>
    </row>
    <row r="12" spans="1:25" x14ac:dyDescent="0.25">
      <c r="A12" s="109"/>
      <c r="B12" s="109"/>
      <c r="C12" s="109"/>
      <c r="D12" s="109"/>
      <c r="E12" s="109"/>
      <c r="F12" s="109"/>
      <c r="G12" s="109"/>
      <c r="H12" s="109"/>
      <c r="I12" s="109"/>
      <c r="J12" s="109"/>
      <c r="K12" s="109"/>
      <c r="L12" s="109"/>
      <c r="M12" s="109"/>
      <c r="N12" s="109"/>
      <c r="O12" s="109"/>
      <c r="P12" s="81"/>
    </row>
    <row r="13" spans="1:25" x14ac:dyDescent="0.25">
      <c r="A13" s="109"/>
      <c r="B13" s="109"/>
      <c r="C13" s="109"/>
      <c r="D13" s="109"/>
      <c r="E13" s="109"/>
      <c r="F13" s="109"/>
      <c r="G13" s="109"/>
      <c r="H13" s="109"/>
      <c r="I13" s="109"/>
      <c r="J13" s="109"/>
      <c r="K13" s="109"/>
      <c r="L13" s="109"/>
      <c r="M13" s="109"/>
      <c r="N13" s="109"/>
      <c r="O13" s="109"/>
      <c r="P13" s="81"/>
    </row>
    <row r="14" spans="1:25" x14ac:dyDescent="0.25">
      <c r="A14" s="109"/>
      <c r="B14" s="109"/>
      <c r="C14" s="109"/>
      <c r="D14" s="109"/>
      <c r="E14" s="109"/>
      <c r="F14" s="109"/>
      <c r="G14" s="109"/>
      <c r="H14" s="109"/>
      <c r="I14" s="109"/>
      <c r="J14" s="109"/>
      <c r="K14" s="109"/>
      <c r="L14" s="109"/>
      <c r="M14" s="109"/>
      <c r="N14" s="109"/>
      <c r="O14" s="109"/>
      <c r="P14" s="81"/>
    </row>
    <row r="15" spans="1:25" x14ac:dyDescent="0.25">
      <c r="A15" s="109"/>
      <c r="B15" s="109"/>
      <c r="C15" s="109"/>
      <c r="D15" s="109"/>
      <c r="E15" s="109"/>
      <c r="F15" s="109"/>
      <c r="G15" s="109"/>
      <c r="H15" s="109"/>
      <c r="I15" s="109"/>
      <c r="J15" s="109"/>
      <c r="K15" s="109"/>
      <c r="L15" s="109"/>
      <c r="M15" s="109"/>
      <c r="N15" s="109"/>
      <c r="O15" s="109"/>
      <c r="P15" s="81"/>
    </row>
    <row r="16" spans="1:25" x14ac:dyDescent="0.25">
      <c r="A16" s="109"/>
      <c r="B16" s="109"/>
      <c r="C16" s="109"/>
      <c r="D16" s="109"/>
      <c r="E16" s="109"/>
      <c r="F16" s="109"/>
      <c r="G16" s="109"/>
      <c r="H16" s="109"/>
      <c r="I16" s="109"/>
      <c r="J16" s="109"/>
      <c r="K16" s="109"/>
      <c r="L16" s="109"/>
      <c r="M16" s="109"/>
      <c r="N16" s="109"/>
      <c r="O16" s="109"/>
      <c r="P16" s="81"/>
    </row>
    <row r="17" spans="1:16" x14ac:dyDescent="0.25">
      <c r="A17" s="109"/>
      <c r="B17" s="109"/>
      <c r="C17" s="109"/>
      <c r="D17" s="109"/>
      <c r="E17" s="109"/>
      <c r="F17" s="109"/>
      <c r="G17" s="109"/>
      <c r="H17" s="109"/>
      <c r="I17" s="109"/>
      <c r="J17" s="109"/>
      <c r="K17" s="109"/>
      <c r="L17" s="109"/>
      <c r="M17" s="109"/>
      <c r="N17" s="109"/>
      <c r="O17" s="109"/>
      <c r="P17" s="81"/>
    </row>
    <row r="19" spans="1:16" x14ac:dyDescent="0.25">
      <c r="K19" s="8" t="s">
        <v>39</v>
      </c>
    </row>
    <row r="20" spans="1:16" x14ac:dyDescent="0.25">
      <c r="A20" s="111" t="s">
        <v>40</v>
      </c>
      <c r="B20" s="111"/>
      <c r="C20" s="111" t="s">
        <v>41</v>
      </c>
      <c r="D20" s="111"/>
      <c r="G20" s="111" t="s">
        <v>42</v>
      </c>
      <c r="H20" s="111"/>
      <c r="K20" s="8" t="s">
        <v>43</v>
      </c>
    </row>
    <row r="21" spans="1:16" x14ac:dyDescent="0.25">
      <c r="A21" s="106" t="s">
        <v>44</v>
      </c>
      <c r="B21" s="106"/>
      <c r="C21" s="109">
        <v>0</v>
      </c>
      <c r="D21" s="109"/>
      <c r="G21" s="109">
        <f>C21*8</f>
        <v>0</v>
      </c>
      <c r="H21" s="109"/>
      <c r="K21" s="8" t="s">
        <v>45</v>
      </c>
    </row>
    <row r="22" spans="1:16" x14ac:dyDescent="0.25">
      <c r="A22" s="106" t="s">
        <v>46</v>
      </c>
      <c r="B22" s="106"/>
      <c r="C22" s="109">
        <v>0</v>
      </c>
      <c r="D22" s="109"/>
      <c r="G22" s="109">
        <f t="shared" ref="G22:G27" si="0">C22*8</f>
        <v>0</v>
      </c>
      <c r="H22" s="109"/>
    </row>
    <row r="23" spans="1:16" x14ac:dyDescent="0.25">
      <c r="A23" s="106" t="s">
        <v>47</v>
      </c>
      <c r="B23" s="106"/>
      <c r="C23" s="109">
        <v>0.1</v>
      </c>
      <c r="D23" s="109"/>
      <c r="G23" s="109">
        <f t="shared" si="0"/>
        <v>0.8</v>
      </c>
      <c r="H23" s="109"/>
      <c r="K23" s="8" t="s">
        <v>48</v>
      </c>
    </row>
    <row r="24" spans="1:16" x14ac:dyDescent="0.25">
      <c r="A24" s="106" t="s">
        <v>49</v>
      </c>
      <c r="B24" s="106"/>
      <c r="C24" s="109">
        <f>'1.0 DB Schema'!B69+'2.0 Ifb &amp; PHP'!B85+'3.0 Mapping'!B12+'4.0 Worklet &amp; workflow'!B28+'5.0 Stored Procedure'!B14+'4.1 Session Details'!B109</f>
        <v>3.8950000000000022</v>
      </c>
      <c r="D24" s="109"/>
      <c r="G24" s="109">
        <f t="shared" si="0"/>
        <v>31.160000000000018</v>
      </c>
      <c r="H24" s="109"/>
      <c r="K24" s="8" t="s">
        <v>50</v>
      </c>
    </row>
    <row r="25" spans="1:16" x14ac:dyDescent="0.25">
      <c r="A25" s="106" t="s">
        <v>39</v>
      </c>
      <c r="B25" s="106"/>
      <c r="C25" s="109">
        <v>0.8</v>
      </c>
      <c r="D25" s="109"/>
      <c r="G25" s="109">
        <f t="shared" si="0"/>
        <v>6.4</v>
      </c>
      <c r="H25" s="109"/>
      <c r="K25" s="8" t="s">
        <v>51</v>
      </c>
    </row>
    <row r="26" spans="1:16" x14ac:dyDescent="0.25">
      <c r="A26" s="106" t="s">
        <v>52</v>
      </c>
      <c r="B26" s="106"/>
      <c r="C26" s="107">
        <v>0.5</v>
      </c>
      <c r="D26" s="108"/>
      <c r="G26" s="107">
        <f t="shared" si="0"/>
        <v>4</v>
      </c>
      <c r="H26" s="108"/>
      <c r="K26" s="8" t="s">
        <v>53</v>
      </c>
    </row>
    <row r="27" spans="1:16" x14ac:dyDescent="0.25">
      <c r="A27" s="115" t="s">
        <v>54</v>
      </c>
      <c r="B27" s="115"/>
      <c r="C27" s="111">
        <f>SUM(C21:E26)</f>
        <v>5.2950000000000026</v>
      </c>
      <c r="D27" s="111"/>
      <c r="G27" s="111">
        <f t="shared" si="0"/>
        <v>42.360000000000021</v>
      </c>
      <c r="H27" s="111"/>
    </row>
    <row r="30" spans="1:16" x14ac:dyDescent="0.25">
      <c r="B30" s="103" t="s">
        <v>55</v>
      </c>
      <c r="C30" s="104"/>
      <c r="D30" s="104"/>
      <c r="E30" s="104"/>
      <c r="F30" s="104"/>
      <c r="G30" s="104"/>
      <c r="H30" s="104"/>
      <c r="I30" s="104"/>
      <c r="J30" s="104"/>
      <c r="K30" s="104"/>
      <c r="L30" s="104"/>
      <c r="M30" s="105"/>
    </row>
    <row r="31" spans="1:16" ht="33.75" customHeight="1" x14ac:dyDescent="0.25">
      <c r="B31" s="116" t="s">
        <v>44</v>
      </c>
      <c r="C31" s="117"/>
      <c r="D31" s="110" t="s">
        <v>56</v>
      </c>
      <c r="E31" s="110"/>
      <c r="F31" s="110"/>
      <c r="G31" s="110"/>
      <c r="H31" s="110"/>
      <c r="I31" s="110"/>
      <c r="J31" s="110"/>
      <c r="K31" s="110"/>
      <c r="L31" s="110"/>
      <c r="M31" s="110"/>
    </row>
    <row r="32" spans="1:16" ht="39.75" customHeight="1" x14ac:dyDescent="0.25">
      <c r="B32" s="116" t="s">
        <v>46</v>
      </c>
      <c r="C32" s="117"/>
      <c r="D32" s="110" t="s">
        <v>57</v>
      </c>
      <c r="E32" s="110"/>
      <c r="F32" s="110"/>
      <c r="G32" s="110"/>
      <c r="H32" s="110"/>
      <c r="I32" s="110"/>
      <c r="J32" s="110"/>
      <c r="K32" s="110"/>
      <c r="L32" s="110"/>
      <c r="M32" s="110"/>
    </row>
    <row r="33" spans="2:13" ht="236.25" customHeight="1" x14ac:dyDescent="0.25">
      <c r="B33" s="116" t="s">
        <v>47</v>
      </c>
      <c r="C33" s="117"/>
      <c r="D33" s="110" t="s">
        <v>58</v>
      </c>
      <c r="E33" s="110"/>
      <c r="F33" s="110"/>
      <c r="G33" s="110"/>
      <c r="H33" s="110"/>
      <c r="I33" s="110"/>
      <c r="J33" s="110"/>
      <c r="K33" s="110"/>
      <c r="L33" s="110"/>
      <c r="M33" s="110"/>
    </row>
    <row r="34" spans="2:13" x14ac:dyDescent="0.25">
      <c r="B34" s="116" t="s">
        <v>49</v>
      </c>
      <c r="C34" s="117"/>
      <c r="D34" s="110" t="s">
        <v>59</v>
      </c>
      <c r="E34" s="110"/>
      <c r="F34" s="110"/>
      <c r="G34" s="110"/>
      <c r="H34" s="110"/>
      <c r="I34" s="110"/>
      <c r="J34" s="110"/>
      <c r="K34" s="110"/>
      <c r="L34" s="110"/>
      <c r="M34" s="110"/>
    </row>
    <row r="35" spans="2:13" ht="52.5" customHeight="1" x14ac:dyDescent="0.25">
      <c r="B35" s="116" t="s">
        <v>39</v>
      </c>
      <c r="C35" s="117"/>
      <c r="D35" s="112" t="s">
        <v>60</v>
      </c>
      <c r="E35" s="113"/>
      <c r="F35" s="113"/>
      <c r="G35" s="113"/>
      <c r="H35" s="113"/>
      <c r="I35" s="113"/>
      <c r="J35" s="113"/>
      <c r="K35" s="113"/>
      <c r="L35" s="113"/>
      <c r="M35" s="114"/>
    </row>
    <row r="36" spans="2:13" ht="34.5" customHeight="1" x14ac:dyDescent="0.25">
      <c r="B36" s="116" t="s">
        <v>52</v>
      </c>
      <c r="C36" s="117"/>
      <c r="D36" s="110" t="s">
        <v>61</v>
      </c>
      <c r="E36" s="110"/>
      <c r="F36" s="110"/>
      <c r="G36" s="110"/>
      <c r="H36" s="110"/>
      <c r="I36" s="110"/>
      <c r="J36" s="110"/>
      <c r="K36" s="110"/>
      <c r="L36" s="110"/>
      <c r="M36" s="110"/>
    </row>
    <row r="37" spans="2:13" ht="29.25" customHeight="1" x14ac:dyDescent="0.25"/>
  </sheetData>
  <mergeCells count="111">
    <mergeCell ref="M17:O17"/>
    <mergeCell ref="M16:O16"/>
    <mergeCell ref="M15:O15"/>
    <mergeCell ref="H9:J9"/>
    <mergeCell ref="K9:L9"/>
    <mergeCell ref="M11:O11"/>
    <mergeCell ref="M12:O12"/>
    <mergeCell ref="M13:O13"/>
    <mergeCell ref="M14:O14"/>
    <mergeCell ref="K12:L12"/>
    <mergeCell ref="H14:J14"/>
    <mergeCell ref="K13:L13"/>
    <mergeCell ref="G24:H24"/>
    <mergeCell ref="A20:B20"/>
    <mergeCell ref="C20:D20"/>
    <mergeCell ref="A24:B24"/>
    <mergeCell ref="C24:D24"/>
    <mergeCell ref="A21:B21"/>
    <mergeCell ref="C21:D21"/>
    <mergeCell ref="A22:B22"/>
    <mergeCell ref="C22:D22"/>
    <mergeCell ref="A23:B23"/>
    <mergeCell ref="C23:D23"/>
    <mergeCell ref="G20:H20"/>
    <mergeCell ref="G21:H21"/>
    <mergeCell ref="G22:H22"/>
    <mergeCell ref="G23:H23"/>
    <mergeCell ref="A14:B14"/>
    <mergeCell ref="E14:G14"/>
    <mergeCell ref="A15:B15"/>
    <mergeCell ref="M3:O3"/>
    <mergeCell ref="M5:O5"/>
    <mergeCell ref="G5:I5"/>
    <mergeCell ref="J5:K5"/>
    <mergeCell ref="J4:K4"/>
    <mergeCell ref="M4:O4"/>
    <mergeCell ref="H10:J10"/>
    <mergeCell ref="H11:J11"/>
    <mergeCell ref="M9:O9"/>
    <mergeCell ref="K10:L10"/>
    <mergeCell ref="M10:O10"/>
    <mergeCell ref="K11:L11"/>
    <mergeCell ref="G6:I6"/>
    <mergeCell ref="J6:K6"/>
    <mergeCell ref="M6:O6"/>
    <mergeCell ref="E10:G10"/>
    <mergeCell ref="E11:G11"/>
    <mergeCell ref="G4:I4"/>
    <mergeCell ref="A5:C5"/>
    <mergeCell ref="D5:E5"/>
    <mergeCell ref="A9:B9"/>
    <mergeCell ref="C9:D9"/>
    <mergeCell ref="E9:G9"/>
    <mergeCell ref="H15:J15"/>
    <mergeCell ref="K17:L17"/>
    <mergeCell ref="K16:L16"/>
    <mergeCell ref="K14:L14"/>
    <mergeCell ref="K15:L15"/>
    <mergeCell ref="H16:J16"/>
    <mergeCell ref="A6:C6"/>
    <mergeCell ref="D6:E6"/>
    <mergeCell ref="C10:D10"/>
    <mergeCell ref="A11:B11"/>
    <mergeCell ref="C11:D11"/>
    <mergeCell ref="C15:D15"/>
    <mergeCell ref="G3:I3"/>
    <mergeCell ref="A12:B12"/>
    <mergeCell ref="C12:D12"/>
    <mergeCell ref="C13:D13"/>
    <mergeCell ref="C14:D14"/>
    <mergeCell ref="A17:B17"/>
    <mergeCell ref="E15:G15"/>
    <mergeCell ref="A16:B16"/>
    <mergeCell ref="C16:D16"/>
    <mergeCell ref="E16:G16"/>
    <mergeCell ref="E17:G17"/>
    <mergeCell ref="H17:J17"/>
    <mergeCell ref="C17:D17"/>
    <mergeCell ref="H12:J12"/>
    <mergeCell ref="A13:B13"/>
    <mergeCell ref="E13:G13"/>
    <mergeCell ref="H13:J13"/>
    <mergeCell ref="E12:G12"/>
    <mergeCell ref="J3:L3"/>
    <mergeCell ref="A10:B10"/>
    <mergeCell ref="A3:C3"/>
    <mergeCell ref="D3:F3"/>
    <mergeCell ref="A4:C4"/>
    <mergeCell ref="D4:E4"/>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 ref="G25:H25"/>
    <mergeCell ref="G26:H26"/>
    <mergeCell ref="G27:H27"/>
    <mergeCell ref="D35:M35"/>
    <mergeCell ref="A27:B27"/>
    <mergeCell ref="C27:D27"/>
    <mergeCell ref="A25:B25"/>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6"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sqref="A1:B1"/>
    </sheetView>
  </sheetViews>
  <sheetFormatPr defaultColWidth="11.44140625" defaultRowHeight="13.2" x14ac:dyDescent="0.25"/>
  <cols>
    <col min="1" max="1" width="4.33203125" style="32" customWidth="1"/>
    <col min="2" max="2" width="87.44140625" style="21" customWidth="1"/>
    <col min="3" max="3" width="10.6640625" style="21" customWidth="1"/>
    <col min="4" max="16384" width="11.44140625" style="21"/>
  </cols>
  <sheetData>
    <row r="1" spans="1:2" ht="13.8" thickBot="1" x14ac:dyDescent="0.3">
      <c r="A1" s="133" t="s">
        <v>62</v>
      </c>
      <c r="B1" s="133"/>
    </row>
    <row r="2" spans="1:2" x14ac:dyDescent="0.25">
      <c r="A2" s="30"/>
      <c r="B2" s="24" t="s">
        <v>63</v>
      </c>
    </row>
    <row r="3" spans="1:2" x14ac:dyDescent="0.25">
      <c r="A3" s="31"/>
      <c r="B3" s="20"/>
    </row>
    <row r="5" spans="1:2" x14ac:dyDescent="0.25">
      <c r="A5" s="30" t="s">
        <v>64</v>
      </c>
      <c r="B5" s="23" t="s">
        <v>65</v>
      </c>
    </row>
    <row r="6" spans="1:2" ht="52.8" x14ac:dyDescent="0.25">
      <c r="A6" s="31">
        <v>1</v>
      </c>
      <c r="B6" s="20" t="s">
        <v>66</v>
      </c>
    </row>
    <row r="7" spans="1:2" x14ac:dyDescent="0.25">
      <c r="A7" s="31">
        <v>2</v>
      </c>
      <c r="B7" s="20"/>
    </row>
    <row r="8" spans="1:2" x14ac:dyDescent="0.25">
      <c r="A8" s="31">
        <v>3</v>
      </c>
      <c r="B8" s="20"/>
    </row>
    <row r="9" spans="1:2" x14ac:dyDescent="0.25">
      <c r="A9" s="31" t="s">
        <v>67</v>
      </c>
      <c r="B9" s="20"/>
    </row>
    <row r="10" spans="1:2" x14ac:dyDescent="0.25">
      <c r="A10" s="31" t="s">
        <v>68</v>
      </c>
      <c r="B10" s="20"/>
    </row>
    <row r="12" spans="1:2" x14ac:dyDescent="0.25">
      <c r="A12" s="30" t="s">
        <v>64</v>
      </c>
      <c r="B12" s="23" t="s">
        <v>69</v>
      </c>
    </row>
    <row r="13" spans="1:2" x14ac:dyDescent="0.25">
      <c r="A13" s="31">
        <v>4</v>
      </c>
      <c r="B13" s="20"/>
    </row>
    <row r="15" spans="1:2" x14ac:dyDescent="0.25">
      <c r="A15" s="30" t="s">
        <v>64</v>
      </c>
      <c r="B15" s="23" t="s">
        <v>70</v>
      </c>
    </row>
    <row r="16" spans="1:2" x14ac:dyDescent="0.25">
      <c r="A16" s="31">
        <v>5</v>
      </c>
      <c r="B16" s="20"/>
    </row>
    <row r="17" spans="1:2" ht="13.8" thickBot="1" x14ac:dyDescent="0.3"/>
    <row r="18" spans="1:2" x14ac:dyDescent="0.25">
      <c r="A18" s="33" t="s">
        <v>64</v>
      </c>
      <c r="B18" s="22" t="s">
        <v>71</v>
      </c>
    </row>
    <row r="19" spans="1:2" x14ac:dyDescent="0.25">
      <c r="A19" s="31">
        <v>6</v>
      </c>
      <c r="B19" s="20" t="s">
        <v>72</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sqref="A1:D1"/>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34" t="s">
        <v>73</v>
      </c>
      <c r="B1" s="135"/>
      <c r="C1" s="135"/>
      <c r="D1" s="136"/>
      <c r="M1" s="46" t="s">
        <v>74</v>
      </c>
      <c r="N1" s="47"/>
      <c r="O1" s="47"/>
      <c r="P1" s="47"/>
      <c r="Q1" s="47"/>
      <c r="R1" s="48"/>
    </row>
    <row r="2" spans="1:18" ht="13.8" thickBot="1" x14ac:dyDescent="0.3">
      <c r="C2" s="21"/>
      <c r="M2" s="49" t="s">
        <v>75</v>
      </c>
      <c r="N2" s="34"/>
      <c r="O2" s="34"/>
      <c r="P2" s="34"/>
      <c r="Q2" s="34"/>
      <c r="R2" s="50"/>
    </row>
    <row r="3" spans="1:18" x14ac:dyDescent="0.25">
      <c r="A3" s="55" t="s">
        <v>76</v>
      </c>
      <c r="B3" s="27"/>
      <c r="C3" s="27"/>
      <c r="M3" s="49" t="s">
        <v>77</v>
      </c>
      <c r="N3" s="34"/>
      <c r="O3" s="34"/>
      <c r="P3" s="34"/>
      <c r="Q3" s="34"/>
      <c r="R3" s="50"/>
    </row>
    <row r="4" spans="1:18" ht="25.5" customHeight="1" x14ac:dyDescent="0.25">
      <c r="A4" s="12" t="s">
        <v>78</v>
      </c>
      <c r="B4" s="12" t="s">
        <v>79</v>
      </c>
      <c r="C4" s="26" t="s">
        <v>22</v>
      </c>
      <c r="D4" s="26" t="s">
        <v>80</v>
      </c>
      <c r="M4" s="51" t="s">
        <v>81</v>
      </c>
      <c r="N4" s="34"/>
      <c r="O4" s="34"/>
      <c r="P4" s="34"/>
      <c r="Q4" s="34"/>
      <c r="R4" s="50"/>
    </row>
    <row r="5" spans="1:18" ht="132.6" thickBot="1" x14ac:dyDescent="0.3">
      <c r="A5" s="39" t="s">
        <v>82</v>
      </c>
      <c r="B5" s="25" t="s">
        <v>83</v>
      </c>
      <c r="C5" s="11"/>
      <c r="D5" s="11"/>
      <c r="M5" s="52"/>
      <c r="N5" s="53"/>
      <c r="O5" s="53"/>
      <c r="P5" s="53"/>
      <c r="Q5" s="53"/>
      <c r="R5" s="54"/>
    </row>
    <row r="6" spans="1:18" x14ac:dyDescent="0.25">
      <c r="A6" s="39" t="s">
        <v>84</v>
      </c>
      <c r="B6" s="39" t="s">
        <v>85</v>
      </c>
      <c r="C6" s="11"/>
      <c r="D6" s="11"/>
    </row>
    <row r="7" spans="1:18" x14ac:dyDescent="0.25">
      <c r="A7" s="39" t="s">
        <v>86</v>
      </c>
      <c r="B7" s="39" t="s">
        <v>87</v>
      </c>
      <c r="C7" s="11"/>
      <c r="D7" s="11"/>
    </row>
    <row r="8" spans="1:18" ht="92.4" x14ac:dyDescent="0.25">
      <c r="A8" s="39" t="s">
        <v>88</v>
      </c>
      <c r="B8" s="25" t="s">
        <v>89</v>
      </c>
      <c r="C8" s="11"/>
      <c r="D8" s="11"/>
    </row>
    <row r="9" spans="1:18" x14ac:dyDescent="0.25">
      <c r="A9" s="39" t="s">
        <v>90</v>
      </c>
      <c r="B9" s="39" t="s">
        <v>91</v>
      </c>
      <c r="C9" s="11"/>
      <c r="D9" s="11"/>
    </row>
    <row r="10" spans="1:18" x14ac:dyDescent="0.25">
      <c r="A10" s="39" t="s">
        <v>92</v>
      </c>
      <c r="B10" s="11"/>
      <c r="C10" s="11"/>
      <c r="D10" s="11"/>
    </row>
    <row r="11" spans="1:18" x14ac:dyDescent="0.25">
      <c r="A11" s="39" t="s">
        <v>93</v>
      </c>
      <c r="B11" s="39" t="s">
        <v>94</v>
      </c>
      <c r="C11" s="11"/>
      <c r="D11" s="11"/>
    </row>
    <row r="12" spans="1:18" x14ac:dyDescent="0.25">
      <c r="A12" s="39" t="s">
        <v>95</v>
      </c>
      <c r="B12" s="39" t="s">
        <v>96</v>
      </c>
      <c r="C12" s="11"/>
      <c r="D12" s="11"/>
    </row>
    <row r="13" spans="1:18" x14ac:dyDescent="0.25">
      <c r="A13" s="39" t="s">
        <v>97</v>
      </c>
      <c r="B13" s="39" t="s">
        <v>98</v>
      </c>
      <c r="C13" s="11"/>
      <c r="D13" s="11"/>
    </row>
    <row r="14" spans="1:18" x14ac:dyDescent="0.25">
      <c r="A14" s="39" t="s">
        <v>99</v>
      </c>
      <c r="B14" s="39" t="s">
        <v>100</v>
      </c>
      <c r="C14" s="11"/>
      <c r="D14" s="11"/>
    </row>
    <row r="15" spans="1:18" x14ac:dyDescent="0.25">
      <c r="A15" s="39" t="s">
        <v>101</v>
      </c>
      <c r="B15" s="39" t="s">
        <v>102</v>
      </c>
      <c r="C15" s="11"/>
      <c r="D15" s="11"/>
    </row>
    <row r="16" spans="1:18" x14ac:dyDescent="0.25">
      <c r="A16" s="39" t="s">
        <v>103</v>
      </c>
      <c r="B16" s="39" t="s">
        <v>104</v>
      </c>
      <c r="C16" s="11"/>
      <c r="D16" s="11"/>
    </row>
    <row r="17" spans="1:4" x14ac:dyDescent="0.25">
      <c r="A17" s="39" t="s">
        <v>105</v>
      </c>
      <c r="B17" s="39" t="s">
        <v>106</v>
      </c>
      <c r="C17" s="11"/>
      <c r="D17" s="11"/>
    </row>
    <row r="18" spans="1:4" x14ac:dyDescent="0.25">
      <c r="A18" s="39" t="s">
        <v>107</v>
      </c>
      <c r="B18" s="39" t="s">
        <v>108</v>
      </c>
      <c r="C18" s="11"/>
      <c r="D18" s="11"/>
    </row>
    <row r="19" spans="1:4" x14ac:dyDescent="0.25">
      <c r="A19" s="39" t="s">
        <v>109</v>
      </c>
      <c r="B19" s="39" t="s">
        <v>110</v>
      </c>
      <c r="C19" s="11"/>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65" t="s">
        <v>111</v>
      </c>
      <c r="B1" s="66" t="s">
        <v>112</v>
      </c>
    </row>
    <row r="2" spans="1:3" x14ac:dyDescent="0.25">
      <c r="A2" s="67" t="s">
        <v>113</v>
      </c>
      <c r="B2" s="68" t="str">
        <f>PPRD</f>
        <v>Feb, 2022</v>
      </c>
      <c r="C2" s="56"/>
    </row>
    <row r="3" spans="1:3" x14ac:dyDescent="0.25">
      <c r="A3" s="67" t="s">
        <v>114</v>
      </c>
      <c r="B3" s="69" t="str">
        <f>CRNIRN</f>
        <v>CHG215150</v>
      </c>
      <c r="C3" s="56"/>
    </row>
    <row r="4" spans="1:3" x14ac:dyDescent="0.25">
      <c r="A4" s="67" t="s">
        <v>115</v>
      </c>
      <c r="B4" s="69" t="str">
        <f>MA</f>
        <v>SK</v>
      </c>
      <c r="C4" s="56"/>
    </row>
    <row r="5" spans="1:3" x14ac:dyDescent="0.25">
      <c r="A5" s="67" t="s">
        <v>116</v>
      </c>
      <c r="B5" s="69" t="s">
        <v>117</v>
      </c>
    </row>
    <row r="6" spans="1:3" x14ac:dyDescent="0.25">
      <c r="A6" s="67" t="s">
        <v>118</v>
      </c>
      <c r="B6" s="71" t="s">
        <v>119</v>
      </c>
    </row>
    <row r="7" spans="1:3" x14ac:dyDescent="0.25">
      <c r="A7" s="67" t="s">
        <v>120</v>
      </c>
      <c r="B7" s="72">
        <f>DevDReviewed</f>
        <v>0</v>
      </c>
      <c r="C7" s="56"/>
    </row>
    <row r="8" spans="1:3" x14ac:dyDescent="0.25">
      <c r="A8" s="67" t="s">
        <v>121</v>
      </c>
      <c r="B8" s="71" t="str">
        <f>DevNameReviewed</f>
        <v>FrankMingoué</v>
      </c>
      <c r="C8" s="56"/>
    </row>
    <row r="9" spans="1:3" x14ac:dyDescent="0.25">
      <c r="A9" s="67" t="s">
        <v>122</v>
      </c>
      <c r="B9" s="70">
        <f>DateReviewed</f>
        <v>0</v>
      </c>
      <c r="C9" s="56"/>
    </row>
    <row r="10" spans="1:3" x14ac:dyDescent="0.25">
      <c r="A10" s="67" t="s">
        <v>123</v>
      </c>
      <c r="B10" s="71" t="str">
        <f>ReviewedBy</f>
        <v>VikramSeeburn</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sqref="A1:D1"/>
    </sheetView>
  </sheetViews>
  <sheetFormatPr defaultColWidth="9.109375" defaultRowHeight="13.2" x14ac:dyDescent="0.25"/>
  <cols>
    <col min="1" max="1" width="19.44140625" style="57" customWidth="1"/>
    <col min="2" max="2" width="19.109375" style="57" bestFit="1" customWidth="1"/>
    <col min="3" max="3" width="50.88671875" style="57" customWidth="1"/>
    <col min="4" max="4" width="27.44140625" style="57" customWidth="1"/>
    <col min="5" max="5" width="32.33203125" style="57" customWidth="1"/>
    <col min="6" max="16384" width="9.109375" style="57"/>
  </cols>
  <sheetData>
    <row r="1" spans="1:5" ht="13.8" thickBot="1" x14ac:dyDescent="0.3">
      <c r="A1" s="134" t="s">
        <v>124</v>
      </c>
      <c r="B1" s="135"/>
      <c r="C1" s="135"/>
      <c r="D1" s="137"/>
    </row>
    <row r="2" spans="1:5" x14ac:dyDescent="0.25">
      <c r="B2" s="12" t="s">
        <v>125</v>
      </c>
      <c r="C2" s="12" t="s">
        <v>126</v>
      </c>
      <c r="D2" s="12" t="s">
        <v>127</v>
      </c>
      <c r="E2" s="58"/>
    </row>
    <row r="3" spans="1:5" ht="39.6" x14ac:dyDescent="0.25">
      <c r="B3" s="59" t="s">
        <v>128</v>
      </c>
      <c r="C3" s="60" t="s">
        <v>129</v>
      </c>
      <c r="D3" s="61" t="str">
        <f>IF(ISBLANK('1.0 DB Schema'!B69)=FALSE,"Impacted","Not Impacted")</f>
        <v>Impacted</v>
      </c>
    </row>
    <row r="4" spans="1:5" ht="26.4" x14ac:dyDescent="0.25">
      <c r="B4" s="59" t="s">
        <v>130</v>
      </c>
      <c r="C4" s="60" t="s">
        <v>131</v>
      </c>
      <c r="D4" s="61" t="str">
        <f>IF(ISBLANK('2.0 Ifb &amp; PHP'!B85)=FALSE,"Impacted","Not Impacted")</f>
        <v>Impacted</v>
      </c>
    </row>
    <row r="5" spans="1:5" ht="39.6" x14ac:dyDescent="0.25">
      <c r="B5" s="59" t="s">
        <v>132</v>
      </c>
      <c r="C5" s="60" t="s">
        <v>133</v>
      </c>
      <c r="D5" s="61" t="str">
        <f>IF(ISBLANK('3.0 Mapping'!B12)=FALSE,"Impacted","Not Impacted")</f>
        <v>Impacted</v>
      </c>
    </row>
    <row r="6" spans="1:5" ht="26.4" x14ac:dyDescent="0.25">
      <c r="B6" s="59" t="s">
        <v>134</v>
      </c>
      <c r="C6" s="60" t="s">
        <v>135</v>
      </c>
      <c r="D6" s="61" t="str">
        <f>IF(ISBLANK('4.0 Worklet &amp; workflow'!B28)=FALSE,"Impacted","Not Impacted")</f>
        <v>Impacted</v>
      </c>
    </row>
    <row r="7" spans="1:5" ht="26.4" x14ac:dyDescent="0.25">
      <c r="B7" s="59" t="s">
        <v>136</v>
      </c>
      <c r="C7" s="60" t="s">
        <v>137</v>
      </c>
      <c r="D7" s="61" t="str">
        <f>IF(ISBLANK('5.0 Stored Procedure'!B14)=FALSE,"Impacted","Not Impacted")</f>
        <v>Impacted</v>
      </c>
    </row>
    <row r="8" spans="1:5" ht="26.4" x14ac:dyDescent="0.25">
      <c r="B8" s="59" t="s">
        <v>138</v>
      </c>
      <c r="C8" s="60" t="s">
        <v>139</v>
      </c>
      <c r="D8" s="61" t="str">
        <f>IF(ISBLANK('6.0 Data Update'!E5)=FALSE,"Impacted","Not Impacted")</f>
        <v>Not Impacted</v>
      </c>
    </row>
    <row r="10" spans="1:5" ht="13.8" thickBot="1" x14ac:dyDescent="0.3"/>
    <row r="11" spans="1:5" ht="13.8" thickBot="1" x14ac:dyDescent="0.3">
      <c r="B11" s="15" t="s">
        <v>140</v>
      </c>
    </row>
    <row r="12" spans="1:5" x14ac:dyDescent="0.25">
      <c r="B12" s="12" t="s">
        <v>141</v>
      </c>
      <c r="C12" s="12" t="s">
        <v>142</v>
      </c>
      <c r="D12" s="12" t="s">
        <v>143</v>
      </c>
    </row>
    <row r="13" spans="1:5" x14ac:dyDescent="0.25">
      <c r="B13" s="61" t="s">
        <v>144</v>
      </c>
      <c r="C13" s="61" t="s">
        <v>145</v>
      </c>
      <c r="D13" s="62" t="s">
        <v>146</v>
      </c>
    </row>
    <row r="14" spans="1:5" x14ac:dyDescent="0.25">
      <c r="B14" s="61" t="s">
        <v>147</v>
      </c>
      <c r="C14" s="62" t="s">
        <v>148</v>
      </c>
      <c r="D14" s="61" t="s">
        <v>149</v>
      </c>
    </row>
    <row r="15" spans="1:5" x14ac:dyDescent="0.25">
      <c r="B15" s="61" t="s">
        <v>150</v>
      </c>
      <c r="C15" s="61" t="s">
        <v>151</v>
      </c>
      <c r="D15" s="61" t="s">
        <v>152</v>
      </c>
    </row>
    <row r="16" spans="1:5" x14ac:dyDescent="0.25">
      <c r="B16" s="61" t="s">
        <v>153</v>
      </c>
      <c r="C16" s="61" t="s">
        <v>154</v>
      </c>
      <c r="D16" s="61" t="s">
        <v>155</v>
      </c>
    </row>
    <row r="17" spans="2:4" x14ac:dyDescent="0.25">
      <c r="B17" s="61" t="s">
        <v>156</v>
      </c>
      <c r="C17" s="62" t="s">
        <v>157</v>
      </c>
      <c r="D17" s="61" t="s">
        <v>158</v>
      </c>
    </row>
    <row r="18" spans="2:4" x14ac:dyDescent="0.25">
      <c r="B18" s="61" t="s">
        <v>159</v>
      </c>
      <c r="C18" s="61" t="s">
        <v>160</v>
      </c>
      <c r="D18" s="61" t="s">
        <v>161</v>
      </c>
    </row>
    <row r="19" spans="2:4" x14ac:dyDescent="0.25">
      <c r="B19" s="61" t="s">
        <v>162</v>
      </c>
      <c r="C19" s="61" t="s">
        <v>163</v>
      </c>
      <c r="D19" s="61" t="s">
        <v>164</v>
      </c>
    </row>
    <row r="20" spans="2:4" x14ac:dyDescent="0.25">
      <c r="B20" s="61" t="s">
        <v>165</v>
      </c>
      <c r="C20" s="62" t="s">
        <v>166</v>
      </c>
      <c r="D20" s="61" t="s">
        <v>167</v>
      </c>
    </row>
    <row r="21" spans="2:4" x14ac:dyDescent="0.25">
      <c r="B21" s="61" t="s">
        <v>168</v>
      </c>
      <c r="C21" s="62" t="s">
        <v>169</v>
      </c>
      <c r="D21" s="61" t="s">
        <v>170</v>
      </c>
    </row>
    <row r="22" spans="2:4" x14ac:dyDescent="0.25">
      <c r="B22" s="61" t="s">
        <v>171</v>
      </c>
      <c r="C22" s="62" t="s">
        <v>172</v>
      </c>
      <c r="D22" s="61" t="s">
        <v>173</v>
      </c>
    </row>
    <row r="23" spans="2:4" x14ac:dyDescent="0.25">
      <c r="B23" s="61" t="s">
        <v>174</v>
      </c>
      <c r="C23" s="61" t="s">
        <v>175</v>
      </c>
      <c r="D23" s="61" t="s">
        <v>176</v>
      </c>
    </row>
    <row r="24" spans="2:4" x14ac:dyDescent="0.25">
      <c r="B24" s="61" t="s">
        <v>177</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D69"/>
  <sheetViews>
    <sheetView workbookViewId="0">
      <selection sqref="A1:C1"/>
    </sheetView>
  </sheetViews>
  <sheetFormatPr defaultRowHeight="13.2" x14ac:dyDescent="0.25"/>
  <cols>
    <col min="1" max="1" width="37.88671875" customWidth="1"/>
    <col min="2" max="2" width="25" bestFit="1" customWidth="1"/>
    <col min="3" max="3" width="70" customWidth="1"/>
    <col min="4" max="4" width="25" bestFit="1" customWidth="1"/>
    <col min="5" max="5" width="25" customWidth="1"/>
    <col min="6" max="6" width="20.5546875" bestFit="1" customWidth="1"/>
    <col min="7" max="7" width="14" customWidth="1"/>
    <col min="11" max="11" width="18.88671875" bestFit="1" customWidth="1"/>
    <col min="12" max="12" width="26.5546875" bestFit="1" customWidth="1"/>
    <col min="26" max="26" width="20" customWidth="1"/>
  </cols>
  <sheetData>
    <row r="1" spans="1:25" x14ac:dyDescent="0.25">
      <c r="A1" s="134" t="s">
        <v>178</v>
      </c>
      <c r="B1" s="135"/>
      <c r="C1" s="136"/>
    </row>
    <row r="2" spans="1:25" ht="13.8" x14ac:dyDescent="0.25">
      <c r="F2" s="75" t="s">
        <v>179</v>
      </c>
      <c r="G2" s="34"/>
      <c r="H2" s="34"/>
      <c r="I2" s="34"/>
      <c r="J2" s="34"/>
      <c r="K2" s="34"/>
      <c r="L2" s="34"/>
      <c r="X2" s="56"/>
    </row>
    <row r="3" spans="1:25" x14ac:dyDescent="0.25">
      <c r="A3" s="15" t="s">
        <v>180</v>
      </c>
      <c r="B3" s="13"/>
      <c r="C3" s="13"/>
      <c r="F3" s="35" t="s">
        <v>181</v>
      </c>
      <c r="G3" s="34"/>
      <c r="H3" s="34"/>
      <c r="I3" s="34"/>
      <c r="J3" s="34"/>
      <c r="K3" s="34"/>
      <c r="L3" s="34"/>
      <c r="Y3" s="56"/>
    </row>
    <row r="4" spans="1:25" x14ac:dyDescent="0.25">
      <c r="A4" s="14" t="s">
        <v>182</v>
      </c>
      <c r="B4" s="12" t="s">
        <v>183</v>
      </c>
      <c r="C4" s="12" t="s">
        <v>80</v>
      </c>
      <c r="F4" s="35" t="s">
        <v>184</v>
      </c>
      <c r="G4" s="35"/>
      <c r="H4" s="35"/>
      <c r="I4" s="35"/>
      <c r="J4" s="35"/>
      <c r="K4" s="34"/>
      <c r="L4" s="34"/>
    </row>
    <row r="5" spans="1:25" ht="117.75" customHeight="1" x14ac:dyDescent="0.25">
      <c r="A5" s="39" t="s">
        <v>185</v>
      </c>
      <c r="B5" s="11" t="s">
        <v>186</v>
      </c>
      <c r="C5" s="92" t="s">
        <v>187</v>
      </c>
      <c r="D5">
        <v>5.0000000000000001E-3</v>
      </c>
      <c r="F5" s="35" t="s">
        <v>188</v>
      </c>
      <c r="G5" s="35"/>
      <c r="H5" s="35"/>
      <c r="I5" s="35"/>
      <c r="J5" s="35"/>
      <c r="K5" s="34"/>
      <c r="L5" s="34"/>
    </row>
    <row r="6" spans="1:25" x14ac:dyDescent="0.25">
      <c r="A6" s="11" t="s">
        <v>189</v>
      </c>
      <c r="B6" s="11" t="s">
        <v>186</v>
      </c>
      <c r="C6" s="11" t="s">
        <v>190</v>
      </c>
      <c r="D6">
        <v>0.05</v>
      </c>
      <c r="F6" s="74" t="s">
        <v>191</v>
      </c>
      <c r="G6" s="34"/>
      <c r="H6" s="34"/>
      <c r="I6" s="34"/>
      <c r="J6" s="34"/>
      <c r="K6" s="34"/>
      <c r="L6" s="34"/>
      <c r="Y6" s="56"/>
    </row>
    <row r="7" spans="1:25" x14ac:dyDescent="0.25">
      <c r="A7" s="11" t="s">
        <v>192</v>
      </c>
      <c r="B7" s="11" t="s">
        <v>186</v>
      </c>
      <c r="C7" s="11" t="s">
        <v>190</v>
      </c>
      <c r="D7">
        <v>0.05</v>
      </c>
      <c r="F7" s="74"/>
      <c r="G7" s="34"/>
      <c r="H7" s="34"/>
      <c r="I7" s="34"/>
      <c r="J7" s="34"/>
      <c r="K7" s="34"/>
      <c r="L7" s="34"/>
      <c r="Y7" s="56"/>
    </row>
    <row r="8" spans="1:25" x14ac:dyDescent="0.25">
      <c r="A8" s="11" t="s">
        <v>193</v>
      </c>
      <c r="B8" s="11" t="s">
        <v>186</v>
      </c>
      <c r="C8" s="11" t="s">
        <v>190</v>
      </c>
      <c r="D8">
        <v>0.05</v>
      </c>
      <c r="F8" s="74"/>
      <c r="G8" s="34"/>
      <c r="H8" s="34"/>
      <c r="I8" s="34"/>
      <c r="J8" s="34"/>
      <c r="K8" s="34"/>
      <c r="L8" s="34"/>
      <c r="Y8" s="56"/>
    </row>
    <row r="9" spans="1:25" x14ac:dyDescent="0.25">
      <c r="A9" s="11" t="s">
        <v>194</v>
      </c>
      <c r="B9" s="11" t="s">
        <v>186</v>
      </c>
      <c r="C9" s="11" t="s">
        <v>190</v>
      </c>
      <c r="D9">
        <v>0.05</v>
      </c>
      <c r="F9" s="74"/>
      <c r="G9" s="34"/>
      <c r="H9" s="34"/>
      <c r="I9" s="34"/>
      <c r="J9" s="34"/>
      <c r="K9" s="34"/>
      <c r="L9" s="34"/>
      <c r="Y9" s="56"/>
    </row>
    <row r="10" spans="1:25" x14ac:dyDescent="0.25">
      <c r="A10" s="11" t="s">
        <v>195</v>
      </c>
      <c r="B10" s="11" t="s">
        <v>186</v>
      </c>
      <c r="C10" s="11" t="s">
        <v>190</v>
      </c>
      <c r="D10">
        <v>0.05</v>
      </c>
      <c r="F10" s="74"/>
      <c r="G10" s="34"/>
      <c r="H10" s="34"/>
      <c r="I10" s="34"/>
      <c r="J10" s="34"/>
      <c r="K10" s="34"/>
      <c r="L10" s="34"/>
      <c r="Y10" s="56"/>
    </row>
    <row r="11" spans="1:25" x14ac:dyDescent="0.25">
      <c r="A11" s="11" t="s">
        <v>196</v>
      </c>
      <c r="B11" s="11" t="s">
        <v>186</v>
      </c>
      <c r="C11" s="11" t="s">
        <v>190</v>
      </c>
      <c r="D11">
        <v>0.05</v>
      </c>
      <c r="F11" s="74"/>
      <c r="G11" s="34"/>
      <c r="H11" s="34"/>
      <c r="I11" s="34"/>
      <c r="J11" s="34"/>
      <c r="K11" s="34"/>
      <c r="L11" s="34"/>
      <c r="Y11" s="56"/>
    </row>
    <row r="12" spans="1:25" x14ac:dyDescent="0.25">
      <c r="A12" s="11" t="s">
        <v>197</v>
      </c>
      <c r="B12" s="11" t="s">
        <v>186</v>
      </c>
      <c r="C12" s="11" t="s">
        <v>190</v>
      </c>
      <c r="D12">
        <v>0.05</v>
      </c>
      <c r="F12" s="74"/>
      <c r="G12" s="34"/>
      <c r="H12" s="34"/>
      <c r="I12" s="34"/>
      <c r="J12" s="34"/>
      <c r="K12" s="34"/>
      <c r="L12" s="34"/>
      <c r="Y12" s="56"/>
    </row>
    <row r="13" spans="1:25" x14ac:dyDescent="0.25">
      <c r="A13" s="11" t="s">
        <v>198</v>
      </c>
      <c r="B13" s="11" t="s">
        <v>186</v>
      </c>
      <c r="C13" s="11" t="s">
        <v>190</v>
      </c>
      <c r="D13">
        <v>0.05</v>
      </c>
      <c r="F13" s="74"/>
      <c r="G13" s="34"/>
      <c r="H13" s="34"/>
      <c r="I13" s="34"/>
      <c r="J13" s="34"/>
      <c r="K13" s="34"/>
      <c r="L13" s="34"/>
      <c r="Y13" s="56"/>
    </row>
    <row r="14" spans="1:25" x14ac:dyDescent="0.25">
      <c r="A14" s="11" t="s">
        <v>199</v>
      </c>
      <c r="B14" s="11" t="s">
        <v>186</v>
      </c>
      <c r="C14" s="11" t="s">
        <v>190</v>
      </c>
      <c r="D14">
        <v>0.05</v>
      </c>
      <c r="F14" s="74"/>
      <c r="G14" s="34"/>
      <c r="H14" s="34"/>
      <c r="I14" s="34"/>
      <c r="J14" s="34"/>
      <c r="K14" s="34"/>
      <c r="L14" s="34"/>
      <c r="Y14" s="56"/>
    </row>
    <row r="15" spans="1:25" x14ac:dyDescent="0.25">
      <c r="A15" s="11" t="s">
        <v>200</v>
      </c>
      <c r="B15" s="11" t="s">
        <v>186</v>
      </c>
      <c r="C15" s="11" t="s">
        <v>190</v>
      </c>
      <c r="D15">
        <v>0.05</v>
      </c>
      <c r="F15" s="74"/>
      <c r="G15" s="34"/>
      <c r="H15" s="34"/>
      <c r="I15" s="34"/>
      <c r="J15" s="34"/>
      <c r="K15" s="34"/>
      <c r="L15" s="34"/>
      <c r="Y15" s="56"/>
    </row>
    <row r="16" spans="1:25" x14ac:dyDescent="0.25">
      <c r="A16" s="11" t="s">
        <v>201</v>
      </c>
      <c r="B16" s="11" t="s">
        <v>186</v>
      </c>
      <c r="C16" s="11" t="s">
        <v>190</v>
      </c>
      <c r="D16">
        <v>0.05</v>
      </c>
      <c r="F16" s="74"/>
      <c r="G16" s="34"/>
      <c r="H16" s="34"/>
      <c r="I16" s="34"/>
      <c r="J16" s="34"/>
      <c r="K16" s="34"/>
      <c r="L16" s="34"/>
      <c r="Y16" s="56"/>
    </row>
    <row r="17" spans="1:25" x14ac:dyDescent="0.25">
      <c r="A17" s="11" t="s">
        <v>202</v>
      </c>
      <c r="B17" s="11" t="s">
        <v>186</v>
      </c>
      <c r="C17" s="11" t="s">
        <v>190</v>
      </c>
      <c r="D17">
        <v>0.05</v>
      </c>
      <c r="F17" s="74"/>
      <c r="G17" s="34"/>
      <c r="H17" s="34"/>
      <c r="I17" s="34"/>
      <c r="J17" s="34"/>
      <c r="K17" s="34"/>
      <c r="L17" s="34"/>
      <c r="Y17" s="56"/>
    </row>
    <row r="18" spans="1:25" x14ac:dyDescent="0.25">
      <c r="A18" s="11" t="s">
        <v>203</v>
      </c>
      <c r="B18" s="11" t="s">
        <v>186</v>
      </c>
      <c r="C18" s="11" t="s">
        <v>190</v>
      </c>
      <c r="D18">
        <v>0.05</v>
      </c>
      <c r="F18" s="74"/>
      <c r="G18" s="34"/>
      <c r="H18" s="34"/>
      <c r="I18" s="34"/>
      <c r="J18" s="34"/>
      <c r="K18" s="34"/>
      <c r="L18" s="34"/>
      <c r="Y18" s="56"/>
    </row>
    <row r="19" spans="1:25" x14ac:dyDescent="0.25">
      <c r="A19" s="11" t="s">
        <v>204</v>
      </c>
      <c r="B19" s="11" t="s">
        <v>186</v>
      </c>
      <c r="C19" s="11" t="s">
        <v>190</v>
      </c>
      <c r="D19">
        <v>0.05</v>
      </c>
      <c r="F19" s="74"/>
      <c r="G19" s="34"/>
      <c r="H19" s="34"/>
      <c r="I19" s="34"/>
      <c r="J19" s="34"/>
      <c r="K19" s="34"/>
      <c r="L19" s="34"/>
      <c r="Y19" s="56"/>
    </row>
    <row r="20" spans="1:25" x14ac:dyDescent="0.25">
      <c r="A20" s="11" t="s">
        <v>205</v>
      </c>
      <c r="B20" s="11" t="s">
        <v>186</v>
      </c>
      <c r="C20" s="11" t="s">
        <v>190</v>
      </c>
      <c r="D20">
        <v>0.05</v>
      </c>
      <c r="F20" s="74"/>
      <c r="G20" s="34"/>
      <c r="H20" s="34"/>
      <c r="I20" s="34"/>
      <c r="J20" s="34"/>
      <c r="K20" s="34"/>
      <c r="L20" s="34"/>
      <c r="Y20" s="56"/>
    </row>
    <row r="21" spans="1:25" x14ac:dyDescent="0.25">
      <c r="A21" s="11" t="s">
        <v>206</v>
      </c>
      <c r="B21" s="11" t="s">
        <v>186</v>
      </c>
      <c r="C21" s="11" t="s">
        <v>190</v>
      </c>
      <c r="F21" s="74"/>
      <c r="G21" s="34"/>
      <c r="H21" s="34"/>
      <c r="I21" s="34"/>
      <c r="J21" s="34"/>
      <c r="K21" s="34"/>
      <c r="L21" s="34"/>
      <c r="Y21" s="56"/>
    </row>
    <row r="22" spans="1:25" x14ac:dyDescent="0.25">
      <c r="A22" s="11"/>
      <c r="B22" s="11"/>
      <c r="C22" s="11"/>
      <c r="D22">
        <v>0.05</v>
      </c>
      <c r="F22" s="74"/>
      <c r="G22" s="34"/>
      <c r="H22" s="34"/>
      <c r="I22" s="34"/>
      <c r="J22" s="34"/>
      <c r="K22" s="34"/>
      <c r="L22" s="34"/>
      <c r="Y22" s="56"/>
    </row>
    <row r="23" spans="1:25" x14ac:dyDescent="0.25">
      <c r="A23" s="11" t="s">
        <v>207</v>
      </c>
      <c r="B23" s="11" t="s">
        <v>186</v>
      </c>
      <c r="C23" s="11" t="s">
        <v>208</v>
      </c>
      <c r="D23">
        <v>0.05</v>
      </c>
      <c r="F23" s="74"/>
      <c r="G23" s="34"/>
      <c r="H23" s="34"/>
      <c r="I23" s="34"/>
      <c r="J23" s="34"/>
      <c r="K23" s="34"/>
      <c r="L23" s="34"/>
      <c r="Y23" s="56"/>
    </row>
    <row r="24" spans="1:25" x14ac:dyDescent="0.25">
      <c r="A24" s="11" t="s">
        <v>209</v>
      </c>
      <c r="B24" s="11" t="s">
        <v>186</v>
      </c>
      <c r="C24" s="11" t="s">
        <v>208</v>
      </c>
      <c r="D24">
        <v>0.05</v>
      </c>
      <c r="F24" s="74"/>
      <c r="G24" s="34"/>
      <c r="H24" s="34"/>
      <c r="I24" s="34"/>
      <c r="J24" s="34"/>
      <c r="K24" s="34"/>
      <c r="L24" s="34"/>
      <c r="Y24" s="56"/>
    </row>
    <row r="25" spans="1:25" x14ac:dyDescent="0.25">
      <c r="A25" s="11" t="s">
        <v>210</v>
      </c>
      <c r="B25" s="11" t="s">
        <v>186</v>
      </c>
      <c r="C25" s="11" t="s">
        <v>208</v>
      </c>
      <c r="D25">
        <v>0.05</v>
      </c>
      <c r="F25" s="74"/>
      <c r="G25" s="34"/>
      <c r="H25" s="34"/>
      <c r="I25" s="34"/>
      <c r="J25" s="34"/>
      <c r="K25" s="34"/>
      <c r="L25" s="34"/>
      <c r="Y25" s="56"/>
    </row>
    <row r="26" spans="1:25" x14ac:dyDescent="0.25">
      <c r="A26" s="11" t="s">
        <v>211</v>
      </c>
      <c r="B26" s="11" t="s">
        <v>186</v>
      </c>
      <c r="C26" s="11" t="s">
        <v>208</v>
      </c>
      <c r="D26">
        <v>0.05</v>
      </c>
      <c r="F26" s="74"/>
      <c r="G26" s="34"/>
      <c r="H26" s="34"/>
      <c r="I26" s="34"/>
      <c r="J26" s="34"/>
      <c r="K26" s="34"/>
      <c r="L26" s="34"/>
      <c r="Y26" s="56"/>
    </row>
    <row r="27" spans="1:25" x14ac:dyDescent="0.25">
      <c r="A27" s="11" t="s">
        <v>212</v>
      </c>
      <c r="B27" s="11" t="s">
        <v>186</v>
      </c>
      <c r="C27" s="11" t="s">
        <v>208</v>
      </c>
      <c r="D27">
        <v>0.05</v>
      </c>
      <c r="F27" s="74"/>
      <c r="G27" s="34"/>
      <c r="H27" s="34"/>
      <c r="I27" s="34"/>
      <c r="J27" s="34"/>
      <c r="K27" s="34"/>
      <c r="L27" s="34"/>
      <c r="Y27" s="56"/>
    </row>
    <row r="28" spans="1:25" x14ac:dyDescent="0.25">
      <c r="A28" s="11" t="s">
        <v>213</v>
      </c>
      <c r="B28" s="11" t="s">
        <v>186</v>
      </c>
      <c r="C28" s="11" t="s">
        <v>208</v>
      </c>
      <c r="D28">
        <v>0.05</v>
      </c>
      <c r="F28" s="74"/>
      <c r="G28" s="34"/>
      <c r="H28" s="34"/>
      <c r="I28" s="34"/>
      <c r="J28" s="34"/>
      <c r="K28" s="34"/>
      <c r="L28" s="34"/>
      <c r="Y28" s="56"/>
    </row>
    <row r="29" spans="1:25" x14ac:dyDescent="0.25">
      <c r="A29" s="11" t="s">
        <v>214</v>
      </c>
      <c r="B29" s="11" t="s">
        <v>186</v>
      </c>
      <c r="C29" s="11" t="s">
        <v>208</v>
      </c>
      <c r="D29">
        <v>0.05</v>
      </c>
      <c r="F29" s="74"/>
      <c r="G29" s="34"/>
      <c r="H29" s="34"/>
      <c r="I29" s="34"/>
      <c r="J29" s="34"/>
      <c r="K29" s="34"/>
      <c r="L29" s="34"/>
      <c r="Y29" s="56"/>
    </row>
    <row r="30" spans="1:25" x14ac:dyDescent="0.25">
      <c r="A30" s="11" t="s">
        <v>215</v>
      </c>
      <c r="B30" s="11" t="s">
        <v>186</v>
      </c>
      <c r="C30" s="11" t="s">
        <v>208</v>
      </c>
      <c r="D30">
        <v>0.05</v>
      </c>
      <c r="F30" s="74"/>
      <c r="G30" s="34"/>
      <c r="H30" s="34"/>
      <c r="I30" s="34"/>
      <c r="J30" s="34"/>
      <c r="K30" s="34"/>
      <c r="L30" s="34"/>
      <c r="Y30" s="56"/>
    </row>
    <row r="31" spans="1:25" x14ac:dyDescent="0.25">
      <c r="A31" s="11" t="s">
        <v>216</v>
      </c>
      <c r="B31" s="11" t="s">
        <v>186</v>
      </c>
      <c r="C31" s="11" t="s">
        <v>208</v>
      </c>
      <c r="D31">
        <v>0.05</v>
      </c>
      <c r="F31" s="74"/>
      <c r="G31" s="34"/>
      <c r="H31" s="34"/>
      <c r="I31" s="34"/>
      <c r="J31" s="34"/>
      <c r="K31" s="34"/>
      <c r="L31" s="34"/>
      <c r="Y31" s="56"/>
    </row>
    <row r="32" spans="1:25" x14ac:dyDescent="0.25">
      <c r="A32" s="11" t="s">
        <v>217</v>
      </c>
      <c r="B32" s="11" t="s">
        <v>186</v>
      </c>
      <c r="C32" s="11" t="s">
        <v>208</v>
      </c>
      <c r="D32">
        <v>0.05</v>
      </c>
      <c r="F32" s="74"/>
      <c r="G32" s="34"/>
      <c r="H32" s="34"/>
      <c r="I32" s="34"/>
      <c r="J32" s="34"/>
      <c r="K32" s="34"/>
      <c r="L32" s="34"/>
      <c r="Y32" s="56"/>
    </row>
    <row r="33" spans="1:25" x14ac:dyDescent="0.25">
      <c r="A33" s="11" t="s">
        <v>218</v>
      </c>
      <c r="B33" s="11" t="s">
        <v>186</v>
      </c>
      <c r="C33" s="11" t="s">
        <v>208</v>
      </c>
      <c r="D33">
        <v>0.05</v>
      </c>
      <c r="F33" s="74"/>
      <c r="G33" s="34"/>
      <c r="H33" s="34"/>
      <c r="I33" s="34"/>
      <c r="J33" s="34"/>
      <c r="K33" s="34"/>
      <c r="L33" s="34"/>
      <c r="Y33" s="56"/>
    </row>
    <row r="34" spans="1:25" x14ac:dyDescent="0.25">
      <c r="A34" s="11" t="s">
        <v>219</v>
      </c>
      <c r="B34" s="11" t="s">
        <v>186</v>
      </c>
      <c r="C34" s="11" t="s">
        <v>208</v>
      </c>
      <c r="D34">
        <v>0.05</v>
      </c>
      <c r="F34" s="74"/>
      <c r="G34" s="34"/>
      <c r="H34" s="34"/>
      <c r="I34" s="34"/>
      <c r="J34" s="34"/>
      <c r="K34" s="34"/>
      <c r="L34" s="34"/>
      <c r="Y34" s="56"/>
    </row>
    <row r="35" spans="1:25" x14ac:dyDescent="0.25">
      <c r="A35" s="11" t="s">
        <v>220</v>
      </c>
      <c r="B35" s="11" t="s">
        <v>186</v>
      </c>
      <c r="C35" s="11" t="s">
        <v>208</v>
      </c>
      <c r="D35">
        <v>0.05</v>
      </c>
      <c r="F35" s="74"/>
      <c r="G35" s="34"/>
      <c r="H35" s="34"/>
      <c r="I35" s="34"/>
      <c r="J35" s="34"/>
      <c r="K35" s="34"/>
      <c r="L35" s="34"/>
      <c r="Y35" s="56"/>
    </row>
    <row r="36" spans="1:25" x14ac:dyDescent="0.25">
      <c r="A36" s="11" t="s">
        <v>221</v>
      </c>
      <c r="B36" s="11" t="s">
        <v>186</v>
      </c>
      <c r="C36" s="11" t="s">
        <v>208</v>
      </c>
      <c r="D36">
        <v>0.05</v>
      </c>
      <c r="F36" s="74"/>
      <c r="G36" s="34"/>
      <c r="H36" s="34"/>
      <c r="I36" s="34"/>
      <c r="J36" s="34"/>
      <c r="K36" s="34"/>
      <c r="L36" s="34"/>
      <c r="Y36" s="56"/>
    </row>
    <row r="37" spans="1:25" x14ac:dyDescent="0.25">
      <c r="A37" s="11" t="s">
        <v>222</v>
      </c>
      <c r="B37" s="11" t="s">
        <v>186</v>
      </c>
      <c r="C37" s="11" t="s">
        <v>208</v>
      </c>
      <c r="D37">
        <v>0.05</v>
      </c>
      <c r="F37" s="74"/>
      <c r="G37" s="34"/>
      <c r="H37" s="34"/>
      <c r="I37" s="34"/>
      <c r="J37" s="34"/>
      <c r="K37" s="34"/>
      <c r="L37" s="34"/>
      <c r="Y37" s="56"/>
    </row>
    <row r="38" spans="1:25" x14ac:dyDescent="0.25">
      <c r="A38" s="11" t="s">
        <v>223</v>
      </c>
      <c r="B38" s="11" t="s">
        <v>186</v>
      </c>
      <c r="C38" s="11" t="s">
        <v>208</v>
      </c>
      <c r="D38">
        <v>0.05</v>
      </c>
      <c r="F38" s="74"/>
      <c r="G38" s="34"/>
      <c r="H38" s="34"/>
      <c r="I38" s="34"/>
      <c r="J38" s="34"/>
      <c r="K38" s="34"/>
      <c r="L38" s="34"/>
      <c r="Y38" s="56"/>
    </row>
    <row r="39" spans="1:25" x14ac:dyDescent="0.25">
      <c r="A39" s="11" t="s">
        <v>224</v>
      </c>
      <c r="B39" s="11" t="s">
        <v>186</v>
      </c>
      <c r="C39" s="11" t="s">
        <v>208</v>
      </c>
      <c r="D39">
        <v>0.05</v>
      </c>
      <c r="F39" s="74"/>
      <c r="G39" s="34"/>
      <c r="H39" s="34"/>
      <c r="I39" s="34"/>
      <c r="J39" s="34"/>
      <c r="K39" s="34"/>
      <c r="L39" s="34"/>
      <c r="Y39" s="56"/>
    </row>
    <row r="40" spans="1:25" x14ac:dyDescent="0.25">
      <c r="A40" s="11" t="s">
        <v>225</v>
      </c>
      <c r="B40" s="11" t="s">
        <v>186</v>
      </c>
      <c r="C40" s="11" t="s">
        <v>208</v>
      </c>
      <c r="D40">
        <v>0.05</v>
      </c>
      <c r="F40" s="74"/>
      <c r="G40" s="34"/>
      <c r="H40" s="34"/>
      <c r="I40" s="34"/>
      <c r="J40" s="34"/>
      <c r="K40" s="34"/>
      <c r="L40" s="34"/>
      <c r="Y40" s="56"/>
    </row>
    <row r="41" spans="1:25" x14ac:dyDescent="0.25">
      <c r="A41" s="11" t="s">
        <v>226</v>
      </c>
      <c r="B41" s="11" t="s">
        <v>186</v>
      </c>
      <c r="C41" s="11" t="s">
        <v>208</v>
      </c>
      <c r="D41">
        <v>0.05</v>
      </c>
      <c r="F41" s="74"/>
      <c r="G41" s="34"/>
      <c r="H41" s="34"/>
      <c r="I41" s="34"/>
      <c r="J41" s="34"/>
      <c r="K41" s="34"/>
      <c r="L41" s="34"/>
      <c r="Y41" s="56"/>
    </row>
    <row r="42" spans="1:25" x14ac:dyDescent="0.25">
      <c r="A42" s="11" t="s">
        <v>227</v>
      </c>
      <c r="B42" s="11" t="s">
        <v>186</v>
      </c>
      <c r="C42" s="11" t="s">
        <v>208</v>
      </c>
      <c r="D42">
        <v>0.05</v>
      </c>
      <c r="F42" s="74"/>
      <c r="G42" s="34"/>
      <c r="H42" s="34"/>
      <c r="I42" s="34"/>
      <c r="J42" s="34"/>
      <c r="K42" s="34"/>
      <c r="L42" s="34"/>
      <c r="Y42" s="56"/>
    </row>
    <row r="43" spans="1:25" x14ac:dyDescent="0.25">
      <c r="A43" s="11" t="s">
        <v>228</v>
      </c>
      <c r="B43" s="11" t="s">
        <v>186</v>
      </c>
      <c r="C43" s="11" t="s">
        <v>208</v>
      </c>
      <c r="D43">
        <v>0.05</v>
      </c>
      <c r="F43" s="74"/>
      <c r="G43" s="34"/>
      <c r="H43" s="34"/>
      <c r="I43" s="34"/>
      <c r="J43" s="34"/>
      <c r="K43" s="34"/>
      <c r="L43" s="34"/>
      <c r="Y43" s="56"/>
    </row>
    <row r="44" spans="1:25" x14ac:dyDescent="0.25">
      <c r="A44" s="11" t="s">
        <v>229</v>
      </c>
      <c r="B44" s="11" t="s">
        <v>186</v>
      </c>
      <c r="C44" s="11" t="s">
        <v>208</v>
      </c>
      <c r="D44">
        <v>0.05</v>
      </c>
      <c r="F44" s="74"/>
      <c r="G44" s="34"/>
      <c r="H44" s="34"/>
      <c r="I44" s="34"/>
      <c r="J44" s="34"/>
      <c r="K44" s="34"/>
      <c r="L44" s="34"/>
      <c r="Y44" s="56"/>
    </row>
    <row r="45" spans="1:25" x14ac:dyDescent="0.25">
      <c r="A45" s="11" t="s">
        <v>230</v>
      </c>
      <c r="B45" s="11" t="s">
        <v>186</v>
      </c>
      <c r="C45" s="11" t="s">
        <v>208</v>
      </c>
      <c r="D45">
        <v>0.05</v>
      </c>
      <c r="F45" s="74"/>
      <c r="G45" s="34"/>
      <c r="H45" s="34"/>
      <c r="I45" s="34"/>
      <c r="J45" s="34"/>
      <c r="K45" s="34"/>
      <c r="L45" s="34"/>
      <c r="Y45" s="56"/>
    </row>
    <row r="46" spans="1:25" x14ac:dyDescent="0.25">
      <c r="A46" s="11" t="s">
        <v>231</v>
      </c>
      <c r="B46" s="11" t="s">
        <v>186</v>
      </c>
      <c r="C46" s="11" t="s">
        <v>208</v>
      </c>
      <c r="D46">
        <v>0.05</v>
      </c>
      <c r="F46" s="74"/>
      <c r="G46" s="34"/>
      <c r="H46" s="34"/>
      <c r="I46" s="34"/>
      <c r="J46" s="34"/>
      <c r="K46" s="34"/>
      <c r="L46" s="34"/>
      <c r="Y46" s="56"/>
    </row>
    <row r="47" spans="1:25" x14ac:dyDescent="0.25">
      <c r="A47" s="11"/>
      <c r="B47" s="11"/>
      <c r="C47" s="11"/>
    </row>
    <row r="49" spans="1:28" x14ac:dyDescent="0.25">
      <c r="Y49" s="56"/>
    </row>
    <row r="50" spans="1:28" x14ac:dyDescent="0.25">
      <c r="A50" s="15" t="s">
        <v>232</v>
      </c>
      <c r="Y50" s="56"/>
    </row>
    <row r="51" spans="1:28" x14ac:dyDescent="0.25">
      <c r="A51" s="14" t="s">
        <v>182</v>
      </c>
      <c r="B51" s="12" t="s">
        <v>233</v>
      </c>
      <c r="C51" s="12" t="s">
        <v>234</v>
      </c>
      <c r="D51" s="12" t="s">
        <v>183</v>
      </c>
      <c r="E51" s="12"/>
      <c r="F51" s="12" t="s">
        <v>235</v>
      </c>
      <c r="G51" s="12" t="s">
        <v>80</v>
      </c>
      <c r="Y51" s="56"/>
    </row>
    <row r="52" spans="1:28" x14ac:dyDescent="0.25">
      <c r="A52" s="39" t="s">
        <v>177</v>
      </c>
      <c r="B52" s="39"/>
      <c r="C52" s="39"/>
      <c r="D52" s="39"/>
      <c r="E52" s="39"/>
      <c r="F52" s="39"/>
      <c r="G52" s="39"/>
    </row>
    <row r="53" spans="1:28" x14ac:dyDescent="0.25">
      <c r="A53" s="39"/>
      <c r="B53" s="39"/>
      <c r="C53" s="39"/>
      <c r="D53" s="39"/>
      <c r="E53" s="39"/>
      <c r="F53" s="39"/>
      <c r="G53" s="39"/>
    </row>
    <row r="54" spans="1:28" x14ac:dyDescent="0.25">
      <c r="A54" s="39"/>
      <c r="B54" s="39"/>
      <c r="C54" s="39"/>
      <c r="D54" s="39"/>
      <c r="E54" s="39"/>
      <c r="F54" s="39"/>
      <c r="G54" s="39"/>
    </row>
    <row r="55" spans="1:28" x14ac:dyDescent="0.25">
      <c r="A55" s="39"/>
      <c r="B55" s="39"/>
      <c r="C55" s="39"/>
      <c r="D55" s="39"/>
      <c r="E55" s="39"/>
      <c r="F55" s="39"/>
      <c r="G55" s="39"/>
    </row>
    <row r="56" spans="1:28" x14ac:dyDescent="0.25">
      <c r="A56" s="11"/>
      <c r="B56" s="11"/>
      <c r="C56" s="11"/>
      <c r="D56" s="11"/>
      <c r="E56" s="11"/>
      <c r="F56" s="11"/>
      <c r="G56" s="11"/>
    </row>
    <row r="58" spans="1:28" x14ac:dyDescent="0.25">
      <c r="A58" s="15" t="s">
        <v>236</v>
      </c>
    </row>
    <row r="59" spans="1:28" x14ac:dyDescent="0.25">
      <c r="A59" s="14" t="s">
        <v>237</v>
      </c>
      <c r="B59" s="12" t="s">
        <v>238</v>
      </c>
      <c r="C59" s="12" t="s">
        <v>239</v>
      </c>
      <c r="D59" s="12" t="s">
        <v>240</v>
      </c>
      <c r="E59" s="93"/>
    </row>
    <row r="60" spans="1:28" x14ac:dyDescent="0.25">
      <c r="A60" s="39" t="s">
        <v>177</v>
      </c>
      <c r="B60" s="39"/>
      <c r="C60" s="39"/>
      <c r="D60" s="11"/>
      <c r="E60" s="91"/>
      <c r="AB60" s="56"/>
    </row>
    <row r="61" spans="1:28" x14ac:dyDescent="0.25">
      <c r="A61" s="39"/>
      <c r="B61" s="39"/>
      <c r="C61" s="39"/>
      <c r="D61" s="11"/>
      <c r="E61" s="91"/>
      <c r="AB61" s="56"/>
    </row>
    <row r="62" spans="1:28" x14ac:dyDescent="0.25">
      <c r="A62" s="39"/>
      <c r="B62" s="39"/>
      <c r="C62" s="39"/>
      <c r="D62" s="11"/>
      <c r="E62" s="91"/>
    </row>
    <row r="63" spans="1:28" x14ac:dyDescent="0.25">
      <c r="A63" s="56"/>
      <c r="B63" s="56"/>
      <c r="C63" s="56"/>
    </row>
    <row r="64" spans="1:28" x14ac:dyDescent="0.25">
      <c r="A64" s="15" t="s">
        <v>241</v>
      </c>
      <c r="B64" s="56"/>
      <c r="C64" s="56"/>
    </row>
    <row r="65" spans="1:30" x14ac:dyDescent="0.25">
      <c r="A65" s="14" t="s">
        <v>141</v>
      </c>
      <c r="B65" s="12" t="s">
        <v>242</v>
      </c>
    </row>
    <row r="66" spans="1:30" x14ac:dyDescent="0.25">
      <c r="A66" s="39" t="s">
        <v>177</v>
      </c>
      <c r="B66" s="39"/>
      <c r="AD66" s="56"/>
    </row>
    <row r="67" spans="1:30" x14ac:dyDescent="0.25">
      <c r="A67" s="39"/>
      <c r="B67" s="39"/>
    </row>
    <row r="68" spans="1:30" x14ac:dyDescent="0.25">
      <c r="A68" s="19" t="s">
        <v>40</v>
      </c>
      <c r="B68" s="19" t="s">
        <v>243</v>
      </c>
    </row>
    <row r="69" spans="1:30" x14ac:dyDescent="0.25">
      <c r="A69" s="18"/>
      <c r="B69" s="18">
        <f>SUM(D:D)</f>
        <v>2.0050000000000012</v>
      </c>
    </row>
  </sheetData>
  <mergeCells count="1">
    <mergeCell ref="A1:C1"/>
  </mergeCells>
  <phoneticPr fontId="2" type="noConversion"/>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Package" dvAspect="DVASPECT_ICON" shapeId="15361" r:id="rId4">
          <objectPr defaultSize="0" autoPict="0" r:id="rId5">
            <anchor moveWithCells="1" sizeWithCells="1">
              <from>
                <xdr:col>3</xdr:col>
                <xdr:colOff>0</xdr:colOff>
                <xdr:row>5</xdr:row>
                <xdr:rowOff>0</xdr:rowOff>
              </from>
              <to>
                <xdr:col>3</xdr:col>
                <xdr:colOff>982980</xdr:colOff>
                <xdr:row>8</xdr:row>
                <xdr:rowOff>137160</xdr:rowOff>
              </to>
            </anchor>
          </objectPr>
        </oleObject>
      </mc:Choice>
      <mc:Fallback>
        <oleObject progId="Package" dvAspect="DVASPECT_ICON" shapeId="15361" r:id="rId4"/>
      </mc:Fallback>
    </mc:AlternateContent>
  </oleObjec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D85"/>
  <sheetViews>
    <sheetView workbookViewId="0">
      <selection sqref="A1:C1"/>
    </sheetView>
  </sheetViews>
  <sheetFormatPr defaultRowHeight="13.2" x14ac:dyDescent="0.25"/>
  <cols>
    <col min="1" max="1" width="64.33203125" bestFit="1" customWidth="1"/>
    <col min="2" max="2" width="149.44140625" style="21" customWidth="1"/>
    <col min="3" max="3" width="32.88671875" customWidth="1"/>
  </cols>
  <sheetData>
    <row r="1" spans="1:4" ht="13.8" thickBot="1" x14ac:dyDescent="0.3">
      <c r="A1" s="134" t="s">
        <v>244</v>
      </c>
      <c r="B1" s="135"/>
      <c r="C1" s="136"/>
    </row>
    <row r="2" spans="1:4" ht="13.8" thickBot="1" x14ac:dyDescent="0.3"/>
    <row r="3" spans="1:4" ht="13.8" thickBot="1" x14ac:dyDescent="0.3">
      <c r="A3" s="16" t="s">
        <v>245</v>
      </c>
      <c r="B3" s="27"/>
    </row>
    <row r="4" spans="1:4" x14ac:dyDescent="0.25">
      <c r="A4" s="14" t="s">
        <v>246</v>
      </c>
      <c r="B4" s="26" t="s">
        <v>80</v>
      </c>
    </row>
    <row r="5" spans="1:4" x14ac:dyDescent="0.25">
      <c r="A5" s="39" t="s">
        <v>247</v>
      </c>
      <c r="B5" s="25" t="s">
        <v>248</v>
      </c>
    </row>
    <row r="6" spans="1:4" ht="84" customHeight="1" x14ac:dyDescent="0.25">
      <c r="A6" s="25" t="s">
        <v>249</v>
      </c>
      <c r="B6" s="25" t="s">
        <v>250</v>
      </c>
      <c r="C6">
        <v>5.0000000000000001E-3</v>
      </c>
      <c r="D6" t="s">
        <v>251</v>
      </c>
    </row>
    <row r="7" spans="1:4" ht="231" customHeight="1" x14ac:dyDescent="0.25">
      <c r="A7" s="39" t="s">
        <v>252</v>
      </c>
      <c r="B7" s="25" t="s">
        <v>253</v>
      </c>
      <c r="C7">
        <v>5.0000000000000001E-3</v>
      </c>
    </row>
    <row r="8" spans="1:4" ht="92.4" x14ac:dyDescent="0.25">
      <c r="A8" s="11" t="s">
        <v>254</v>
      </c>
      <c r="B8" s="20" t="s">
        <v>255</v>
      </c>
      <c r="C8">
        <v>5.0000000000000001E-3</v>
      </c>
    </row>
    <row r="10" spans="1:4" x14ac:dyDescent="0.25">
      <c r="A10" s="16" t="s">
        <v>256</v>
      </c>
      <c r="B10" s="27"/>
    </row>
    <row r="11" spans="1:4" x14ac:dyDescent="0.25">
      <c r="A11" s="14" t="s">
        <v>257</v>
      </c>
      <c r="B11" s="26" t="s">
        <v>80</v>
      </c>
      <c r="C11" s="13"/>
    </row>
    <row r="12" spans="1:4" x14ac:dyDescent="0.25">
      <c r="A12" t="s">
        <v>258</v>
      </c>
      <c r="B12" s="39" t="s">
        <v>259</v>
      </c>
    </row>
    <row r="13" spans="1:4" x14ac:dyDescent="0.25">
      <c r="A13" t="s">
        <v>260</v>
      </c>
      <c r="B13" s="39" t="s">
        <v>259</v>
      </c>
      <c r="C13">
        <v>5.0000000000000001E-3</v>
      </c>
    </row>
    <row r="14" spans="1:4" x14ac:dyDescent="0.25">
      <c r="A14" t="s">
        <v>261</v>
      </c>
      <c r="B14" s="39" t="s">
        <v>259</v>
      </c>
      <c r="C14">
        <v>5.0000000000000001E-3</v>
      </c>
    </row>
    <row r="15" spans="1:4" x14ac:dyDescent="0.25">
      <c r="A15" t="s">
        <v>262</v>
      </c>
      <c r="B15" s="39" t="s">
        <v>259</v>
      </c>
      <c r="C15">
        <v>5.0000000000000001E-3</v>
      </c>
    </row>
    <row r="16" spans="1:4" x14ac:dyDescent="0.25">
      <c r="A16" t="s">
        <v>263</v>
      </c>
      <c r="B16" s="39" t="s">
        <v>259</v>
      </c>
      <c r="C16">
        <v>5.0000000000000001E-3</v>
      </c>
    </row>
    <row r="17" spans="1:3" x14ac:dyDescent="0.25">
      <c r="A17" t="s">
        <v>264</v>
      </c>
      <c r="B17" s="39" t="s">
        <v>259</v>
      </c>
      <c r="C17">
        <v>5.0000000000000001E-3</v>
      </c>
    </row>
    <row r="18" spans="1:3" x14ac:dyDescent="0.25">
      <c r="A18" t="s">
        <v>265</v>
      </c>
      <c r="B18" s="39" t="s">
        <v>259</v>
      </c>
      <c r="C18">
        <v>5.0000000000000001E-3</v>
      </c>
    </row>
    <row r="19" spans="1:3" x14ac:dyDescent="0.25">
      <c r="A19" t="s">
        <v>266</v>
      </c>
      <c r="B19" s="39" t="s">
        <v>259</v>
      </c>
      <c r="C19">
        <v>5.0000000000000001E-3</v>
      </c>
    </row>
    <row r="20" spans="1:3" x14ac:dyDescent="0.25">
      <c r="A20" t="s">
        <v>267</v>
      </c>
      <c r="B20" s="39" t="s">
        <v>259</v>
      </c>
      <c r="C20">
        <v>5.0000000000000001E-3</v>
      </c>
    </row>
    <row r="21" spans="1:3" x14ac:dyDescent="0.25">
      <c r="A21" t="s">
        <v>268</v>
      </c>
      <c r="B21" s="39" t="s">
        <v>259</v>
      </c>
      <c r="C21">
        <v>5.0000000000000001E-3</v>
      </c>
    </row>
    <row r="22" spans="1:3" x14ac:dyDescent="0.25">
      <c r="A22" t="s">
        <v>269</v>
      </c>
      <c r="B22" s="39" t="s">
        <v>259</v>
      </c>
      <c r="C22">
        <v>5.0000000000000001E-3</v>
      </c>
    </row>
    <row r="23" spans="1:3" x14ac:dyDescent="0.25">
      <c r="A23" t="s">
        <v>270</v>
      </c>
      <c r="B23" s="39" t="s">
        <v>259</v>
      </c>
      <c r="C23">
        <v>5.0000000000000001E-3</v>
      </c>
    </row>
    <row r="24" spans="1:3" x14ac:dyDescent="0.25">
      <c r="A24" t="s">
        <v>271</v>
      </c>
      <c r="B24" s="39" t="s">
        <v>259</v>
      </c>
      <c r="C24">
        <v>5.0000000000000001E-3</v>
      </c>
    </row>
    <row r="25" spans="1:3" x14ac:dyDescent="0.25">
      <c r="A25" t="s">
        <v>272</v>
      </c>
      <c r="B25" s="39" t="s">
        <v>259</v>
      </c>
      <c r="C25">
        <v>5.0000000000000001E-3</v>
      </c>
    </row>
    <row r="26" spans="1:3" x14ac:dyDescent="0.25">
      <c r="A26" t="s">
        <v>273</v>
      </c>
      <c r="B26" s="39" t="s">
        <v>259</v>
      </c>
      <c r="C26">
        <v>5.0000000000000001E-3</v>
      </c>
    </row>
    <row r="27" spans="1:3" x14ac:dyDescent="0.25">
      <c r="A27" t="s">
        <v>274</v>
      </c>
      <c r="B27" s="39" t="s">
        <v>259</v>
      </c>
      <c r="C27">
        <v>5.0000000000000001E-3</v>
      </c>
    </row>
    <row r="28" spans="1:3" x14ac:dyDescent="0.25">
      <c r="A28" t="s">
        <v>275</v>
      </c>
      <c r="B28" s="39" t="s">
        <v>259</v>
      </c>
      <c r="C28">
        <v>5.0000000000000001E-3</v>
      </c>
    </row>
    <row r="29" spans="1:3" x14ac:dyDescent="0.25">
      <c r="A29" t="s">
        <v>276</v>
      </c>
      <c r="B29" s="39" t="s">
        <v>259</v>
      </c>
      <c r="C29">
        <v>5.0000000000000001E-3</v>
      </c>
    </row>
    <row r="30" spans="1:3" x14ac:dyDescent="0.25">
      <c r="A30" t="s">
        <v>277</v>
      </c>
      <c r="B30" s="39" t="s">
        <v>259</v>
      </c>
      <c r="C30">
        <v>5.0000000000000001E-3</v>
      </c>
    </row>
    <row r="31" spans="1:3" x14ac:dyDescent="0.25">
      <c r="A31" t="s">
        <v>278</v>
      </c>
      <c r="B31" s="39" t="s">
        <v>259</v>
      </c>
      <c r="C31">
        <v>5.0000000000000001E-3</v>
      </c>
    </row>
    <row r="32" spans="1:3" x14ac:dyDescent="0.25">
      <c r="A32" t="s">
        <v>279</v>
      </c>
      <c r="B32" s="39" t="s">
        <v>259</v>
      </c>
      <c r="C32">
        <v>5.0000000000000001E-3</v>
      </c>
    </row>
    <row r="33" spans="1:3" x14ac:dyDescent="0.25">
      <c r="A33" t="s">
        <v>280</v>
      </c>
      <c r="B33" s="39" t="s">
        <v>259</v>
      </c>
      <c r="C33">
        <v>5.0000000000000001E-3</v>
      </c>
    </row>
    <row r="34" spans="1:3" x14ac:dyDescent="0.25">
      <c r="A34" t="s">
        <v>281</v>
      </c>
      <c r="B34" s="39" t="s">
        <v>259</v>
      </c>
      <c r="C34">
        <v>5.0000000000000001E-3</v>
      </c>
    </row>
    <row r="35" spans="1:3" x14ac:dyDescent="0.25">
      <c r="A35" t="s">
        <v>282</v>
      </c>
      <c r="B35" s="39" t="s">
        <v>259</v>
      </c>
      <c r="C35">
        <v>5.0000000000000001E-3</v>
      </c>
    </row>
    <row r="36" spans="1:3" x14ac:dyDescent="0.25">
      <c r="A36" t="s">
        <v>283</v>
      </c>
      <c r="B36" s="39" t="s">
        <v>259</v>
      </c>
      <c r="C36">
        <v>5.0000000000000001E-3</v>
      </c>
    </row>
    <row r="37" spans="1:3" x14ac:dyDescent="0.25">
      <c r="A37" t="s">
        <v>284</v>
      </c>
      <c r="B37" s="39" t="s">
        <v>259</v>
      </c>
      <c r="C37">
        <v>5.0000000000000001E-3</v>
      </c>
    </row>
    <row r="38" spans="1:3" x14ac:dyDescent="0.25">
      <c r="A38" t="s">
        <v>285</v>
      </c>
      <c r="B38" s="39" t="s">
        <v>259</v>
      </c>
      <c r="C38">
        <v>5.0000000000000001E-3</v>
      </c>
    </row>
    <row r="39" spans="1:3" x14ac:dyDescent="0.25">
      <c r="A39" t="s">
        <v>286</v>
      </c>
      <c r="B39" s="39" t="s">
        <v>259</v>
      </c>
      <c r="C39">
        <v>5.0000000000000001E-3</v>
      </c>
    </row>
    <row r="40" spans="1:3" x14ac:dyDescent="0.25">
      <c r="A40" t="s">
        <v>287</v>
      </c>
      <c r="B40" s="39" t="s">
        <v>259</v>
      </c>
      <c r="C40">
        <v>5.0000000000000001E-3</v>
      </c>
    </row>
    <row r="41" spans="1:3" x14ac:dyDescent="0.25">
      <c r="A41" t="s">
        <v>288</v>
      </c>
      <c r="B41" s="39" t="s">
        <v>259</v>
      </c>
      <c r="C41">
        <v>5.0000000000000001E-3</v>
      </c>
    </row>
    <row r="42" spans="1:3" x14ac:dyDescent="0.25">
      <c r="A42" t="s">
        <v>289</v>
      </c>
      <c r="B42" s="39" t="s">
        <v>259</v>
      </c>
      <c r="C42">
        <v>5.0000000000000001E-3</v>
      </c>
    </row>
    <row r="43" spans="1:3" x14ac:dyDescent="0.25">
      <c r="A43" t="s">
        <v>290</v>
      </c>
      <c r="B43" s="39" t="s">
        <v>259</v>
      </c>
      <c r="C43">
        <v>5.0000000000000001E-3</v>
      </c>
    </row>
    <row r="44" spans="1:3" x14ac:dyDescent="0.25">
      <c r="A44" t="s">
        <v>291</v>
      </c>
      <c r="B44" s="39" t="s">
        <v>259</v>
      </c>
      <c r="C44">
        <v>5.0000000000000001E-3</v>
      </c>
    </row>
    <row r="45" spans="1:3" x14ac:dyDescent="0.25">
      <c r="A45" t="s">
        <v>292</v>
      </c>
      <c r="B45" s="39" t="s">
        <v>259</v>
      </c>
      <c r="C45">
        <v>5.0000000000000001E-3</v>
      </c>
    </row>
    <row r="46" spans="1:3" x14ac:dyDescent="0.25">
      <c r="A46" t="s">
        <v>293</v>
      </c>
      <c r="B46" s="39" t="s">
        <v>259</v>
      </c>
      <c r="C46">
        <v>5.0000000000000001E-3</v>
      </c>
    </row>
    <row r="47" spans="1:3" x14ac:dyDescent="0.25">
      <c r="A47" t="s">
        <v>294</v>
      </c>
      <c r="B47" s="39" t="s">
        <v>259</v>
      </c>
      <c r="C47">
        <v>5.0000000000000001E-3</v>
      </c>
    </row>
    <row r="48" spans="1:3" x14ac:dyDescent="0.25">
      <c r="A48" t="s">
        <v>295</v>
      </c>
      <c r="B48" s="39" t="s">
        <v>259</v>
      </c>
      <c r="C48">
        <v>5.0000000000000001E-3</v>
      </c>
    </row>
    <row r="49" spans="1:3" x14ac:dyDescent="0.25">
      <c r="A49" t="s">
        <v>296</v>
      </c>
      <c r="B49" s="39" t="s">
        <v>259</v>
      </c>
      <c r="C49">
        <v>5.0000000000000001E-3</v>
      </c>
    </row>
    <row r="50" spans="1:3" x14ac:dyDescent="0.25">
      <c r="A50" t="s">
        <v>297</v>
      </c>
      <c r="B50" s="39" t="s">
        <v>259</v>
      </c>
      <c r="C50">
        <v>5.0000000000000001E-3</v>
      </c>
    </row>
    <row r="51" spans="1:3" x14ac:dyDescent="0.25">
      <c r="A51" t="s">
        <v>298</v>
      </c>
      <c r="B51" s="39" t="s">
        <v>259</v>
      </c>
      <c r="C51">
        <v>5.0000000000000001E-3</v>
      </c>
    </row>
    <row r="52" spans="1:3" x14ac:dyDescent="0.25">
      <c r="A52" t="s">
        <v>299</v>
      </c>
      <c r="B52" s="39" t="s">
        <v>259</v>
      </c>
      <c r="C52">
        <v>5.0000000000000001E-3</v>
      </c>
    </row>
    <row r="53" spans="1:3" x14ac:dyDescent="0.25">
      <c r="A53" t="s">
        <v>300</v>
      </c>
      <c r="B53" s="39" t="s">
        <v>259</v>
      </c>
      <c r="C53">
        <v>5.0000000000000001E-3</v>
      </c>
    </row>
    <row r="54" spans="1:3" x14ac:dyDescent="0.25">
      <c r="A54" t="s">
        <v>301</v>
      </c>
      <c r="B54" s="39" t="s">
        <v>259</v>
      </c>
      <c r="C54">
        <v>5.0000000000000001E-3</v>
      </c>
    </row>
    <row r="55" spans="1:3" x14ac:dyDescent="0.25">
      <c r="A55" t="s">
        <v>302</v>
      </c>
      <c r="B55" s="39" t="s">
        <v>259</v>
      </c>
      <c r="C55">
        <v>5.0000000000000001E-3</v>
      </c>
    </row>
    <row r="56" spans="1:3" x14ac:dyDescent="0.25">
      <c r="A56" t="s">
        <v>303</v>
      </c>
      <c r="B56" s="39" t="s">
        <v>259</v>
      </c>
      <c r="C56">
        <v>5.0000000000000001E-3</v>
      </c>
    </row>
    <row r="57" spans="1:3" x14ac:dyDescent="0.25">
      <c r="A57" t="s">
        <v>304</v>
      </c>
      <c r="B57" s="39" t="s">
        <v>259</v>
      </c>
      <c r="C57">
        <v>5.0000000000000001E-3</v>
      </c>
    </row>
    <row r="58" spans="1:3" x14ac:dyDescent="0.25">
      <c r="A58" t="s">
        <v>305</v>
      </c>
      <c r="B58" s="39" t="s">
        <v>259</v>
      </c>
      <c r="C58">
        <v>5.0000000000000001E-3</v>
      </c>
    </row>
    <row r="59" spans="1:3" x14ac:dyDescent="0.25">
      <c r="A59" t="s">
        <v>306</v>
      </c>
      <c r="B59" s="39" t="s">
        <v>259</v>
      </c>
      <c r="C59">
        <v>5.0000000000000001E-3</v>
      </c>
    </row>
    <row r="60" spans="1:3" x14ac:dyDescent="0.25">
      <c r="A60" t="s">
        <v>307</v>
      </c>
      <c r="B60" s="39" t="s">
        <v>259</v>
      </c>
      <c r="C60">
        <v>5.0000000000000001E-3</v>
      </c>
    </row>
    <row r="61" spans="1:3" x14ac:dyDescent="0.25">
      <c r="A61" t="s">
        <v>308</v>
      </c>
      <c r="B61" s="39" t="s">
        <v>259</v>
      </c>
      <c r="C61">
        <v>5.0000000000000001E-3</v>
      </c>
    </row>
    <row r="62" spans="1:3" x14ac:dyDescent="0.25">
      <c r="A62" t="s">
        <v>309</v>
      </c>
      <c r="B62" s="39" t="s">
        <v>259</v>
      </c>
      <c r="C62">
        <v>5.0000000000000001E-3</v>
      </c>
    </row>
    <row r="63" spans="1:3" x14ac:dyDescent="0.25">
      <c r="A63" t="s">
        <v>310</v>
      </c>
      <c r="B63" s="39" t="s">
        <v>259</v>
      </c>
      <c r="C63">
        <v>5.0000000000000001E-3</v>
      </c>
    </row>
    <row r="64" spans="1:3" x14ac:dyDescent="0.25">
      <c r="A64" t="s">
        <v>311</v>
      </c>
      <c r="B64" s="39" t="s">
        <v>259</v>
      </c>
      <c r="C64">
        <v>5.0000000000000001E-3</v>
      </c>
    </row>
    <row r="65" spans="1:3" x14ac:dyDescent="0.25">
      <c r="A65" t="s">
        <v>312</v>
      </c>
      <c r="B65" s="39" t="s">
        <v>259</v>
      </c>
      <c r="C65">
        <v>5.0000000000000001E-3</v>
      </c>
    </row>
    <row r="66" spans="1:3" x14ac:dyDescent="0.25">
      <c r="A66" t="s">
        <v>313</v>
      </c>
      <c r="B66" s="39" t="s">
        <v>259</v>
      </c>
      <c r="C66">
        <v>5.0000000000000001E-3</v>
      </c>
    </row>
    <row r="67" spans="1:3" x14ac:dyDescent="0.25">
      <c r="A67" t="s">
        <v>314</v>
      </c>
      <c r="B67" s="39" t="s">
        <v>259</v>
      </c>
      <c r="C67">
        <v>5.0000000000000001E-3</v>
      </c>
    </row>
    <row r="68" spans="1:3" x14ac:dyDescent="0.25">
      <c r="B68" s="90"/>
      <c r="C68">
        <v>5.0000000000000001E-3</v>
      </c>
    </row>
    <row r="70" spans="1:3" x14ac:dyDescent="0.25">
      <c r="A70" s="16" t="s">
        <v>315</v>
      </c>
    </row>
    <row r="71" spans="1:3" x14ac:dyDescent="0.25">
      <c r="A71" s="14" t="s">
        <v>246</v>
      </c>
      <c r="B71" s="26" t="s">
        <v>80</v>
      </c>
    </row>
    <row r="72" spans="1:3" x14ac:dyDescent="0.25">
      <c r="A72" s="11"/>
      <c r="B72" s="20"/>
    </row>
    <row r="74" spans="1:3" x14ac:dyDescent="0.25">
      <c r="A74" s="16" t="s">
        <v>316</v>
      </c>
    </row>
    <row r="75" spans="1:3" x14ac:dyDescent="0.25">
      <c r="A75" s="14" t="s">
        <v>246</v>
      </c>
      <c r="B75" s="26" t="s">
        <v>80</v>
      </c>
    </row>
    <row r="76" spans="1:3" x14ac:dyDescent="0.25">
      <c r="A76" s="11"/>
      <c r="B76" s="20"/>
    </row>
    <row r="78" spans="1:3" x14ac:dyDescent="0.25">
      <c r="A78" s="16" t="s">
        <v>317</v>
      </c>
    </row>
    <row r="79" spans="1:3" x14ac:dyDescent="0.25">
      <c r="A79" s="14" t="s">
        <v>246</v>
      </c>
      <c r="B79" s="26" t="s">
        <v>80</v>
      </c>
    </row>
    <row r="80" spans="1:3" ht="102" customHeight="1" x14ac:dyDescent="0.25">
      <c r="A80" s="89" t="s">
        <v>318</v>
      </c>
      <c r="B80" s="20" t="s">
        <v>319</v>
      </c>
      <c r="C80">
        <v>5.0000000000000001E-3</v>
      </c>
    </row>
    <row r="81" spans="1:3" ht="101.25" customHeight="1" x14ac:dyDescent="0.25">
      <c r="A81" s="89" t="s">
        <v>320</v>
      </c>
      <c r="B81" s="20" t="s">
        <v>321</v>
      </c>
      <c r="C81">
        <v>5.0000000000000001E-3</v>
      </c>
    </row>
    <row r="82" spans="1:3" ht="89.25" customHeight="1" x14ac:dyDescent="0.25">
      <c r="A82" s="89" t="s">
        <v>322</v>
      </c>
      <c r="B82" s="20" t="s">
        <v>323</v>
      </c>
      <c r="C82">
        <v>5.0000000000000001E-3</v>
      </c>
    </row>
    <row r="84" spans="1:3" x14ac:dyDescent="0.25">
      <c r="A84" s="19" t="s">
        <v>40</v>
      </c>
      <c r="B84" s="28" t="s">
        <v>243</v>
      </c>
    </row>
    <row r="85" spans="1:3" x14ac:dyDescent="0.25">
      <c r="A85" s="18"/>
      <c r="B85" s="29">
        <f>SUM(C:C)</f>
        <v>0.31000000000000016</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sqref="A1:C1"/>
    </sheetView>
  </sheetViews>
  <sheetFormatPr defaultRowHeight="13.2" x14ac:dyDescent="0.25"/>
  <cols>
    <col min="1" max="1" width="19.109375" customWidth="1"/>
    <col min="2" max="2" width="14.44140625" bestFit="1" customWidth="1"/>
    <col min="3" max="3" width="99.5546875" bestFit="1" customWidth="1"/>
  </cols>
  <sheetData>
    <row r="1" spans="1:3" ht="13.8" thickBot="1" x14ac:dyDescent="0.3">
      <c r="A1" s="134" t="s">
        <v>324</v>
      </c>
      <c r="B1" s="135"/>
      <c r="C1" s="136"/>
    </row>
    <row r="3" spans="1:3" x14ac:dyDescent="0.25">
      <c r="A3" s="12" t="s">
        <v>325</v>
      </c>
      <c r="B3" s="12" t="s">
        <v>326</v>
      </c>
      <c r="C3" s="12" t="s">
        <v>80</v>
      </c>
    </row>
    <row r="4" spans="1:3" x14ac:dyDescent="0.25">
      <c r="A4" s="11" t="s">
        <v>327</v>
      </c>
      <c r="B4" s="39" t="s">
        <v>328</v>
      </c>
      <c r="C4" s="39" t="s">
        <v>329</v>
      </c>
    </row>
    <row r="5" spans="1:3" x14ac:dyDescent="0.25">
      <c r="A5" s="11"/>
      <c r="B5" s="11"/>
      <c r="C5" s="11"/>
    </row>
    <row r="6" spans="1:3" x14ac:dyDescent="0.25">
      <c r="A6" s="11"/>
      <c r="B6" s="11"/>
      <c r="C6" s="20"/>
    </row>
    <row r="7" spans="1:3" x14ac:dyDescent="0.25">
      <c r="A7" s="11"/>
      <c r="B7" s="11"/>
      <c r="C7" s="11"/>
    </row>
    <row r="11" spans="1:3" x14ac:dyDescent="0.25">
      <c r="A11" s="19" t="s">
        <v>40</v>
      </c>
      <c r="B11" s="19" t="s">
        <v>243</v>
      </c>
    </row>
    <row r="12" spans="1:3" x14ac:dyDescent="0.25">
      <c r="A12" s="18"/>
      <c r="B12" s="18">
        <v>0.06</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7"/>
  <sheetViews>
    <sheetView workbookViewId="0">
      <selection sqref="A1:D1"/>
    </sheetView>
  </sheetViews>
  <sheetFormatPr defaultRowHeight="13.2" x14ac:dyDescent="0.25"/>
  <cols>
    <col min="1" max="1" width="14.44140625" bestFit="1" customWidth="1"/>
    <col min="2" max="2" width="15" bestFit="1" customWidth="1"/>
    <col min="3" max="3" width="14.6640625" bestFit="1" customWidth="1"/>
    <col min="4" max="4" width="9.6640625" bestFit="1" customWidth="1"/>
    <col min="5" max="5" width="12.6640625" bestFit="1" customWidth="1"/>
    <col min="6" max="6" width="15" bestFit="1" customWidth="1"/>
    <col min="7" max="7" width="14.44140625" bestFit="1" customWidth="1"/>
    <col min="8" max="8" width="9.6640625" bestFit="1" customWidth="1"/>
    <col min="9" max="9" width="66.88671875" customWidth="1"/>
    <col min="10" max="10" width="30.109375" customWidth="1"/>
  </cols>
  <sheetData>
    <row r="1" spans="1:10" ht="13.5" customHeight="1" x14ac:dyDescent="0.25">
      <c r="A1" s="134" t="s">
        <v>330</v>
      </c>
      <c r="B1" s="135"/>
      <c r="C1" s="135"/>
      <c r="D1" s="136"/>
    </row>
    <row r="3" spans="1:10" x14ac:dyDescent="0.25">
      <c r="A3" s="12" t="s">
        <v>326</v>
      </c>
      <c r="B3" s="138" t="s">
        <v>328</v>
      </c>
      <c r="C3" s="139"/>
    </row>
    <row r="5" spans="1:10" x14ac:dyDescent="0.25">
      <c r="A5" s="12" t="s">
        <v>331</v>
      </c>
      <c r="B5" s="12" t="s">
        <v>332</v>
      </c>
      <c r="C5" s="12" t="s">
        <v>333</v>
      </c>
      <c r="D5" s="12" t="s">
        <v>334</v>
      </c>
      <c r="E5" s="12" t="s">
        <v>335</v>
      </c>
      <c r="F5" s="12" t="s">
        <v>332</v>
      </c>
      <c r="G5" s="12" t="s">
        <v>336</v>
      </c>
      <c r="H5" s="12" t="s">
        <v>334</v>
      </c>
      <c r="I5" s="12" t="s">
        <v>337</v>
      </c>
      <c r="J5" s="12" t="s">
        <v>338</v>
      </c>
    </row>
    <row r="6" spans="1:10" ht="162" customHeight="1" x14ac:dyDescent="0.25">
      <c r="A6" s="11"/>
      <c r="B6" s="11"/>
      <c r="C6" s="11"/>
      <c r="D6" s="11"/>
      <c r="E6" s="11"/>
      <c r="F6" s="11"/>
      <c r="G6" s="11"/>
      <c r="H6" s="11"/>
      <c r="I6" s="140" t="s">
        <v>339</v>
      </c>
      <c r="J6" s="11" t="s">
        <v>340</v>
      </c>
    </row>
    <row r="7" spans="1:10" ht="63" customHeight="1" x14ac:dyDescent="0.25">
      <c r="A7" s="11"/>
      <c r="B7" s="11"/>
      <c r="C7" s="11"/>
      <c r="D7" s="11"/>
      <c r="E7" s="11"/>
      <c r="F7" s="11"/>
      <c r="G7" s="11"/>
      <c r="H7" s="11"/>
      <c r="I7" s="141"/>
      <c r="J7" s="11" t="s">
        <v>341</v>
      </c>
    </row>
  </sheetData>
  <mergeCells count="3">
    <mergeCell ref="A1:D1"/>
    <mergeCell ref="B3:C3"/>
    <mergeCell ref="I6:I7"/>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8"/>
  <sheetViews>
    <sheetView workbookViewId="0">
      <selection sqref="A1:C1"/>
    </sheetView>
  </sheetViews>
  <sheetFormatPr defaultRowHeight="13.2" outlineLevelRow="1" x14ac:dyDescent="0.25"/>
  <cols>
    <col min="1" max="1" width="22.109375" customWidth="1"/>
    <col min="2" max="2" width="39.109375" customWidth="1"/>
    <col min="3" max="3" width="24.88671875" bestFit="1" customWidth="1"/>
    <col min="4" max="4" width="31.5546875" customWidth="1"/>
    <col min="5" max="5" width="25.5546875" bestFit="1" customWidth="1"/>
    <col min="6" max="6" width="48.44140625" style="21" bestFit="1" customWidth="1"/>
  </cols>
  <sheetData>
    <row r="1" spans="1:3" ht="13.8" thickBot="1" x14ac:dyDescent="0.3">
      <c r="A1" s="134" t="s">
        <v>342</v>
      </c>
      <c r="B1" s="135"/>
      <c r="C1" s="136"/>
    </row>
    <row r="2" spans="1:3" ht="13.8" thickBot="1" x14ac:dyDescent="0.3"/>
    <row r="3" spans="1:3" ht="13.8" thickBot="1" x14ac:dyDescent="0.3">
      <c r="A3" s="134" t="s">
        <v>343</v>
      </c>
      <c r="B3" s="135"/>
      <c r="C3" s="136"/>
    </row>
    <row r="4" spans="1:3" x14ac:dyDescent="0.25">
      <c r="A4" s="14" t="s">
        <v>325</v>
      </c>
      <c r="B4" s="14" t="s">
        <v>344</v>
      </c>
      <c r="C4" s="14" t="s">
        <v>80</v>
      </c>
    </row>
    <row r="5" spans="1:3" outlineLevel="1" x14ac:dyDescent="0.25">
      <c r="A5" s="11" t="s">
        <v>345</v>
      </c>
      <c r="B5" s="11" t="s">
        <v>346</v>
      </c>
      <c r="C5" s="11" t="s">
        <v>347</v>
      </c>
    </row>
    <row r="6" spans="1:3" outlineLevel="1" x14ac:dyDescent="0.25">
      <c r="A6" s="11" t="s">
        <v>345</v>
      </c>
      <c r="B6" s="11" t="s">
        <v>348</v>
      </c>
      <c r="C6" s="11" t="s">
        <v>347</v>
      </c>
    </row>
    <row r="7" spans="1:3" outlineLevel="1" x14ac:dyDescent="0.25">
      <c r="A7" s="11" t="s">
        <v>345</v>
      </c>
      <c r="B7" s="11" t="s">
        <v>349</v>
      </c>
      <c r="C7" s="11" t="s">
        <v>347</v>
      </c>
    </row>
    <row r="8" spans="1:3" outlineLevel="1" x14ac:dyDescent="0.25">
      <c r="A8" s="11" t="s">
        <v>345</v>
      </c>
      <c r="B8" s="11" t="s">
        <v>350</v>
      </c>
      <c r="C8" s="11" t="s">
        <v>347</v>
      </c>
    </row>
    <row r="9" spans="1:3" outlineLevel="1" x14ac:dyDescent="0.25">
      <c r="A9" s="11" t="s">
        <v>345</v>
      </c>
      <c r="B9" s="11" t="s">
        <v>351</v>
      </c>
      <c r="C9" s="11" t="s">
        <v>347</v>
      </c>
    </row>
    <row r="10" spans="1:3" outlineLevel="1" x14ac:dyDescent="0.25">
      <c r="A10" s="11" t="s">
        <v>345</v>
      </c>
      <c r="B10" s="11" t="s">
        <v>352</v>
      </c>
      <c r="C10" s="11" t="s">
        <v>347</v>
      </c>
    </row>
    <row r="11" spans="1:3" outlineLevel="1" x14ac:dyDescent="0.25">
      <c r="A11" s="11" t="s">
        <v>327</v>
      </c>
      <c r="B11" s="11" t="s">
        <v>353</v>
      </c>
      <c r="C11" s="11" t="s">
        <v>347</v>
      </c>
    </row>
    <row r="12" spans="1:3" outlineLevel="1" x14ac:dyDescent="0.25">
      <c r="A12" s="11" t="s">
        <v>327</v>
      </c>
      <c r="B12" s="11" t="s">
        <v>354</v>
      </c>
      <c r="C12" s="11" t="s">
        <v>347</v>
      </c>
    </row>
    <row r="13" spans="1:3" outlineLevel="1" x14ac:dyDescent="0.25">
      <c r="A13" s="11" t="s">
        <v>327</v>
      </c>
      <c r="B13" s="11" t="s">
        <v>355</v>
      </c>
      <c r="C13" s="11" t="s">
        <v>347</v>
      </c>
    </row>
    <row r="14" spans="1:3" outlineLevel="1" x14ac:dyDescent="0.25">
      <c r="A14" s="11" t="s">
        <v>327</v>
      </c>
      <c r="B14" s="11" t="s">
        <v>356</v>
      </c>
      <c r="C14" s="11" t="s">
        <v>347</v>
      </c>
    </row>
    <row r="15" spans="1:3" outlineLevel="1" x14ac:dyDescent="0.25">
      <c r="A15" s="11" t="s">
        <v>327</v>
      </c>
      <c r="B15" s="11" t="s">
        <v>357</v>
      </c>
      <c r="C15" s="11" t="s">
        <v>347</v>
      </c>
    </row>
    <row r="16" spans="1:3" outlineLevel="1" x14ac:dyDescent="0.25">
      <c r="A16" s="11" t="s">
        <v>327</v>
      </c>
      <c r="B16" s="11" t="s">
        <v>358</v>
      </c>
      <c r="C16" s="11" t="s">
        <v>347</v>
      </c>
    </row>
    <row r="17" spans="1:5" outlineLevel="1" x14ac:dyDescent="0.25">
      <c r="A17" s="11" t="s">
        <v>327</v>
      </c>
      <c r="B17" s="11" t="s">
        <v>359</v>
      </c>
      <c r="C17" s="11" t="s">
        <v>347</v>
      </c>
    </row>
    <row r="18" spans="1:5" outlineLevel="1" x14ac:dyDescent="0.25">
      <c r="A18" s="11" t="s">
        <v>327</v>
      </c>
      <c r="B18" s="11" t="s">
        <v>360</v>
      </c>
      <c r="C18" s="11" t="s">
        <v>347</v>
      </c>
    </row>
    <row r="19" spans="1:5" outlineLevel="1" x14ac:dyDescent="0.25">
      <c r="A19" s="11" t="s">
        <v>327</v>
      </c>
      <c r="B19" s="11" t="s">
        <v>361</v>
      </c>
      <c r="C19" s="11" t="s">
        <v>347</v>
      </c>
    </row>
    <row r="20" spans="1:5" x14ac:dyDescent="0.25">
      <c r="A20" s="11" t="s">
        <v>327</v>
      </c>
      <c r="B20" s="11" t="s">
        <v>362</v>
      </c>
      <c r="C20" s="11" t="s">
        <v>363</v>
      </c>
      <c r="D20">
        <v>0.125</v>
      </c>
    </row>
    <row r="21" spans="1:5" ht="13.5" customHeight="1" x14ac:dyDescent="0.25">
      <c r="A21" s="11" t="s">
        <v>327</v>
      </c>
      <c r="B21" s="11" t="s">
        <v>364</v>
      </c>
      <c r="C21" s="11" t="s">
        <v>363</v>
      </c>
      <c r="D21">
        <v>0.125</v>
      </c>
    </row>
    <row r="22" spans="1:5" ht="13.5" customHeight="1" x14ac:dyDescent="0.25">
      <c r="A22" s="11" t="s">
        <v>327</v>
      </c>
      <c r="B22" s="11" t="s">
        <v>365</v>
      </c>
      <c r="C22" s="11" t="s">
        <v>363</v>
      </c>
      <c r="D22">
        <v>0.125</v>
      </c>
    </row>
    <row r="23" spans="1:5" x14ac:dyDescent="0.25">
      <c r="A23" s="11" t="s">
        <v>327</v>
      </c>
      <c r="B23" s="11" t="s">
        <v>366</v>
      </c>
      <c r="C23" s="11" t="s">
        <v>367</v>
      </c>
      <c r="D23">
        <v>0.125</v>
      </c>
      <c r="E23" s="13"/>
    </row>
    <row r="24" spans="1:5" x14ac:dyDescent="0.25">
      <c r="A24" s="11" t="s">
        <v>327</v>
      </c>
      <c r="B24" s="11" t="s">
        <v>368</v>
      </c>
      <c r="C24" s="11" t="s">
        <v>363</v>
      </c>
      <c r="D24">
        <v>0.1</v>
      </c>
    </row>
    <row r="25" spans="1:5" x14ac:dyDescent="0.25">
      <c r="A25" s="91"/>
      <c r="B25" s="91"/>
      <c r="C25" s="91"/>
    </row>
    <row r="27" spans="1:5" x14ac:dyDescent="0.25">
      <c r="A27" s="19" t="s">
        <v>40</v>
      </c>
      <c r="B27" s="19" t="s">
        <v>243</v>
      </c>
    </row>
    <row r="28" spans="1:5" x14ac:dyDescent="0.25">
      <c r="A28" s="18"/>
      <c r="B28" s="18">
        <f>SUM(D:D)</f>
        <v>0.6</v>
      </c>
    </row>
  </sheetData>
  <mergeCells count="2">
    <mergeCell ref="A1:C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09"/>
  <sheetViews>
    <sheetView workbookViewId="0">
      <selection sqref="A1:C1"/>
    </sheetView>
  </sheetViews>
  <sheetFormatPr defaultRowHeight="13.2" x14ac:dyDescent="0.25"/>
  <cols>
    <col min="1" max="1" width="16.109375" bestFit="1" customWidth="1"/>
    <col min="2" max="2" width="36.33203125" customWidth="1"/>
    <col min="3" max="3" width="54" bestFit="1" customWidth="1"/>
    <col min="4" max="4" width="37.44140625" bestFit="1" customWidth="1"/>
    <col min="5" max="5" width="38.109375" bestFit="1"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6.5546875" customWidth="1"/>
    <col min="23" max="23" width="102" customWidth="1"/>
    <col min="24" max="24" width="48.44140625" style="21" bestFit="1" customWidth="1"/>
  </cols>
  <sheetData>
    <row r="1" spans="1:25" ht="13.8" thickBot="1" x14ac:dyDescent="0.3">
      <c r="A1" s="134" t="s">
        <v>369</v>
      </c>
      <c r="B1" s="135"/>
      <c r="C1" s="136"/>
    </row>
    <row r="2" spans="1:25" x14ac:dyDescent="0.25">
      <c r="F2" s="145" t="s">
        <v>370</v>
      </c>
      <c r="G2" s="145"/>
      <c r="H2" s="145"/>
      <c r="I2" s="142" t="s">
        <v>371</v>
      </c>
      <c r="J2" s="143"/>
      <c r="K2" s="143"/>
      <c r="L2" s="142" t="s">
        <v>372</v>
      </c>
      <c r="M2" s="143"/>
      <c r="N2" s="143"/>
      <c r="O2" s="143"/>
      <c r="P2" s="143"/>
      <c r="Q2" s="144"/>
      <c r="R2" s="142" t="s">
        <v>373</v>
      </c>
      <c r="S2" s="143"/>
      <c r="T2" s="143"/>
      <c r="U2" s="144"/>
      <c r="V2" s="142" t="s">
        <v>374</v>
      </c>
      <c r="W2" s="144"/>
    </row>
    <row r="3" spans="1:25" s="44" customFormat="1" ht="34.200000000000003" x14ac:dyDescent="0.2">
      <c r="A3" s="40" t="s">
        <v>325</v>
      </c>
      <c r="B3" s="40" t="s">
        <v>344</v>
      </c>
      <c r="C3" s="40" t="s">
        <v>375</v>
      </c>
      <c r="D3" s="40" t="s">
        <v>376</v>
      </c>
      <c r="E3" s="40" t="s">
        <v>132</v>
      </c>
      <c r="F3" s="41" t="s">
        <v>377</v>
      </c>
      <c r="G3" s="41" t="s">
        <v>378</v>
      </c>
      <c r="H3" s="40" t="s">
        <v>379</v>
      </c>
      <c r="I3" s="41" t="s">
        <v>380</v>
      </c>
      <c r="J3" s="41" t="s">
        <v>381</v>
      </c>
      <c r="K3" s="41" t="s">
        <v>382</v>
      </c>
      <c r="L3" s="45" t="s">
        <v>383</v>
      </c>
      <c r="M3" s="45" t="s">
        <v>384</v>
      </c>
      <c r="N3" s="41" t="s">
        <v>385</v>
      </c>
      <c r="O3" s="41" t="s">
        <v>386</v>
      </c>
      <c r="P3" s="41" t="s">
        <v>387</v>
      </c>
      <c r="Q3" s="41" t="s">
        <v>388</v>
      </c>
      <c r="R3" s="42" t="s">
        <v>383</v>
      </c>
      <c r="S3" s="42" t="s">
        <v>384</v>
      </c>
      <c r="T3" s="42" t="s">
        <v>389</v>
      </c>
      <c r="U3" s="43" t="s">
        <v>390</v>
      </c>
      <c r="V3" s="43" t="s">
        <v>391</v>
      </c>
      <c r="W3" s="43" t="s">
        <v>392</v>
      </c>
      <c r="X3" s="41" t="s">
        <v>23</v>
      </c>
    </row>
    <row r="4" spans="1:25" x14ac:dyDescent="0.25">
      <c r="A4" s="11" t="s">
        <v>345</v>
      </c>
      <c r="B4" s="11" t="s">
        <v>393</v>
      </c>
      <c r="C4" s="11" t="s">
        <v>394</v>
      </c>
      <c r="D4" s="11" t="s">
        <v>395</v>
      </c>
      <c r="E4" s="11" t="s">
        <v>396</v>
      </c>
      <c r="F4" s="11" t="s">
        <v>397</v>
      </c>
      <c r="G4" s="11" t="s">
        <v>397</v>
      </c>
      <c r="H4" s="11" t="s">
        <v>397</v>
      </c>
      <c r="I4" s="11" t="s">
        <v>397</v>
      </c>
      <c r="J4" s="11" t="s">
        <v>398</v>
      </c>
      <c r="K4" s="11" t="s">
        <v>399</v>
      </c>
      <c r="L4" s="11" t="s">
        <v>397</v>
      </c>
      <c r="M4" s="11" t="s">
        <v>397</v>
      </c>
      <c r="N4" s="11" t="s">
        <v>397</v>
      </c>
      <c r="O4" s="11" t="s">
        <v>397</v>
      </c>
      <c r="P4" s="11" t="s">
        <v>397</v>
      </c>
      <c r="Q4" s="11" t="s">
        <v>397</v>
      </c>
      <c r="R4" s="11" t="s">
        <v>397</v>
      </c>
      <c r="S4" s="11" t="s">
        <v>397</v>
      </c>
      <c r="T4" s="11" t="s">
        <v>397</v>
      </c>
      <c r="U4" s="11" t="s">
        <v>397</v>
      </c>
      <c r="V4" s="11" t="s">
        <v>400</v>
      </c>
      <c r="W4" s="11"/>
      <c r="X4" s="20" t="s">
        <v>401</v>
      </c>
      <c r="Y4">
        <v>5.0000000000000001E-3</v>
      </c>
    </row>
    <row r="5" spans="1:25" x14ac:dyDescent="0.25">
      <c r="A5" s="11" t="s">
        <v>345</v>
      </c>
      <c r="B5" s="11" t="s">
        <v>402</v>
      </c>
      <c r="C5" s="11" t="s">
        <v>403</v>
      </c>
      <c r="D5" s="11" t="s">
        <v>404</v>
      </c>
      <c r="E5" s="11" t="s">
        <v>396</v>
      </c>
      <c r="F5" s="11" t="s">
        <v>397</v>
      </c>
      <c r="G5" s="11" t="s">
        <v>397</v>
      </c>
      <c r="H5" s="11" t="s">
        <v>397</v>
      </c>
      <c r="I5" s="11" t="s">
        <v>397</v>
      </c>
      <c r="J5" s="11" t="s">
        <v>398</v>
      </c>
      <c r="K5" s="11" t="s">
        <v>399</v>
      </c>
      <c r="L5" s="11" t="s">
        <v>397</v>
      </c>
      <c r="M5" s="11" t="s">
        <v>397</v>
      </c>
      <c r="N5" s="11" t="s">
        <v>397</v>
      </c>
      <c r="O5" s="11" t="s">
        <v>397</v>
      </c>
      <c r="P5" s="11" t="s">
        <v>397</v>
      </c>
      <c r="Q5" s="11" t="s">
        <v>397</v>
      </c>
      <c r="R5" s="11" t="s">
        <v>397</v>
      </c>
      <c r="S5" s="11" t="s">
        <v>397</v>
      </c>
      <c r="T5" s="11" t="s">
        <v>397</v>
      </c>
      <c r="U5" s="11" t="s">
        <v>397</v>
      </c>
      <c r="V5" s="11" t="s">
        <v>405</v>
      </c>
      <c r="W5" s="11"/>
      <c r="X5" s="20" t="s">
        <v>401</v>
      </c>
      <c r="Y5">
        <v>5.0000000000000001E-3</v>
      </c>
    </row>
    <row r="6" spans="1:25" x14ac:dyDescent="0.25">
      <c r="A6" s="11" t="s">
        <v>345</v>
      </c>
      <c r="B6" s="11" t="s">
        <v>406</v>
      </c>
      <c r="C6" s="11" t="s">
        <v>407</v>
      </c>
      <c r="D6" s="11" t="s">
        <v>404</v>
      </c>
      <c r="E6" s="11" t="s">
        <v>396</v>
      </c>
      <c r="F6" s="11" t="s">
        <v>397</v>
      </c>
      <c r="G6" s="11" t="s">
        <v>397</v>
      </c>
      <c r="H6" s="11" t="s">
        <v>397</v>
      </c>
      <c r="I6" s="11" t="s">
        <v>397</v>
      </c>
      <c r="J6" s="11" t="s">
        <v>398</v>
      </c>
      <c r="K6" s="11" t="s">
        <v>399</v>
      </c>
      <c r="L6" s="11" t="s">
        <v>397</v>
      </c>
      <c r="M6" s="11" t="s">
        <v>397</v>
      </c>
      <c r="N6" s="11" t="s">
        <v>397</v>
      </c>
      <c r="O6" s="11" t="s">
        <v>397</v>
      </c>
      <c r="P6" s="11" t="s">
        <v>397</v>
      </c>
      <c r="Q6" s="11" t="s">
        <v>397</v>
      </c>
      <c r="R6" s="11" t="s">
        <v>397</v>
      </c>
      <c r="S6" s="11" t="s">
        <v>397</v>
      </c>
      <c r="T6" s="11" t="s">
        <v>397</v>
      </c>
      <c r="U6" s="11" t="s">
        <v>397</v>
      </c>
      <c r="V6" s="11" t="s">
        <v>408</v>
      </c>
      <c r="W6" s="11"/>
      <c r="X6" s="20" t="s">
        <v>401</v>
      </c>
      <c r="Y6">
        <v>5.0000000000000001E-3</v>
      </c>
    </row>
    <row r="7" spans="1:25" x14ac:dyDescent="0.25">
      <c r="A7" s="11" t="s">
        <v>345</v>
      </c>
      <c r="B7" s="11" t="s">
        <v>406</v>
      </c>
      <c r="C7" s="11" t="s">
        <v>407</v>
      </c>
      <c r="D7" s="11" t="s">
        <v>404</v>
      </c>
      <c r="E7" s="11" t="s">
        <v>396</v>
      </c>
      <c r="F7" s="11" t="s">
        <v>397</v>
      </c>
      <c r="G7" s="11" t="s">
        <v>397</v>
      </c>
      <c r="H7" s="11" t="s">
        <v>397</v>
      </c>
      <c r="I7" s="11" t="s">
        <v>397</v>
      </c>
      <c r="J7" s="11" t="s">
        <v>398</v>
      </c>
      <c r="K7" s="11" t="s">
        <v>399</v>
      </c>
      <c r="L7" s="11" t="s">
        <v>397</v>
      </c>
      <c r="M7" s="11" t="s">
        <v>397</v>
      </c>
      <c r="N7" s="11" t="s">
        <v>397</v>
      </c>
      <c r="O7" s="11" t="s">
        <v>397</v>
      </c>
      <c r="P7" s="11" t="s">
        <v>397</v>
      </c>
      <c r="Q7" s="11" t="s">
        <v>397</v>
      </c>
      <c r="R7" s="11" t="s">
        <v>397</v>
      </c>
      <c r="S7" s="11" t="s">
        <v>397</v>
      </c>
      <c r="T7" s="11" t="s">
        <v>397</v>
      </c>
      <c r="U7" s="11" t="s">
        <v>397</v>
      </c>
      <c r="V7" s="11" t="s">
        <v>409</v>
      </c>
      <c r="W7" s="11"/>
      <c r="X7" s="20" t="s">
        <v>401</v>
      </c>
      <c r="Y7">
        <v>5.0000000000000001E-3</v>
      </c>
    </row>
    <row r="8" spans="1:25" x14ac:dyDescent="0.25">
      <c r="A8" s="11" t="s">
        <v>345</v>
      </c>
      <c r="B8" s="11" t="s">
        <v>406</v>
      </c>
      <c r="C8" s="11" t="s">
        <v>410</v>
      </c>
      <c r="D8" s="11" t="s">
        <v>411</v>
      </c>
      <c r="E8" s="11" t="s">
        <v>396</v>
      </c>
      <c r="F8" s="11" t="s">
        <v>397</v>
      </c>
      <c r="G8" s="11" t="s">
        <v>397</v>
      </c>
      <c r="H8" s="11" t="s">
        <v>397</v>
      </c>
      <c r="I8" s="11" t="s">
        <v>397</v>
      </c>
      <c r="J8" s="11" t="s">
        <v>398</v>
      </c>
      <c r="K8" s="11" t="s">
        <v>399</v>
      </c>
      <c r="L8" s="11" t="s">
        <v>397</v>
      </c>
      <c r="M8" s="11" t="s">
        <v>397</v>
      </c>
      <c r="N8" s="11" t="s">
        <v>397</v>
      </c>
      <c r="O8" s="11" t="s">
        <v>397</v>
      </c>
      <c r="P8" s="11" t="s">
        <v>397</v>
      </c>
      <c r="Q8" s="11" t="s">
        <v>397</v>
      </c>
      <c r="R8" s="11" t="s">
        <v>397</v>
      </c>
      <c r="S8" s="11" t="s">
        <v>397</v>
      </c>
      <c r="T8" s="11" t="s">
        <v>397</v>
      </c>
      <c r="U8" s="11" t="s">
        <v>397</v>
      </c>
      <c r="V8" s="11" t="s">
        <v>412</v>
      </c>
      <c r="W8" s="11"/>
      <c r="X8" s="20" t="s">
        <v>401</v>
      </c>
      <c r="Y8">
        <v>5.0000000000000001E-3</v>
      </c>
    </row>
    <row r="9" spans="1:25" x14ac:dyDescent="0.25">
      <c r="A9" s="11" t="s">
        <v>345</v>
      </c>
      <c r="B9" s="11" t="s">
        <v>406</v>
      </c>
      <c r="C9" s="11" t="s">
        <v>410</v>
      </c>
      <c r="D9" s="11" t="s">
        <v>413</v>
      </c>
      <c r="E9" s="11" t="s">
        <v>396</v>
      </c>
      <c r="F9" s="11" t="s">
        <v>397</v>
      </c>
      <c r="G9" s="11" t="s">
        <v>397</v>
      </c>
      <c r="H9" s="11" t="s">
        <v>397</v>
      </c>
      <c r="I9" s="11" t="s">
        <v>397</v>
      </c>
      <c r="J9" s="11" t="s">
        <v>398</v>
      </c>
      <c r="K9" s="11" t="s">
        <v>399</v>
      </c>
      <c r="L9" s="11" t="s">
        <v>397</v>
      </c>
      <c r="M9" s="11" t="s">
        <v>397</v>
      </c>
      <c r="N9" s="11" t="s">
        <v>397</v>
      </c>
      <c r="O9" s="11" t="s">
        <v>397</v>
      </c>
      <c r="P9" s="11" t="s">
        <v>397</v>
      </c>
      <c r="Q9" s="11" t="s">
        <v>397</v>
      </c>
      <c r="R9" s="11" t="s">
        <v>397</v>
      </c>
      <c r="S9" s="11" t="s">
        <v>397</v>
      </c>
      <c r="T9" s="11" t="s">
        <v>397</v>
      </c>
      <c r="U9" s="11" t="s">
        <v>397</v>
      </c>
      <c r="V9" s="11" t="s">
        <v>412</v>
      </c>
      <c r="W9" s="11"/>
      <c r="X9" s="20" t="s">
        <v>401</v>
      </c>
      <c r="Y9">
        <v>5.0000000000000001E-3</v>
      </c>
    </row>
    <row r="10" spans="1:25" x14ac:dyDescent="0.25">
      <c r="A10" s="11" t="s">
        <v>345</v>
      </c>
      <c r="B10" s="11" t="s">
        <v>414</v>
      </c>
      <c r="C10" s="11" t="s">
        <v>415</v>
      </c>
      <c r="D10" s="11" t="s">
        <v>416</v>
      </c>
      <c r="E10" s="11" t="s">
        <v>396</v>
      </c>
      <c r="F10" s="11" t="s">
        <v>397</v>
      </c>
      <c r="G10" s="11" t="s">
        <v>397</v>
      </c>
      <c r="H10" s="11" t="s">
        <v>397</v>
      </c>
      <c r="I10" s="11" t="s">
        <v>397</v>
      </c>
      <c r="J10" s="11" t="s">
        <v>398</v>
      </c>
      <c r="K10" s="11" t="s">
        <v>399</v>
      </c>
      <c r="L10" s="11" t="s">
        <v>397</v>
      </c>
      <c r="M10" s="11" t="s">
        <v>397</v>
      </c>
      <c r="N10" s="11" t="s">
        <v>397</v>
      </c>
      <c r="O10" s="11" t="s">
        <v>397</v>
      </c>
      <c r="P10" s="11" t="s">
        <v>397</v>
      </c>
      <c r="Q10" s="11" t="s">
        <v>397</v>
      </c>
      <c r="R10" s="11" t="s">
        <v>397</v>
      </c>
      <c r="S10" s="11" t="s">
        <v>397</v>
      </c>
      <c r="T10" s="11" t="s">
        <v>397</v>
      </c>
      <c r="U10" s="11" t="s">
        <v>397</v>
      </c>
      <c r="V10" s="11" t="s">
        <v>417</v>
      </c>
      <c r="W10" s="11"/>
      <c r="X10" s="20" t="s">
        <v>401</v>
      </c>
      <c r="Y10">
        <v>5.0000000000000001E-3</v>
      </c>
    </row>
    <row r="11" spans="1:25" x14ac:dyDescent="0.25">
      <c r="A11" s="11" t="s">
        <v>345</v>
      </c>
      <c r="B11" s="11" t="s">
        <v>414</v>
      </c>
      <c r="C11" s="11" t="s">
        <v>418</v>
      </c>
      <c r="D11" s="11" t="s">
        <v>419</v>
      </c>
      <c r="E11" s="11"/>
      <c r="F11" s="11" t="s">
        <v>397</v>
      </c>
      <c r="G11" s="11" t="s">
        <v>397</v>
      </c>
      <c r="H11" s="11" t="s">
        <v>397</v>
      </c>
      <c r="I11" s="11" t="s">
        <v>397</v>
      </c>
      <c r="J11" s="11" t="s">
        <v>398</v>
      </c>
      <c r="K11" s="11" t="s">
        <v>399</v>
      </c>
      <c r="L11" s="11" t="s">
        <v>397</v>
      </c>
      <c r="M11" s="11" t="s">
        <v>397</v>
      </c>
      <c r="N11" s="11" t="s">
        <v>397</v>
      </c>
      <c r="O11" s="11" t="s">
        <v>397</v>
      </c>
      <c r="P11" s="11" t="s">
        <v>397</v>
      </c>
      <c r="Q11" s="11" t="s">
        <v>397</v>
      </c>
      <c r="R11" s="11" t="s">
        <v>397</v>
      </c>
      <c r="S11" s="11" t="s">
        <v>397</v>
      </c>
      <c r="T11" s="11" t="s">
        <v>397</v>
      </c>
      <c r="U11" s="11" t="s">
        <v>397</v>
      </c>
      <c r="V11" s="11" t="s">
        <v>420</v>
      </c>
      <c r="W11" s="11"/>
      <c r="X11" s="20" t="s">
        <v>401</v>
      </c>
      <c r="Y11">
        <v>5.0000000000000001E-3</v>
      </c>
    </row>
    <row r="12" spans="1:25" x14ac:dyDescent="0.25">
      <c r="A12" s="11" t="s">
        <v>345</v>
      </c>
      <c r="B12" s="11" t="s">
        <v>414</v>
      </c>
      <c r="C12" s="11" t="s">
        <v>421</v>
      </c>
      <c r="D12" s="11" t="s">
        <v>416</v>
      </c>
      <c r="E12" s="11" t="s">
        <v>396</v>
      </c>
      <c r="F12" s="11" t="s">
        <v>397</v>
      </c>
      <c r="G12" s="11" t="s">
        <v>397</v>
      </c>
      <c r="H12" s="11" t="s">
        <v>397</v>
      </c>
      <c r="I12" s="11" t="s">
        <v>397</v>
      </c>
      <c r="J12" s="11" t="s">
        <v>398</v>
      </c>
      <c r="K12" s="11" t="s">
        <v>399</v>
      </c>
      <c r="L12" s="11" t="s">
        <v>397</v>
      </c>
      <c r="M12" s="11" t="s">
        <v>397</v>
      </c>
      <c r="N12" s="11" t="s">
        <v>397</v>
      </c>
      <c r="O12" s="11" t="s">
        <v>397</v>
      </c>
      <c r="P12" s="11" t="s">
        <v>397</v>
      </c>
      <c r="Q12" s="11" t="s">
        <v>397</v>
      </c>
      <c r="R12" s="11" t="s">
        <v>397</v>
      </c>
      <c r="S12" s="11" t="s">
        <v>397</v>
      </c>
      <c r="T12" s="11" t="s">
        <v>397</v>
      </c>
      <c r="U12" s="11" t="s">
        <v>397</v>
      </c>
      <c r="V12" s="11" t="s">
        <v>422</v>
      </c>
      <c r="W12" s="11"/>
      <c r="X12" s="25" t="s">
        <v>401</v>
      </c>
      <c r="Y12">
        <v>5.0000000000000001E-3</v>
      </c>
    </row>
    <row r="13" spans="1:25" x14ac:dyDescent="0.25">
      <c r="A13" s="11" t="s">
        <v>345</v>
      </c>
      <c r="B13" s="11" t="s">
        <v>414</v>
      </c>
      <c r="C13" s="11" t="s">
        <v>423</v>
      </c>
      <c r="D13" s="11" t="s">
        <v>424</v>
      </c>
      <c r="E13" s="11" t="s">
        <v>425</v>
      </c>
      <c r="F13" s="11" t="s">
        <v>397</v>
      </c>
      <c r="G13" s="11" t="s">
        <v>397</v>
      </c>
      <c r="H13" s="11" t="s">
        <v>397</v>
      </c>
      <c r="I13" s="11" t="s">
        <v>397</v>
      </c>
      <c r="J13" s="11" t="s">
        <v>398</v>
      </c>
      <c r="K13" s="11" t="s">
        <v>399</v>
      </c>
      <c r="L13" s="11" t="s">
        <v>397</v>
      </c>
      <c r="M13" s="11" t="s">
        <v>397</v>
      </c>
      <c r="N13" s="11" t="s">
        <v>397</v>
      </c>
      <c r="O13" s="11" t="s">
        <v>397</v>
      </c>
      <c r="P13" s="11" t="s">
        <v>397</v>
      </c>
      <c r="Q13" s="11" t="s">
        <v>397</v>
      </c>
      <c r="R13" s="11" t="s">
        <v>397</v>
      </c>
      <c r="S13" s="11" t="s">
        <v>397</v>
      </c>
      <c r="T13" s="11" t="s">
        <v>397</v>
      </c>
      <c r="U13" s="11" t="s">
        <v>397</v>
      </c>
      <c r="V13" s="11" t="s">
        <v>426</v>
      </c>
      <c r="W13" s="11"/>
      <c r="X13" s="20" t="s">
        <v>401</v>
      </c>
      <c r="Y13">
        <v>5.0000000000000001E-3</v>
      </c>
    </row>
    <row r="14" spans="1:25" x14ac:dyDescent="0.25">
      <c r="A14" s="11" t="s">
        <v>345</v>
      </c>
      <c r="B14" s="11" t="s">
        <v>414</v>
      </c>
      <c r="C14" s="11" t="s">
        <v>427</v>
      </c>
      <c r="D14" s="11" t="s">
        <v>416</v>
      </c>
      <c r="E14" s="11"/>
      <c r="F14" s="11" t="s">
        <v>397</v>
      </c>
      <c r="G14" s="11" t="s">
        <v>397</v>
      </c>
      <c r="H14" s="11" t="s">
        <v>397</v>
      </c>
      <c r="I14" s="11" t="s">
        <v>397</v>
      </c>
      <c r="J14" s="11" t="s">
        <v>398</v>
      </c>
      <c r="K14" s="11" t="s">
        <v>399</v>
      </c>
      <c r="L14" s="11" t="s">
        <v>397</v>
      </c>
      <c r="M14" s="11" t="s">
        <v>397</v>
      </c>
      <c r="N14" s="11" t="s">
        <v>397</v>
      </c>
      <c r="O14" s="11" t="s">
        <v>397</v>
      </c>
      <c r="P14" s="11" t="s">
        <v>397</v>
      </c>
      <c r="Q14" s="11" t="s">
        <v>397</v>
      </c>
      <c r="R14" s="11" t="s">
        <v>397</v>
      </c>
      <c r="S14" s="11" t="s">
        <v>397</v>
      </c>
      <c r="T14" s="11" t="s">
        <v>397</v>
      </c>
      <c r="U14" s="11" t="s">
        <v>397</v>
      </c>
      <c r="V14" s="11" t="s">
        <v>428</v>
      </c>
      <c r="W14" s="11"/>
      <c r="X14" s="20" t="s">
        <v>401</v>
      </c>
      <c r="Y14">
        <v>5.0000000000000001E-3</v>
      </c>
    </row>
    <row r="15" spans="1:25" x14ac:dyDescent="0.25">
      <c r="A15" s="11" t="s">
        <v>345</v>
      </c>
      <c r="B15" s="11" t="s">
        <v>414</v>
      </c>
      <c r="C15" s="11" t="s">
        <v>429</v>
      </c>
      <c r="D15" s="11" t="s">
        <v>430</v>
      </c>
      <c r="E15" s="11" t="s">
        <v>396</v>
      </c>
      <c r="F15" s="11" t="s">
        <v>397</v>
      </c>
      <c r="G15" s="11" t="s">
        <v>397</v>
      </c>
      <c r="H15" s="11" t="s">
        <v>397</v>
      </c>
      <c r="I15" s="11" t="s">
        <v>397</v>
      </c>
      <c r="J15" s="11" t="s">
        <v>398</v>
      </c>
      <c r="K15" s="11" t="s">
        <v>399</v>
      </c>
      <c r="L15" s="11" t="s">
        <v>397</v>
      </c>
      <c r="M15" s="11" t="s">
        <v>397</v>
      </c>
      <c r="N15" s="11" t="s">
        <v>397</v>
      </c>
      <c r="O15" s="11" t="s">
        <v>397</v>
      </c>
      <c r="P15" s="11" t="s">
        <v>397</v>
      </c>
      <c r="Q15" s="11" t="s">
        <v>397</v>
      </c>
      <c r="R15" s="11" t="s">
        <v>397</v>
      </c>
      <c r="S15" s="11" t="s">
        <v>397</v>
      </c>
      <c r="T15" s="11" t="s">
        <v>397</v>
      </c>
      <c r="U15" s="11" t="s">
        <v>397</v>
      </c>
      <c r="V15" s="11" t="s">
        <v>431</v>
      </c>
      <c r="W15" s="11"/>
      <c r="X15" s="20" t="s">
        <v>401</v>
      </c>
      <c r="Y15">
        <v>5.0000000000000001E-3</v>
      </c>
    </row>
    <row r="16" spans="1:25" x14ac:dyDescent="0.25">
      <c r="A16" s="11" t="s">
        <v>345</v>
      </c>
      <c r="B16" s="11" t="s">
        <v>414</v>
      </c>
      <c r="C16" s="11" t="s">
        <v>432</v>
      </c>
      <c r="D16" s="11" t="s">
        <v>404</v>
      </c>
      <c r="E16" s="11" t="s">
        <v>396</v>
      </c>
      <c r="F16" s="11" t="s">
        <v>397</v>
      </c>
      <c r="G16" s="11" t="s">
        <v>397</v>
      </c>
      <c r="H16" s="11" t="s">
        <v>397</v>
      </c>
      <c r="I16" s="11" t="s">
        <v>397</v>
      </c>
      <c r="J16" s="11" t="s">
        <v>398</v>
      </c>
      <c r="K16" s="11" t="s">
        <v>399</v>
      </c>
      <c r="L16" s="11" t="s">
        <v>397</v>
      </c>
      <c r="M16" s="11" t="s">
        <v>397</v>
      </c>
      <c r="N16" s="11" t="s">
        <v>397</v>
      </c>
      <c r="O16" s="11" t="s">
        <v>397</v>
      </c>
      <c r="P16" s="11" t="s">
        <v>397</v>
      </c>
      <c r="Q16" s="11" t="s">
        <v>397</v>
      </c>
      <c r="R16" s="11" t="s">
        <v>397</v>
      </c>
      <c r="S16" s="11" t="s">
        <v>397</v>
      </c>
      <c r="T16" s="11" t="s">
        <v>397</v>
      </c>
      <c r="U16" s="11" t="s">
        <v>397</v>
      </c>
      <c r="V16" s="11" t="s">
        <v>433</v>
      </c>
      <c r="W16" s="11"/>
      <c r="X16" s="20" t="s">
        <v>401</v>
      </c>
      <c r="Y16">
        <v>5.0000000000000001E-3</v>
      </c>
    </row>
    <row r="17" spans="1:25" x14ac:dyDescent="0.25">
      <c r="A17" s="11" t="s">
        <v>345</v>
      </c>
      <c r="B17" s="11" t="s">
        <v>414</v>
      </c>
      <c r="C17" s="11" t="s">
        <v>434</v>
      </c>
      <c r="D17" s="11" t="s">
        <v>404</v>
      </c>
      <c r="E17" s="11" t="s">
        <v>396</v>
      </c>
      <c r="F17" s="11" t="s">
        <v>397</v>
      </c>
      <c r="G17" s="11" t="s">
        <v>397</v>
      </c>
      <c r="H17" s="11" t="s">
        <v>397</v>
      </c>
      <c r="I17" s="11" t="s">
        <v>397</v>
      </c>
      <c r="J17" s="11" t="s">
        <v>398</v>
      </c>
      <c r="K17" s="11" t="s">
        <v>399</v>
      </c>
      <c r="L17" s="11" t="s">
        <v>397</v>
      </c>
      <c r="M17" s="11" t="s">
        <v>397</v>
      </c>
      <c r="N17" s="11" t="s">
        <v>397</v>
      </c>
      <c r="O17" s="11" t="s">
        <v>397</v>
      </c>
      <c r="P17" s="11" t="s">
        <v>397</v>
      </c>
      <c r="Q17" s="11" t="s">
        <v>397</v>
      </c>
      <c r="R17" s="11" t="s">
        <v>397</v>
      </c>
      <c r="S17" s="11" t="s">
        <v>397</v>
      </c>
      <c r="T17" s="11" t="s">
        <v>397</v>
      </c>
      <c r="U17" s="11" t="s">
        <v>397</v>
      </c>
      <c r="V17" s="11" t="s">
        <v>435</v>
      </c>
      <c r="W17" s="11"/>
      <c r="X17" s="20" t="s">
        <v>401</v>
      </c>
      <c r="Y17">
        <v>5.0000000000000001E-3</v>
      </c>
    </row>
    <row r="18" spans="1:25" x14ac:dyDescent="0.25">
      <c r="A18" s="11" t="s">
        <v>345</v>
      </c>
      <c r="B18" s="11" t="s">
        <v>414</v>
      </c>
      <c r="C18" s="11" t="s">
        <v>436</v>
      </c>
      <c r="D18" s="11" t="s">
        <v>404</v>
      </c>
      <c r="E18" s="11" t="s">
        <v>396</v>
      </c>
      <c r="F18" s="11" t="s">
        <v>397</v>
      </c>
      <c r="G18" s="11" t="s">
        <v>397</v>
      </c>
      <c r="H18" s="11" t="s">
        <v>397</v>
      </c>
      <c r="I18" s="11" t="s">
        <v>397</v>
      </c>
      <c r="J18" s="11" t="s">
        <v>398</v>
      </c>
      <c r="K18" s="11" t="s">
        <v>399</v>
      </c>
      <c r="L18" s="11" t="s">
        <v>397</v>
      </c>
      <c r="M18" s="11" t="s">
        <v>397</v>
      </c>
      <c r="N18" s="11" t="s">
        <v>397</v>
      </c>
      <c r="O18" s="11" t="s">
        <v>397</v>
      </c>
      <c r="P18" s="11" t="s">
        <v>397</v>
      </c>
      <c r="Q18" s="11" t="s">
        <v>397</v>
      </c>
      <c r="R18" s="11" t="s">
        <v>397</v>
      </c>
      <c r="S18" s="11" t="s">
        <v>397</v>
      </c>
      <c r="T18" s="11" t="s">
        <v>397</v>
      </c>
      <c r="U18" s="11" t="s">
        <v>397</v>
      </c>
      <c r="V18" s="11" t="s">
        <v>437</v>
      </c>
      <c r="W18" s="11"/>
      <c r="X18" s="20" t="s">
        <v>401</v>
      </c>
      <c r="Y18">
        <v>5.0000000000000001E-3</v>
      </c>
    </row>
    <row r="19" spans="1:25" x14ac:dyDescent="0.25">
      <c r="A19" s="11" t="s">
        <v>345</v>
      </c>
      <c r="B19" s="11" t="s">
        <v>414</v>
      </c>
      <c r="C19" s="11" t="s">
        <v>438</v>
      </c>
      <c r="D19" s="11" t="s">
        <v>404</v>
      </c>
      <c r="E19" s="11" t="s">
        <v>396</v>
      </c>
      <c r="F19" s="11" t="s">
        <v>397</v>
      </c>
      <c r="G19" s="11" t="s">
        <v>397</v>
      </c>
      <c r="H19" s="11" t="s">
        <v>397</v>
      </c>
      <c r="I19" s="11" t="s">
        <v>397</v>
      </c>
      <c r="J19" s="11" t="s">
        <v>398</v>
      </c>
      <c r="K19" s="11" t="s">
        <v>399</v>
      </c>
      <c r="L19" s="11" t="s">
        <v>397</v>
      </c>
      <c r="M19" s="11" t="s">
        <v>397</v>
      </c>
      <c r="N19" s="11" t="s">
        <v>397</v>
      </c>
      <c r="O19" s="11" t="s">
        <v>397</v>
      </c>
      <c r="P19" s="11" t="s">
        <v>397</v>
      </c>
      <c r="Q19" s="11" t="s">
        <v>397</v>
      </c>
      <c r="R19" s="11" t="s">
        <v>397</v>
      </c>
      <c r="S19" s="11" t="s">
        <v>397</v>
      </c>
      <c r="T19" s="11" t="s">
        <v>397</v>
      </c>
      <c r="U19" s="11" t="s">
        <v>397</v>
      </c>
      <c r="V19" s="11" t="s">
        <v>439</v>
      </c>
      <c r="W19" s="11"/>
      <c r="X19" s="20" t="s">
        <v>401</v>
      </c>
      <c r="Y19">
        <v>5.0000000000000001E-3</v>
      </c>
    </row>
    <row r="20" spans="1:25" x14ac:dyDescent="0.25">
      <c r="A20" s="11" t="s">
        <v>345</v>
      </c>
      <c r="B20" s="11" t="s">
        <v>414</v>
      </c>
      <c r="C20" s="11" t="s">
        <v>440</v>
      </c>
      <c r="D20" s="11" t="s">
        <v>404</v>
      </c>
      <c r="E20" s="11" t="s">
        <v>396</v>
      </c>
      <c r="F20" s="11" t="s">
        <v>397</v>
      </c>
      <c r="G20" s="11" t="s">
        <v>397</v>
      </c>
      <c r="H20" s="11" t="s">
        <v>397</v>
      </c>
      <c r="I20" s="11" t="s">
        <v>397</v>
      </c>
      <c r="J20" s="11" t="s">
        <v>398</v>
      </c>
      <c r="K20" s="11" t="s">
        <v>399</v>
      </c>
      <c r="L20" s="11" t="s">
        <v>397</v>
      </c>
      <c r="M20" s="11" t="s">
        <v>397</v>
      </c>
      <c r="N20" s="11" t="s">
        <v>397</v>
      </c>
      <c r="O20" s="11" t="s">
        <v>397</v>
      </c>
      <c r="P20" s="11" t="s">
        <v>397</v>
      </c>
      <c r="Q20" s="11" t="s">
        <v>397</v>
      </c>
      <c r="R20" s="11" t="s">
        <v>397</v>
      </c>
      <c r="S20" s="11" t="s">
        <v>397</v>
      </c>
      <c r="T20" s="11" t="s">
        <v>397</v>
      </c>
      <c r="U20" s="11" t="s">
        <v>397</v>
      </c>
      <c r="V20" s="11" t="s">
        <v>441</v>
      </c>
      <c r="W20" s="11"/>
      <c r="X20" s="20" t="s">
        <v>401</v>
      </c>
      <c r="Y20">
        <v>5.0000000000000001E-3</v>
      </c>
    </row>
    <row r="21" spans="1:25" x14ac:dyDescent="0.25">
      <c r="A21" s="11" t="s">
        <v>345</v>
      </c>
      <c r="B21" s="11" t="s">
        <v>414</v>
      </c>
      <c r="C21" s="11" t="s">
        <v>442</v>
      </c>
      <c r="D21" s="11" t="s">
        <v>404</v>
      </c>
      <c r="E21" s="11" t="s">
        <v>396</v>
      </c>
      <c r="F21" s="11" t="s">
        <v>397</v>
      </c>
      <c r="G21" s="11" t="s">
        <v>397</v>
      </c>
      <c r="H21" s="11" t="s">
        <v>397</v>
      </c>
      <c r="I21" s="11" t="s">
        <v>397</v>
      </c>
      <c r="J21" s="11" t="s">
        <v>398</v>
      </c>
      <c r="K21" s="11" t="s">
        <v>399</v>
      </c>
      <c r="L21" s="11" t="s">
        <v>397</v>
      </c>
      <c r="M21" s="11" t="s">
        <v>397</v>
      </c>
      <c r="N21" s="11" t="s">
        <v>397</v>
      </c>
      <c r="O21" s="11" t="s">
        <v>397</v>
      </c>
      <c r="P21" s="11" t="s">
        <v>397</v>
      </c>
      <c r="Q21" s="11" t="s">
        <v>397</v>
      </c>
      <c r="R21" s="11" t="s">
        <v>397</v>
      </c>
      <c r="S21" s="11" t="s">
        <v>397</v>
      </c>
      <c r="T21" s="11" t="s">
        <v>397</v>
      </c>
      <c r="U21" s="11" t="s">
        <v>397</v>
      </c>
      <c r="V21" s="11" t="s">
        <v>443</v>
      </c>
      <c r="W21" s="11"/>
      <c r="X21" s="20" t="s">
        <v>401</v>
      </c>
      <c r="Y21">
        <v>5.0000000000000001E-3</v>
      </c>
    </row>
    <row r="22" spans="1:25" x14ac:dyDescent="0.25">
      <c r="A22" s="11" t="s">
        <v>345</v>
      </c>
      <c r="B22" s="11" t="s">
        <v>414</v>
      </c>
      <c r="C22" s="11" t="s">
        <v>444</v>
      </c>
      <c r="D22" s="11" t="s">
        <v>404</v>
      </c>
      <c r="E22" s="11" t="s">
        <v>396</v>
      </c>
      <c r="F22" s="11" t="s">
        <v>397</v>
      </c>
      <c r="G22" s="11" t="s">
        <v>397</v>
      </c>
      <c r="H22" s="11" t="s">
        <v>397</v>
      </c>
      <c r="I22" s="11" t="s">
        <v>397</v>
      </c>
      <c r="J22" s="11" t="s">
        <v>398</v>
      </c>
      <c r="K22" s="11" t="s">
        <v>399</v>
      </c>
      <c r="L22" s="11" t="s">
        <v>397</v>
      </c>
      <c r="M22" s="11" t="s">
        <v>397</v>
      </c>
      <c r="N22" s="11" t="s">
        <v>397</v>
      </c>
      <c r="O22" s="11" t="s">
        <v>397</v>
      </c>
      <c r="P22" s="11" t="s">
        <v>397</v>
      </c>
      <c r="Q22" s="11" t="s">
        <v>397</v>
      </c>
      <c r="R22" s="11" t="s">
        <v>397</v>
      </c>
      <c r="S22" s="11" t="s">
        <v>397</v>
      </c>
      <c r="T22" s="11" t="s">
        <v>397</v>
      </c>
      <c r="U22" s="11" t="s">
        <v>397</v>
      </c>
      <c r="V22" s="11" t="s">
        <v>445</v>
      </c>
      <c r="W22" s="11"/>
      <c r="X22" s="20" t="s">
        <v>401</v>
      </c>
      <c r="Y22">
        <v>5.0000000000000001E-3</v>
      </c>
    </row>
    <row r="23" spans="1:25" x14ac:dyDescent="0.25">
      <c r="A23" s="11" t="s">
        <v>345</v>
      </c>
      <c r="B23" s="11" t="s">
        <v>414</v>
      </c>
      <c r="C23" s="11" t="s">
        <v>446</v>
      </c>
      <c r="D23" s="11" t="s">
        <v>404</v>
      </c>
      <c r="E23" s="11" t="s">
        <v>396</v>
      </c>
      <c r="F23" s="11" t="s">
        <v>397</v>
      </c>
      <c r="G23" s="11" t="s">
        <v>397</v>
      </c>
      <c r="H23" s="11" t="s">
        <v>397</v>
      </c>
      <c r="I23" s="11" t="s">
        <v>397</v>
      </c>
      <c r="J23" s="11" t="s">
        <v>398</v>
      </c>
      <c r="K23" s="11" t="s">
        <v>399</v>
      </c>
      <c r="L23" s="11" t="s">
        <v>397</v>
      </c>
      <c r="M23" s="11" t="s">
        <v>397</v>
      </c>
      <c r="N23" s="11" t="s">
        <v>397</v>
      </c>
      <c r="O23" s="11" t="s">
        <v>397</v>
      </c>
      <c r="P23" s="11" t="s">
        <v>397</v>
      </c>
      <c r="Q23" s="11" t="s">
        <v>397</v>
      </c>
      <c r="R23" s="11" t="s">
        <v>397</v>
      </c>
      <c r="S23" s="11" t="s">
        <v>397</v>
      </c>
      <c r="T23" s="11" t="s">
        <v>397</v>
      </c>
      <c r="U23" s="11" t="s">
        <v>397</v>
      </c>
      <c r="V23" s="11" t="s">
        <v>447</v>
      </c>
      <c r="W23" s="11"/>
      <c r="X23" s="20" t="s">
        <v>401</v>
      </c>
      <c r="Y23">
        <v>5.0000000000000001E-3</v>
      </c>
    </row>
    <row r="24" spans="1:25" x14ac:dyDescent="0.25">
      <c r="A24" s="11" t="s">
        <v>345</v>
      </c>
      <c r="B24" s="11" t="s">
        <v>414</v>
      </c>
      <c r="C24" s="11" t="s">
        <v>448</v>
      </c>
      <c r="D24" s="11" t="s">
        <v>404</v>
      </c>
      <c r="E24" s="11" t="s">
        <v>396</v>
      </c>
      <c r="F24" s="11" t="s">
        <v>397</v>
      </c>
      <c r="G24" s="11" t="s">
        <v>397</v>
      </c>
      <c r="H24" s="11" t="s">
        <v>397</v>
      </c>
      <c r="I24" s="11" t="s">
        <v>397</v>
      </c>
      <c r="J24" s="11" t="s">
        <v>398</v>
      </c>
      <c r="K24" s="11" t="s">
        <v>399</v>
      </c>
      <c r="L24" s="11" t="s">
        <v>397</v>
      </c>
      <c r="M24" s="11" t="s">
        <v>397</v>
      </c>
      <c r="N24" s="11" t="s">
        <v>397</v>
      </c>
      <c r="O24" s="11" t="s">
        <v>397</v>
      </c>
      <c r="P24" s="11" t="s">
        <v>397</v>
      </c>
      <c r="Q24" s="11" t="s">
        <v>397</v>
      </c>
      <c r="R24" s="11" t="s">
        <v>397</v>
      </c>
      <c r="S24" s="11" t="s">
        <v>397</v>
      </c>
      <c r="T24" s="11" t="s">
        <v>397</v>
      </c>
      <c r="U24" s="11" t="s">
        <v>397</v>
      </c>
      <c r="V24" s="11" t="s">
        <v>449</v>
      </c>
      <c r="W24" s="11"/>
      <c r="X24" s="20" t="s">
        <v>401</v>
      </c>
      <c r="Y24">
        <v>5.0000000000000001E-3</v>
      </c>
    </row>
    <row r="25" spans="1:25" x14ac:dyDescent="0.25">
      <c r="A25" s="11" t="s">
        <v>345</v>
      </c>
      <c r="B25" s="11" t="s">
        <v>450</v>
      </c>
      <c r="C25" s="11" t="s">
        <v>451</v>
      </c>
      <c r="D25" s="11" t="s">
        <v>404</v>
      </c>
      <c r="E25" s="11" t="s">
        <v>396</v>
      </c>
      <c r="F25" s="11" t="s">
        <v>397</v>
      </c>
      <c r="G25" s="11" t="s">
        <v>397</v>
      </c>
      <c r="H25" s="11" t="s">
        <v>397</v>
      </c>
      <c r="I25" s="11" t="s">
        <v>397</v>
      </c>
      <c r="J25" s="11" t="s">
        <v>398</v>
      </c>
      <c r="K25" s="11" t="s">
        <v>399</v>
      </c>
      <c r="L25" s="11" t="s">
        <v>397</v>
      </c>
      <c r="M25" s="11" t="s">
        <v>397</v>
      </c>
      <c r="N25" s="11" t="s">
        <v>397</v>
      </c>
      <c r="O25" s="11" t="s">
        <v>397</v>
      </c>
      <c r="P25" s="11" t="s">
        <v>397</v>
      </c>
      <c r="Q25" s="11" t="s">
        <v>397</v>
      </c>
      <c r="R25" s="11" t="s">
        <v>397</v>
      </c>
      <c r="S25" s="11" t="s">
        <v>397</v>
      </c>
      <c r="T25" s="11" t="s">
        <v>397</v>
      </c>
      <c r="U25" s="11" t="s">
        <v>397</v>
      </c>
      <c r="V25" s="11" t="s">
        <v>405</v>
      </c>
      <c r="W25" s="11"/>
      <c r="X25" s="20" t="s">
        <v>401</v>
      </c>
      <c r="Y25">
        <v>5.0000000000000001E-3</v>
      </c>
    </row>
    <row r="26" spans="1:25" x14ac:dyDescent="0.25">
      <c r="A26" s="11" t="s">
        <v>345</v>
      </c>
      <c r="B26" s="11" t="s">
        <v>452</v>
      </c>
      <c r="C26" s="11" t="s">
        <v>453</v>
      </c>
      <c r="D26" s="11" t="s">
        <v>454</v>
      </c>
      <c r="E26" s="11" t="s">
        <v>396</v>
      </c>
      <c r="F26" s="11" t="s">
        <v>397</v>
      </c>
      <c r="G26" s="11" t="s">
        <v>397</v>
      </c>
      <c r="H26" s="11" t="s">
        <v>397</v>
      </c>
      <c r="I26" s="11" t="s">
        <v>397</v>
      </c>
      <c r="J26" s="11" t="s">
        <v>398</v>
      </c>
      <c r="K26" s="11" t="s">
        <v>399</v>
      </c>
      <c r="L26" s="11" t="s">
        <v>397</v>
      </c>
      <c r="M26" s="11" t="s">
        <v>397</v>
      </c>
      <c r="N26" s="11" t="s">
        <v>397</v>
      </c>
      <c r="O26" s="11" t="s">
        <v>397</v>
      </c>
      <c r="P26" s="11" t="s">
        <v>397</v>
      </c>
      <c r="Q26" s="11" t="s">
        <v>397</v>
      </c>
      <c r="R26" s="11" t="s">
        <v>397</v>
      </c>
      <c r="S26" s="11" t="s">
        <v>397</v>
      </c>
      <c r="T26" s="11" t="s">
        <v>397</v>
      </c>
      <c r="U26" s="11" t="s">
        <v>397</v>
      </c>
      <c r="V26" s="11" t="s">
        <v>455</v>
      </c>
      <c r="W26" s="11"/>
      <c r="X26" s="20" t="s">
        <v>401</v>
      </c>
      <c r="Y26">
        <v>5.0000000000000001E-3</v>
      </c>
    </row>
    <row r="27" spans="1:25" x14ac:dyDescent="0.25">
      <c r="A27" s="11" t="s">
        <v>345</v>
      </c>
      <c r="B27" s="11" t="s">
        <v>456</v>
      </c>
      <c r="C27" s="11" t="s">
        <v>457</v>
      </c>
      <c r="D27" s="11" t="s">
        <v>416</v>
      </c>
      <c r="E27" s="11" t="s">
        <v>396</v>
      </c>
      <c r="F27" s="11" t="s">
        <v>397</v>
      </c>
      <c r="G27" s="11" t="s">
        <v>397</v>
      </c>
      <c r="H27" s="11" t="s">
        <v>397</v>
      </c>
      <c r="I27" s="11" t="s">
        <v>397</v>
      </c>
      <c r="J27" s="11" t="s">
        <v>398</v>
      </c>
      <c r="K27" s="11" t="s">
        <v>399</v>
      </c>
      <c r="L27" s="11" t="s">
        <v>397</v>
      </c>
      <c r="M27" s="11" t="s">
        <v>397</v>
      </c>
      <c r="N27" s="11" t="s">
        <v>397</v>
      </c>
      <c r="O27" s="11" t="s">
        <v>397</v>
      </c>
      <c r="P27" s="11" t="s">
        <v>397</v>
      </c>
      <c r="Q27" s="11" t="s">
        <v>397</v>
      </c>
      <c r="R27" s="11" t="s">
        <v>397</v>
      </c>
      <c r="S27" s="11" t="s">
        <v>397</v>
      </c>
      <c r="T27" s="11" t="s">
        <v>397</v>
      </c>
      <c r="U27" s="11" t="s">
        <v>397</v>
      </c>
      <c r="V27" s="11" t="s">
        <v>458</v>
      </c>
      <c r="W27" s="11"/>
      <c r="X27" s="20" t="s">
        <v>401</v>
      </c>
      <c r="Y27">
        <v>5.0000000000000001E-3</v>
      </c>
    </row>
    <row r="28" spans="1:25" x14ac:dyDescent="0.25">
      <c r="A28" s="11" t="s">
        <v>345</v>
      </c>
      <c r="B28" s="11" t="s">
        <v>456</v>
      </c>
      <c r="C28" s="11" t="s">
        <v>459</v>
      </c>
      <c r="D28" s="11" t="s">
        <v>404</v>
      </c>
      <c r="E28" s="11" t="s">
        <v>396</v>
      </c>
      <c r="F28" s="11" t="s">
        <v>397</v>
      </c>
      <c r="G28" s="11" t="s">
        <v>397</v>
      </c>
      <c r="H28" s="11" t="s">
        <v>397</v>
      </c>
      <c r="I28" s="11" t="s">
        <v>397</v>
      </c>
      <c r="J28" s="11" t="s">
        <v>398</v>
      </c>
      <c r="K28" s="11" t="s">
        <v>399</v>
      </c>
      <c r="L28" s="11" t="s">
        <v>397</v>
      </c>
      <c r="M28" s="11" t="s">
        <v>397</v>
      </c>
      <c r="N28" s="11" t="s">
        <v>397</v>
      </c>
      <c r="O28" s="11" t="s">
        <v>397</v>
      </c>
      <c r="P28" s="11" t="s">
        <v>397</v>
      </c>
      <c r="Q28" s="11" t="s">
        <v>397</v>
      </c>
      <c r="R28" s="11" t="s">
        <v>397</v>
      </c>
      <c r="S28" s="11" t="s">
        <v>397</v>
      </c>
      <c r="T28" s="11" t="s">
        <v>397</v>
      </c>
      <c r="U28" s="11" t="s">
        <v>397</v>
      </c>
      <c r="V28" s="11" t="s">
        <v>460</v>
      </c>
      <c r="W28" s="11"/>
      <c r="X28" s="20" t="s">
        <v>401</v>
      </c>
      <c r="Y28">
        <v>5.0000000000000001E-3</v>
      </c>
    </row>
    <row r="29" spans="1:25" x14ac:dyDescent="0.25">
      <c r="A29" s="11" t="s">
        <v>345</v>
      </c>
      <c r="B29" s="11" t="s">
        <v>456</v>
      </c>
      <c r="C29" s="11" t="s">
        <v>461</v>
      </c>
      <c r="D29" s="11" t="s">
        <v>404</v>
      </c>
      <c r="E29" s="11" t="s">
        <v>396</v>
      </c>
      <c r="F29" s="11" t="s">
        <v>397</v>
      </c>
      <c r="G29" s="11" t="s">
        <v>397</v>
      </c>
      <c r="H29" s="11" t="s">
        <v>397</v>
      </c>
      <c r="I29" s="11" t="s">
        <v>397</v>
      </c>
      <c r="J29" s="11" t="s">
        <v>398</v>
      </c>
      <c r="K29" s="11" t="s">
        <v>399</v>
      </c>
      <c r="L29" s="11" t="s">
        <v>397</v>
      </c>
      <c r="M29" s="11" t="s">
        <v>397</v>
      </c>
      <c r="N29" s="11" t="s">
        <v>397</v>
      </c>
      <c r="O29" s="11" t="s">
        <v>397</v>
      </c>
      <c r="P29" s="11" t="s">
        <v>397</v>
      </c>
      <c r="Q29" s="11" t="s">
        <v>397</v>
      </c>
      <c r="R29" s="11" t="s">
        <v>397</v>
      </c>
      <c r="S29" s="11" t="s">
        <v>397</v>
      </c>
      <c r="T29" s="11" t="s">
        <v>397</v>
      </c>
      <c r="U29" s="11" t="s">
        <v>397</v>
      </c>
      <c r="V29" s="11" t="s">
        <v>462</v>
      </c>
      <c r="W29" s="11"/>
      <c r="X29" s="20" t="s">
        <v>401</v>
      </c>
      <c r="Y29">
        <v>5.0000000000000001E-3</v>
      </c>
    </row>
    <row r="30" spans="1:25" x14ac:dyDescent="0.25">
      <c r="A30" s="11" t="s">
        <v>345</v>
      </c>
      <c r="B30" s="11" t="s">
        <v>456</v>
      </c>
      <c r="C30" s="11" t="s">
        <v>463</v>
      </c>
      <c r="D30" s="11" t="s">
        <v>464</v>
      </c>
      <c r="E30" s="11" t="s">
        <v>396</v>
      </c>
      <c r="F30" s="11" t="s">
        <v>397</v>
      </c>
      <c r="G30" s="11" t="s">
        <v>397</v>
      </c>
      <c r="H30" s="11" t="s">
        <v>397</v>
      </c>
      <c r="I30" s="11" t="s">
        <v>397</v>
      </c>
      <c r="J30" s="11" t="s">
        <v>398</v>
      </c>
      <c r="K30" s="11" t="s">
        <v>399</v>
      </c>
      <c r="L30" s="11" t="s">
        <v>397</v>
      </c>
      <c r="M30" s="11" t="s">
        <v>397</v>
      </c>
      <c r="N30" s="11" t="s">
        <v>397</v>
      </c>
      <c r="O30" s="11" t="s">
        <v>397</v>
      </c>
      <c r="P30" s="11" t="s">
        <v>397</v>
      </c>
      <c r="Q30" s="11" t="s">
        <v>397</v>
      </c>
      <c r="R30" s="11" t="s">
        <v>397</v>
      </c>
      <c r="S30" s="11" t="s">
        <v>397</v>
      </c>
      <c r="T30" s="11" t="s">
        <v>397</v>
      </c>
      <c r="U30" s="11" t="s">
        <v>397</v>
      </c>
      <c r="V30" s="11" t="s">
        <v>465</v>
      </c>
      <c r="W30" s="11"/>
      <c r="X30" s="20" t="s">
        <v>401</v>
      </c>
      <c r="Y30">
        <v>5.0000000000000001E-3</v>
      </c>
    </row>
    <row r="31" spans="1:25" x14ac:dyDescent="0.25">
      <c r="A31" s="11" t="s">
        <v>345</v>
      </c>
      <c r="B31" s="11" t="s">
        <v>456</v>
      </c>
      <c r="C31" s="11" t="s">
        <v>466</v>
      </c>
      <c r="D31" s="11" t="s">
        <v>404</v>
      </c>
      <c r="E31" s="11" t="s">
        <v>396</v>
      </c>
      <c r="F31" s="11" t="s">
        <v>397</v>
      </c>
      <c r="G31" s="11" t="s">
        <v>397</v>
      </c>
      <c r="H31" s="11" t="s">
        <v>397</v>
      </c>
      <c r="I31" s="11" t="s">
        <v>397</v>
      </c>
      <c r="J31" s="11" t="s">
        <v>398</v>
      </c>
      <c r="K31" s="11" t="s">
        <v>399</v>
      </c>
      <c r="L31" s="11" t="s">
        <v>397</v>
      </c>
      <c r="M31" s="11" t="s">
        <v>397</v>
      </c>
      <c r="N31" s="11" t="s">
        <v>397</v>
      </c>
      <c r="O31" s="11" t="s">
        <v>397</v>
      </c>
      <c r="P31" s="11" t="s">
        <v>397</v>
      </c>
      <c r="Q31" s="11" t="s">
        <v>397</v>
      </c>
      <c r="R31" s="11" t="s">
        <v>397</v>
      </c>
      <c r="S31" s="11" t="s">
        <v>397</v>
      </c>
      <c r="T31" s="11" t="s">
        <v>397</v>
      </c>
      <c r="U31" s="11" t="s">
        <v>397</v>
      </c>
      <c r="V31" s="11" t="s">
        <v>467</v>
      </c>
      <c r="W31" s="11"/>
      <c r="X31" s="20" t="s">
        <v>401</v>
      </c>
      <c r="Y31">
        <v>5.0000000000000001E-3</v>
      </c>
    </row>
    <row r="32" spans="1:25" x14ac:dyDescent="0.25">
      <c r="A32" s="11" t="s">
        <v>345</v>
      </c>
      <c r="B32" s="11" t="s">
        <v>456</v>
      </c>
      <c r="C32" s="11" t="s">
        <v>468</v>
      </c>
      <c r="D32" s="11" t="s">
        <v>416</v>
      </c>
      <c r="E32" s="11" t="s">
        <v>396</v>
      </c>
      <c r="F32" s="11" t="s">
        <v>397</v>
      </c>
      <c r="G32" s="11" t="s">
        <v>397</v>
      </c>
      <c r="H32" s="11" t="s">
        <v>397</v>
      </c>
      <c r="I32" s="11" t="s">
        <v>397</v>
      </c>
      <c r="J32" s="11" t="s">
        <v>398</v>
      </c>
      <c r="K32" s="11" t="s">
        <v>399</v>
      </c>
      <c r="L32" s="11" t="s">
        <v>397</v>
      </c>
      <c r="M32" s="11" t="s">
        <v>397</v>
      </c>
      <c r="N32" s="11" t="s">
        <v>397</v>
      </c>
      <c r="O32" s="11" t="s">
        <v>397</v>
      </c>
      <c r="P32" s="11" t="s">
        <v>397</v>
      </c>
      <c r="Q32" s="11" t="s">
        <v>397</v>
      </c>
      <c r="R32" s="11" t="s">
        <v>397</v>
      </c>
      <c r="S32" s="11" t="s">
        <v>397</v>
      </c>
      <c r="T32" s="11" t="s">
        <v>397</v>
      </c>
      <c r="U32" s="11" t="s">
        <v>397</v>
      </c>
      <c r="V32" s="11" t="s">
        <v>469</v>
      </c>
      <c r="W32" s="11"/>
      <c r="X32" s="20" t="s">
        <v>401</v>
      </c>
      <c r="Y32">
        <v>5.0000000000000001E-3</v>
      </c>
    </row>
    <row r="33" spans="1:25" x14ac:dyDescent="0.25">
      <c r="A33" s="11" t="s">
        <v>345</v>
      </c>
      <c r="B33" s="11" t="s">
        <v>456</v>
      </c>
      <c r="C33" s="11" t="s">
        <v>470</v>
      </c>
      <c r="D33" s="11" t="s">
        <v>471</v>
      </c>
      <c r="E33" s="11" t="s">
        <v>396</v>
      </c>
      <c r="F33" s="11" t="s">
        <v>397</v>
      </c>
      <c r="G33" s="11" t="s">
        <v>397</v>
      </c>
      <c r="H33" s="11" t="s">
        <v>397</v>
      </c>
      <c r="I33" s="11" t="s">
        <v>397</v>
      </c>
      <c r="J33" s="11" t="s">
        <v>398</v>
      </c>
      <c r="K33" s="11" t="s">
        <v>399</v>
      </c>
      <c r="L33" s="11" t="s">
        <v>397</v>
      </c>
      <c r="M33" s="11" t="s">
        <v>397</v>
      </c>
      <c r="N33" s="11" t="s">
        <v>397</v>
      </c>
      <c r="O33" s="11" t="s">
        <v>397</v>
      </c>
      <c r="P33" s="11" t="s">
        <v>397</v>
      </c>
      <c r="Q33" s="11" t="s">
        <v>397</v>
      </c>
      <c r="R33" s="11" t="s">
        <v>397</v>
      </c>
      <c r="S33" s="11" t="s">
        <v>397</v>
      </c>
      <c r="T33" s="11" t="s">
        <v>397</v>
      </c>
      <c r="U33" s="11" t="s">
        <v>397</v>
      </c>
      <c r="V33" s="11" t="s">
        <v>472</v>
      </c>
      <c r="W33" s="11"/>
      <c r="X33" s="20" t="s">
        <v>401</v>
      </c>
      <c r="Y33">
        <v>5.0000000000000001E-3</v>
      </c>
    </row>
    <row r="34" spans="1:25" x14ac:dyDescent="0.25">
      <c r="A34" s="11" t="s">
        <v>345</v>
      </c>
      <c r="B34" s="11" t="s">
        <v>456</v>
      </c>
      <c r="C34" s="11" t="s">
        <v>473</v>
      </c>
      <c r="D34" s="11" t="s">
        <v>404</v>
      </c>
      <c r="E34" s="11" t="s">
        <v>396</v>
      </c>
      <c r="F34" s="11" t="s">
        <v>397</v>
      </c>
      <c r="G34" s="11" t="s">
        <v>397</v>
      </c>
      <c r="H34" s="11" t="s">
        <v>397</v>
      </c>
      <c r="I34" s="11" t="s">
        <v>397</v>
      </c>
      <c r="J34" s="11" t="s">
        <v>398</v>
      </c>
      <c r="K34" s="11" t="s">
        <v>399</v>
      </c>
      <c r="L34" s="11" t="s">
        <v>397</v>
      </c>
      <c r="M34" s="11" t="s">
        <v>397</v>
      </c>
      <c r="N34" s="11" t="s">
        <v>397</v>
      </c>
      <c r="O34" s="11" t="s">
        <v>397</v>
      </c>
      <c r="P34" s="11" t="s">
        <v>397</v>
      </c>
      <c r="Q34" s="11" t="s">
        <v>397</v>
      </c>
      <c r="R34" s="11" t="s">
        <v>397</v>
      </c>
      <c r="S34" s="11" t="s">
        <v>397</v>
      </c>
      <c r="T34" s="11" t="s">
        <v>397</v>
      </c>
      <c r="U34" s="11" t="s">
        <v>397</v>
      </c>
      <c r="V34" s="11" t="s">
        <v>474</v>
      </c>
      <c r="W34" s="11"/>
      <c r="X34" s="20" t="s">
        <v>401</v>
      </c>
      <c r="Y34">
        <v>5.0000000000000001E-3</v>
      </c>
    </row>
    <row r="35" spans="1:25" x14ac:dyDescent="0.25">
      <c r="A35" s="11" t="s">
        <v>345</v>
      </c>
      <c r="B35" s="11" t="s">
        <v>456</v>
      </c>
      <c r="C35" s="11" t="s">
        <v>475</v>
      </c>
      <c r="D35" s="11" t="s">
        <v>404</v>
      </c>
      <c r="E35" s="11" t="s">
        <v>396</v>
      </c>
      <c r="F35" s="11" t="s">
        <v>397</v>
      </c>
      <c r="G35" s="11" t="s">
        <v>397</v>
      </c>
      <c r="H35" s="11" t="s">
        <v>397</v>
      </c>
      <c r="I35" s="11" t="s">
        <v>397</v>
      </c>
      <c r="J35" s="11" t="s">
        <v>398</v>
      </c>
      <c r="K35" s="11" t="s">
        <v>399</v>
      </c>
      <c r="L35" s="11" t="s">
        <v>397</v>
      </c>
      <c r="M35" s="11" t="s">
        <v>397</v>
      </c>
      <c r="N35" s="11" t="s">
        <v>397</v>
      </c>
      <c r="O35" s="11" t="s">
        <v>397</v>
      </c>
      <c r="P35" s="11" t="s">
        <v>397</v>
      </c>
      <c r="Q35" s="11" t="s">
        <v>397</v>
      </c>
      <c r="R35" s="11" t="s">
        <v>397</v>
      </c>
      <c r="S35" s="11" t="s">
        <v>397</v>
      </c>
      <c r="T35" s="11" t="s">
        <v>397</v>
      </c>
      <c r="U35" s="11" t="s">
        <v>397</v>
      </c>
      <c r="V35" s="11" t="s">
        <v>476</v>
      </c>
      <c r="W35" s="11"/>
      <c r="X35" s="20" t="s">
        <v>401</v>
      </c>
      <c r="Y35">
        <v>5.0000000000000001E-3</v>
      </c>
    </row>
    <row r="36" spans="1:25" x14ac:dyDescent="0.25">
      <c r="A36" s="11" t="s">
        <v>345</v>
      </c>
      <c r="B36" s="11" t="s">
        <v>456</v>
      </c>
      <c r="C36" s="11" t="s">
        <v>477</v>
      </c>
      <c r="D36" s="11" t="s">
        <v>404</v>
      </c>
      <c r="E36" s="11" t="s">
        <v>396</v>
      </c>
      <c r="F36" s="11" t="s">
        <v>397</v>
      </c>
      <c r="G36" s="11" t="s">
        <v>397</v>
      </c>
      <c r="H36" s="11" t="s">
        <v>397</v>
      </c>
      <c r="I36" s="11" t="s">
        <v>397</v>
      </c>
      <c r="J36" s="11" t="s">
        <v>398</v>
      </c>
      <c r="K36" s="11" t="s">
        <v>399</v>
      </c>
      <c r="L36" s="11" t="s">
        <v>397</v>
      </c>
      <c r="M36" s="11" t="s">
        <v>397</v>
      </c>
      <c r="N36" s="11" t="s">
        <v>397</v>
      </c>
      <c r="O36" s="11" t="s">
        <v>397</v>
      </c>
      <c r="P36" s="11" t="s">
        <v>397</v>
      </c>
      <c r="Q36" s="11" t="s">
        <v>397</v>
      </c>
      <c r="R36" s="11" t="s">
        <v>397</v>
      </c>
      <c r="S36" s="11" t="s">
        <v>397</v>
      </c>
      <c r="T36" s="11" t="s">
        <v>397</v>
      </c>
      <c r="U36" s="11" t="s">
        <v>397</v>
      </c>
      <c r="V36" s="11" t="s">
        <v>478</v>
      </c>
      <c r="W36" s="11"/>
      <c r="X36" s="20" t="s">
        <v>401</v>
      </c>
      <c r="Y36">
        <v>5.0000000000000001E-3</v>
      </c>
    </row>
    <row r="37" spans="1:25" x14ac:dyDescent="0.25">
      <c r="A37" s="11" t="s">
        <v>345</v>
      </c>
      <c r="B37" s="11" t="s">
        <v>479</v>
      </c>
      <c r="C37" s="11" t="s">
        <v>480</v>
      </c>
      <c r="D37" s="11" t="s">
        <v>481</v>
      </c>
      <c r="E37" s="11" t="s">
        <v>396</v>
      </c>
      <c r="F37" s="11" t="s">
        <v>397</v>
      </c>
      <c r="G37" s="11" t="s">
        <v>397</v>
      </c>
      <c r="H37" s="11" t="s">
        <v>397</v>
      </c>
      <c r="I37" s="11" t="s">
        <v>397</v>
      </c>
      <c r="J37" s="11" t="s">
        <v>398</v>
      </c>
      <c r="K37" s="11" t="s">
        <v>399</v>
      </c>
      <c r="L37" s="11" t="s">
        <v>397</v>
      </c>
      <c r="M37" s="11" t="s">
        <v>397</v>
      </c>
      <c r="N37" s="11" t="s">
        <v>397</v>
      </c>
      <c r="O37" s="11" t="s">
        <v>397</v>
      </c>
      <c r="P37" s="11" t="s">
        <v>397</v>
      </c>
      <c r="Q37" s="11" t="s">
        <v>397</v>
      </c>
      <c r="R37" s="11" t="s">
        <v>397</v>
      </c>
      <c r="S37" s="11" t="s">
        <v>397</v>
      </c>
      <c r="T37" s="11" t="s">
        <v>397</v>
      </c>
      <c r="U37" s="11" t="s">
        <v>397</v>
      </c>
      <c r="V37" s="11" t="s">
        <v>482</v>
      </c>
      <c r="W37" s="11"/>
      <c r="X37" s="20" t="s">
        <v>401</v>
      </c>
      <c r="Y37">
        <v>5.0000000000000001E-3</v>
      </c>
    </row>
    <row r="38" spans="1:25" x14ac:dyDescent="0.25">
      <c r="A38" s="11" t="s">
        <v>345</v>
      </c>
      <c r="B38" s="11" t="s">
        <v>479</v>
      </c>
      <c r="C38" s="11" t="s">
        <v>480</v>
      </c>
      <c r="D38" s="11" t="s">
        <v>481</v>
      </c>
      <c r="E38" s="11" t="s">
        <v>396</v>
      </c>
      <c r="F38" s="11" t="s">
        <v>397</v>
      </c>
      <c r="G38" s="11" t="s">
        <v>397</v>
      </c>
      <c r="H38" s="11" t="s">
        <v>397</v>
      </c>
      <c r="I38" s="11" t="s">
        <v>397</v>
      </c>
      <c r="J38" s="11" t="s">
        <v>398</v>
      </c>
      <c r="K38" s="11" t="s">
        <v>399</v>
      </c>
      <c r="L38" s="11" t="s">
        <v>397</v>
      </c>
      <c r="M38" s="11" t="s">
        <v>397</v>
      </c>
      <c r="N38" s="11" t="s">
        <v>397</v>
      </c>
      <c r="O38" s="11" t="s">
        <v>397</v>
      </c>
      <c r="P38" s="11" t="s">
        <v>397</v>
      </c>
      <c r="Q38" s="11" t="s">
        <v>397</v>
      </c>
      <c r="R38" s="11" t="s">
        <v>397</v>
      </c>
      <c r="S38" s="11" t="s">
        <v>397</v>
      </c>
      <c r="T38" s="11" t="s">
        <v>397</v>
      </c>
      <c r="U38" s="11" t="s">
        <v>397</v>
      </c>
      <c r="V38" s="11" t="s">
        <v>483</v>
      </c>
      <c r="W38" s="11"/>
      <c r="X38" s="20" t="s">
        <v>401</v>
      </c>
      <c r="Y38">
        <v>5.0000000000000001E-3</v>
      </c>
    </row>
    <row r="39" spans="1:25" x14ac:dyDescent="0.25">
      <c r="A39" s="11" t="s">
        <v>345</v>
      </c>
      <c r="B39" s="11" t="s">
        <v>479</v>
      </c>
      <c r="C39" s="11" t="s">
        <v>480</v>
      </c>
      <c r="D39" s="11" t="s">
        <v>484</v>
      </c>
      <c r="E39" s="11" t="s">
        <v>485</v>
      </c>
      <c r="F39" s="11" t="s">
        <v>397</v>
      </c>
      <c r="G39" s="11" t="s">
        <v>397</v>
      </c>
      <c r="H39" s="11" t="s">
        <v>397</v>
      </c>
      <c r="I39" s="11" t="s">
        <v>397</v>
      </c>
      <c r="J39" s="11" t="s">
        <v>398</v>
      </c>
      <c r="K39" s="11" t="s">
        <v>399</v>
      </c>
      <c r="L39" s="11" t="s">
        <v>397</v>
      </c>
      <c r="M39" s="11" t="s">
        <v>397</v>
      </c>
      <c r="N39" s="11" t="s">
        <v>397</v>
      </c>
      <c r="O39" s="11" t="s">
        <v>397</v>
      </c>
      <c r="P39" s="11" t="s">
        <v>397</v>
      </c>
      <c r="Q39" s="11" t="s">
        <v>397</v>
      </c>
      <c r="R39" s="11" t="s">
        <v>397</v>
      </c>
      <c r="S39" s="11" t="s">
        <v>397</v>
      </c>
      <c r="T39" s="11" t="s">
        <v>397</v>
      </c>
      <c r="U39" s="11" t="s">
        <v>397</v>
      </c>
      <c r="V39" s="11"/>
      <c r="W39" s="11"/>
      <c r="X39" s="25" t="s">
        <v>486</v>
      </c>
      <c r="Y39">
        <v>5.0000000000000001E-3</v>
      </c>
    </row>
    <row r="40" spans="1:25" x14ac:dyDescent="0.25">
      <c r="A40" s="11" t="s">
        <v>345</v>
      </c>
      <c r="B40" s="11" t="s">
        <v>487</v>
      </c>
      <c r="C40" s="11" t="s">
        <v>488</v>
      </c>
      <c r="D40" s="11" t="s">
        <v>404</v>
      </c>
      <c r="E40" s="11" t="s">
        <v>396</v>
      </c>
      <c r="F40" s="11" t="s">
        <v>397</v>
      </c>
      <c r="G40" s="11" t="s">
        <v>397</v>
      </c>
      <c r="H40" s="11" t="s">
        <v>397</v>
      </c>
      <c r="I40" s="11" t="s">
        <v>397</v>
      </c>
      <c r="J40" s="11" t="s">
        <v>398</v>
      </c>
      <c r="K40" s="11" t="s">
        <v>399</v>
      </c>
      <c r="L40" s="11" t="s">
        <v>397</v>
      </c>
      <c r="M40" s="11" t="s">
        <v>397</v>
      </c>
      <c r="N40" s="11" t="s">
        <v>397</v>
      </c>
      <c r="O40" s="11" t="s">
        <v>397</v>
      </c>
      <c r="P40" s="11" t="s">
        <v>397</v>
      </c>
      <c r="Q40" s="11" t="s">
        <v>397</v>
      </c>
      <c r="R40" s="11" t="s">
        <v>397</v>
      </c>
      <c r="S40" s="11" t="s">
        <v>397</v>
      </c>
      <c r="T40" s="11" t="s">
        <v>397</v>
      </c>
      <c r="U40" s="11" t="s">
        <v>397</v>
      </c>
      <c r="V40" s="11" t="s">
        <v>489</v>
      </c>
      <c r="W40" s="11"/>
      <c r="X40" s="20" t="s">
        <v>401</v>
      </c>
      <c r="Y40">
        <v>5.0000000000000001E-3</v>
      </c>
    </row>
    <row r="41" spans="1:25" x14ac:dyDescent="0.25">
      <c r="A41" s="11" t="s">
        <v>345</v>
      </c>
      <c r="B41" s="11" t="s">
        <v>487</v>
      </c>
      <c r="C41" s="11" t="s">
        <v>488</v>
      </c>
      <c r="D41" s="11" t="s">
        <v>404</v>
      </c>
      <c r="E41" s="11" t="s">
        <v>396</v>
      </c>
      <c r="F41" s="11" t="s">
        <v>397</v>
      </c>
      <c r="G41" s="11" t="s">
        <v>397</v>
      </c>
      <c r="H41" s="11" t="s">
        <v>397</v>
      </c>
      <c r="I41" s="11" t="s">
        <v>397</v>
      </c>
      <c r="J41" s="11" t="s">
        <v>398</v>
      </c>
      <c r="K41" s="11" t="s">
        <v>399</v>
      </c>
      <c r="L41" s="11" t="s">
        <v>397</v>
      </c>
      <c r="M41" s="11" t="s">
        <v>397</v>
      </c>
      <c r="N41" s="11" t="s">
        <v>397</v>
      </c>
      <c r="O41" s="11" t="s">
        <v>397</v>
      </c>
      <c r="P41" s="11" t="s">
        <v>397</v>
      </c>
      <c r="Q41" s="11" t="s">
        <v>397</v>
      </c>
      <c r="R41" s="11" t="s">
        <v>397</v>
      </c>
      <c r="S41" s="11" t="s">
        <v>397</v>
      </c>
      <c r="T41" s="11" t="s">
        <v>397</v>
      </c>
      <c r="U41" s="11" t="s">
        <v>397</v>
      </c>
      <c r="V41" s="11" t="s">
        <v>490</v>
      </c>
      <c r="W41" s="11"/>
      <c r="X41" s="20" t="s">
        <v>401</v>
      </c>
      <c r="Y41">
        <v>5.0000000000000001E-3</v>
      </c>
    </row>
    <row r="42" spans="1:25" x14ac:dyDescent="0.25">
      <c r="A42" s="11" t="s">
        <v>345</v>
      </c>
      <c r="B42" s="11" t="s">
        <v>491</v>
      </c>
      <c r="C42" s="11" t="s">
        <v>492</v>
      </c>
      <c r="D42" s="11" t="s">
        <v>404</v>
      </c>
      <c r="E42" s="11" t="s">
        <v>396</v>
      </c>
      <c r="F42" s="11" t="s">
        <v>397</v>
      </c>
      <c r="G42" s="11" t="s">
        <v>397</v>
      </c>
      <c r="H42" s="11" t="s">
        <v>397</v>
      </c>
      <c r="I42" s="11" t="s">
        <v>397</v>
      </c>
      <c r="J42" s="11" t="s">
        <v>398</v>
      </c>
      <c r="K42" s="11" t="s">
        <v>399</v>
      </c>
      <c r="L42" s="11" t="s">
        <v>397</v>
      </c>
      <c r="M42" s="11" t="s">
        <v>397</v>
      </c>
      <c r="N42" s="11" t="s">
        <v>397</v>
      </c>
      <c r="O42" s="11" t="s">
        <v>397</v>
      </c>
      <c r="P42" s="11" t="s">
        <v>397</v>
      </c>
      <c r="Q42" s="11" t="s">
        <v>397</v>
      </c>
      <c r="R42" s="11" t="s">
        <v>397</v>
      </c>
      <c r="S42" s="11" t="s">
        <v>397</v>
      </c>
      <c r="T42" s="11" t="s">
        <v>397</v>
      </c>
      <c r="U42" s="11" t="s">
        <v>397</v>
      </c>
      <c r="V42" s="11" t="s">
        <v>405</v>
      </c>
      <c r="W42" s="11"/>
      <c r="X42" s="20" t="s">
        <v>401</v>
      </c>
      <c r="Y42">
        <v>5.0000000000000001E-3</v>
      </c>
    </row>
    <row r="43" spans="1:25" x14ac:dyDescent="0.25">
      <c r="A43" s="11" t="s">
        <v>327</v>
      </c>
      <c r="B43" s="11" t="s">
        <v>493</v>
      </c>
      <c r="C43" s="11" t="s">
        <v>494</v>
      </c>
      <c r="D43" s="11" t="s">
        <v>481</v>
      </c>
      <c r="E43" s="11" t="s">
        <v>495</v>
      </c>
      <c r="F43" s="11" t="s">
        <v>397</v>
      </c>
      <c r="G43" s="11" t="s">
        <v>397</v>
      </c>
      <c r="H43" s="11" t="s">
        <v>397</v>
      </c>
      <c r="I43" s="11" t="s">
        <v>397</v>
      </c>
      <c r="J43" s="11" t="s">
        <v>398</v>
      </c>
      <c r="K43" s="11" t="s">
        <v>399</v>
      </c>
      <c r="L43" s="11" t="s">
        <v>397</v>
      </c>
      <c r="M43" s="11" t="s">
        <v>397</v>
      </c>
      <c r="N43" s="11" t="s">
        <v>397</v>
      </c>
      <c r="O43" s="11" t="s">
        <v>397</v>
      </c>
      <c r="P43" s="11" t="s">
        <v>397</v>
      </c>
      <c r="Q43" s="11" t="s">
        <v>397</v>
      </c>
      <c r="R43" s="11" t="s">
        <v>397</v>
      </c>
      <c r="S43" s="11" t="s">
        <v>397</v>
      </c>
      <c r="T43" s="11" t="s">
        <v>397</v>
      </c>
      <c r="U43" s="11" t="s">
        <v>397</v>
      </c>
      <c r="V43" s="11" t="s">
        <v>482</v>
      </c>
      <c r="W43" s="11"/>
      <c r="X43" s="20" t="s">
        <v>401</v>
      </c>
      <c r="Y43">
        <v>5.0000000000000001E-3</v>
      </c>
    </row>
    <row r="44" spans="1:25" x14ac:dyDescent="0.25">
      <c r="A44" s="11" t="s">
        <v>327</v>
      </c>
      <c r="B44" s="11" t="s">
        <v>493</v>
      </c>
      <c r="C44" s="11" t="s">
        <v>494</v>
      </c>
      <c r="D44" s="11" t="s">
        <v>481</v>
      </c>
      <c r="E44" s="11" t="s">
        <v>495</v>
      </c>
      <c r="F44" s="11" t="s">
        <v>397</v>
      </c>
      <c r="G44" s="11" t="s">
        <v>397</v>
      </c>
      <c r="H44" s="11" t="s">
        <v>397</v>
      </c>
      <c r="I44" s="11" t="s">
        <v>397</v>
      </c>
      <c r="J44" s="11" t="s">
        <v>398</v>
      </c>
      <c r="K44" s="11" t="s">
        <v>399</v>
      </c>
      <c r="L44" s="11" t="s">
        <v>397</v>
      </c>
      <c r="M44" s="11" t="s">
        <v>397</v>
      </c>
      <c r="N44" s="11" t="s">
        <v>397</v>
      </c>
      <c r="O44" s="11" t="s">
        <v>397</v>
      </c>
      <c r="P44" s="11" t="s">
        <v>397</v>
      </c>
      <c r="Q44" s="11" t="s">
        <v>397</v>
      </c>
      <c r="R44" s="11" t="s">
        <v>397</v>
      </c>
      <c r="S44" s="11" t="s">
        <v>397</v>
      </c>
      <c r="T44" s="11" t="s">
        <v>397</v>
      </c>
      <c r="U44" s="11" t="s">
        <v>397</v>
      </c>
      <c r="V44" s="11" t="s">
        <v>483</v>
      </c>
      <c r="W44" s="11"/>
      <c r="X44" s="20" t="s">
        <v>401</v>
      </c>
      <c r="Y44">
        <v>5.0000000000000001E-3</v>
      </c>
    </row>
    <row r="45" spans="1:25" x14ac:dyDescent="0.25">
      <c r="A45" s="11" t="s">
        <v>327</v>
      </c>
      <c r="B45" s="11" t="s">
        <v>493</v>
      </c>
      <c r="C45" s="11" t="s">
        <v>494</v>
      </c>
      <c r="D45" s="11" t="s">
        <v>484</v>
      </c>
      <c r="E45" s="11" t="s">
        <v>496</v>
      </c>
      <c r="F45" s="11" t="s">
        <v>397</v>
      </c>
      <c r="G45" s="11" t="s">
        <v>397</v>
      </c>
      <c r="H45" s="11" t="s">
        <v>397</v>
      </c>
      <c r="I45" s="11" t="s">
        <v>397</v>
      </c>
      <c r="J45" s="11" t="s">
        <v>398</v>
      </c>
      <c r="K45" s="11" t="s">
        <v>399</v>
      </c>
      <c r="L45" s="11" t="s">
        <v>397</v>
      </c>
      <c r="M45" s="11" t="s">
        <v>397</v>
      </c>
      <c r="N45" s="11" t="s">
        <v>397</v>
      </c>
      <c r="O45" s="11" t="s">
        <v>397</v>
      </c>
      <c r="P45" s="11" t="s">
        <v>397</v>
      </c>
      <c r="Q45" s="11" t="s">
        <v>397</v>
      </c>
      <c r="R45" s="11" t="s">
        <v>397</v>
      </c>
      <c r="S45" s="11" t="s">
        <v>397</v>
      </c>
      <c r="T45" s="11" t="s">
        <v>397</v>
      </c>
      <c r="U45" s="11" t="s">
        <v>397</v>
      </c>
      <c r="V45" s="11"/>
      <c r="W45" s="11"/>
      <c r="X45" s="25" t="s">
        <v>486</v>
      </c>
      <c r="Y45">
        <v>5.0000000000000001E-3</v>
      </c>
    </row>
    <row r="46" spans="1:25" x14ac:dyDescent="0.25">
      <c r="A46" s="11" t="s">
        <v>327</v>
      </c>
      <c r="B46" s="11" t="s">
        <v>497</v>
      </c>
      <c r="C46" s="11" t="s">
        <v>498</v>
      </c>
      <c r="D46" s="11" t="s">
        <v>416</v>
      </c>
      <c r="E46" s="11" t="s">
        <v>495</v>
      </c>
      <c r="F46" s="11" t="s">
        <v>397</v>
      </c>
      <c r="G46" s="11" t="s">
        <v>397</v>
      </c>
      <c r="H46" s="11" t="s">
        <v>397</v>
      </c>
      <c r="I46" s="11" t="s">
        <v>397</v>
      </c>
      <c r="J46" s="11" t="s">
        <v>398</v>
      </c>
      <c r="K46" s="11" t="s">
        <v>399</v>
      </c>
      <c r="L46" s="11" t="s">
        <v>397</v>
      </c>
      <c r="M46" s="11" t="s">
        <v>397</v>
      </c>
      <c r="N46" s="11" t="s">
        <v>397</v>
      </c>
      <c r="O46" s="11" t="s">
        <v>397</v>
      </c>
      <c r="P46" s="11" t="s">
        <v>397</v>
      </c>
      <c r="Q46" s="11" t="s">
        <v>397</v>
      </c>
      <c r="R46" s="11" t="s">
        <v>397</v>
      </c>
      <c r="S46" s="11" t="s">
        <v>397</v>
      </c>
      <c r="T46" s="11" t="s">
        <v>397</v>
      </c>
      <c r="U46" s="11" t="s">
        <v>397</v>
      </c>
      <c r="V46" s="11" t="s">
        <v>458</v>
      </c>
      <c r="W46" s="11"/>
      <c r="X46" s="20" t="s">
        <v>401</v>
      </c>
      <c r="Y46">
        <v>5.0000000000000001E-3</v>
      </c>
    </row>
    <row r="47" spans="1:25" x14ac:dyDescent="0.25">
      <c r="A47" s="11" t="s">
        <v>327</v>
      </c>
      <c r="B47" s="11" t="s">
        <v>497</v>
      </c>
      <c r="C47" s="11" t="s">
        <v>499</v>
      </c>
      <c r="D47" s="11" t="s">
        <v>416</v>
      </c>
      <c r="E47" s="11" t="s">
        <v>495</v>
      </c>
      <c r="F47" s="11" t="s">
        <v>397</v>
      </c>
      <c r="G47" s="11" t="s">
        <v>397</v>
      </c>
      <c r="H47" s="11" t="s">
        <v>397</v>
      </c>
      <c r="I47" s="11" t="s">
        <v>397</v>
      </c>
      <c r="J47" s="11" t="s">
        <v>398</v>
      </c>
      <c r="K47" s="11" t="s">
        <v>399</v>
      </c>
      <c r="L47" s="11" t="s">
        <v>397</v>
      </c>
      <c r="M47" s="11" t="s">
        <v>397</v>
      </c>
      <c r="N47" s="11" t="s">
        <v>397</v>
      </c>
      <c r="O47" s="11" t="s">
        <v>397</v>
      </c>
      <c r="P47" s="11" t="s">
        <v>397</v>
      </c>
      <c r="Q47" s="11" t="s">
        <v>397</v>
      </c>
      <c r="R47" s="11" t="s">
        <v>397</v>
      </c>
      <c r="S47" s="11" t="s">
        <v>397</v>
      </c>
      <c r="T47" s="11" t="s">
        <v>397</v>
      </c>
      <c r="U47" s="11" t="s">
        <v>397</v>
      </c>
      <c r="V47" s="11" t="s">
        <v>417</v>
      </c>
      <c r="W47" s="11"/>
      <c r="X47" s="20" t="s">
        <v>401</v>
      </c>
      <c r="Y47">
        <v>5.0000000000000001E-3</v>
      </c>
    </row>
    <row r="48" spans="1:25" x14ac:dyDescent="0.25">
      <c r="A48" s="11" t="s">
        <v>327</v>
      </c>
      <c r="B48" s="11" t="s">
        <v>497</v>
      </c>
      <c r="C48" s="11" t="s">
        <v>500</v>
      </c>
      <c r="D48" s="11" t="s">
        <v>416</v>
      </c>
      <c r="E48" s="11" t="s">
        <v>495</v>
      </c>
      <c r="F48" s="11" t="s">
        <v>397</v>
      </c>
      <c r="G48" s="11" t="s">
        <v>397</v>
      </c>
      <c r="H48" s="11" t="s">
        <v>397</v>
      </c>
      <c r="I48" s="11" t="s">
        <v>397</v>
      </c>
      <c r="J48" s="11" t="s">
        <v>398</v>
      </c>
      <c r="K48" s="11" t="s">
        <v>399</v>
      </c>
      <c r="L48" s="11" t="s">
        <v>397</v>
      </c>
      <c r="M48" s="11" t="s">
        <v>397</v>
      </c>
      <c r="N48" s="11" t="s">
        <v>397</v>
      </c>
      <c r="O48" s="11" t="s">
        <v>397</v>
      </c>
      <c r="P48" s="11" t="s">
        <v>397</v>
      </c>
      <c r="Q48" s="11" t="s">
        <v>397</v>
      </c>
      <c r="R48" s="11" t="s">
        <v>397</v>
      </c>
      <c r="S48" s="11" t="s">
        <v>397</v>
      </c>
      <c r="T48" s="11" t="s">
        <v>397</v>
      </c>
      <c r="U48" s="11" t="s">
        <v>397</v>
      </c>
      <c r="V48" s="11" t="s">
        <v>422</v>
      </c>
      <c r="W48" s="11"/>
      <c r="X48" s="20" t="s">
        <v>401</v>
      </c>
      <c r="Y48">
        <v>5.0000000000000001E-3</v>
      </c>
    </row>
    <row r="49" spans="1:25" x14ac:dyDescent="0.25">
      <c r="A49" s="11" t="s">
        <v>327</v>
      </c>
      <c r="B49" s="11" t="s">
        <v>497</v>
      </c>
      <c r="C49" s="11" t="s">
        <v>501</v>
      </c>
      <c r="D49" s="11" t="s">
        <v>416</v>
      </c>
      <c r="E49" s="11" t="s">
        <v>495</v>
      </c>
      <c r="F49" s="11" t="s">
        <v>397</v>
      </c>
      <c r="G49" s="11" t="s">
        <v>397</v>
      </c>
      <c r="H49" s="11" t="s">
        <v>397</v>
      </c>
      <c r="I49" s="11" t="s">
        <v>397</v>
      </c>
      <c r="J49" s="11" t="s">
        <v>398</v>
      </c>
      <c r="K49" s="11" t="s">
        <v>399</v>
      </c>
      <c r="L49" s="11" t="s">
        <v>397</v>
      </c>
      <c r="M49" s="11" t="s">
        <v>397</v>
      </c>
      <c r="N49" s="11" t="s">
        <v>397</v>
      </c>
      <c r="O49" s="11" t="s">
        <v>397</v>
      </c>
      <c r="P49" s="11" t="s">
        <v>397</v>
      </c>
      <c r="Q49" s="11" t="s">
        <v>397</v>
      </c>
      <c r="R49" s="11" t="s">
        <v>397</v>
      </c>
      <c r="S49" s="11" t="s">
        <v>397</v>
      </c>
      <c r="T49" s="11" t="s">
        <v>397</v>
      </c>
      <c r="U49" s="11" t="s">
        <v>397</v>
      </c>
      <c r="V49" s="11" t="s">
        <v>426</v>
      </c>
      <c r="W49" s="11"/>
      <c r="X49" s="20" t="s">
        <v>401</v>
      </c>
      <c r="Y49">
        <v>5.0000000000000001E-3</v>
      </c>
    </row>
    <row r="50" spans="1:25" x14ac:dyDescent="0.25">
      <c r="A50" s="11" t="s">
        <v>327</v>
      </c>
      <c r="B50" s="11" t="s">
        <v>502</v>
      </c>
      <c r="C50" s="11" t="s">
        <v>503</v>
      </c>
      <c r="D50" s="11" t="s">
        <v>404</v>
      </c>
      <c r="E50" s="11" t="s">
        <v>495</v>
      </c>
      <c r="F50" s="11" t="s">
        <v>397</v>
      </c>
      <c r="G50" s="11" t="s">
        <v>397</v>
      </c>
      <c r="H50" s="11" t="s">
        <v>397</v>
      </c>
      <c r="I50" s="11" t="s">
        <v>397</v>
      </c>
      <c r="J50" s="11" t="s">
        <v>398</v>
      </c>
      <c r="K50" s="11" t="s">
        <v>399</v>
      </c>
      <c r="L50" s="11" t="s">
        <v>397</v>
      </c>
      <c r="M50" s="11" t="s">
        <v>397</v>
      </c>
      <c r="N50" s="11" t="s">
        <v>397</v>
      </c>
      <c r="O50" s="11" t="s">
        <v>397</v>
      </c>
      <c r="P50" s="11" t="s">
        <v>397</v>
      </c>
      <c r="Q50" s="11" t="s">
        <v>397</v>
      </c>
      <c r="R50" s="11" t="s">
        <v>397</v>
      </c>
      <c r="S50" s="11" t="s">
        <v>397</v>
      </c>
      <c r="T50" s="11" t="s">
        <v>397</v>
      </c>
      <c r="U50" s="11" t="s">
        <v>397</v>
      </c>
      <c r="V50" s="11" t="s">
        <v>408</v>
      </c>
      <c r="W50" s="11"/>
      <c r="X50" s="20" t="s">
        <v>401</v>
      </c>
      <c r="Y50">
        <v>5.0000000000000001E-3</v>
      </c>
    </row>
    <row r="51" spans="1:25" x14ac:dyDescent="0.25">
      <c r="A51" s="11" t="s">
        <v>327</v>
      </c>
      <c r="B51" s="11" t="s">
        <v>502</v>
      </c>
      <c r="C51" s="11" t="s">
        <v>503</v>
      </c>
      <c r="D51" s="11" t="s">
        <v>404</v>
      </c>
      <c r="E51" s="11" t="s">
        <v>495</v>
      </c>
      <c r="F51" s="11" t="s">
        <v>397</v>
      </c>
      <c r="G51" s="11" t="s">
        <v>397</v>
      </c>
      <c r="H51" s="11" t="s">
        <v>397</v>
      </c>
      <c r="I51" s="11" t="s">
        <v>397</v>
      </c>
      <c r="J51" s="11" t="s">
        <v>398</v>
      </c>
      <c r="K51" s="11" t="s">
        <v>399</v>
      </c>
      <c r="L51" s="11" t="s">
        <v>397</v>
      </c>
      <c r="M51" s="11" t="s">
        <v>397</v>
      </c>
      <c r="N51" s="11" t="s">
        <v>397</v>
      </c>
      <c r="O51" s="11" t="s">
        <v>397</v>
      </c>
      <c r="P51" s="11" t="s">
        <v>397</v>
      </c>
      <c r="Q51" s="11" t="s">
        <v>397</v>
      </c>
      <c r="R51" s="11" t="s">
        <v>397</v>
      </c>
      <c r="S51" s="11" t="s">
        <v>397</v>
      </c>
      <c r="T51" s="11" t="s">
        <v>397</v>
      </c>
      <c r="U51" s="11" t="s">
        <v>397</v>
      </c>
      <c r="V51" s="11" t="s">
        <v>409</v>
      </c>
      <c r="W51" s="11"/>
      <c r="X51" s="20" t="s">
        <v>401</v>
      </c>
      <c r="Y51">
        <v>5.0000000000000001E-3</v>
      </c>
    </row>
    <row r="52" spans="1:25" x14ac:dyDescent="0.25">
      <c r="A52" s="11" t="s">
        <v>327</v>
      </c>
      <c r="B52" s="11" t="s">
        <v>504</v>
      </c>
      <c r="C52" s="11" t="s">
        <v>505</v>
      </c>
      <c r="D52" s="11" t="s">
        <v>506</v>
      </c>
      <c r="E52" s="11" t="s">
        <v>495</v>
      </c>
      <c r="F52" s="11" t="s">
        <v>397</v>
      </c>
      <c r="G52" s="11" t="s">
        <v>397</v>
      </c>
      <c r="H52" s="11" t="s">
        <v>397</v>
      </c>
      <c r="I52" s="11" t="s">
        <v>397</v>
      </c>
      <c r="J52" s="11" t="s">
        <v>398</v>
      </c>
      <c r="K52" s="11" t="s">
        <v>399</v>
      </c>
      <c r="L52" s="11" t="s">
        <v>397</v>
      </c>
      <c r="M52" s="11" t="s">
        <v>397</v>
      </c>
      <c r="N52" s="11" t="s">
        <v>397</v>
      </c>
      <c r="O52" s="11" t="s">
        <v>397</v>
      </c>
      <c r="P52" s="11" t="s">
        <v>397</v>
      </c>
      <c r="Q52" s="11" t="s">
        <v>397</v>
      </c>
      <c r="R52" s="11" t="s">
        <v>397</v>
      </c>
      <c r="S52" s="11" t="s">
        <v>397</v>
      </c>
      <c r="T52" s="11" t="s">
        <v>397</v>
      </c>
      <c r="U52" s="11" t="s">
        <v>397</v>
      </c>
      <c r="V52" s="11" t="s">
        <v>507</v>
      </c>
      <c r="W52" s="11"/>
      <c r="X52" s="20" t="s">
        <v>401</v>
      </c>
      <c r="Y52">
        <v>5.0000000000000001E-3</v>
      </c>
    </row>
    <row r="53" spans="1:25" x14ac:dyDescent="0.25">
      <c r="A53" s="11" t="s">
        <v>327</v>
      </c>
      <c r="B53" s="11" t="s">
        <v>504</v>
      </c>
      <c r="C53" s="11" t="s">
        <v>508</v>
      </c>
      <c r="D53" s="11" t="s">
        <v>404</v>
      </c>
      <c r="E53" s="11" t="s">
        <v>495</v>
      </c>
      <c r="F53" s="11" t="s">
        <v>397</v>
      </c>
      <c r="G53" s="11" t="s">
        <v>397</v>
      </c>
      <c r="H53" s="11" t="s">
        <v>397</v>
      </c>
      <c r="I53" s="11" t="s">
        <v>397</v>
      </c>
      <c r="J53" s="11" t="s">
        <v>398</v>
      </c>
      <c r="K53" s="11" t="s">
        <v>399</v>
      </c>
      <c r="L53" s="11" t="s">
        <v>397</v>
      </c>
      <c r="M53" s="11" t="s">
        <v>397</v>
      </c>
      <c r="N53" s="11" t="s">
        <v>397</v>
      </c>
      <c r="O53" s="11" t="s">
        <v>397</v>
      </c>
      <c r="P53" s="11" t="s">
        <v>397</v>
      </c>
      <c r="Q53" s="11" t="s">
        <v>397</v>
      </c>
      <c r="R53" s="11" t="s">
        <v>397</v>
      </c>
      <c r="S53" s="11" t="s">
        <v>397</v>
      </c>
      <c r="T53" s="11" t="s">
        <v>397</v>
      </c>
      <c r="U53" s="11" t="s">
        <v>397</v>
      </c>
      <c r="V53" s="11" t="s">
        <v>509</v>
      </c>
      <c r="W53" s="11"/>
      <c r="X53" s="20" t="s">
        <v>401</v>
      </c>
      <c r="Y53">
        <v>5.0000000000000001E-3</v>
      </c>
    </row>
    <row r="54" spans="1:25" x14ac:dyDescent="0.25">
      <c r="A54" s="11" t="s">
        <v>327</v>
      </c>
      <c r="B54" s="11" t="s">
        <v>504</v>
      </c>
      <c r="C54" s="11" t="s">
        <v>510</v>
      </c>
      <c r="D54" s="11" t="s">
        <v>404</v>
      </c>
      <c r="E54" s="11" t="s">
        <v>495</v>
      </c>
      <c r="F54" s="11" t="s">
        <v>397</v>
      </c>
      <c r="G54" s="11" t="s">
        <v>397</v>
      </c>
      <c r="H54" s="11" t="s">
        <v>397</v>
      </c>
      <c r="I54" s="11" t="s">
        <v>397</v>
      </c>
      <c r="J54" s="11" t="s">
        <v>398</v>
      </c>
      <c r="K54" s="11" t="s">
        <v>399</v>
      </c>
      <c r="L54" s="11" t="s">
        <v>397</v>
      </c>
      <c r="M54" s="11" t="s">
        <v>397</v>
      </c>
      <c r="N54" s="11" t="s">
        <v>397</v>
      </c>
      <c r="O54" s="11" t="s">
        <v>397</v>
      </c>
      <c r="P54" s="11" t="s">
        <v>397</v>
      </c>
      <c r="Q54" s="11" t="s">
        <v>397</v>
      </c>
      <c r="R54" s="11" t="s">
        <v>397</v>
      </c>
      <c r="S54" s="11" t="s">
        <v>397</v>
      </c>
      <c r="T54" s="11" t="s">
        <v>397</v>
      </c>
      <c r="U54" s="11" t="s">
        <v>397</v>
      </c>
      <c r="V54" s="11" t="s">
        <v>511</v>
      </c>
      <c r="W54" s="11"/>
      <c r="X54" s="20" t="s">
        <v>401</v>
      </c>
      <c r="Y54">
        <v>5.0000000000000001E-3</v>
      </c>
    </row>
    <row r="55" spans="1:25" x14ac:dyDescent="0.25">
      <c r="A55" s="11" t="s">
        <v>327</v>
      </c>
      <c r="B55" s="11" t="s">
        <v>504</v>
      </c>
      <c r="C55" s="11" t="s">
        <v>512</v>
      </c>
      <c r="D55" s="11" t="s">
        <v>464</v>
      </c>
      <c r="E55" s="11" t="s">
        <v>495</v>
      </c>
      <c r="F55" s="11" t="s">
        <v>397</v>
      </c>
      <c r="G55" s="11" t="s">
        <v>397</v>
      </c>
      <c r="H55" s="11" t="s">
        <v>397</v>
      </c>
      <c r="I55" s="11" t="s">
        <v>397</v>
      </c>
      <c r="J55" s="11" t="s">
        <v>398</v>
      </c>
      <c r="K55" s="11" t="s">
        <v>399</v>
      </c>
      <c r="L55" s="11" t="s">
        <v>397</v>
      </c>
      <c r="M55" s="11" t="s">
        <v>397</v>
      </c>
      <c r="N55" s="11" t="s">
        <v>397</v>
      </c>
      <c r="O55" s="11" t="s">
        <v>397</v>
      </c>
      <c r="P55" s="11" t="s">
        <v>397</v>
      </c>
      <c r="Q55" s="11" t="s">
        <v>397</v>
      </c>
      <c r="R55" s="11" t="s">
        <v>397</v>
      </c>
      <c r="S55" s="11" t="s">
        <v>397</v>
      </c>
      <c r="T55" s="11" t="s">
        <v>397</v>
      </c>
      <c r="U55" s="11" t="s">
        <v>397</v>
      </c>
      <c r="V55" s="11" t="s">
        <v>428</v>
      </c>
      <c r="W55" s="11"/>
      <c r="X55" s="20" t="s">
        <v>401</v>
      </c>
      <c r="Y55">
        <v>5.0000000000000001E-3</v>
      </c>
    </row>
    <row r="56" spans="1:25" x14ac:dyDescent="0.25">
      <c r="A56" s="11" t="s">
        <v>327</v>
      </c>
      <c r="B56" s="11" t="s">
        <v>504</v>
      </c>
      <c r="C56" s="11" t="s">
        <v>513</v>
      </c>
      <c r="D56" s="11" t="s">
        <v>404</v>
      </c>
      <c r="E56" s="11" t="s">
        <v>495</v>
      </c>
      <c r="F56" s="11" t="s">
        <v>397</v>
      </c>
      <c r="G56" s="11" t="s">
        <v>397</v>
      </c>
      <c r="H56" s="11" t="s">
        <v>397</v>
      </c>
      <c r="I56" s="11" t="s">
        <v>397</v>
      </c>
      <c r="J56" s="11" t="s">
        <v>398</v>
      </c>
      <c r="K56" s="11" t="s">
        <v>399</v>
      </c>
      <c r="L56" s="11" t="s">
        <v>397</v>
      </c>
      <c r="M56" s="11" t="s">
        <v>397</v>
      </c>
      <c r="N56" s="11" t="s">
        <v>397</v>
      </c>
      <c r="O56" s="11" t="s">
        <v>397</v>
      </c>
      <c r="P56" s="11" t="s">
        <v>397</v>
      </c>
      <c r="Q56" s="11" t="s">
        <v>397</v>
      </c>
      <c r="R56" s="11" t="s">
        <v>397</v>
      </c>
      <c r="S56" s="11" t="s">
        <v>397</v>
      </c>
      <c r="T56" s="11" t="s">
        <v>397</v>
      </c>
      <c r="U56" s="11" t="s">
        <v>397</v>
      </c>
      <c r="V56" s="11" t="s">
        <v>437</v>
      </c>
      <c r="W56" s="11"/>
      <c r="X56" s="20" t="s">
        <v>401</v>
      </c>
      <c r="Y56">
        <v>5.0000000000000001E-3</v>
      </c>
    </row>
    <row r="57" spans="1:25" x14ac:dyDescent="0.25">
      <c r="A57" s="11" t="s">
        <v>327</v>
      </c>
      <c r="B57" s="11" t="s">
        <v>504</v>
      </c>
      <c r="C57" s="11" t="s">
        <v>514</v>
      </c>
      <c r="D57" s="11" t="s">
        <v>404</v>
      </c>
      <c r="E57" s="11" t="s">
        <v>495</v>
      </c>
      <c r="F57" s="11" t="s">
        <v>397</v>
      </c>
      <c r="G57" s="11" t="s">
        <v>397</v>
      </c>
      <c r="H57" s="11" t="s">
        <v>397</v>
      </c>
      <c r="I57" s="11" t="s">
        <v>397</v>
      </c>
      <c r="J57" s="11" t="s">
        <v>398</v>
      </c>
      <c r="K57" s="11" t="s">
        <v>399</v>
      </c>
      <c r="L57" s="11" t="s">
        <v>397</v>
      </c>
      <c r="M57" s="11" t="s">
        <v>397</v>
      </c>
      <c r="N57" s="11" t="s">
        <v>397</v>
      </c>
      <c r="O57" s="11" t="s">
        <v>397</v>
      </c>
      <c r="P57" s="11" t="s">
        <v>397</v>
      </c>
      <c r="Q57" s="11" t="s">
        <v>397</v>
      </c>
      <c r="R57" s="11" t="s">
        <v>397</v>
      </c>
      <c r="S57" s="11" t="s">
        <v>397</v>
      </c>
      <c r="T57" s="11" t="s">
        <v>397</v>
      </c>
      <c r="U57" s="11" t="s">
        <v>397</v>
      </c>
      <c r="V57" s="11" t="s">
        <v>439</v>
      </c>
      <c r="W57" s="11"/>
      <c r="X57" s="20" t="s">
        <v>401</v>
      </c>
      <c r="Y57">
        <v>5.0000000000000001E-3</v>
      </c>
    </row>
    <row r="58" spans="1:25" x14ac:dyDescent="0.25">
      <c r="A58" s="11" t="s">
        <v>327</v>
      </c>
      <c r="B58" s="11" t="s">
        <v>504</v>
      </c>
      <c r="C58" s="11" t="s">
        <v>515</v>
      </c>
      <c r="D58" s="11" t="s">
        <v>404</v>
      </c>
      <c r="E58" s="11" t="s">
        <v>495</v>
      </c>
      <c r="F58" s="11" t="s">
        <v>397</v>
      </c>
      <c r="G58" s="11" t="s">
        <v>397</v>
      </c>
      <c r="H58" s="11" t="s">
        <v>397</v>
      </c>
      <c r="I58" s="11" t="s">
        <v>397</v>
      </c>
      <c r="J58" s="11" t="s">
        <v>398</v>
      </c>
      <c r="K58" s="11" t="s">
        <v>399</v>
      </c>
      <c r="L58" s="11" t="s">
        <v>397</v>
      </c>
      <c r="M58" s="11" t="s">
        <v>397</v>
      </c>
      <c r="N58" s="11" t="s">
        <v>397</v>
      </c>
      <c r="O58" s="11" t="s">
        <v>397</v>
      </c>
      <c r="P58" s="11" t="s">
        <v>397</v>
      </c>
      <c r="Q58" s="11" t="s">
        <v>397</v>
      </c>
      <c r="R58" s="11" t="s">
        <v>397</v>
      </c>
      <c r="S58" s="11" t="s">
        <v>397</v>
      </c>
      <c r="T58" s="11" t="s">
        <v>397</v>
      </c>
      <c r="U58" s="11" t="s">
        <v>397</v>
      </c>
      <c r="V58" s="11" t="s">
        <v>516</v>
      </c>
      <c r="W58" s="11"/>
      <c r="X58" s="20" t="s">
        <v>401</v>
      </c>
      <c r="Y58">
        <v>5.0000000000000001E-3</v>
      </c>
    </row>
    <row r="59" spans="1:25" x14ac:dyDescent="0.25">
      <c r="A59" s="11" t="s">
        <v>327</v>
      </c>
      <c r="B59" s="11" t="s">
        <v>504</v>
      </c>
      <c r="C59" s="11" t="s">
        <v>517</v>
      </c>
      <c r="D59" s="11" t="s">
        <v>404</v>
      </c>
      <c r="E59" s="11" t="s">
        <v>495</v>
      </c>
      <c r="F59" s="11" t="s">
        <v>397</v>
      </c>
      <c r="G59" s="11" t="s">
        <v>397</v>
      </c>
      <c r="H59" s="11" t="s">
        <v>397</v>
      </c>
      <c r="I59" s="11" t="s">
        <v>397</v>
      </c>
      <c r="J59" s="11" t="s">
        <v>398</v>
      </c>
      <c r="K59" s="11" t="s">
        <v>399</v>
      </c>
      <c r="L59" s="11" t="s">
        <v>397</v>
      </c>
      <c r="M59" s="11" t="s">
        <v>397</v>
      </c>
      <c r="N59" s="11" t="s">
        <v>397</v>
      </c>
      <c r="O59" s="11" t="s">
        <v>397</v>
      </c>
      <c r="P59" s="11" t="s">
        <v>397</v>
      </c>
      <c r="Q59" s="11" t="s">
        <v>397</v>
      </c>
      <c r="R59" s="11" t="s">
        <v>397</v>
      </c>
      <c r="S59" s="11" t="s">
        <v>397</v>
      </c>
      <c r="T59" s="11" t="s">
        <v>397</v>
      </c>
      <c r="U59" s="11" t="s">
        <v>397</v>
      </c>
      <c r="V59" s="11" t="s">
        <v>467</v>
      </c>
      <c r="W59" t="s">
        <v>284</v>
      </c>
      <c r="X59" s="20" t="s">
        <v>401</v>
      </c>
      <c r="Y59">
        <v>5.0000000000000001E-3</v>
      </c>
    </row>
    <row r="60" spans="1:25" x14ac:dyDescent="0.25">
      <c r="A60" s="11" t="s">
        <v>327</v>
      </c>
      <c r="B60" s="11" t="s">
        <v>504</v>
      </c>
      <c r="C60" s="11" t="s">
        <v>518</v>
      </c>
      <c r="D60" s="11" t="s">
        <v>404</v>
      </c>
      <c r="E60" s="11" t="s">
        <v>495</v>
      </c>
      <c r="F60" s="11" t="s">
        <v>397</v>
      </c>
      <c r="G60" s="11" t="s">
        <v>397</v>
      </c>
      <c r="H60" s="11" t="s">
        <v>397</v>
      </c>
      <c r="I60" s="11" t="s">
        <v>397</v>
      </c>
      <c r="J60" s="11" t="s">
        <v>398</v>
      </c>
      <c r="K60" s="11" t="s">
        <v>399</v>
      </c>
      <c r="L60" s="11" t="s">
        <v>397</v>
      </c>
      <c r="M60" s="11" t="s">
        <v>397</v>
      </c>
      <c r="N60" s="11" t="s">
        <v>397</v>
      </c>
      <c r="O60" s="11" t="s">
        <v>397</v>
      </c>
      <c r="P60" s="11" t="s">
        <v>397</v>
      </c>
      <c r="Q60" s="11" t="s">
        <v>397</v>
      </c>
      <c r="R60" s="11" t="s">
        <v>397</v>
      </c>
      <c r="S60" s="11" t="s">
        <v>397</v>
      </c>
      <c r="T60" s="11" t="s">
        <v>397</v>
      </c>
      <c r="U60" s="11" t="s">
        <v>397</v>
      </c>
      <c r="V60" s="11" t="s">
        <v>519</v>
      </c>
      <c r="W60" t="s">
        <v>298</v>
      </c>
      <c r="X60" s="20" t="s">
        <v>401</v>
      </c>
      <c r="Y60">
        <v>5.0000000000000001E-3</v>
      </c>
    </row>
    <row r="61" spans="1:25" x14ac:dyDescent="0.25">
      <c r="A61" s="11" t="s">
        <v>327</v>
      </c>
      <c r="B61" s="11" t="s">
        <v>504</v>
      </c>
      <c r="C61" s="11" t="s">
        <v>520</v>
      </c>
      <c r="D61" s="11" t="s">
        <v>416</v>
      </c>
      <c r="E61" s="11" t="s">
        <v>495</v>
      </c>
      <c r="F61" s="11" t="s">
        <v>397</v>
      </c>
      <c r="G61" s="11" t="s">
        <v>397</v>
      </c>
      <c r="H61" s="11" t="s">
        <v>397</v>
      </c>
      <c r="I61" s="11" t="s">
        <v>397</v>
      </c>
      <c r="J61" s="11" t="s">
        <v>398</v>
      </c>
      <c r="K61" s="11" t="s">
        <v>399</v>
      </c>
      <c r="L61" s="11" t="s">
        <v>397</v>
      </c>
      <c r="M61" s="11" t="s">
        <v>397</v>
      </c>
      <c r="N61" s="11" t="s">
        <v>397</v>
      </c>
      <c r="O61" s="11" t="s">
        <v>397</v>
      </c>
      <c r="P61" s="11" t="s">
        <v>397</v>
      </c>
      <c r="Q61" s="11" t="s">
        <v>397</v>
      </c>
      <c r="R61" s="11" t="s">
        <v>397</v>
      </c>
      <c r="S61" s="11" t="s">
        <v>397</v>
      </c>
      <c r="T61" s="11" t="s">
        <v>397</v>
      </c>
      <c r="U61" s="11" t="s">
        <v>397</v>
      </c>
      <c r="V61" s="11" t="s">
        <v>469</v>
      </c>
      <c r="W61" t="s">
        <v>285</v>
      </c>
      <c r="X61" s="20" t="s">
        <v>401</v>
      </c>
      <c r="Y61">
        <v>5.0000000000000001E-3</v>
      </c>
    </row>
    <row r="62" spans="1:25" x14ac:dyDescent="0.25">
      <c r="A62" s="11" t="s">
        <v>327</v>
      </c>
      <c r="B62" s="11" t="s">
        <v>504</v>
      </c>
      <c r="C62" s="11" t="s">
        <v>521</v>
      </c>
      <c r="D62" s="11" t="s">
        <v>404</v>
      </c>
      <c r="E62" s="11" t="s">
        <v>495</v>
      </c>
      <c r="F62" s="11" t="s">
        <v>397</v>
      </c>
      <c r="G62" s="11" t="s">
        <v>397</v>
      </c>
      <c r="H62" s="11" t="s">
        <v>397</v>
      </c>
      <c r="I62" s="11" t="s">
        <v>397</v>
      </c>
      <c r="J62" s="11" t="s">
        <v>398</v>
      </c>
      <c r="K62" s="11" t="s">
        <v>399</v>
      </c>
      <c r="L62" s="11" t="s">
        <v>397</v>
      </c>
      <c r="M62" s="11" t="s">
        <v>397</v>
      </c>
      <c r="N62" s="11" t="s">
        <v>397</v>
      </c>
      <c r="O62" s="11" t="s">
        <v>397</v>
      </c>
      <c r="P62" s="11" t="s">
        <v>397</v>
      </c>
      <c r="Q62" s="11" t="s">
        <v>397</v>
      </c>
      <c r="R62" s="11" t="s">
        <v>397</v>
      </c>
      <c r="S62" s="11" t="s">
        <v>397</v>
      </c>
      <c r="T62" s="11" t="s">
        <v>397</v>
      </c>
      <c r="U62" s="11" t="s">
        <v>397</v>
      </c>
      <c r="V62" s="11" t="s">
        <v>522</v>
      </c>
      <c r="W62" t="s">
        <v>299</v>
      </c>
      <c r="X62" s="20" t="s">
        <v>401</v>
      </c>
      <c r="Y62">
        <v>5.0000000000000001E-3</v>
      </c>
    </row>
    <row r="63" spans="1:25" x14ac:dyDescent="0.25">
      <c r="A63" s="11" t="s">
        <v>327</v>
      </c>
      <c r="B63" s="11" t="s">
        <v>504</v>
      </c>
      <c r="C63" s="11" t="s">
        <v>523</v>
      </c>
      <c r="D63" s="11" t="s">
        <v>524</v>
      </c>
      <c r="E63" s="11"/>
      <c r="F63" s="11" t="s">
        <v>397</v>
      </c>
      <c r="G63" s="11" t="s">
        <v>397</v>
      </c>
      <c r="H63" s="11" t="s">
        <v>397</v>
      </c>
      <c r="I63" s="11" t="s">
        <v>397</v>
      </c>
      <c r="J63" s="11" t="s">
        <v>398</v>
      </c>
      <c r="K63" s="11" t="s">
        <v>399</v>
      </c>
      <c r="L63" s="11" t="s">
        <v>397</v>
      </c>
      <c r="M63" s="11" t="s">
        <v>397</v>
      </c>
      <c r="N63" s="11" t="s">
        <v>397</v>
      </c>
      <c r="O63" s="11" t="s">
        <v>397</v>
      </c>
      <c r="P63" s="11" t="s">
        <v>397</v>
      </c>
      <c r="Q63" s="11" t="s">
        <v>397</v>
      </c>
      <c r="R63" s="11" t="s">
        <v>397</v>
      </c>
      <c r="S63" s="11" t="s">
        <v>397</v>
      </c>
      <c r="T63" s="11" t="s">
        <v>397</v>
      </c>
      <c r="U63" s="11" t="s">
        <v>397</v>
      </c>
      <c r="V63" s="11" t="s">
        <v>525</v>
      </c>
      <c r="W63" t="s">
        <v>305</v>
      </c>
      <c r="X63" s="20" t="s">
        <v>401</v>
      </c>
      <c r="Y63">
        <v>5.0000000000000001E-3</v>
      </c>
    </row>
    <row r="64" spans="1:25" x14ac:dyDescent="0.25">
      <c r="A64" s="11" t="s">
        <v>327</v>
      </c>
      <c r="B64" s="11" t="s">
        <v>504</v>
      </c>
      <c r="C64" s="11" t="s">
        <v>523</v>
      </c>
      <c r="D64" s="11" t="s">
        <v>524</v>
      </c>
      <c r="E64" s="11"/>
      <c r="F64" s="11" t="s">
        <v>397</v>
      </c>
      <c r="G64" s="11" t="s">
        <v>397</v>
      </c>
      <c r="H64" s="11" t="s">
        <v>397</v>
      </c>
      <c r="I64" s="11" t="s">
        <v>397</v>
      </c>
      <c r="J64" s="11" t="s">
        <v>398</v>
      </c>
      <c r="K64" s="11" t="s">
        <v>399</v>
      </c>
      <c r="L64" s="11" t="s">
        <v>397</v>
      </c>
      <c r="M64" s="11" t="s">
        <v>397</v>
      </c>
      <c r="N64" s="11" t="s">
        <v>397</v>
      </c>
      <c r="O64" s="11" t="s">
        <v>397</v>
      </c>
      <c r="P64" s="11" t="s">
        <v>397</v>
      </c>
      <c r="Q64" s="11" t="s">
        <v>397</v>
      </c>
      <c r="R64" s="11" t="s">
        <v>397</v>
      </c>
      <c r="S64" s="11" t="s">
        <v>397</v>
      </c>
      <c r="T64" s="11" t="s">
        <v>397</v>
      </c>
      <c r="U64" s="11" t="s">
        <v>397</v>
      </c>
      <c r="V64" s="11" t="s">
        <v>526</v>
      </c>
      <c r="W64" t="s">
        <v>300</v>
      </c>
      <c r="X64" s="20" t="s">
        <v>401</v>
      </c>
      <c r="Y64">
        <v>5.0000000000000001E-3</v>
      </c>
    </row>
    <row r="65" spans="1:25" x14ac:dyDescent="0.25">
      <c r="A65" s="11" t="s">
        <v>327</v>
      </c>
      <c r="B65" s="11" t="s">
        <v>504</v>
      </c>
      <c r="C65" s="11" t="s">
        <v>527</v>
      </c>
      <c r="D65" s="11" t="s">
        <v>404</v>
      </c>
      <c r="E65" s="11" t="s">
        <v>495</v>
      </c>
      <c r="F65" s="11" t="s">
        <v>397</v>
      </c>
      <c r="G65" s="11" t="s">
        <v>397</v>
      </c>
      <c r="H65" s="11" t="s">
        <v>397</v>
      </c>
      <c r="I65" s="11" t="s">
        <v>397</v>
      </c>
      <c r="J65" s="11" t="s">
        <v>398</v>
      </c>
      <c r="K65" s="11" t="s">
        <v>399</v>
      </c>
      <c r="L65" s="11" t="s">
        <v>397</v>
      </c>
      <c r="M65" s="11" t="s">
        <v>397</v>
      </c>
      <c r="N65" s="11" t="s">
        <v>397</v>
      </c>
      <c r="O65" s="11" t="s">
        <v>397</v>
      </c>
      <c r="P65" s="11" t="s">
        <v>397</v>
      </c>
      <c r="Q65" s="11" t="s">
        <v>397</v>
      </c>
      <c r="R65" s="11" t="s">
        <v>397</v>
      </c>
      <c r="S65" s="11" t="s">
        <v>397</v>
      </c>
      <c r="T65" s="11" t="s">
        <v>397</v>
      </c>
      <c r="U65" s="11" t="s">
        <v>397</v>
      </c>
      <c r="V65" s="11" t="s">
        <v>474</v>
      </c>
      <c r="W65" t="s">
        <v>287</v>
      </c>
      <c r="X65" s="20" t="s">
        <v>401</v>
      </c>
      <c r="Y65">
        <v>5.0000000000000001E-3</v>
      </c>
    </row>
    <row r="66" spans="1:25" x14ac:dyDescent="0.25">
      <c r="A66" s="11" t="s">
        <v>327</v>
      </c>
      <c r="B66" s="11" t="s">
        <v>504</v>
      </c>
      <c r="C66" s="11" t="s">
        <v>528</v>
      </c>
      <c r="D66" s="11" t="s">
        <v>404</v>
      </c>
      <c r="E66" s="11" t="s">
        <v>495</v>
      </c>
      <c r="F66" s="11" t="s">
        <v>397</v>
      </c>
      <c r="G66" s="11" t="s">
        <v>397</v>
      </c>
      <c r="H66" s="11" t="s">
        <v>397</v>
      </c>
      <c r="I66" s="11" t="s">
        <v>397</v>
      </c>
      <c r="J66" s="11" t="s">
        <v>398</v>
      </c>
      <c r="K66" s="11" t="s">
        <v>399</v>
      </c>
      <c r="L66" s="11" t="s">
        <v>397</v>
      </c>
      <c r="M66" s="11" t="s">
        <v>397</v>
      </c>
      <c r="N66" s="11" t="s">
        <v>397</v>
      </c>
      <c r="O66" s="11" t="s">
        <v>397</v>
      </c>
      <c r="P66" s="11" t="s">
        <v>397</v>
      </c>
      <c r="Q66" s="11" t="s">
        <v>397</v>
      </c>
      <c r="R66" s="11" t="s">
        <v>397</v>
      </c>
      <c r="S66" s="11" t="s">
        <v>397</v>
      </c>
      <c r="T66" s="11" t="s">
        <v>397</v>
      </c>
      <c r="U66" s="11" t="s">
        <v>397</v>
      </c>
      <c r="V66" s="11" t="s">
        <v>445</v>
      </c>
      <c r="W66" t="s">
        <v>276</v>
      </c>
      <c r="X66" s="20" t="s">
        <v>401</v>
      </c>
      <c r="Y66">
        <v>5.0000000000000001E-3</v>
      </c>
    </row>
    <row r="67" spans="1:25" x14ac:dyDescent="0.25">
      <c r="A67" s="11" t="s">
        <v>327</v>
      </c>
      <c r="B67" s="11" t="s">
        <v>504</v>
      </c>
      <c r="C67" s="11" t="s">
        <v>529</v>
      </c>
      <c r="D67" s="11" t="s">
        <v>404</v>
      </c>
      <c r="E67" s="11" t="s">
        <v>495</v>
      </c>
      <c r="F67" s="11" t="s">
        <v>397</v>
      </c>
      <c r="G67" s="11" t="s">
        <v>397</v>
      </c>
      <c r="H67" s="11" t="s">
        <v>397</v>
      </c>
      <c r="I67" s="11" t="s">
        <v>397</v>
      </c>
      <c r="J67" s="11" t="s">
        <v>398</v>
      </c>
      <c r="K67" s="11" t="s">
        <v>399</v>
      </c>
      <c r="L67" s="11" t="s">
        <v>397</v>
      </c>
      <c r="M67" s="11" t="s">
        <v>397</v>
      </c>
      <c r="N67" s="11" t="s">
        <v>397</v>
      </c>
      <c r="O67" s="11" t="s">
        <v>397</v>
      </c>
      <c r="P67" s="11" t="s">
        <v>397</v>
      </c>
      <c r="Q67" s="11" t="s">
        <v>397</v>
      </c>
      <c r="R67" s="11" t="s">
        <v>397</v>
      </c>
      <c r="S67" s="11" t="s">
        <v>397</v>
      </c>
      <c r="T67" s="11" t="s">
        <v>397</v>
      </c>
      <c r="U67" s="11" t="s">
        <v>397</v>
      </c>
      <c r="V67" s="11" t="s">
        <v>476</v>
      </c>
      <c r="W67" t="s">
        <v>288</v>
      </c>
      <c r="X67" s="20" t="s">
        <v>401</v>
      </c>
      <c r="Y67">
        <v>5.0000000000000001E-3</v>
      </c>
    </row>
    <row r="68" spans="1:25" x14ac:dyDescent="0.25">
      <c r="A68" s="11" t="s">
        <v>327</v>
      </c>
      <c r="B68" s="11" t="s">
        <v>504</v>
      </c>
      <c r="C68" s="11" t="s">
        <v>530</v>
      </c>
      <c r="D68" s="11" t="s">
        <v>404</v>
      </c>
      <c r="E68" s="11" t="s">
        <v>495</v>
      </c>
      <c r="F68" s="11" t="s">
        <v>397</v>
      </c>
      <c r="G68" s="11" t="s">
        <v>397</v>
      </c>
      <c r="H68" s="11" t="s">
        <v>397</v>
      </c>
      <c r="I68" s="11" t="s">
        <v>397</v>
      </c>
      <c r="J68" s="11" t="s">
        <v>398</v>
      </c>
      <c r="K68" s="11" t="s">
        <v>399</v>
      </c>
      <c r="L68" s="11" t="s">
        <v>397</v>
      </c>
      <c r="M68" s="11" t="s">
        <v>397</v>
      </c>
      <c r="N68" s="11" t="s">
        <v>397</v>
      </c>
      <c r="O68" s="11" t="s">
        <v>397</v>
      </c>
      <c r="P68" s="11" t="s">
        <v>397</v>
      </c>
      <c r="Q68" s="11" t="s">
        <v>397</v>
      </c>
      <c r="R68" s="11" t="s">
        <v>397</v>
      </c>
      <c r="S68" s="11" t="s">
        <v>397</v>
      </c>
      <c r="T68" s="11" t="s">
        <v>397</v>
      </c>
      <c r="U68" s="11" t="s">
        <v>397</v>
      </c>
      <c r="V68" s="11" t="s">
        <v>447</v>
      </c>
      <c r="W68" t="s">
        <v>277</v>
      </c>
      <c r="X68" s="20" t="s">
        <v>401</v>
      </c>
      <c r="Y68">
        <v>5.0000000000000001E-3</v>
      </c>
    </row>
    <row r="69" spans="1:25" x14ac:dyDescent="0.25">
      <c r="A69" s="11" t="s">
        <v>327</v>
      </c>
      <c r="B69" s="11" t="s">
        <v>504</v>
      </c>
      <c r="C69" s="11" t="s">
        <v>531</v>
      </c>
      <c r="D69" s="11" t="s">
        <v>419</v>
      </c>
      <c r="E69" s="11"/>
      <c r="F69" s="11" t="s">
        <v>397</v>
      </c>
      <c r="G69" s="11" t="s">
        <v>397</v>
      </c>
      <c r="H69" s="11" t="s">
        <v>397</v>
      </c>
      <c r="I69" s="11" t="s">
        <v>397</v>
      </c>
      <c r="J69" s="11" t="s">
        <v>398</v>
      </c>
      <c r="K69" s="11" t="s">
        <v>399</v>
      </c>
      <c r="L69" s="11" t="s">
        <v>397</v>
      </c>
      <c r="M69" s="11" t="s">
        <v>397</v>
      </c>
      <c r="N69" s="11" t="s">
        <v>397</v>
      </c>
      <c r="O69" s="11" t="s">
        <v>397</v>
      </c>
      <c r="P69" s="11" t="s">
        <v>397</v>
      </c>
      <c r="Q69" s="11" t="s">
        <v>397</v>
      </c>
      <c r="R69" s="11" t="s">
        <v>397</v>
      </c>
      <c r="S69" s="11" t="s">
        <v>397</v>
      </c>
      <c r="T69" s="11" t="s">
        <v>397</v>
      </c>
      <c r="U69" s="11" t="s">
        <v>397</v>
      </c>
      <c r="V69" s="11" t="s">
        <v>532</v>
      </c>
      <c r="W69" t="s">
        <v>301</v>
      </c>
      <c r="X69" s="20" t="s">
        <v>401</v>
      </c>
      <c r="Y69">
        <v>5.0000000000000001E-3</v>
      </c>
    </row>
    <row r="70" spans="1:25" x14ac:dyDescent="0.25">
      <c r="A70" s="11" t="s">
        <v>327</v>
      </c>
      <c r="B70" s="11" t="s">
        <v>504</v>
      </c>
      <c r="C70" s="11" t="s">
        <v>533</v>
      </c>
      <c r="D70" s="11" t="s">
        <v>419</v>
      </c>
      <c r="E70" s="11"/>
      <c r="F70" s="11" t="s">
        <v>397</v>
      </c>
      <c r="G70" s="11" t="s">
        <v>397</v>
      </c>
      <c r="H70" s="11" t="s">
        <v>397</v>
      </c>
      <c r="I70" s="11" t="s">
        <v>397</v>
      </c>
      <c r="J70" s="11" t="s">
        <v>398</v>
      </c>
      <c r="K70" s="11" t="s">
        <v>399</v>
      </c>
      <c r="L70" s="11" t="s">
        <v>397</v>
      </c>
      <c r="M70" s="11" t="s">
        <v>397</v>
      </c>
      <c r="N70" s="11" t="s">
        <v>397</v>
      </c>
      <c r="O70" s="11" t="s">
        <v>397</v>
      </c>
      <c r="P70" s="11" t="s">
        <v>397</v>
      </c>
      <c r="Q70" s="11" t="s">
        <v>397</v>
      </c>
      <c r="R70" s="11" t="s">
        <v>397</v>
      </c>
      <c r="S70" s="11" t="s">
        <v>397</v>
      </c>
      <c r="T70" s="11" t="s">
        <v>397</v>
      </c>
      <c r="U70" s="11" t="s">
        <v>397</v>
      </c>
      <c r="V70" s="11" t="s">
        <v>534</v>
      </c>
      <c r="W70" t="s">
        <v>302</v>
      </c>
      <c r="X70" s="20" t="s">
        <v>401</v>
      </c>
      <c r="Y70">
        <v>5.0000000000000001E-3</v>
      </c>
    </row>
    <row r="71" spans="1:25" x14ac:dyDescent="0.25">
      <c r="A71" s="11" t="s">
        <v>327</v>
      </c>
      <c r="B71" s="11" t="s">
        <v>535</v>
      </c>
      <c r="C71" s="11" t="s">
        <v>536</v>
      </c>
      <c r="D71" s="11" t="s">
        <v>404</v>
      </c>
      <c r="E71" s="11" t="s">
        <v>495</v>
      </c>
      <c r="F71" s="11" t="s">
        <v>397</v>
      </c>
      <c r="G71" s="11" t="s">
        <v>397</v>
      </c>
      <c r="H71" s="11" t="s">
        <v>397</v>
      </c>
      <c r="I71" s="11" t="s">
        <v>397</v>
      </c>
      <c r="J71" s="11" t="s">
        <v>398</v>
      </c>
      <c r="K71" s="11" t="s">
        <v>399</v>
      </c>
      <c r="L71" s="11" t="s">
        <v>397</v>
      </c>
      <c r="M71" s="11" t="s">
        <v>397</v>
      </c>
      <c r="N71" s="11" t="s">
        <v>397</v>
      </c>
      <c r="O71" s="11" t="s">
        <v>397</v>
      </c>
      <c r="P71" s="11" t="s">
        <v>397</v>
      </c>
      <c r="Q71" s="11" t="s">
        <v>397</v>
      </c>
      <c r="R71" s="11" t="s">
        <v>397</v>
      </c>
      <c r="S71" s="11" t="s">
        <v>397</v>
      </c>
      <c r="T71" s="11" t="s">
        <v>397</v>
      </c>
      <c r="U71" s="11" t="s">
        <v>397</v>
      </c>
      <c r="V71" s="11" t="s">
        <v>433</v>
      </c>
      <c r="W71" t="s">
        <v>270</v>
      </c>
      <c r="X71" s="20" t="s">
        <v>401</v>
      </c>
      <c r="Y71">
        <v>5.0000000000000001E-3</v>
      </c>
    </row>
    <row r="72" spans="1:25" x14ac:dyDescent="0.25">
      <c r="A72" s="11" t="s">
        <v>327</v>
      </c>
      <c r="B72" s="11" t="s">
        <v>535</v>
      </c>
      <c r="C72" s="11" t="s">
        <v>537</v>
      </c>
      <c r="D72" s="11" t="s">
        <v>404</v>
      </c>
      <c r="E72" s="11" t="s">
        <v>495</v>
      </c>
      <c r="F72" s="11" t="s">
        <v>397</v>
      </c>
      <c r="G72" s="11" t="s">
        <v>397</v>
      </c>
      <c r="H72" s="11" t="s">
        <v>397</v>
      </c>
      <c r="I72" s="11" t="s">
        <v>397</v>
      </c>
      <c r="J72" s="11" t="s">
        <v>398</v>
      </c>
      <c r="K72" s="11" t="s">
        <v>399</v>
      </c>
      <c r="L72" s="11" t="s">
        <v>397</v>
      </c>
      <c r="M72" s="11" t="s">
        <v>397</v>
      </c>
      <c r="N72" s="11" t="s">
        <v>397</v>
      </c>
      <c r="O72" s="11" t="s">
        <v>397</v>
      </c>
      <c r="P72" s="11" t="s">
        <v>397</v>
      </c>
      <c r="Q72" s="11" t="s">
        <v>397</v>
      </c>
      <c r="R72" s="11" t="s">
        <v>397</v>
      </c>
      <c r="S72" s="11" t="s">
        <v>397</v>
      </c>
      <c r="T72" s="11" t="s">
        <v>397</v>
      </c>
      <c r="U72" s="11" t="s">
        <v>397</v>
      </c>
      <c r="V72" s="11" t="s">
        <v>435</v>
      </c>
      <c r="W72" t="s">
        <v>271</v>
      </c>
      <c r="X72" s="20" t="s">
        <v>401</v>
      </c>
      <c r="Y72">
        <v>5.0000000000000001E-3</v>
      </c>
    </row>
    <row r="73" spans="1:25" x14ac:dyDescent="0.25">
      <c r="A73" s="11" t="s">
        <v>327</v>
      </c>
      <c r="B73" s="11" t="s">
        <v>538</v>
      </c>
      <c r="C73" s="11" t="s">
        <v>539</v>
      </c>
      <c r="D73" s="11" t="s">
        <v>404</v>
      </c>
      <c r="E73" s="11" t="s">
        <v>495</v>
      </c>
      <c r="F73" s="11" t="s">
        <v>397</v>
      </c>
      <c r="G73" s="11" t="s">
        <v>397</v>
      </c>
      <c r="H73" s="11" t="s">
        <v>397</v>
      </c>
      <c r="I73" s="11" t="s">
        <v>397</v>
      </c>
      <c r="J73" s="11" t="s">
        <v>398</v>
      </c>
      <c r="K73" s="11" t="s">
        <v>399</v>
      </c>
      <c r="L73" s="11" t="s">
        <v>397</v>
      </c>
      <c r="M73" s="11" t="s">
        <v>397</v>
      </c>
      <c r="N73" s="11" t="s">
        <v>397</v>
      </c>
      <c r="O73" s="11" t="s">
        <v>397</v>
      </c>
      <c r="P73" s="11" t="s">
        <v>397</v>
      </c>
      <c r="Q73" s="11" t="s">
        <v>397</v>
      </c>
      <c r="R73" s="11" t="s">
        <v>397</v>
      </c>
      <c r="S73" s="11" t="s">
        <v>397</v>
      </c>
      <c r="T73" s="11" t="s">
        <v>397</v>
      </c>
      <c r="U73" s="11" t="s">
        <v>397</v>
      </c>
      <c r="V73" s="11" t="s">
        <v>489</v>
      </c>
      <c r="W73" t="s">
        <v>292</v>
      </c>
      <c r="X73" s="20" t="s">
        <v>401</v>
      </c>
      <c r="Y73">
        <v>5.0000000000000001E-3</v>
      </c>
    </row>
    <row r="74" spans="1:25" x14ac:dyDescent="0.25">
      <c r="A74" s="11" t="s">
        <v>327</v>
      </c>
      <c r="B74" s="11" t="s">
        <v>538</v>
      </c>
      <c r="C74" s="11" t="s">
        <v>539</v>
      </c>
      <c r="D74" s="11" t="s">
        <v>404</v>
      </c>
      <c r="E74" s="11" t="s">
        <v>495</v>
      </c>
      <c r="F74" s="11" t="s">
        <v>397</v>
      </c>
      <c r="G74" s="11" t="s">
        <v>397</v>
      </c>
      <c r="H74" s="11" t="s">
        <v>397</v>
      </c>
      <c r="I74" s="11" t="s">
        <v>397</v>
      </c>
      <c r="J74" s="11" t="s">
        <v>398</v>
      </c>
      <c r="K74" s="11" t="s">
        <v>399</v>
      </c>
      <c r="L74" s="11" t="s">
        <v>397</v>
      </c>
      <c r="M74" s="11" t="s">
        <v>397</v>
      </c>
      <c r="N74" s="11" t="s">
        <v>397</v>
      </c>
      <c r="O74" s="11" t="s">
        <v>397</v>
      </c>
      <c r="P74" s="11" t="s">
        <v>397</v>
      </c>
      <c r="Q74" s="11" t="s">
        <v>397</v>
      </c>
      <c r="R74" s="11" t="s">
        <v>397</v>
      </c>
      <c r="S74" s="11" t="s">
        <v>397</v>
      </c>
      <c r="T74" s="11" t="s">
        <v>397</v>
      </c>
      <c r="U74" s="11" t="s">
        <v>397</v>
      </c>
      <c r="V74" s="11" t="s">
        <v>490</v>
      </c>
      <c r="W74" t="s">
        <v>293</v>
      </c>
      <c r="X74" s="20" t="s">
        <v>401</v>
      </c>
      <c r="Y74">
        <v>5.0000000000000001E-3</v>
      </c>
    </row>
    <row r="75" spans="1:25" x14ac:dyDescent="0.25">
      <c r="A75" s="11" t="s">
        <v>327</v>
      </c>
      <c r="B75" s="11" t="s">
        <v>540</v>
      </c>
      <c r="C75" s="11" t="s">
        <v>541</v>
      </c>
      <c r="D75" s="11" t="s">
        <v>464</v>
      </c>
      <c r="E75" s="11" t="s">
        <v>495</v>
      </c>
      <c r="F75" s="11" t="s">
        <v>397</v>
      </c>
      <c r="G75" s="11" t="s">
        <v>397</v>
      </c>
      <c r="H75" s="11" t="s">
        <v>397</v>
      </c>
      <c r="I75" s="11" t="s">
        <v>397</v>
      </c>
      <c r="J75" s="11" t="s">
        <v>398</v>
      </c>
      <c r="K75" s="11" t="s">
        <v>399</v>
      </c>
      <c r="L75" s="11" t="s">
        <v>397</v>
      </c>
      <c r="M75" s="11" t="s">
        <v>397</v>
      </c>
      <c r="N75" s="11" t="s">
        <v>397</v>
      </c>
      <c r="O75" s="11" t="s">
        <v>397</v>
      </c>
      <c r="P75" s="11" t="s">
        <v>397</v>
      </c>
      <c r="Q75" s="11" t="s">
        <v>397</v>
      </c>
      <c r="R75" s="11" t="s">
        <v>397</v>
      </c>
      <c r="S75" s="11" t="s">
        <v>397</v>
      </c>
      <c r="T75" s="11" t="s">
        <v>397</v>
      </c>
      <c r="U75" s="11" t="s">
        <v>397</v>
      </c>
      <c r="V75" s="11" t="s">
        <v>465</v>
      </c>
      <c r="W75" t="s">
        <v>283</v>
      </c>
      <c r="X75" s="20" t="s">
        <v>401</v>
      </c>
      <c r="Y75">
        <v>5.0000000000000001E-3</v>
      </c>
    </row>
    <row r="76" spans="1:25" x14ac:dyDescent="0.25">
      <c r="A76" s="11" t="s">
        <v>327</v>
      </c>
      <c r="B76" s="11" t="s">
        <v>540</v>
      </c>
      <c r="C76" s="11" t="s">
        <v>542</v>
      </c>
      <c r="D76" s="11" t="s">
        <v>404</v>
      </c>
      <c r="E76" s="11" t="s">
        <v>495</v>
      </c>
      <c r="F76" s="11" t="s">
        <v>397</v>
      </c>
      <c r="G76" s="11" t="s">
        <v>397</v>
      </c>
      <c r="H76" s="11" t="s">
        <v>397</v>
      </c>
      <c r="I76" s="11" t="s">
        <v>397</v>
      </c>
      <c r="J76" s="11" t="s">
        <v>398</v>
      </c>
      <c r="K76" s="11" t="s">
        <v>399</v>
      </c>
      <c r="L76" s="11" t="s">
        <v>397</v>
      </c>
      <c r="M76" s="11" t="s">
        <v>397</v>
      </c>
      <c r="N76" s="11" t="s">
        <v>397</v>
      </c>
      <c r="O76" s="11" t="s">
        <v>397</v>
      </c>
      <c r="P76" s="11" t="s">
        <v>397</v>
      </c>
      <c r="Q76" s="11" t="s">
        <v>397</v>
      </c>
      <c r="R76" s="11" t="s">
        <v>397</v>
      </c>
      <c r="S76" s="11" t="s">
        <v>397</v>
      </c>
      <c r="T76" s="11" t="s">
        <v>397</v>
      </c>
      <c r="U76" s="11" t="s">
        <v>397</v>
      </c>
      <c r="V76" s="11" t="s">
        <v>443</v>
      </c>
      <c r="W76" t="s">
        <v>275</v>
      </c>
      <c r="X76" s="20" t="s">
        <v>401</v>
      </c>
      <c r="Y76">
        <v>5.0000000000000001E-3</v>
      </c>
    </row>
    <row r="77" spans="1:25" x14ac:dyDescent="0.25">
      <c r="A77" s="11" t="s">
        <v>327</v>
      </c>
      <c r="B77" s="11" t="s">
        <v>543</v>
      </c>
      <c r="C77" s="11" t="s">
        <v>544</v>
      </c>
      <c r="D77" s="11" t="s">
        <v>404</v>
      </c>
      <c r="E77" s="11" t="s">
        <v>495</v>
      </c>
      <c r="F77" s="11" t="s">
        <v>397</v>
      </c>
      <c r="G77" s="11" t="s">
        <v>397</v>
      </c>
      <c r="H77" s="11" t="s">
        <v>397</v>
      </c>
      <c r="I77" s="11" t="s">
        <v>397</v>
      </c>
      <c r="J77" s="11" t="s">
        <v>398</v>
      </c>
      <c r="K77" s="11" t="s">
        <v>399</v>
      </c>
      <c r="L77" s="11" t="s">
        <v>397</v>
      </c>
      <c r="M77" s="11" t="s">
        <v>397</v>
      </c>
      <c r="N77" s="11" t="s">
        <v>397</v>
      </c>
      <c r="O77" s="11" t="s">
        <v>397</v>
      </c>
      <c r="P77" s="11" t="s">
        <v>397</v>
      </c>
      <c r="Q77" s="11" t="s">
        <v>397</v>
      </c>
      <c r="R77" s="11" t="s">
        <v>397</v>
      </c>
      <c r="S77" s="11" t="s">
        <v>397</v>
      </c>
      <c r="T77" s="11" t="s">
        <v>397</v>
      </c>
      <c r="U77" s="11" t="s">
        <v>397</v>
      </c>
      <c r="V77" s="11" t="s">
        <v>478</v>
      </c>
      <c r="W77" t="s">
        <v>289</v>
      </c>
      <c r="X77" s="20" t="s">
        <v>401</v>
      </c>
      <c r="Y77">
        <v>5.0000000000000001E-3</v>
      </c>
    </row>
    <row r="78" spans="1:25" x14ac:dyDescent="0.25">
      <c r="A78" s="11" t="s">
        <v>327</v>
      </c>
      <c r="B78" s="11" t="s">
        <v>545</v>
      </c>
      <c r="C78" s="11" t="s">
        <v>546</v>
      </c>
      <c r="D78" s="11" t="s">
        <v>404</v>
      </c>
      <c r="E78" s="11" t="s">
        <v>495</v>
      </c>
      <c r="F78" s="11" t="s">
        <v>397</v>
      </c>
      <c r="G78" s="11" t="s">
        <v>397</v>
      </c>
      <c r="H78" s="11" t="s">
        <v>397</v>
      </c>
      <c r="I78" s="11" t="s">
        <v>397</v>
      </c>
      <c r="J78" s="11" t="s">
        <v>398</v>
      </c>
      <c r="K78" s="11" t="s">
        <v>399</v>
      </c>
      <c r="L78" s="11" t="s">
        <v>397</v>
      </c>
      <c r="M78" s="11" t="s">
        <v>397</v>
      </c>
      <c r="N78" s="11" t="s">
        <v>397</v>
      </c>
      <c r="O78" s="11" t="s">
        <v>397</v>
      </c>
      <c r="P78" s="11" t="s">
        <v>397</v>
      </c>
      <c r="Q78" s="11" t="s">
        <v>397</v>
      </c>
      <c r="R78" s="11" t="s">
        <v>397</v>
      </c>
      <c r="S78" s="11" t="s">
        <v>397</v>
      </c>
      <c r="T78" s="11" t="s">
        <v>397</v>
      </c>
      <c r="U78" s="11" t="s">
        <v>397</v>
      </c>
      <c r="V78" s="11" t="s">
        <v>460</v>
      </c>
      <c r="W78" t="s">
        <v>281</v>
      </c>
      <c r="X78" s="20" t="s">
        <v>401</v>
      </c>
      <c r="Y78">
        <v>5.0000000000000001E-3</v>
      </c>
    </row>
    <row r="79" spans="1:25" x14ac:dyDescent="0.25">
      <c r="A79" s="11" t="s">
        <v>327</v>
      </c>
      <c r="B79" s="11" t="s">
        <v>547</v>
      </c>
      <c r="C79" s="11" t="s">
        <v>548</v>
      </c>
      <c r="D79" s="11" t="s">
        <v>404</v>
      </c>
      <c r="E79" s="11" t="s">
        <v>495</v>
      </c>
      <c r="F79" s="11" t="s">
        <v>397</v>
      </c>
      <c r="G79" s="11" t="s">
        <v>397</v>
      </c>
      <c r="H79" s="11" t="s">
        <v>397</v>
      </c>
      <c r="I79" s="11" t="s">
        <v>397</v>
      </c>
      <c r="J79" s="11" t="s">
        <v>398</v>
      </c>
      <c r="K79" s="11" t="s">
        <v>399</v>
      </c>
      <c r="L79" s="11" t="s">
        <v>397</v>
      </c>
      <c r="M79" s="11" t="s">
        <v>397</v>
      </c>
      <c r="N79" s="11" t="s">
        <v>397</v>
      </c>
      <c r="O79" s="11" t="s">
        <v>397</v>
      </c>
      <c r="P79" s="11" t="s">
        <v>397</v>
      </c>
      <c r="Q79" s="11" t="s">
        <v>397</v>
      </c>
      <c r="R79" s="11" t="s">
        <v>397</v>
      </c>
      <c r="S79" s="11" t="s">
        <v>397</v>
      </c>
      <c r="T79" s="11" t="s">
        <v>397</v>
      </c>
      <c r="U79" s="11" t="s">
        <v>397</v>
      </c>
      <c r="V79" s="11" t="s">
        <v>462</v>
      </c>
      <c r="W79" t="s">
        <v>282</v>
      </c>
      <c r="X79" s="20" t="s">
        <v>401</v>
      </c>
      <c r="Y79">
        <v>5.0000000000000001E-3</v>
      </c>
    </row>
    <row r="80" spans="1:25" x14ac:dyDescent="0.25">
      <c r="A80" s="11" t="s">
        <v>327</v>
      </c>
      <c r="B80" s="11" t="s">
        <v>549</v>
      </c>
      <c r="C80" s="11" t="s">
        <v>550</v>
      </c>
      <c r="D80" s="11" t="s">
        <v>404</v>
      </c>
      <c r="E80" s="11" t="s">
        <v>495</v>
      </c>
      <c r="F80" s="11" t="s">
        <v>397</v>
      </c>
      <c r="G80" s="11" t="s">
        <v>397</v>
      </c>
      <c r="H80" s="11" t="s">
        <v>397</v>
      </c>
      <c r="I80" s="11" t="s">
        <v>397</v>
      </c>
      <c r="J80" s="11" t="s">
        <v>398</v>
      </c>
      <c r="K80" s="11" t="s">
        <v>399</v>
      </c>
      <c r="L80" s="11" t="s">
        <v>397</v>
      </c>
      <c r="M80" s="11" t="s">
        <v>397</v>
      </c>
      <c r="N80" s="11" t="s">
        <v>397</v>
      </c>
      <c r="O80" s="11" t="s">
        <v>397</v>
      </c>
      <c r="P80" s="11" t="s">
        <v>397</v>
      </c>
      <c r="Q80" s="11" t="s">
        <v>397</v>
      </c>
      <c r="R80" s="11" t="s">
        <v>397</v>
      </c>
      <c r="S80" s="11" t="s">
        <v>397</v>
      </c>
      <c r="T80" s="11" t="s">
        <v>397</v>
      </c>
      <c r="U80" s="11" t="s">
        <v>397</v>
      </c>
      <c r="V80" s="11" t="s">
        <v>441</v>
      </c>
      <c r="W80" t="s">
        <v>274</v>
      </c>
      <c r="X80" s="20" t="s">
        <v>401</v>
      </c>
      <c r="Y80">
        <v>5.0000000000000001E-3</v>
      </c>
    </row>
    <row r="81" spans="1:25" x14ac:dyDescent="0.25">
      <c r="A81" s="11" t="s">
        <v>327</v>
      </c>
      <c r="B81" s="11" t="s">
        <v>551</v>
      </c>
      <c r="C81" s="11" t="s">
        <v>552</v>
      </c>
      <c r="D81" s="11" t="s">
        <v>395</v>
      </c>
      <c r="E81" s="11" t="s">
        <v>495</v>
      </c>
      <c r="F81" s="11" t="s">
        <v>397</v>
      </c>
      <c r="G81" s="11" t="s">
        <v>397</v>
      </c>
      <c r="H81" s="11" t="s">
        <v>397</v>
      </c>
      <c r="I81" s="11" t="s">
        <v>397</v>
      </c>
      <c r="J81" s="11" t="s">
        <v>398</v>
      </c>
      <c r="K81" s="11" t="s">
        <v>399</v>
      </c>
      <c r="L81" s="11" t="s">
        <v>397</v>
      </c>
      <c r="M81" s="11" t="s">
        <v>397</v>
      </c>
      <c r="N81" s="11" t="s">
        <v>397</v>
      </c>
      <c r="O81" s="11" t="s">
        <v>397</v>
      </c>
      <c r="P81" s="11" t="s">
        <v>397</v>
      </c>
      <c r="Q81" s="11" t="s">
        <v>397</v>
      </c>
      <c r="R81" s="11" t="s">
        <v>397</v>
      </c>
      <c r="S81" s="11" t="s">
        <v>397</v>
      </c>
      <c r="T81" s="11" t="s">
        <v>397</v>
      </c>
      <c r="U81" s="11" t="s">
        <v>397</v>
      </c>
      <c r="V81" s="11" t="s">
        <v>400</v>
      </c>
      <c r="W81" t="s">
        <v>258</v>
      </c>
      <c r="X81" s="20" t="s">
        <v>401</v>
      </c>
      <c r="Y81">
        <v>5.0000000000000001E-3</v>
      </c>
    </row>
    <row r="82" spans="1:25" x14ac:dyDescent="0.25">
      <c r="A82" s="11" t="s">
        <v>327</v>
      </c>
      <c r="B82" s="11" t="s">
        <v>553</v>
      </c>
      <c r="C82" s="11" t="s">
        <v>554</v>
      </c>
      <c r="D82" s="11" t="s">
        <v>419</v>
      </c>
      <c r="E82" s="11"/>
      <c r="F82" s="11" t="s">
        <v>397</v>
      </c>
      <c r="G82" s="11" t="s">
        <v>397</v>
      </c>
      <c r="H82" s="11" t="s">
        <v>397</v>
      </c>
      <c r="I82" s="11" t="s">
        <v>397</v>
      </c>
      <c r="J82" s="11" t="s">
        <v>398</v>
      </c>
      <c r="K82" s="11" t="s">
        <v>399</v>
      </c>
      <c r="L82" s="11" t="s">
        <v>397</v>
      </c>
      <c r="M82" s="11" t="s">
        <v>397</v>
      </c>
      <c r="N82" s="11" t="s">
        <v>397</v>
      </c>
      <c r="O82" s="11" t="s">
        <v>397</v>
      </c>
      <c r="P82" s="11" t="s">
        <v>397</v>
      </c>
      <c r="Q82" s="11" t="s">
        <v>397</v>
      </c>
      <c r="R82" s="11" t="s">
        <v>397</v>
      </c>
      <c r="S82" s="11" t="s">
        <v>397</v>
      </c>
      <c r="T82" s="11" t="s">
        <v>397</v>
      </c>
      <c r="U82" s="11" t="s">
        <v>397</v>
      </c>
      <c r="V82" s="11" t="s">
        <v>420</v>
      </c>
      <c r="W82" t="s">
        <v>265</v>
      </c>
      <c r="X82" s="20" t="s">
        <v>401</v>
      </c>
      <c r="Y82">
        <v>5.0000000000000001E-3</v>
      </c>
    </row>
    <row r="83" spans="1:25" x14ac:dyDescent="0.25">
      <c r="A83" s="11" t="s">
        <v>327</v>
      </c>
      <c r="B83" s="11" t="s">
        <v>553</v>
      </c>
      <c r="C83" s="11" t="s">
        <v>555</v>
      </c>
      <c r="D83" s="11" t="s">
        <v>416</v>
      </c>
      <c r="E83" s="11" t="s">
        <v>495</v>
      </c>
      <c r="F83" s="11" t="s">
        <v>397</v>
      </c>
      <c r="G83" s="11" t="s">
        <v>397</v>
      </c>
      <c r="H83" s="11" t="s">
        <v>397</v>
      </c>
      <c r="I83" s="11" t="s">
        <v>397</v>
      </c>
      <c r="J83" s="11" t="s">
        <v>398</v>
      </c>
      <c r="K83" s="11" t="s">
        <v>399</v>
      </c>
      <c r="L83" s="11" t="s">
        <v>397</v>
      </c>
      <c r="M83" s="11" t="s">
        <v>397</v>
      </c>
      <c r="N83" s="11" t="s">
        <v>397</v>
      </c>
      <c r="O83" s="11" t="s">
        <v>397</v>
      </c>
      <c r="P83" s="11" t="s">
        <v>397</v>
      </c>
      <c r="Q83" s="11" t="s">
        <v>397</v>
      </c>
      <c r="R83" s="11" t="s">
        <v>397</v>
      </c>
      <c r="S83" s="11" t="s">
        <v>397</v>
      </c>
      <c r="T83" s="11" t="s">
        <v>397</v>
      </c>
      <c r="U83" s="11" t="s">
        <v>397</v>
      </c>
      <c r="V83" s="11" t="s">
        <v>556</v>
      </c>
      <c r="W83" t="s">
        <v>303</v>
      </c>
      <c r="X83" s="20" t="s">
        <v>401</v>
      </c>
      <c r="Y83">
        <v>5.0000000000000001E-3</v>
      </c>
    </row>
    <row r="84" spans="1:25" x14ac:dyDescent="0.25">
      <c r="A84" s="11" t="s">
        <v>327</v>
      </c>
      <c r="B84" s="11" t="s">
        <v>553</v>
      </c>
      <c r="C84" s="11" t="s">
        <v>557</v>
      </c>
      <c r="D84" s="11" t="s">
        <v>416</v>
      </c>
      <c r="E84" s="11" t="s">
        <v>495</v>
      </c>
      <c r="F84" s="11" t="s">
        <v>397</v>
      </c>
      <c r="G84" s="11" t="s">
        <v>397</v>
      </c>
      <c r="H84" s="11" t="s">
        <v>397</v>
      </c>
      <c r="I84" s="11" t="s">
        <v>397</v>
      </c>
      <c r="J84" s="11" t="s">
        <v>398</v>
      </c>
      <c r="K84" s="11" t="s">
        <v>399</v>
      </c>
      <c r="L84" s="11" t="s">
        <v>397</v>
      </c>
      <c r="M84" s="11" t="s">
        <v>397</v>
      </c>
      <c r="N84" s="11" t="s">
        <v>397</v>
      </c>
      <c r="O84" s="11" t="s">
        <v>397</v>
      </c>
      <c r="P84" s="11" t="s">
        <v>397</v>
      </c>
      <c r="Q84" s="11" t="s">
        <v>397</v>
      </c>
      <c r="R84" s="11" t="s">
        <v>397</v>
      </c>
      <c r="S84" s="11" t="s">
        <v>397</v>
      </c>
      <c r="T84" s="11" t="s">
        <v>397</v>
      </c>
      <c r="U84" s="11" t="s">
        <v>397</v>
      </c>
      <c r="V84" s="11" t="s">
        <v>558</v>
      </c>
      <c r="W84" t="s">
        <v>304</v>
      </c>
      <c r="X84" s="20" t="s">
        <v>401</v>
      </c>
      <c r="Y84">
        <v>5.0000000000000001E-3</v>
      </c>
    </row>
    <row r="85" spans="1:25" x14ac:dyDescent="0.25">
      <c r="A85" s="11" t="s">
        <v>327</v>
      </c>
      <c r="B85" s="11" t="s">
        <v>553</v>
      </c>
      <c r="C85" s="11" t="s">
        <v>559</v>
      </c>
      <c r="D85" s="11" t="s">
        <v>471</v>
      </c>
      <c r="E85" s="11" t="s">
        <v>495</v>
      </c>
      <c r="F85" s="11" t="s">
        <v>397</v>
      </c>
      <c r="G85" s="11" t="s">
        <v>397</v>
      </c>
      <c r="H85" s="11" t="s">
        <v>397</v>
      </c>
      <c r="I85" s="11" t="s">
        <v>397</v>
      </c>
      <c r="J85" s="11" t="s">
        <v>398</v>
      </c>
      <c r="K85" s="11" t="s">
        <v>399</v>
      </c>
      <c r="L85" s="11" t="s">
        <v>397</v>
      </c>
      <c r="M85" s="11" t="s">
        <v>397</v>
      </c>
      <c r="N85" s="11" t="s">
        <v>397</v>
      </c>
      <c r="O85" s="11" t="s">
        <v>397</v>
      </c>
      <c r="P85" s="11" t="s">
        <v>397</v>
      </c>
      <c r="Q85" s="11" t="s">
        <v>397</v>
      </c>
      <c r="R85" s="11" t="s">
        <v>397</v>
      </c>
      <c r="S85" s="11" t="s">
        <v>397</v>
      </c>
      <c r="T85" s="11" t="s">
        <v>397</v>
      </c>
      <c r="U85" s="11" t="s">
        <v>397</v>
      </c>
      <c r="V85" s="11" t="s">
        <v>472</v>
      </c>
      <c r="W85" t="s">
        <v>286</v>
      </c>
      <c r="X85" s="20" t="s">
        <v>401</v>
      </c>
      <c r="Y85">
        <v>5.0000000000000001E-3</v>
      </c>
    </row>
    <row r="86" spans="1:25" x14ac:dyDescent="0.25">
      <c r="A86" s="11" t="s">
        <v>327</v>
      </c>
      <c r="B86" s="11" t="s">
        <v>560</v>
      </c>
      <c r="C86" s="11" t="s">
        <v>561</v>
      </c>
      <c r="D86" s="11" t="s">
        <v>430</v>
      </c>
      <c r="E86" s="11" t="s">
        <v>495</v>
      </c>
      <c r="F86" s="11" t="s">
        <v>397</v>
      </c>
      <c r="G86" s="11" t="s">
        <v>397</v>
      </c>
      <c r="H86" s="11" t="s">
        <v>397</v>
      </c>
      <c r="I86" s="11" t="s">
        <v>397</v>
      </c>
      <c r="J86" s="11" t="s">
        <v>398</v>
      </c>
      <c r="K86" s="11" t="s">
        <v>399</v>
      </c>
      <c r="L86" s="11" t="s">
        <v>397</v>
      </c>
      <c r="M86" s="11" t="s">
        <v>397</v>
      </c>
      <c r="N86" s="11" t="s">
        <v>397</v>
      </c>
      <c r="O86" s="11" t="s">
        <v>397</v>
      </c>
      <c r="P86" s="11" t="s">
        <v>397</v>
      </c>
      <c r="Q86" s="11" t="s">
        <v>397</v>
      </c>
      <c r="R86" s="11" t="s">
        <v>397</v>
      </c>
      <c r="S86" s="11" t="s">
        <v>397</v>
      </c>
      <c r="T86" s="11" t="s">
        <v>397</v>
      </c>
      <c r="U86" s="11" t="s">
        <v>397</v>
      </c>
      <c r="V86" s="11" t="s">
        <v>431</v>
      </c>
      <c r="W86" t="s">
        <v>269</v>
      </c>
      <c r="X86" s="20" t="s">
        <v>401</v>
      </c>
      <c r="Y86">
        <v>5.0000000000000001E-3</v>
      </c>
    </row>
    <row r="87" spans="1:25" x14ac:dyDescent="0.25">
      <c r="A87" s="11" t="s">
        <v>327</v>
      </c>
      <c r="B87" s="11" t="s">
        <v>562</v>
      </c>
      <c r="C87" s="11" t="s">
        <v>563</v>
      </c>
      <c r="D87" s="11" t="s">
        <v>404</v>
      </c>
      <c r="E87" s="11" t="s">
        <v>495</v>
      </c>
      <c r="F87" s="11" t="s">
        <v>397</v>
      </c>
      <c r="G87" s="11" t="s">
        <v>397</v>
      </c>
      <c r="H87" s="11" t="s">
        <v>397</v>
      </c>
      <c r="I87" s="11" t="s">
        <v>397</v>
      </c>
      <c r="J87" s="11" t="s">
        <v>398</v>
      </c>
      <c r="K87" s="11" t="s">
        <v>399</v>
      </c>
      <c r="L87" s="11" t="s">
        <v>397</v>
      </c>
      <c r="M87" s="11" t="s">
        <v>397</v>
      </c>
      <c r="N87" s="11" t="s">
        <v>397</v>
      </c>
      <c r="O87" s="11" t="s">
        <v>397</v>
      </c>
      <c r="P87" s="11" t="s">
        <v>397</v>
      </c>
      <c r="Q87" s="11" t="s">
        <v>397</v>
      </c>
      <c r="R87" s="11" t="s">
        <v>397</v>
      </c>
      <c r="S87" s="11" t="s">
        <v>397</v>
      </c>
      <c r="T87" s="11" t="s">
        <v>397</v>
      </c>
      <c r="U87" s="11" t="s">
        <v>397</v>
      </c>
      <c r="V87" s="11" t="s">
        <v>405</v>
      </c>
      <c r="W87" t="s">
        <v>260</v>
      </c>
      <c r="X87" s="20" t="s">
        <v>401</v>
      </c>
      <c r="Y87">
        <v>5.0000000000000001E-3</v>
      </c>
    </row>
    <row r="88" spans="1:25" x14ac:dyDescent="0.25">
      <c r="A88" s="11" t="s">
        <v>327</v>
      </c>
      <c r="B88" s="11" t="s">
        <v>564</v>
      </c>
      <c r="C88" s="11" t="s">
        <v>565</v>
      </c>
      <c r="D88" s="11" t="s">
        <v>411</v>
      </c>
      <c r="E88" s="11" t="s">
        <v>495</v>
      </c>
      <c r="F88" s="11" t="s">
        <v>397</v>
      </c>
      <c r="G88" s="11" t="s">
        <v>397</v>
      </c>
      <c r="H88" s="11" t="s">
        <v>397</v>
      </c>
      <c r="I88" s="11" t="s">
        <v>397</v>
      </c>
      <c r="J88" s="11" t="s">
        <v>398</v>
      </c>
      <c r="K88" s="11" t="s">
        <v>399</v>
      </c>
      <c r="L88" s="11" t="s">
        <v>397</v>
      </c>
      <c r="M88" s="11" t="s">
        <v>397</v>
      </c>
      <c r="N88" s="11" t="s">
        <v>397</v>
      </c>
      <c r="O88" s="11" t="s">
        <v>397</v>
      </c>
      <c r="P88" s="11" t="s">
        <v>397</v>
      </c>
      <c r="Q88" s="11" t="s">
        <v>397</v>
      </c>
      <c r="R88" s="11" t="s">
        <v>397</v>
      </c>
      <c r="S88" s="11" t="s">
        <v>397</v>
      </c>
      <c r="T88" s="11" t="s">
        <v>397</v>
      </c>
      <c r="U88" s="11" t="s">
        <v>397</v>
      </c>
      <c r="V88" s="11" t="s">
        <v>412</v>
      </c>
      <c r="W88" t="s">
        <v>263</v>
      </c>
      <c r="X88" s="20" t="s">
        <v>401</v>
      </c>
      <c r="Y88">
        <v>5.0000000000000001E-3</v>
      </c>
    </row>
    <row r="89" spans="1:25" x14ac:dyDescent="0.25">
      <c r="A89" s="11" t="s">
        <v>327</v>
      </c>
      <c r="B89" s="11" t="s">
        <v>564</v>
      </c>
      <c r="C89" s="11" t="s">
        <v>565</v>
      </c>
      <c r="D89" s="11" t="s">
        <v>413</v>
      </c>
      <c r="E89" s="11" t="s">
        <v>495</v>
      </c>
      <c r="F89" s="11" t="s">
        <v>397</v>
      </c>
      <c r="G89" s="11" t="s">
        <v>397</v>
      </c>
      <c r="H89" s="11" t="s">
        <v>397</v>
      </c>
      <c r="I89" s="11" t="s">
        <v>397</v>
      </c>
      <c r="J89" s="11" t="s">
        <v>398</v>
      </c>
      <c r="K89" s="11" t="s">
        <v>399</v>
      </c>
      <c r="L89" s="11" t="s">
        <v>397</v>
      </c>
      <c r="M89" s="11" t="s">
        <v>397</v>
      </c>
      <c r="N89" s="11" t="s">
        <v>397</v>
      </c>
      <c r="O89" s="11" t="s">
        <v>397</v>
      </c>
      <c r="P89" s="11" t="s">
        <v>397</v>
      </c>
      <c r="Q89" s="11" t="s">
        <v>397</v>
      </c>
      <c r="R89" s="11" t="s">
        <v>397</v>
      </c>
      <c r="S89" s="11" t="s">
        <v>397</v>
      </c>
      <c r="T89" s="11" t="s">
        <v>397</v>
      </c>
      <c r="U89" s="11" t="s">
        <v>397</v>
      </c>
      <c r="V89" s="11" t="s">
        <v>412</v>
      </c>
      <c r="W89" t="s">
        <v>263</v>
      </c>
      <c r="X89" s="20" t="s">
        <v>401</v>
      </c>
      <c r="Y89">
        <v>5.0000000000000001E-3</v>
      </c>
    </row>
    <row r="90" spans="1:25" x14ac:dyDescent="0.25">
      <c r="A90" s="11" t="s">
        <v>327</v>
      </c>
      <c r="B90" s="11" t="s">
        <v>566</v>
      </c>
      <c r="C90" s="11" t="s">
        <v>567</v>
      </c>
      <c r="D90" s="11" t="s">
        <v>404</v>
      </c>
      <c r="E90" s="11" t="s">
        <v>495</v>
      </c>
      <c r="F90" s="11" t="s">
        <v>397</v>
      </c>
      <c r="G90" s="11" t="s">
        <v>397</v>
      </c>
      <c r="H90" s="11" t="s">
        <v>397</v>
      </c>
      <c r="I90" s="11" t="s">
        <v>397</v>
      </c>
      <c r="J90" s="11" t="s">
        <v>398</v>
      </c>
      <c r="K90" s="11" t="s">
        <v>399</v>
      </c>
      <c r="L90" s="11" t="s">
        <v>397</v>
      </c>
      <c r="M90" s="11" t="s">
        <v>397</v>
      </c>
      <c r="N90" s="11" t="s">
        <v>397</v>
      </c>
      <c r="O90" s="11" t="s">
        <v>397</v>
      </c>
      <c r="P90" s="11" t="s">
        <v>397</v>
      </c>
      <c r="Q90" s="11" t="s">
        <v>397</v>
      </c>
      <c r="R90" s="11" t="s">
        <v>397</v>
      </c>
      <c r="S90" s="11" t="s">
        <v>397</v>
      </c>
      <c r="T90" s="11" t="s">
        <v>397</v>
      </c>
      <c r="U90" s="11" t="s">
        <v>397</v>
      </c>
      <c r="V90" s="11" t="s">
        <v>449</v>
      </c>
      <c r="W90" t="s">
        <v>278</v>
      </c>
      <c r="X90" s="20" t="s">
        <v>401</v>
      </c>
      <c r="Y90">
        <v>5.0000000000000001E-3</v>
      </c>
    </row>
    <row r="91" spans="1:25" x14ac:dyDescent="0.25">
      <c r="A91" s="11" t="s">
        <v>327</v>
      </c>
      <c r="B91" s="11" t="s">
        <v>568</v>
      </c>
      <c r="C91" s="11" t="s">
        <v>569</v>
      </c>
      <c r="D91" s="11" t="s">
        <v>454</v>
      </c>
      <c r="E91" s="11" t="s">
        <v>495</v>
      </c>
      <c r="F91" s="11" t="s">
        <v>397</v>
      </c>
      <c r="G91" s="11" t="s">
        <v>397</v>
      </c>
      <c r="H91" s="11" t="s">
        <v>397</v>
      </c>
      <c r="I91" s="11" t="s">
        <v>397</v>
      </c>
      <c r="J91" s="11" t="s">
        <v>398</v>
      </c>
      <c r="K91" s="11" t="s">
        <v>399</v>
      </c>
      <c r="L91" s="11" t="s">
        <v>397</v>
      </c>
      <c r="M91" s="11" t="s">
        <v>397</v>
      </c>
      <c r="N91" s="11" t="s">
        <v>397</v>
      </c>
      <c r="O91" s="11" t="s">
        <v>397</v>
      </c>
      <c r="P91" s="11" t="s">
        <v>397</v>
      </c>
      <c r="Q91" s="11" t="s">
        <v>397</v>
      </c>
      <c r="R91" s="11" t="s">
        <v>397</v>
      </c>
      <c r="S91" s="11" t="s">
        <v>397</v>
      </c>
      <c r="T91" s="11" t="s">
        <v>397</v>
      </c>
      <c r="U91" s="11" t="s">
        <v>397</v>
      </c>
      <c r="V91" s="11" t="s">
        <v>455</v>
      </c>
      <c r="W91" t="s">
        <v>279</v>
      </c>
      <c r="X91" s="20" t="s">
        <v>401</v>
      </c>
      <c r="Y91">
        <v>5.0000000000000001E-3</v>
      </c>
    </row>
    <row r="92" spans="1:25" ht="26.4" x14ac:dyDescent="0.25">
      <c r="A92" s="11" t="s">
        <v>327</v>
      </c>
      <c r="B92" s="11" t="s">
        <v>362</v>
      </c>
      <c r="C92" s="11" t="s">
        <v>397</v>
      </c>
      <c r="D92" s="11" t="s">
        <v>570</v>
      </c>
      <c r="E92" s="11" t="s">
        <v>571</v>
      </c>
      <c r="F92" s="11" t="s">
        <v>397</v>
      </c>
      <c r="G92" s="11" t="s">
        <v>397</v>
      </c>
      <c r="H92" s="11" t="s">
        <v>397</v>
      </c>
      <c r="I92" s="11" t="s">
        <v>397</v>
      </c>
      <c r="J92" s="11" t="s">
        <v>398</v>
      </c>
      <c r="K92" s="11" t="s">
        <v>399</v>
      </c>
      <c r="L92" s="11" t="s">
        <v>397</v>
      </c>
      <c r="M92" s="11" t="s">
        <v>397</v>
      </c>
      <c r="N92" s="11" t="s">
        <v>397</v>
      </c>
      <c r="O92" s="11" t="s">
        <v>397</v>
      </c>
      <c r="P92" s="11" t="s">
        <v>397</v>
      </c>
      <c r="Q92" s="11" t="s">
        <v>397</v>
      </c>
      <c r="R92" s="11" t="s">
        <v>397</v>
      </c>
      <c r="S92" s="11" t="s">
        <v>397</v>
      </c>
      <c r="T92" s="11" t="s">
        <v>397</v>
      </c>
      <c r="U92" s="11" t="s">
        <v>397</v>
      </c>
      <c r="V92" s="11" t="s">
        <v>572</v>
      </c>
      <c r="W92" t="s">
        <v>397</v>
      </c>
      <c r="X92" s="20" t="s">
        <v>573</v>
      </c>
      <c r="Y92">
        <v>8.0000000000000002E-3</v>
      </c>
    </row>
    <row r="93" spans="1:25" ht="26.4" x14ac:dyDescent="0.25">
      <c r="A93" s="11" t="s">
        <v>327</v>
      </c>
      <c r="B93" s="11" t="s">
        <v>362</v>
      </c>
      <c r="C93" s="11" t="s">
        <v>397</v>
      </c>
      <c r="D93" s="11" t="s">
        <v>574</v>
      </c>
      <c r="E93" s="11" t="s">
        <v>571</v>
      </c>
      <c r="F93" s="11" t="s">
        <v>397</v>
      </c>
      <c r="G93" s="11" t="s">
        <v>397</v>
      </c>
      <c r="H93" s="11" t="s">
        <v>397</v>
      </c>
      <c r="I93" s="11" t="s">
        <v>397</v>
      </c>
      <c r="J93" s="11" t="s">
        <v>398</v>
      </c>
      <c r="K93" s="11" t="s">
        <v>399</v>
      </c>
      <c r="L93" s="11" t="s">
        <v>397</v>
      </c>
      <c r="M93" s="11" t="s">
        <v>397</v>
      </c>
      <c r="N93" s="11" t="s">
        <v>397</v>
      </c>
      <c r="O93" s="11" t="s">
        <v>397</v>
      </c>
      <c r="P93" s="11" t="s">
        <v>397</v>
      </c>
      <c r="Q93" s="11" t="s">
        <v>397</v>
      </c>
      <c r="R93" s="11" t="s">
        <v>397</v>
      </c>
      <c r="S93" s="11" t="s">
        <v>397</v>
      </c>
      <c r="T93" s="11" t="s">
        <v>397</v>
      </c>
      <c r="U93" s="11" t="s">
        <v>397</v>
      </c>
      <c r="V93" s="11" t="s">
        <v>397</v>
      </c>
      <c r="W93" t="s">
        <v>575</v>
      </c>
      <c r="X93" s="20" t="s">
        <v>573</v>
      </c>
      <c r="Y93">
        <v>8.0000000000000002E-3</v>
      </c>
    </row>
    <row r="94" spans="1:25" ht="26.4" x14ac:dyDescent="0.25">
      <c r="A94" s="11" t="s">
        <v>327</v>
      </c>
      <c r="B94" s="11" t="s">
        <v>362</v>
      </c>
      <c r="C94" s="11" t="s">
        <v>397</v>
      </c>
      <c r="D94" s="11" t="s">
        <v>576</v>
      </c>
      <c r="E94" s="11" t="s">
        <v>571</v>
      </c>
      <c r="F94" s="11" t="s">
        <v>397</v>
      </c>
      <c r="G94" s="11" t="s">
        <v>397</v>
      </c>
      <c r="H94" s="11" t="s">
        <v>397</v>
      </c>
      <c r="I94" s="11" t="s">
        <v>397</v>
      </c>
      <c r="J94" s="11" t="s">
        <v>398</v>
      </c>
      <c r="K94" s="11" t="s">
        <v>399</v>
      </c>
      <c r="L94" s="11" t="s">
        <v>397</v>
      </c>
      <c r="M94" s="11" t="s">
        <v>397</v>
      </c>
      <c r="N94" s="11" t="s">
        <v>397</v>
      </c>
      <c r="O94" s="11" t="s">
        <v>397</v>
      </c>
      <c r="P94" s="11" t="s">
        <v>397</v>
      </c>
      <c r="Q94" s="11" t="s">
        <v>397</v>
      </c>
      <c r="R94" s="11" t="s">
        <v>397</v>
      </c>
      <c r="S94" s="11" t="s">
        <v>397</v>
      </c>
      <c r="T94" s="11" t="s">
        <v>397</v>
      </c>
      <c r="U94" s="11" t="s">
        <v>397</v>
      </c>
      <c r="V94" s="11" t="s">
        <v>397</v>
      </c>
      <c r="W94" t="s">
        <v>577</v>
      </c>
      <c r="X94" s="20" t="s">
        <v>573</v>
      </c>
      <c r="Y94">
        <v>8.0000000000000002E-3</v>
      </c>
    </row>
    <row r="95" spans="1:25" ht="26.4" x14ac:dyDescent="0.25">
      <c r="A95" s="11" t="s">
        <v>327</v>
      </c>
      <c r="B95" s="11" t="s">
        <v>362</v>
      </c>
      <c r="C95" s="11" t="s">
        <v>397</v>
      </c>
      <c r="D95" s="11" t="s">
        <v>578</v>
      </c>
      <c r="E95" s="11" t="s">
        <v>571</v>
      </c>
      <c r="F95" s="11" t="s">
        <v>397</v>
      </c>
      <c r="G95" s="11" t="s">
        <v>397</v>
      </c>
      <c r="H95" s="11" t="s">
        <v>397</v>
      </c>
      <c r="I95" s="11" t="s">
        <v>397</v>
      </c>
      <c r="J95" s="11" t="s">
        <v>398</v>
      </c>
      <c r="K95" s="11" t="s">
        <v>399</v>
      </c>
      <c r="L95" s="11" t="s">
        <v>397</v>
      </c>
      <c r="M95" s="11" t="s">
        <v>397</v>
      </c>
      <c r="N95" s="11" t="s">
        <v>397</v>
      </c>
      <c r="O95" s="11" t="s">
        <v>397</v>
      </c>
      <c r="P95" s="11" t="s">
        <v>397</v>
      </c>
      <c r="Q95" s="11" t="s">
        <v>397</v>
      </c>
      <c r="R95" s="11" t="s">
        <v>397</v>
      </c>
      <c r="S95" s="11" t="s">
        <v>397</v>
      </c>
      <c r="T95" s="11" t="s">
        <v>397</v>
      </c>
      <c r="U95" s="11" t="s">
        <v>397</v>
      </c>
      <c r="V95" s="11" t="s">
        <v>397</v>
      </c>
      <c r="W95" t="s">
        <v>579</v>
      </c>
      <c r="X95" s="20" t="s">
        <v>573</v>
      </c>
      <c r="Y95">
        <v>8.0000000000000002E-3</v>
      </c>
    </row>
    <row r="96" spans="1:25" ht="26.4" x14ac:dyDescent="0.25">
      <c r="A96" s="11" t="s">
        <v>327</v>
      </c>
      <c r="B96" s="11" t="s">
        <v>362</v>
      </c>
      <c r="C96" s="11" t="s">
        <v>397</v>
      </c>
      <c r="D96" s="11" t="s">
        <v>580</v>
      </c>
      <c r="E96" s="11" t="s">
        <v>571</v>
      </c>
      <c r="F96" s="11" t="s">
        <v>397</v>
      </c>
      <c r="G96" s="11" t="s">
        <v>397</v>
      </c>
      <c r="H96" s="11" t="s">
        <v>397</v>
      </c>
      <c r="I96" s="11" t="s">
        <v>397</v>
      </c>
      <c r="J96" s="11" t="s">
        <v>398</v>
      </c>
      <c r="K96" s="11" t="s">
        <v>399</v>
      </c>
      <c r="L96" s="11" t="s">
        <v>397</v>
      </c>
      <c r="M96" s="11" t="s">
        <v>397</v>
      </c>
      <c r="N96" s="11" t="s">
        <v>397</v>
      </c>
      <c r="O96" s="11" t="s">
        <v>397</v>
      </c>
      <c r="P96" s="11" t="s">
        <v>397</v>
      </c>
      <c r="Q96" s="11" t="s">
        <v>397</v>
      </c>
      <c r="R96" s="11" t="s">
        <v>397</v>
      </c>
      <c r="S96" s="11" t="s">
        <v>397</v>
      </c>
      <c r="T96" s="11" t="s">
        <v>397</v>
      </c>
      <c r="U96" s="11" t="s">
        <v>397</v>
      </c>
      <c r="V96" s="11" t="s">
        <v>397</v>
      </c>
      <c r="W96" t="s">
        <v>581</v>
      </c>
      <c r="X96" s="20" t="s">
        <v>573</v>
      </c>
      <c r="Y96">
        <v>8.0000000000000002E-3</v>
      </c>
    </row>
    <row r="97" spans="1:25" ht="26.4" x14ac:dyDescent="0.25">
      <c r="A97" s="11" t="s">
        <v>327</v>
      </c>
      <c r="B97" s="11" t="s">
        <v>362</v>
      </c>
      <c r="C97" s="11" t="s">
        <v>397</v>
      </c>
      <c r="D97" s="11" t="s">
        <v>582</v>
      </c>
      <c r="E97" s="11" t="s">
        <v>571</v>
      </c>
      <c r="F97" s="11" t="s">
        <v>397</v>
      </c>
      <c r="G97" s="11" t="s">
        <v>397</v>
      </c>
      <c r="H97" s="11" t="s">
        <v>397</v>
      </c>
      <c r="I97" s="11" t="s">
        <v>397</v>
      </c>
      <c r="J97" s="11" t="s">
        <v>398</v>
      </c>
      <c r="K97" s="11" t="s">
        <v>399</v>
      </c>
      <c r="L97" s="11" t="s">
        <v>397</v>
      </c>
      <c r="M97" s="11" t="s">
        <v>397</v>
      </c>
      <c r="N97" s="11" t="s">
        <v>397</v>
      </c>
      <c r="O97" s="11" t="s">
        <v>397</v>
      </c>
      <c r="P97" s="11" t="s">
        <v>397</v>
      </c>
      <c r="Q97" s="11" t="s">
        <v>397</v>
      </c>
      <c r="R97" s="11" t="s">
        <v>397</v>
      </c>
      <c r="S97" s="11" t="s">
        <v>397</v>
      </c>
      <c r="T97" s="11" t="s">
        <v>397</v>
      </c>
      <c r="U97" s="11" t="s">
        <v>397</v>
      </c>
      <c r="V97" s="11" t="s">
        <v>397</v>
      </c>
      <c r="W97" t="s">
        <v>583</v>
      </c>
      <c r="X97" s="20" t="s">
        <v>573</v>
      </c>
      <c r="Y97">
        <v>8.0000000000000002E-3</v>
      </c>
    </row>
    <row r="98" spans="1:25" ht="26.4" x14ac:dyDescent="0.25">
      <c r="A98" s="11" t="s">
        <v>327</v>
      </c>
      <c r="B98" s="11" t="s">
        <v>364</v>
      </c>
      <c r="C98" s="11" t="s">
        <v>397</v>
      </c>
      <c r="D98" s="11" t="s">
        <v>578</v>
      </c>
      <c r="E98" s="11" t="s">
        <v>571</v>
      </c>
      <c r="F98" s="11" t="s">
        <v>397</v>
      </c>
      <c r="G98" s="11" t="s">
        <v>397</v>
      </c>
      <c r="H98" s="11" t="s">
        <v>397</v>
      </c>
      <c r="I98" s="11" t="s">
        <v>397</v>
      </c>
      <c r="J98" s="11" t="s">
        <v>398</v>
      </c>
      <c r="K98" s="11" t="s">
        <v>399</v>
      </c>
      <c r="L98" s="11" t="s">
        <v>397</v>
      </c>
      <c r="M98" s="11" t="s">
        <v>397</v>
      </c>
      <c r="N98" s="11" t="s">
        <v>397</v>
      </c>
      <c r="O98" s="11" t="s">
        <v>397</v>
      </c>
      <c r="P98" s="11" t="s">
        <v>397</v>
      </c>
      <c r="Q98" s="11" t="s">
        <v>397</v>
      </c>
      <c r="R98" s="11" t="s">
        <v>397</v>
      </c>
      <c r="S98" s="11" t="s">
        <v>397</v>
      </c>
      <c r="T98" s="11" t="s">
        <v>397</v>
      </c>
      <c r="U98" s="11" t="s">
        <v>397</v>
      </c>
      <c r="V98" s="11" t="s">
        <v>397</v>
      </c>
      <c r="W98" t="s">
        <v>584</v>
      </c>
      <c r="X98" s="20" t="s">
        <v>573</v>
      </c>
      <c r="Y98">
        <v>8.0000000000000002E-3</v>
      </c>
    </row>
    <row r="99" spans="1:25" ht="26.4" x14ac:dyDescent="0.25">
      <c r="A99" s="11" t="s">
        <v>327</v>
      </c>
      <c r="B99" s="11" t="s">
        <v>364</v>
      </c>
      <c r="C99" s="11" t="s">
        <v>397</v>
      </c>
      <c r="D99" s="11" t="s">
        <v>580</v>
      </c>
      <c r="E99" s="11" t="s">
        <v>571</v>
      </c>
      <c r="F99" s="11" t="s">
        <v>397</v>
      </c>
      <c r="G99" s="11" t="s">
        <v>397</v>
      </c>
      <c r="H99" s="11" t="s">
        <v>397</v>
      </c>
      <c r="I99" s="11" t="s">
        <v>397</v>
      </c>
      <c r="J99" s="11" t="s">
        <v>398</v>
      </c>
      <c r="K99" s="11" t="s">
        <v>399</v>
      </c>
      <c r="L99" s="11" t="s">
        <v>397</v>
      </c>
      <c r="M99" s="11" t="s">
        <v>397</v>
      </c>
      <c r="N99" s="11" t="s">
        <v>397</v>
      </c>
      <c r="O99" s="11" t="s">
        <v>397</v>
      </c>
      <c r="P99" s="11" t="s">
        <v>397</v>
      </c>
      <c r="Q99" s="11" t="s">
        <v>397</v>
      </c>
      <c r="R99" s="11" t="s">
        <v>397</v>
      </c>
      <c r="S99" s="11" t="s">
        <v>397</v>
      </c>
      <c r="T99" s="11" t="s">
        <v>397</v>
      </c>
      <c r="U99" s="11" t="s">
        <v>397</v>
      </c>
      <c r="V99" s="11" t="s">
        <v>397</v>
      </c>
      <c r="W99" t="s">
        <v>585</v>
      </c>
      <c r="X99" s="20" t="s">
        <v>573</v>
      </c>
      <c r="Y99">
        <v>8.0000000000000002E-3</v>
      </c>
    </row>
    <row r="100" spans="1:25" ht="26.4" x14ac:dyDescent="0.25">
      <c r="A100" s="11" t="s">
        <v>327</v>
      </c>
      <c r="B100" s="11" t="s">
        <v>364</v>
      </c>
      <c r="C100" s="11" t="s">
        <v>397</v>
      </c>
      <c r="D100" s="11" t="s">
        <v>582</v>
      </c>
      <c r="E100" s="11" t="s">
        <v>571</v>
      </c>
      <c r="F100" s="11" t="s">
        <v>397</v>
      </c>
      <c r="G100" s="11" t="s">
        <v>397</v>
      </c>
      <c r="H100" s="11" t="s">
        <v>397</v>
      </c>
      <c r="I100" s="11" t="s">
        <v>397</v>
      </c>
      <c r="J100" s="11" t="s">
        <v>398</v>
      </c>
      <c r="K100" s="11" t="s">
        <v>399</v>
      </c>
      <c r="L100" s="11" t="s">
        <v>397</v>
      </c>
      <c r="M100" s="11" t="s">
        <v>397</v>
      </c>
      <c r="N100" s="11" t="s">
        <v>397</v>
      </c>
      <c r="O100" s="11" t="s">
        <v>397</v>
      </c>
      <c r="P100" s="11" t="s">
        <v>397</v>
      </c>
      <c r="Q100" s="11" t="s">
        <v>397</v>
      </c>
      <c r="R100" s="11" t="s">
        <v>397</v>
      </c>
      <c r="S100" s="11" t="s">
        <v>397</v>
      </c>
      <c r="T100" s="11" t="s">
        <v>397</v>
      </c>
      <c r="U100" s="11" t="s">
        <v>397</v>
      </c>
      <c r="V100" s="11" t="s">
        <v>397</v>
      </c>
      <c r="W100" t="s">
        <v>586</v>
      </c>
      <c r="X100" s="20" t="s">
        <v>573</v>
      </c>
      <c r="Y100">
        <v>8.0000000000000002E-3</v>
      </c>
    </row>
    <row r="101" spans="1:25" ht="26.4" x14ac:dyDescent="0.25">
      <c r="A101" s="11" t="s">
        <v>327</v>
      </c>
      <c r="B101" s="11" t="s">
        <v>365</v>
      </c>
      <c r="C101" s="11" t="s">
        <v>397</v>
      </c>
      <c r="D101" s="11" t="s">
        <v>587</v>
      </c>
      <c r="E101" s="11" t="s">
        <v>588</v>
      </c>
      <c r="F101" s="11" t="s">
        <v>397</v>
      </c>
      <c r="G101" s="11" t="s">
        <v>397</v>
      </c>
      <c r="H101" s="11" t="s">
        <v>397</v>
      </c>
      <c r="I101" s="11" t="s">
        <v>397</v>
      </c>
      <c r="J101" s="11" t="s">
        <v>398</v>
      </c>
      <c r="K101" s="11" t="s">
        <v>399</v>
      </c>
      <c r="L101" s="11" t="s">
        <v>397</v>
      </c>
      <c r="M101" s="11" t="s">
        <v>397</v>
      </c>
      <c r="N101" s="11" t="s">
        <v>397</v>
      </c>
      <c r="O101" s="11" t="s">
        <v>397</v>
      </c>
      <c r="P101" s="11" t="s">
        <v>397</v>
      </c>
      <c r="Q101" s="11" t="s">
        <v>397</v>
      </c>
      <c r="R101" s="11" t="s">
        <v>397</v>
      </c>
      <c r="S101" s="11" t="s">
        <v>397</v>
      </c>
      <c r="T101" s="11" t="s">
        <v>397</v>
      </c>
      <c r="U101" s="11" t="s">
        <v>397</v>
      </c>
      <c r="V101" s="11" t="s">
        <v>397</v>
      </c>
      <c r="W101" t="s">
        <v>589</v>
      </c>
      <c r="X101" s="20" t="s">
        <v>573</v>
      </c>
      <c r="Y101">
        <v>8.0000000000000002E-3</v>
      </c>
    </row>
    <row r="102" spans="1:25" x14ac:dyDescent="0.25">
      <c r="A102" s="11" t="s">
        <v>327</v>
      </c>
      <c r="B102" s="11" t="s">
        <v>366</v>
      </c>
      <c r="C102" s="11" t="s">
        <v>397</v>
      </c>
      <c r="D102" s="11" t="s">
        <v>590</v>
      </c>
      <c r="E102" s="11" t="s">
        <v>571</v>
      </c>
      <c r="F102" s="11" t="s">
        <v>397</v>
      </c>
      <c r="G102" s="11" t="s">
        <v>397</v>
      </c>
      <c r="H102" s="11" t="s">
        <v>397</v>
      </c>
      <c r="I102" s="11" t="s">
        <v>397</v>
      </c>
      <c r="J102" s="11" t="s">
        <v>398</v>
      </c>
      <c r="K102" s="11" t="s">
        <v>399</v>
      </c>
      <c r="L102" s="11" t="s">
        <v>397</v>
      </c>
      <c r="M102" s="11" t="s">
        <v>397</v>
      </c>
      <c r="N102" s="11" t="s">
        <v>397</v>
      </c>
      <c r="O102" s="11" t="s">
        <v>397</v>
      </c>
      <c r="P102" s="11" t="s">
        <v>397</v>
      </c>
      <c r="Q102" s="11" t="s">
        <v>397</v>
      </c>
      <c r="R102" s="11" t="s">
        <v>397</v>
      </c>
      <c r="S102" s="11" t="s">
        <v>397</v>
      </c>
      <c r="T102" s="11" t="s">
        <v>397</v>
      </c>
      <c r="U102" s="11" t="s">
        <v>397</v>
      </c>
      <c r="V102" s="11" t="s">
        <v>397</v>
      </c>
      <c r="W102" t="s">
        <v>397</v>
      </c>
      <c r="X102" s="20" t="s">
        <v>591</v>
      </c>
      <c r="Y102">
        <v>0.05</v>
      </c>
    </row>
    <row r="103" spans="1:25" x14ac:dyDescent="0.25">
      <c r="A103" s="11" t="s">
        <v>327</v>
      </c>
      <c r="B103" s="11" t="s">
        <v>366</v>
      </c>
      <c r="C103" s="11" t="s">
        <v>397</v>
      </c>
      <c r="D103" s="11" t="s">
        <v>592</v>
      </c>
      <c r="E103" s="11" t="s">
        <v>571</v>
      </c>
      <c r="F103" s="11" t="s">
        <v>397</v>
      </c>
      <c r="G103" s="11" t="s">
        <v>397</v>
      </c>
      <c r="H103" s="11" t="s">
        <v>397</v>
      </c>
      <c r="I103" s="11" t="s">
        <v>397</v>
      </c>
      <c r="J103" s="11" t="s">
        <v>398</v>
      </c>
      <c r="K103" s="11" t="s">
        <v>399</v>
      </c>
      <c r="L103" s="11" t="s">
        <v>397</v>
      </c>
      <c r="M103" s="11" t="s">
        <v>397</v>
      </c>
      <c r="N103" s="11" t="s">
        <v>397</v>
      </c>
      <c r="O103" s="11" t="s">
        <v>397</v>
      </c>
      <c r="P103" s="11" t="s">
        <v>397</v>
      </c>
      <c r="Q103" s="11" t="s">
        <v>397</v>
      </c>
      <c r="R103" s="11" t="s">
        <v>397</v>
      </c>
      <c r="S103" s="11" t="s">
        <v>397</v>
      </c>
      <c r="T103" s="11" t="s">
        <v>397</v>
      </c>
      <c r="U103" s="11" t="s">
        <v>397</v>
      </c>
      <c r="V103" s="11"/>
      <c r="W103" t="s">
        <v>593</v>
      </c>
      <c r="X103" s="20" t="s">
        <v>594</v>
      </c>
      <c r="Y103">
        <v>0.05</v>
      </c>
    </row>
    <row r="104" spans="1:25" x14ac:dyDescent="0.25">
      <c r="A104" s="11" t="s">
        <v>327</v>
      </c>
      <c r="B104" s="11" t="s">
        <v>366</v>
      </c>
      <c r="C104" s="11" t="s">
        <v>397</v>
      </c>
      <c r="D104" s="11" t="s">
        <v>595</v>
      </c>
      <c r="E104" s="11" t="s">
        <v>571</v>
      </c>
      <c r="F104" s="11" t="s">
        <v>397</v>
      </c>
      <c r="G104" s="11" t="s">
        <v>397</v>
      </c>
      <c r="H104" s="11" t="s">
        <v>397</v>
      </c>
      <c r="I104" s="11" t="s">
        <v>397</v>
      </c>
      <c r="J104" s="11" t="s">
        <v>398</v>
      </c>
      <c r="K104" s="11" t="s">
        <v>399</v>
      </c>
      <c r="L104" s="11" t="s">
        <v>397</v>
      </c>
      <c r="M104" s="11" t="s">
        <v>397</v>
      </c>
      <c r="N104" s="11" t="s">
        <v>397</v>
      </c>
      <c r="O104" s="11" t="s">
        <v>397</v>
      </c>
      <c r="P104" s="11" t="s">
        <v>397</v>
      </c>
      <c r="Q104" s="11" t="s">
        <v>397</v>
      </c>
      <c r="R104" s="11" t="s">
        <v>397</v>
      </c>
      <c r="S104" s="11" t="s">
        <v>397</v>
      </c>
      <c r="T104" s="11" t="s">
        <v>397</v>
      </c>
      <c r="U104" s="11" t="s">
        <v>397</v>
      </c>
      <c r="V104" s="11" t="s">
        <v>596</v>
      </c>
      <c r="W104" t="s">
        <v>597</v>
      </c>
      <c r="X104" s="20" t="s">
        <v>594</v>
      </c>
      <c r="Y104">
        <v>0.05</v>
      </c>
    </row>
    <row r="105" spans="1:25" x14ac:dyDescent="0.25">
      <c r="A105" s="11" t="s">
        <v>327</v>
      </c>
      <c r="B105" s="11" t="s">
        <v>368</v>
      </c>
      <c r="C105" s="11"/>
      <c r="D105" s="11"/>
      <c r="E105" s="11"/>
      <c r="F105" s="11"/>
      <c r="G105" s="11"/>
      <c r="H105" s="11"/>
      <c r="I105" s="11"/>
      <c r="J105" s="11"/>
      <c r="K105" s="11"/>
      <c r="L105" s="11"/>
      <c r="M105" s="11"/>
      <c r="N105" s="11"/>
      <c r="O105" s="11"/>
      <c r="P105" s="11"/>
      <c r="Q105" s="11"/>
      <c r="R105" s="11"/>
      <c r="S105" s="11"/>
      <c r="T105" s="11"/>
      <c r="U105" s="11"/>
      <c r="V105" s="11"/>
      <c r="X105" s="20"/>
      <c r="Y105">
        <v>0.05</v>
      </c>
    </row>
    <row r="106" spans="1:25" x14ac:dyDescent="0.25">
      <c r="A106" s="11"/>
      <c r="B106" s="11"/>
      <c r="C106" s="91"/>
      <c r="D106" s="91"/>
      <c r="E106" s="91"/>
      <c r="F106" s="91"/>
      <c r="G106" s="91"/>
      <c r="H106" s="91"/>
      <c r="I106" s="91"/>
      <c r="J106" s="91"/>
      <c r="K106" s="91"/>
      <c r="L106" s="91"/>
      <c r="M106" s="91"/>
      <c r="N106" s="91"/>
      <c r="O106" s="91"/>
      <c r="P106" s="91"/>
      <c r="Q106" s="91"/>
      <c r="R106" s="91"/>
      <c r="S106" s="91"/>
      <c r="T106" s="91"/>
      <c r="U106" s="91"/>
      <c r="V106" s="91"/>
      <c r="W106" s="91"/>
      <c r="X106" s="91"/>
    </row>
    <row r="107" spans="1:25" x14ac:dyDescent="0.25">
      <c r="A107" s="11"/>
      <c r="B107" s="11"/>
      <c r="C107" s="91"/>
      <c r="D107" s="91"/>
      <c r="E107" s="91"/>
      <c r="F107" s="91"/>
      <c r="G107" s="91"/>
      <c r="H107" s="91"/>
      <c r="I107" s="91"/>
      <c r="J107" s="91"/>
      <c r="K107" s="91"/>
      <c r="L107" s="91"/>
      <c r="M107" s="91"/>
      <c r="N107" s="91"/>
      <c r="O107" s="91"/>
      <c r="P107" s="91"/>
      <c r="Q107" s="91"/>
      <c r="R107" s="91"/>
      <c r="S107" s="91"/>
      <c r="T107" s="91"/>
      <c r="U107" s="91"/>
      <c r="V107" s="91"/>
      <c r="W107" s="91"/>
      <c r="X107" s="91"/>
    </row>
    <row r="108" spans="1:25" x14ac:dyDescent="0.25">
      <c r="A108" s="19" t="s">
        <v>40</v>
      </c>
      <c r="B108" s="19" t="s">
        <v>243</v>
      </c>
    </row>
    <row r="109" spans="1:25" x14ac:dyDescent="0.25">
      <c r="A109" s="18"/>
      <c r="B109" s="18">
        <f>SUM(Y:Y)</f>
        <v>0.72000000000000053</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D14"/>
  <sheetViews>
    <sheetView workbookViewId="0">
      <selection sqref="A1:C1"/>
    </sheetView>
  </sheetViews>
  <sheetFormatPr defaultRowHeight="13.2" x14ac:dyDescent="0.25"/>
  <cols>
    <col min="1" max="1" width="38.33203125" bestFit="1" customWidth="1"/>
    <col min="2" max="2" width="25.88671875" customWidth="1"/>
    <col min="3" max="3" width="39.109375" customWidth="1"/>
  </cols>
  <sheetData>
    <row r="1" spans="1:4" ht="13.8" thickBot="1" x14ac:dyDescent="0.3">
      <c r="A1" s="134" t="s">
        <v>136</v>
      </c>
      <c r="B1" s="135"/>
      <c r="C1" s="136"/>
    </row>
    <row r="3" spans="1:4" x14ac:dyDescent="0.25">
      <c r="A3" s="26" t="s">
        <v>598</v>
      </c>
      <c r="B3" s="26" t="s">
        <v>183</v>
      </c>
      <c r="C3" s="26" t="s">
        <v>80</v>
      </c>
    </row>
    <row r="4" spans="1:4" x14ac:dyDescent="0.25">
      <c r="A4" s="39" t="s">
        <v>599</v>
      </c>
      <c r="B4" s="11" t="s">
        <v>186</v>
      </c>
      <c r="C4" s="11" t="s">
        <v>600</v>
      </c>
    </row>
    <row r="5" spans="1:4" x14ac:dyDescent="0.25">
      <c r="A5" s="39" t="s">
        <v>601</v>
      </c>
      <c r="B5" s="11" t="s">
        <v>186</v>
      </c>
      <c r="C5" s="11" t="s">
        <v>600</v>
      </c>
      <c r="D5">
        <v>0.05</v>
      </c>
    </row>
    <row r="6" spans="1:4" x14ac:dyDescent="0.25">
      <c r="A6" s="39"/>
      <c r="B6" s="11"/>
      <c r="C6" s="11"/>
      <c r="D6">
        <v>0.05</v>
      </c>
    </row>
    <row r="7" spans="1:4" x14ac:dyDescent="0.25">
      <c r="A7" s="39"/>
      <c r="B7" s="11"/>
      <c r="C7" s="11"/>
    </row>
    <row r="8" spans="1:4" x14ac:dyDescent="0.25">
      <c r="A8" s="39" t="s">
        <v>602</v>
      </c>
      <c r="B8" s="11" t="s">
        <v>186</v>
      </c>
      <c r="C8" s="11" t="s">
        <v>603</v>
      </c>
      <c r="D8">
        <v>0.05</v>
      </c>
    </row>
    <row r="9" spans="1:4" x14ac:dyDescent="0.25">
      <c r="A9" s="11" t="s">
        <v>604</v>
      </c>
      <c r="B9" s="11" t="s">
        <v>186</v>
      </c>
      <c r="C9" s="11" t="s">
        <v>603</v>
      </c>
      <c r="D9">
        <v>0.05</v>
      </c>
    </row>
    <row r="10" spans="1:4" x14ac:dyDescent="0.25">
      <c r="A10" s="11"/>
      <c r="B10" s="11"/>
      <c r="C10" s="11"/>
    </row>
    <row r="13" spans="1:4" x14ac:dyDescent="0.25">
      <c r="A13" s="19" t="s">
        <v>40</v>
      </c>
      <c r="B13" s="19" t="s">
        <v>243</v>
      </c>
    </row>
    <row r="14" spans="1:4" x14ac:dyDescent="0.25">
      <c r="A14" s="18"/>
      <c r="B14" s="18">
        <f>SUM(D:D)</f>
        <v>0.2</v>
      </c>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sqref="A1:D1"/>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8" ht="13.8" thickBot="1" x14ac:dyDescent="0.3">
      <c r="A1" s="134" t="s">
        <v>138</v>
      </c>
      <c r="B1" s="135"/>
      <c r="C1" s="135"/>
      <c r="D1" s="136"/>
    </row>
    <row r="3" spans="1:8" x14ac:dyDescent="0.25">
      <c r="A3" s="12" t="s">
        <v>605</v>
      </c>
      <c r="B3" s="12" t="s">
        <v>606</v>
      </c>
      <c r="C3" s="12" t="s">
        <v>115</v>
      </c>
      <c r="D3" s="12" t="s">
        <v>607</v>
      </c>
      <c r="E3" s="12" t="s">
        <v>608</v>
      </c>
      <c r="F3" s="12" t="s">
        <v>609</v>
      </c>
    </row>
    <row r="4" spans="1:8" x14ac:dyDescent="0.25">
      <c r="A4" s="17" t="s">
        <v>610</v>
      </c>
      <c r="B4" s="38"/>
      <c r="C4" s="39"/>
      <c r="D4" s="11"/>
      <c r="E4" s="11"/>
      <c r="F4" s="11" t="s">
        <v>177</v>
      </c>
    </row>
    <row r="5" spans="1:8" x14ac:dyDescent="0.25">
      <c r="A5" s="17" t="s">
        <v>610</v>
      </c>
      <c r="B5" s="11"/>
      <c r="C5" s="11"/>
      <c r="D5" s="11"/>
      <c r="E5" s="11"/>
      <c r="F5" s="11" t="s">
        <v>177</v>
      </c>
    </row>
    <row r="8" spans="1:8" x14ac:dyDescent="0.25">
      <c r="A8" s="12" t="s">
        <v>611</v>
      </c>
      <c r="B8" s="36" t="s">
        <v>612</v>
      </c>
      <c r="C8" s="36" t="s">
        <v>613</v>
      </c>
      <c r="D8" s="36" t="s">
        <v>614</v>
      </c>
      <c r="E8" s="36" t="s">
        <v>615</v>
      </c>
      <c r="F8" s="36" t="s">
        <v>616</v>
      </c>
      <c r="G8" s="36" t="s">
        <v>617</v>
      </c>
      <c r="H8" s="36" t="s">
        <v>618</v>
      </c>
    </row>
    <row r="9" spans="1:8" x14ac:dyDescent="0.25">
      <c r="A9" s="12" t="s">
        <v>619</v>
      </c>
      <c r="B9" s="37"/>
      <c r="C9" s="37"/>
      <c r="D9" s="37"/>
      <c r="E9" s="37"/>
      <c r="F9" s="37"/>
      <c r="G9" s="37"/>
      <c r="H9" s="37"/>
    </row>
    <row r="10" spans="1:8" x14ac:dyDescent="0.25">
      <c r="A10" s="12" t="s">
        <v>619</v>
      </c>
      <c r="B10" s="37"/>
      <c r="C10" s="37"/>
      <c r="D10" s="37"/>
      <c r="E10" s="37"/>
      <c r="F10" s="37"/>
      <c r="G10" s="37"/>
      <c r="H10" s="37"/>
    </row>
    <row r="11" spans="1:8" x14ac:dyDescent="0.25">
      <c r="A11" s="12" t="s">
        <v>619</v>
      </c>
      <c r="B11" s="37"/>
      <c r="C11" s="37"/>
      <c r="D11" s="37"/>
      <c r="E11" s="37"/>
      <c r="F11" s="37"/>
      <c r="G11" s="37"/>
      <c r="H11" s="37"/>
    </row>
    <row r="15" spans="1:8" x14ac:dyDescent="0.25">
      <c r="B15" s="35" t="s">
        <v>620</v>
      </c>
      <c r="C15" s="146" t="s">
        <v>621</v>
      </c>
      <c r="D15" s="146"/>
      <c r="E15" s="146"/>
      <c r="F15" s="146"/>
      <c r="G15" s="146"/>
    </row>
    <row r="16" spans="1:8" x14ac:dyDescent="0.25">
      <c r="B16" s="35" t="s">
        <v>622</v>
      </c>
      <c r="C16" s="146"/>
      <c r="D16" s="146"/>
      <c r="E16" s="146"/>
      <c r="F16" s="146"/>
      <c r="G16" s="146"/>
    </row>
    <row r="17" spans="2:7" x14ac:dyDescent="0.25">
      <c r="B17" s="35" t="s">
        <v>623</v>
      </c>
      <c r="C17" s="146"/>
      <c r="D17" s="146"/>
      <c r="E17" s="146"/>
      <c r="F17" s="146"/>
      <c r="G17" s="146"/>
    </row>
    <row r="18" spans="2:7" x14ac:dyDescent="0.25">
      <c r="B18" s="35" t="s">
        <v>624</v>
      </c>
      <c r="C18" s="146"/>
      <c r="D18" s="146"/>
      <c r="E18" s="146"/>
      <c r="F18" s="146"/>
      <c r="G18" s="146"/>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sqref="A1:B1"/>
    </sheetView>
  </sheetViews>
  <sheetFormatPr defaultRowHeight="13.2" x14ac:dyDescent="0.25"/>
  <cols>
    <col min="1" max="1" width="15.109375" bestFit="1" customWidth="1"/>
    <col min="2" max="2" width="48" customWidth="1"/>
  </cols>
  <sheetData>
    <row r="1" spans="1:2" x14ac:dyDescent="0.25">
      <c r="A1" s="147" t="s">
        <v>625</v>
      </c>
      <c r="B1" s="148"/>
    </row>
    <row r="2" spans="1:2" x14ac:dyDescent="0.25">
      <c r="A2" s="63" t="s">
        <v>626</v>
      </c>
      <c r="B2" s="78" t="s">
        <v>177</v>
      </c>
    </row>
    <row r="3" spans="1:2" x14ac:dyDescent="0.25">
      <c r="A3" s="63" t="s">
        <v>627</v>
      </c>
      <c r="B3" s="78" t="s">
        <v>177</v>
      </c>
    </row>
    <row r="4" spans="1:2" ht="13.8" thickBot="1" x14ac:dyDescent="0.3">
      <c r="A4" s="64" t="s">
        <v>628</v>
      </c>
      <c r="B4" s="79" t="s">
        <v>177</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973AAD-E617-4D8D-9F84-BC3340FCC2B4}">
  <ds:schemaRefs>
    <ds:schemaRef ds:uri="http://schemas.microsoft.com/sharepoint/v3/contenttype/forms"/>
  </ds:schemaRefs>
</ds:datastoreItem>
</file>

<file path=customXml/itemProps2.xml><?xml version="1.0" encoding="utf-8"?>
<ds:datastoreItem xmlns:ds="http://schemas.openxmlformats.org/officeDocument/2006/customXml" ds:itemID="{CBC2AD62-1479-483E-B860-3CF9E69E3B8B}">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3FF353B-EF34-4954-B66A-6799F4B8456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Jeetun, J.</cp:lastModifiedBy>
  <cp:revision/>
  <dcterms:created xsi:type="dcterms:W3CDTF">2009-06-01T12:18:44Z</dcterms:created>
  <dcterms:modified xsi:type="dcterms:W3CDTF">2021-10-04T10:20:25Z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