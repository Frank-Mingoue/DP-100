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J:\General\04_RELEASE_MANAGEMENT\2021-06-Release PROD FEB22\02_Development\Data\D_INC3922752\03_Build\"/>
    </mc:Choice>
  </mc:AlternateContent>
  <xr:revisionPtr revIDLastSave="0" documentId="13_ncr:1_{2CBC097E-3926-4184-9456-AA8CF4EE04CF}" xr6:coauthVersionLast="46" xr6:coauthVersionMax="46" xr10:uidLastSave="{00000000-0000-0000-0000-000000000000}"/>
  <bookViews>
    <workbookView xWindow="-108" yWindow="-108" windowWidth="23256" windowHeight="12576" tabRatio="926" activeTab="2" xr2:uid="{00000000-000D-0000-FFFF-FFFF00000000}"/>
  </bookViews>
  <sheets>
    <sheet name="Cover" sheetId="20" r:id="rId1"/>
    <sheet name="Version Control" sheetId="23" r:id="rId2"/>
    <sheet name="Test Cycle 1" sheetId="24" r:id="rId3"/>
    <sheet name="AppConfig" sheetId="26" state="hidden" r:id="rId4"/>
    <sheet name="Screenshot" sheetId="25" r:id="rId5"/>
    <sheet name="Reviewer Screenshots" sheetId="27" r:id="rId6"/>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2B393C71-8DC2-4D4D-9776-64803619AF4F}">
      <text>
        <r>
          <rPr>
            <b/>
            <sz val="8"/>
            <color indexed="81"/>
            <rFont val="Tahoma"/>
            <family val="2"/>
          </rPr>
          <t>bruneau.melier:</t>
        </r>
        <r>
          <rPr>
            <sz val="8"/>
            <color indexed="81"/>
            <rFont val="Tahoma"/>
            <family val="2"/>
          </rPr>
          <t xml:space="preserve">
give the name of the entity being tested</t>
        </r>
      </text>
    </comment>
    <comment ref="B2" authorId="0" shapeId="0" xr:uid="{E7625317-CF76-48DD-BC75-489E8E2906BD}">
      <text>
        <r>
          <rPr>
            <b/>
            <sz val="8"/>
            <color indexed="81"/>
            <rFont val="Tahoma"/>
            <family val="2"/>
          </rPr>
          <t>bruneau.melier:</t>
        </r>
        <r>
          <rPr>
            <sz val="8"/>
            <color indexed="81"/>
            <rFont val="Tahoma"/>
            <family val="2"/>
          </rPr>
          <t xml:space="preserve">
give the name of the mapping being tested </t>
        </r>
      </text>
    </comment>
    <comment ref="F2" authorId="0" shapeId="0" xr:uid="{217B9203-EC66-46A2-BF46-52669205997A}">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<sst xmlns="http://schemas.openxmlformats.org/spreadsheetml/2006/main" count="181" uniqueCount="132">
  <si>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</si>
  <si>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</si>
  <si>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</si>
  <si>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</si>
  <si>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</si>
  <si>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</si>
  <si>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</si>
  <si>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</si>
  <si>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</si>
  <si>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</si>
  <si>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</si>
  <si>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</si>
  <si>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</si>
  <si>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</si>
  <si>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</si>
  <si>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</si>
  <si>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</si>
  <si>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</si>
  <si>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</si>
  <si>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</si>
  <si>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</si>
  <si>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</si>
  <si>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</si>
  <si>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</si>
  <si>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</si>
  <si>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</si>
  <si>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</si>
  <si>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</si>
  <si>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</si>
  <si>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</si>
  <si>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</si>
  <si>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</si>
  <si>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</si>
  <si>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</si>
  <si>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</si>
  <si>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</si>
  <si>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</si>
  <si>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</si>
  <si>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</si>
  <si>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</si>
  <si>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</si>
  <si>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</si>
  <si>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</si>
  <si>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</si>
  <si>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</si>
  <si>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</si>
  <si>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</si>
  <si>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</si>
  <si>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</si>
  <si>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</si>
  <si>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</si>
  <si>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</si>
  <si>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</si>
  <si>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</si>
  <si>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</si>
  <si>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</si>
  <si>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</si>
  <si>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</si>
  <si>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</si>
  <si>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</si>
  <si>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</si>
  <si>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</si>
  <si>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</si>
  <si>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</si>
  <si>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</si>
  <si>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</si>
  <si>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</si>
  <si>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</si>
  <si>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</si>
  <si>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</si>
  <si>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</si>
  <si>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</si>
  <si>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</si>
  <si>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</si>
  <si>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</si>
  <si>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</si>
  <si>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</si>
  <si>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</si>
  <si>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</si>
  <si>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</si>
  <si>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Jun , 2021</t>
  </si>
  <si>
    <t xml:space="preserve">Test Case completed </t>
  </si>
  <si>
    <t>Send Email for columns creation</t>
  </si>
  <si>
    <t>INC3922752</t>
  </si>
  <si>
    <t>TME Feb 2022: Modify IFB of OB interface to avoid FK error status</t>
  </si>
  <si>
    <t>CT</t>
  </si>
  <si>
    <t>Objective gen</t>
  </si>
  <si>
    <t>wrk_Objective_Gen_Generic</t>
  </si>
  <si>
    <t>OB</t>
  </si>
  <si>
    <t>17/11/2021</t>
  </si>
  <si>
    <t>Santanoo</t>
  </si>
  <si>
    <t>Test OB Loader after ifb execute section re-order</t>
  </si>
  <si>
    <t>Register Flat File</t>
  </si>
  <si>
    <t>The flat file should be registered in WC_ETL_FILES_G table with the actual date and time</t>
  </si>
  <si>
    <t xml:space="preserve">The flat file is correctly registered in WC_ETL_FILES_G table with the actual date and time
</t>
  </si>
  <si>
    <t>Execute OB loader</t>
  </si>
  <si>
    <t>Execute task :  RUN_EIM_PROCESS_GENERIC&gt; wrk_Objective_Gen_Generic</t>
  </si>
  <si>
    <t>Informatica</t>
  </si>
  <si>
    <t>N/A</t>
  </si>
  <si>
    <t>Workflow should succeed</t>
  </si>
  <si>
    <t xml:space="preserve">The workflow is succeeded 
</t>
  </si>
  <si>
    <t>Check if records have been successfully processed after the EIM process is completed</t>
  </si>
  <si>
    <t>Records should be verified in EIM_SRC, EIM_SRC3 and EIM_ACCNT_SRC</t>
  </si>
  <si>
    <t>MSSQL/OLTP DB</t>
  </si>
  <si>
    <t>SELECT IF_ROW_BATCH_NUM, IF_ROW_STAT, COUNT(1)
FROM EIM_SRC(NOLOCK) 
WHERE IF_ROW_BATCH_NUM BETWEEN 110000000 AND 110009999
GROUP BY IF_ROW_BATCH_NUM, IF_ROW_STAT
ORDER BY 1
SELECT IF_ROW_BATCH_NUM, IF_ROW_STAT, COUNT(1)
FROM EIM_ACCNT_SRC(NOLOCK) 
WHERE IF_ROW_BATCH_NUM BETWEEN 110000000 AND 110009999
GROUP BY IF_ROW_BATCH_NUM, IF_ROW_STAT
ORDER BY 1
SELECT IF_ROW_BATCH_NUM, IF_ROW_STAT, COUNT(1)
FROM EIM_SRC3(NOLOCK) 
WHERE IF_ROW_BATCH_NUM BETWEEN 110000000 AND 110009999
GROUP BY IF_ROW_BATCH_NUM, IF_ROW_STAT
ORDER BY 1</t>
  </si>
  <si>
    <t>Screenshot 1</t>
  </si>
  <si>
    <t xml:space="preserve">All records should be successfully imported  or dup record exist </t>
  </si>
  <si>
    <r>
      <t xml:space="preserve">All records are successfully imported according </t>
    </r>
    <r>
      <rPr>
        <b/>
        <sz val="10"/>
        <color theme="9" tint="-0.249977111117893"/>
        <rFont val="Book Antiqua"/>
        <family val="1"/>
      </rPr>
      <t xml:space="preserve"> to Screenshot(1)</t>
    </r>
  </si>
  <si>
    <t>SELECT * from dbo.WC_ETL_FILES_G
WHERE FILENAME LIKE '%UAOB0701_20211117_10%'
ORDER BY 6</t>
  </si>
  <si>
    <t xml:space="preserve">a. Place the UAOB0701_20211117_10.txt in \\10.186.26.27\Interfaces_IP14\Ukraine\IUNP
Original File can be found in JTI Shared drive
General\04_RELEASE_MANAGEMENT\2021-06-Release PROD FEB22\04_Release Docs\003-Data\Data Regression\UAT-0
b. execute task:  RUN_EIM_PROCESS_GENERIC &gt; wrk_Pre_Etl_java  in INFA Manager (Folder: EIM_INTERFACE )
c. Check file registration in MSSQL/OLAP DB
</t>
  </si>
  <si>
    <t xml:space="preserve">Informatica
MSSQL/OLAP DB
</t>
  </si>
  <si>
    <t>Check in database</t>
  </si>
  <si>
    <t>Launch select script</t>
  </si>
  <si>
    <t>SELECT * FROM S_SRC 
WHERE NAME like '%Distribution targets by outlet Richmond Gold%' AND BU_ID='1-1ISX1'
SELECT *  FROM S_ACCNT_SRC WHERE SRC_ID IN (SELECT ROW_ID FROM S_SRC (NOLOCK)
WHERE NAME like '%Distribution targets by outlet Richmond Gold%' AND BU_ID='1-1ISX1')</t>
  </si>
  <si>
    <t>Screenshot 2</t>
  </si>
  <si>
    <t>2 records returned from each query as per screenshot 2
created is on execution date time</t>
  </si>
  <si>
    <t>2 records returned from each query
created should be on execution date time</t>
  </si>
  <si>
    <t>Reset test data</t>
  </si>
  <si>
    <t>launch delete from DB</t>
  </si>
  <si>
    <t>2 records deleted from each query</t>
  </si>
  <si>
    <t>DELETE FROM S_ACCNT_SRC WHERE SRC_ID IN (SELECT ROW_ID FROM S_SRC (NOLOCK)
WHERE NAME like '%Distribution targets by outlet Richmond Gold%' AND BU_ID='1-1ISX1')
DELETE FROM S_SRC 
WHERE NAME like '%Distribution targets by outlet Richmond Gold%' AND BU_ID='1-1ISX1'</t>
  </si>
  <si>
    <t>Archive the flat file</t>
  </si>
  <si>
    <t>Run the workflow EIM_INTERFACE&gt; RUN_EIM_PROCESS_GENERIC&gt;wrk_Run_Post_Batch_JAVA</t>
  </si>
  <si>
    <t xml:space="preserve">Informatica
</t>
  </si>
  <si>
    <t>workflow successful</t>
  </si>
  <si>
    <t>INC3922752 Detail Functional and Technical Design Data Part v1.xlsm</t>
  </si>
  <si>
    <t>Y</t>
  </si>
  <si>
    <t>https://dev.azure.com/tsacc-msfwex01-03-TMECONNECT/TME/_git/Data?path=%2FPhase%20II%2FEIM%2F09%20-%20Interface%20July%20IP14%2FServer%20Scripts%2FStaging_IP14%2FIndirectFiles%2FIFB%2F01_Interfaces%2FObjective%20OB%2FENU%2FIFA_ENU_OB_Objectives.ifb&amp;version=GBmaster</t>
  </si>
  <si>
    <t>N</t>
  </si>
  <si>
    <t>Frank</t>
  </si>
  <si>
    <t>Reviewer screenshot 1</t>
  </si>
  <si>
    <t>Reviewer screenshot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</si>
</sst>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8" x14ac:knownFonts="1">
    <font>
      <sz val="10"/>
      <name val="Arial"/>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10"/>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b/>
      <sz val="10"/>
      <color theme="0"/>
      <name val="Arial"/>
      <family val="2"/>
    </font>
    <font>
      <b/>
      <sz val="10"/>
      <color theme="9" tint="-0.249977111117893"/>
      <name val="Book Antiqua"/>
      <family val="1"/>
    </font>
    <font>
      <sz val="8"/>
      <name val="Arial"/>
    </font>
  </fonts>
  <fills count="3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theme="6" tint="-0.249977111117893"/>
        <bgColor indexed="64"/>
      </patternFill>
    </fill>
    <fill>
      <patternFill patternType="solid">
        <fgColor rgb="FF00B0F0"/>
        <bgColor indexed="64"/>
      </patternFill>
    </fill>
    <fill>
      <patternFill patternType="solid">
        <fgColor rgb="FF99FFCC"/>
        <bgColor indexed="64"/>
      </patternFill>
    </fill>
    <fill>
      <patternFill patternType="solid">
        <fgColor rgb="FFFFFF00"/>
        <bgColor indexed="64"/>
      </patternFill>
    </fill>
    <fill>
      <patternFill patternType="solid">
        <fgColor theme="6"/>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1">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20" borderId="1" applyNumberFormat="0" applyAlignment="0" applyProtection="0"/>
    <xf numFmtId="0" fontId="10" fillId="20" borderId="2" applyNumberFormat="0" applyAlignment="0" applyProtection="0"/>
    <xf numFmtId="0" fontId="2" fillId="0" borderId="0" applyFont="0" applyFill="0" applyBorder="0" applyAlignment="0" applyProtection="0"/>
    <xf numFmtId="0" fontId="11" fillId="7" borderId="2" applyNumberFormat="0" applyAlignment="0" applyProtection="0"/>
    <xf numFmtId="0" fontId="5" fillId="0" borderId="4" applyNumberFormat="0" applyFill="0" applyAlignment="0" applyProtection="0"/>
    <xf numFmtId="0" fontId="12" fillId="0" borderId="0" applyNumberFormat="0" applyFill="0" applyBorder="0" applyAlignment="0" applyProtection="0"/>
    <xf numFmtId="0" fontId="13" fillId="4" borderId="0" applyNumberFormat="0" applyBorder="0" applyAlignment="0" applyProtection="0"/>
    <xf numFmtId="0" fontId="43" fillId="0" borderId="0" applyNumberFormat="0" applyFill="0" applyBorder="0" applyAlignment="0" applyProtection="0">
      <alignment vertical="top"/>
      <protection locked="0"/>
    </xf>
    <xf numFmtId="0" fontId="44" fillId="0" borderId="0"/>
    <xf numFmtId="0" fontId="2" fillId="0" borderId="0"/>
    <xf numFmtId="0" fontId="44" fillId="0" borderId="0"/>
    <xf numFmtId="0" fontId="44" fillId="0" borderId="0"/>
    <xf numFmtId="0" fontId="37" fillId="0" borderId="0"/>
    <xf numFmtId="0" fontId="2" fillId="0" borderId="0"/>
    <xf numFmtId="0" fontId="2" fillId="22" borderId="9" applyNumberFormat="0" applyFont="0" applyAlignment="0" applyProtection="0"/>
    <xf numFmtId="0" fontId="14" fillId="3" borderId="0" applyNumberFormat="0" applyBorder="0" applyAlignment="0" applyProtection="0"/>
    <xf numFmtId="0" fontId="2" fillId="0" borderId="0"/>
    <xf numFmtId="0" fontId="15" fillId="0" borderId="0"/>
    <xf numFmtId="0" fontId="16" fillId="0" borderId="0" applyNumberFormat="0" applyFill="0" applyBorder="0" applyAlignment="0" applyProtection="0"/>
    <xf numFmtId="0" fontId="17" fillId="0" borderId="5" applyNumberFormat="0" applyFill="0" applyAlignment="0" applyProtection="0"/>
    <xf numFmtId="0" fontId="18" fillId="0" borderId="6" applyNumberFormat="0" applyFill="0" applyAlignment="0" applyProtection="0"/>
    <xf numFmtId="0" fontId="19" fillId="0" borderId="7" applyNumberFormat="0" applyFill="0" applyAlignment="0" applyProtection="0"/>
    <xf numFmtId="0" fontId="19" fillId="0" borderId="0" applyNumberFormat="0" applyFill="0" applyBorder="0" applyAlignment="0" applyProtection="0"/>
    <xf numFmtId="0" fontId="20" fillId="0" borderId="8" applyNumberFormat="0" applyFill="0" applyAlignment="0" applyProtection="0"/>
    <xf numFmtId="0" fontId="21" fillId="0" borderId="0" applyNumberFormat="0" applyFill="0" applyBorder="0" applyAlignment="0" applyProtection="0"/>
    <xf numFmtId="0" fontId="22" fillId="21" borderId="3" applyNumberFormat="0" applyAlignment="0" applyProtection="0"/>
  </cellStyleXfs>
  <cellXfs count="103">
    <xf numFmtId="0" fontId="0" fillId="0" borderId="0" xfId="0"/>
    <xf numFmtId="0" fontId="3" fillId="0" borderId="0" xfId="38" applyFont="1" applyAlignment="1">
      <alignment vertical="center"/>
    </xf>
    <xf numFmtId="0" fontId="2" fillId="0" borderId="0" xfId="38" applyAlignment="1">
      <alignment vertical="center"/>
    </xf>
    <xf numFmtId="0" fontId="2" fillId="0" borderId="0" xfId="38" applyFont="1" applyAlignment="1">
      <alignment vertical="center"/>
    </xf>
    <xf numFmtId="0" fontId="2" fillId="23" borderId="0" xfId="38" applyFill="1" applyAlignment="1">
      <alignment vertical="center"/>
    </xf>
    <xf numFmtId="0" fontId="3" fillId="23" borderId="0" xfId="38" applyFont="1" applyFill="1" applyAlignment="1">
      <alignment vertical="center"/>
    </xf>
    <xf numFmtId="0" fontId="25" fillId="0" borderId="0" xfId="27" applyFont="1" applyAlignment="1">
      <alignment vertical="center"/>
    </xf>
    <xf numFmtId="0" fontId="26" fillId="0" borderId="0" xfId="27" applyFont="1" applyAlignment="1">
      <alignment vertical="center"/>
    </xf>
    <xf numFmtId="0" fontId="28" fillId="0" borderId="0" xfId="27" applyFont="1" applyAlignment="1">
      <alignment vertical="center"/>
    </xf>
    <xf numFmtId="164" fontId="29" fillId="23" borderId="0" xfId="27" applyNumberFormat="1" applyFont="1" applyFill="1" applyAlignment="1">
      <alignment vertical="center"/>
    </xf>
    <xf numFmtId="164" fontId="2" fillId="23" borderId="0" xfId="27" applyNumberFormat="1" applyFill="1" applyAlignment="1">
      <alignment vertical="center"/>
    </xf>
    <xf numFmtId="0" fontId="1" fillId="0" borderId="0" xfId="34" applyFont="1" applyAlignment="1">
      <alignment vertical="center"/>
    </xf>
    <xf numFmtId="0" fontId="2" fillId="0" borderId="0" xfId="34" applyAlignment="1">
      <alignment vertical="center"/>
    </xf>
    <xf numFmtId="164" fontId="2" fillId="23" borderId="0" xfId="27" applyNumberFormat="1" applyFill="1" applyBorder="1" applyAlignment="1">
      <alignment vertical="center"/>
    </xf>
    <xf numFmtId="164" fontId="29" fillId="23" borderId="0" xfId="27" applyNumberFormat="1" applyFont="1" applyFill="1" applyBorder="1" applyAlignment="1">
      <alignment vertical="center"/>
    </xf>
    <xf numFmtId="0" fontId="2" fillId="0" borderId="0" xfId="27" applyFont="1" applyAlignment="1">
      <alignment vertical="center"/>
    </xf>
    <xf numFmtId="0" fontId="29" fillId="0" borderId="0" xfId="27" applyFont="1" applyAlignment="1">
      <alignment vertical="center"/>
    </xf>
    <xf numFmtId="0" fontId="30" fillId="0" borderId="0" xfId="27" applyFont="1" applyAlignment="1">
      <alignment vertical="center"/>
    </xf>
    <xf numFmtId="0" fontId="23" fillId="0" borderId="0" xfId="27" applyFont="1" applyAlignment="1">
      <alignment vertical="center"/>
    </xf>
    <xf numFmtId="0" fontId="31" fillId="0" borderId="0" xfId="27" applyFont="1" applyAlignment="1">
      <alignment vertical="center"/>
    </xf>
    <xf numFmtId="165" fontId="31" fillId="0" borderId="0" xfId="27" applyNumberFormat="1" applyFont="1" applyAlignment="1">
      <alignment horizontal="left" vertical="center"/>
    </xf>
    <xf numFmtId="0" fontId="32" fillId="23" borderId="0" xfId="38" applyFont="1" applyFill="1" applyAlignment="1">
      <alignment vertical="center" wrapText="1"/>
    </xf>
    <xf numFmtId="0" fontId="3" fillId="23" borderId="0" xfId="38" applyFont="1" applyFill="1" applyAlignment="1">
      <alignment horizontal="center" vertical="center" wrapText="1"/>
    </xf>
    <xf numFmtId="0" fontId="3" fillId="24" borderId="10" xfId="38" applyFont="1" applyFill="1" applyBorder="1" applyAlignment="1">
      <alignment horizontal="center" vertical="center" wrapText="1"/>
    </xf>
    <xf numFmtId="0" fontId="33" fillId="0" borderId="10" xfId="38" applyFont="1" applyBorder="1" applyAlignment="1">
      <alignment vertical="center" wrapText="1"/>
    </xf>
    <xf numFmtId="0" fontId="3" fillId="23" borderId="0" xfId="38" applyFont="1" applyFill="1" applyAlignment="1">
      <alignment vertical="center" wrapText="1"/>
    </xf>
    <xf numFmtId="0" fontId="3" fillId="24" borderId="10" xfId="38" applyFont="1" applyFill="1" applyBorder="1" applyAlignment="1">
      <alignment vertical="center"/>
    </xf>
    <xf numFmtId="0" fontId="33" fillId="0" borderId="10" xfId="38" applyFont="1" applyBorder="1" applyAlignment="1">
      <alignment horizontal="left" vertical="center" wrapText="1"/>
    </xf>
    <xf numFmtId="0" fontId="3" fillId="24" borderId="10" xfId="38" applyFont="1" applyFill="1" applyBorder="1" applyAlignment="1">
      <alignment vertical="center" wrapText="1"/>
    </xf>
    <xf numFmtId="0" fontId="35" fillId="23" borderId="11" xfId="38" applyFont="1" applyFill="1" applyBorder="1" applyAlignment="1">
      <alignment horizontal="right" vertical="center"/>
    </xf>
    <xf numFmtId="0" fontId="2" fillId="23" borderId="0" xfId="38" applyFont="1" applyFill="1" applyAlignment="1">
      <alignment vertical="center"/>
    </xf>
    <xf numFmtId="0" fontId="3" fillId="24" borderId="12" xfId="38" applyFont="1" applyFill="1" applyBorder="1" applyAlignment="1">
      <alignment vertical="center"/>
    </xf>
    <xf numFmtId="0" fontId="37" fillId="0" borderId="0" xfId="37" applyBorder="1"/>
    <xf numFmtId="0" fontId="37" fillId="0" borderId="0" xfId="37"/>
    <xf numFmtId="0" fontId="2" fillId="0" borderId="0" xfId="37" applyFont="1"/>
    <xf numFmtId="0" fontId="38" fillId="25" borderId="10" xfId="37" applyFont="1" applyFill="1" applyBorder="1" applyAlignment="1">
      <alignment horizontal="right" wrapText="1"/>
    </xf>
    <xf numFmtId="0" fontId="37" fillId="0" borderId="10" xfId="37" applyBorder="1" applyAlignment="1">
      <alignment wrapText="1"/>
    </xf>
    <xf numFmtId="0" fontId="37" fillId="0" borderId="10" xfId="37" applyBorder="1"/>
    <xf numFmtId="14" fontId="37" fillId="0" borderId="10" xfId="37" applyNumberFormat="1" applyBorder="1" applyAlignment="1">
      <alignment horizontal="right" wrapText="1"/>
    </xf>
    <xf numFmtId="0" fontId="37" fillId="0" borderId="10" xfId="37" applyFill="1" applyBorder="1" applyAlignment="1">
      <alignment wrapText="1"/>
    </xf>
    <xf numFmtId="0" fontId="37" fillId="0" borderId="10" xfId="37" applyFont="1" applyBorder="1" applyAlignment="1">
      <alignment wrapText="1"/>
    </xf>
    <xf numFmtId="0" fontId="3" fillId="24" borderId="13" xfId="38" applyFont="1" applyFill="1" applyBorder="1" applyAlignment="1">
      <alignment vertical="center"/>
    </xf>
    <xf numFmtId="0" fontId="2" fillId="23" borderId="0" xfId="38" applyFont="1" applyFill="1" applyBorder="1" applyAlignment="1">
      <alignment vertical="center"/>
    </xf>
    <xf numFmtId="0" fontId="2" fillId="23" borderId="0" xfId="38" applyFill="1" applyBorder="1" applyAlignment="1">
      <alignment vertical="center"/>
    </xf>
    <xf numFmtId="0" fontId="2" fillId="0" borderId="0" xfId="38" applyBorder="1" applyAlignment="1">
      <alignment vertical="center"/>
    </xf>
    <xf numFmtId="0" fontId="29" fillId="0" borderId="10" xfId="37" applyFont="1" applyFill="1" applyBorder="1" applyAlignment="1">
      <alignment vertical="top"/>
    </xf>
    <xf numFmtId="0" fontId="29" fillId="0" borderId="10" xfId="37" applyFont="1" applyBorder="1" applyAlignment="1">
      <alignment vertical="top" wrapText="1"/>
    </xf>
    <xf numFmtId="0" fontId="29" fillId="0" borderId="10" xfId="37" applyFont="1" applyBorder="1" applyAlignment="1">
      <alignment horizontal="left" vertical="top" wrapText="1"/>
    </xf>
    <xf numFmtId="0" fontId="29" fillId="0" borderId="10" xfId="37" applyFont="1" applyBorder="1" applyAlignment="1">
      <alignment vertical="top"/>
    </xf>
    <xf numFmtId="0" fontId="2" fillId="0" borderId="0" xfId="38" applyAlignment="1">
      <alignment vertical="center" wrapText="1"/>
    </xf>
    <xf numFmtId="0" fontId="2" fillId="0" borderId="0" xfId="38" applyFont="1" applyAlignment="1">
      <alignment vertical="center" wrapText="1"/>
    </xf>
    <xf numFmtId="0" fontId="2" fillId="23" borderId="0" xfId="38" applyFill="1" applyAlignment="1">
      <alignment vertical="center" wrapText="1"/>
    </xf>
    <xf numFmtId="0" fontId="2" fillId="23" borderId="0" xfId="38" applyNumberFormat="1" applyFill="1" applyAlignment="1">
      <alignment vertical="center" wrapText="1"/>
    </xf>
    <xf numFmtId="15" fontId="33" fillId="0" borderId="10" xfId="38" applyNumberFormat="1" applyFont="1" applyBorder="1" applyAlignment="1">
      <alignment horizontal="left" vertical="center" wrapText="1"/>
    </xf>
    <xf numFmtId="15" fontId="43" fillId="0" borderId="10" xfId="32" applyNumberFormat="1" applyBorder="1" applyAlignment="1" applyProtection="1">
      <alignment horizontal="left" vertical="center" wrapText="1"/>
    </xf>
    <xf numFmtId="0" fontId="2" fillId="23" borderId="0" xfId="38" applyFill="1" applyBorder="1" applyAlignment="1">
      <alignment vertical="center" wrapText="1"/>
    </xf>
    <xf numFmtId="0" fontId="2" fillId="0" borderId="0" xfId="38" applyBorder="1" applyAlignment="1">
      <alignment vertical="center" wrapText="1"/>
    </xf>
    <xf numFmtId="0" fontId="29" fillId="0" borderId="10" xfId="37" applyFont="1" applyFill="1" applyBorder="1" applyAlignment="1">
      <alignment wrapText="1"/>
    </xf>
    <xf numFmtId="0" fontId="37" fillId="0" borderId="0" xfId="37" applyAlignment="1">
      <alignment horizontal="left" vertical="top"/>
    </xf>
    <xf numFmtId="0" fontId="29" fillId="26" borderId="10" xfId="37" applyFont="1" applyFill="1" applyBorder="1" applyAlignment="1">
      <alignment vertical="top" wrapText="1"/>
    </xf>
    <xf numFmtId="0" fontId="29" fillId="26" borderId="10" xfId="37" applyFont="1" applyFill="1" applyBorder="1" applyAlignment="1">
      <alignment horizontal="left" vertical="top" wrapText="1"/>
    </xf>
    <xf numFmtId="0" fontId="29" fillId="26" borderId="10" xfId="37" applyFont="1" applyFill="1" applyBorder="1"/>
    <xf numFmtId="0" fontId="29" fillId="26" borderId="10" xfId="37" applyFont="1" applyFill="1" applyBorder="1" applyAlignment="1">
      <alignment wrapText="1"/>
    </xf>
    <xf numFmtId="0" fontId="40" fillId="26" borderId="10" xfId="37" applyFont="1" applyFill="1" applyBorder="1" applyAlignment="1">
      <alignment vertical="top" wrapText="1"/>
    </xf>
    <xf numFmtId="0" fontId="0" fillId="0" borderId="0" xfId="0" applyAlignment="1">
      <alignment horizontal="center"/>
    </xf>
    <xf numFmtId="0" fontId="45" fillId="27" borderId="0" xfId="0" applyFont="1" applyFill="1"/>
    <xf numFmtId="0" fontId="45" fillId="27" borderId="0" xfId="0" applyFont="1" applyFill="1" applyAlignment="1">
      <alignment horizontal="center"/>
    </xf>
    <xf numFmtId="0" fontId="3" fillId="28" borderId="10" xfId="0" applyFont="1" applyFill="1" applyBorder="1"/>
    <xf numFmtId="0" fontId="0" fillId="28" borderId="10" xfId="0" applyFill="1" applyBorder="1" applyAlignment="1">
      <alignment horizontal="center"/>
    </xf>
    <xf numFmtId="14" fontId="0" fillId="28" borderId="10" xfId="0" applyNumberFormat="1" applyFill="1" applyBorder="1" applyAlignment="1">
      <alignment horizontal="center"/>
    </xf>
    <xf numFmtId="14" fontId="2" fillId="28" borderId="10" xfId="0" quotePrefix="1" applyNumberFormat="1" applyFont="1" applyFill="1" applyBorder="1" applyAlignment="1">
      <alignment horizontal="center"/>
    </xf>
    <xf numFmtId="0" fontId="2" fillId="28" borderId="10" xfId="0" applyFont="1" applyFill="1" applyBorder="1" applyAlignment="1">
      <alignment horizontal="center"/>
    </xf>
    <xf numFmtId="166" fontId="0" fillId="28" borderId="10" xfId="0" applyNumberFormat="1" applyFill="1" applyBorder="1" applyAlignment="1">
      <alignment horizontal="center"/>
    </xf>
    <xf numFmtId="49" fontId="3" fillId="24" borderId="10" xfId="37" applyNumberFormat="1" applyFont="1" applyFill="1" applyBorder="1" applyAlignment="1">
      <alignment horizontal="center" vertical="top"/>
    </xf>
    <xf numFmtId="0" fontId="38" fillId="25" borderId="10" xfId="37" applyFont="1" applyFill="1" applyBorder="1" applyAlignment="1">
      <alignment horizontal="right" vertical="top" wrapText="1"/>
    </xf>
    <xf numFmtId="0" fontId="3" fillId="0" borderId="0" xfId="0" applyFont="1" applyFill="1"/>
    <xf numFmtId="0" fontId="0" fillId="0" borderId="0" xfId="0" applyFill="1"/>
    <xf numFmtId="0" fontId="37" fillId="0" borderId="10" xfId="37" applyFont="1" applyFill="1" applyBorder="1" applyAlignment="1">
      <alignment vertical="top" wrapText="1"/>
    </xf>
    <xf numFmtId="0" fontId="37" fillId="0" borderId="10" xfId="37" applyBorder="1" applyAlignment="1">
      <alignment horizontal="left" vertical="top" wrapText="1"/>
    </xf>
    <xf numFmtId="0" fontId="37" fillId="0" borderId="10" xfId="37" applyBorder="1" applyAlignment="1">
      <alignment vertical="top" wrapText="1"/>
    </xf>
    <xf numFmtId="0" fontId="3" fillId="29" borderId="0" xfId="0" applyFont="1" applyFill="1"/>
    <xf numFmtId="164" fontId="6" fillId="23" borderId="14" xfId="27" applyNumberFormat="1" applyFont="1" applyFill="1" applyBorder="1" applyAlignment="1">
      <alignment horizontal="center" vertical="center"/>
    </xf>
    <xf numFmtId="0" fontId="23" fillId="0" borderId="0" xfId="27" applyFont="1" applyAlignment="1">
      <alignment horizontal="center" vertical="center"/>
    </xf>
    <xf numFmtId="0" fontId="24" fillId="0" borderId="0" xfId="27" applyFont="1" applyAlignment="1">
      <alignment horizontal="center" vertical="center"/>
    </xf>
    <xf numFmtId="0" fontId="25" fillId="0" borderId="0" xfId="27" applyFont="1" applyAlignment="1">
      <alignment horizontal="right" vertical="center"/>
    </xf>
    <xf numFmtId="0" fontId="25" fillId="0" borderId="0" xfId="27" applyFont="1" applyAlignment="1">
      <alignment horizontal="left" vertical="center"/>
    </xf>
    <xf numFmtId="0" fontId="28" fillId="0" borderId="0" xfId="27" applyFont="1" applyAlignment="1">
      <alignment horizontal="right" vertical="center"/>
    </xf>
    <xf numFmtId="0" fontId="30" fillId="0" borderId="0" xfId="27" applyFont="1" applyAlignment="1">
      <alignment horizontal="left" vertical="center"/>
    </xf>
    <xf numFmtId="0" fontId="26" fillId="0" borderId="0" xfId="27" applyFont="1" applyAlignment="1">
      <alignment horizontal="right" vertical="center"/>
    </xf>
    <xf numFmtId="0" fontId="26" fillId="0" borderId="0" xfId="27" applyFont="1" applyAlignment="1">
      <alignment horizontal="left" vertical="center" wrapText="1"/>
    </xf>
    <xf numFmtId="0" fontId="27" fillId="0" borderId="0" xfId="27" applyFont="1" applyAlignment="1">
      <alignment horizontal="right" vertical="center"/>
    </xf>
    <xf numFmtId="0" fontId="27" fillId="0" borderId="0" xfId="27" applyFont="1" applyAlignment="1">
      <alignment horizontal="left" vertical="center" wrapText="1"/>
    </xf>
    <xf numFmtId="0" fontId="34" fillId="23" borderId="11" xfId="38" applyFont="1" applyFill="1" applyBorder="1" applyAlignment="1">
      <alignment horizontal="left" vertical="center"/>
    </xf>
    <xf numFmtId="0" fontId="32" fillId="23" borderId="0" xfId="38" applyFont="1" applyFill="1" applyAlignment="1">
      <alignment vertical="center"/>
    </xf>
    <xf numFmtId="0" fontId="32" fillId="24" borderId="15" xfId="38" applyFont="1" applyFill="1" applyBorder="1" applyAlignment="1">
      <alignment horizontal="center" vertical="center" wrapText="1"/>
    </xf>
    <xf numFmtId="0" fontId="44" fillId="0" borderId="15" xfId="36" applyBorder="1"/>
    <xf numFmtId="0" fontId="37" fillId="0" borderId="10" xfId="37" applyFont="1" applyBorder="1" applyAlignment="1">
      <alignment horizontal="center" wrapText="1"/>
    </xf>
    <xf numFmtId="0" fontId="37" fillId="0" borderId="10" xfId="37" applyBorder="1" applyAlignment="1">
      <alignment horizontal="center" wrapText="1"/>
    </xf>
    <xf numFmtId="0" fontId="39" fillId="0" borderId="10" xfId="37" applyFont="1" applyBorder="1" applyAlignment="1">
      <alignment horizontal="left" wrapText="1"/>
    </xf>
    <xf numFmtId="0" fontId="37" fillId="0" borderId="10" xfId="37" applyFont="1" applyBorder="1" applyAlignment="1">
      <alignment horizontal="left" wrapText="1"/>
    </xf>
    <xf numFmtId="0" fontId="37" fillId="0" borderId="10" xfId="37" applyBorder="1" applyAlignment="1">
      <alignment horizontal="left" wrapText="1"/>
    </xf>
    <xf numFmtId="0" fontId="37" fillId="0" borderId="10" xfId="37" applyFill="1" applyBorder="1" applyAlignment="1">
      <alignment vertical="center" wrapText="1"/>
    </xf>
    <xf numFmtId="0" fontId="0" fillId="30" borderId="0" xfId="0" applyFill="1"/>
  </cellXfs>
  <cellStyles count="51">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3" xfId="35" xr:uid="{00000000-0005-0000-0000-000023000000}"/>
    <cellStyle name="Normal 3 2" xfId="36" xr:uid="{00000000-0005-0000-0000-000024000000}"/>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7620</xdr:colOff>
          <xdr:row>5</xdr:row>
          <xdr:rowOff>7620</xdr:rowOff>
        </xdr:to>
        <xdr:sp macro="" textlink="">
          <xdr:nvSpPr>
            <xdr:cNvPr id="10280" name="Object 40" hidden="1">
              <a:extLst>
                <a:ext uri="{63B3BB69-23CF-44E3-9099-C40C66FF867C}">
                  <a14:compatExt spid="_x0000_s10280"/>
                </a:ext>
                <a:ext uri="{FF2B5EF4-FFF2-40B4-BE49-F238E27FC236}">
                  <a16:creationId xmlns:a16="http://schemas.microsoft.com/office/drawing/2014/main" id="{00000000-0008-0000-0200-000028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xdr:row>
          <xdr:rowOff>1440180</xdr:rowOff>
        </xdr:from>
        <xdr:to>
          <xdr:col>3</xdr:col>
          <xdr:colOff>1440180</xdr:colOff>
          <xdr:row>5</xdr:row>
          <xdr:rowOff>1851660</xdr:rowOff>
        </xdr:to>
        <xdr:sp macro="" textlink="">
          <xdr:nvSpPr>
            <xdr:cNvPr id="10285" name="Object 45" hidden="1">
              <a:extLst>
                <a:ext uri="{63B3BB69-23CF-44E3-9099-C40C66FF867C}">
                  <a14:compatExt spid="_x0000_s10285"/>
                </a:ext>
                <a:ext uri="{FF2B5EF4-FFF2-40B4-BE49-F238E27FC236}">
                  <a16:creationId xmlns:a16="http://schemas.microsoft.com/office/drawing/2014/main" id="{00000000-0008-0000-0200-00002D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3</xdr:col>
      <xdr:colOff>551862</xdr:colOff>
      <xdr:row>40</xdr:row>
      <xdr:rowOff>132544</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0" y="161925"/>
          <a:ext cx="4704762" cy="6447619"/>
        </a:xfrm>
        <a:prstGeom prst="rect">
          <a:avLst/>
        </a:prstGeom>
      </xdr:spPr>
    </xdr:pic>
    <xdr:clientData/>
  </xdr:twoCellAnchor>
  <xdr:twoCellAnchor editAs="oneCell">
    <xdr:from>
      <xdr:col>0</xdr:col>
      <xdr:colOff>0</xdr:colOff>
      <xdr:row>44</xdr:row>
      <xdr:rowOff>0</xdr:rowOff>
    </xdr:from>
    <xdr:to>
      <xdr:col>18</xdr:col>
      <xdr:colOff>398338</xdr:colOff>
      <xdr:row>76</xdr:row>
      <xdr:rowOff>113638</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0" y="7124700"/>
          <a:ext cx="13695238" cy="52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14</xdr:col>
      <xdr:colOff>589409</xdr:colOff>
      <xdr:row>16</xdr:row>
      <xdr:rowOff>53040</xdr:rowOff>
    </xdr:to>
    <xdr:pic>
      <xdr:nvPicPr>
        <xdr:cNvPr id="2" name="Picture 1">
          <a:extLst>
            <a:ext uri="{FF2B5EF4-FFF2-40B4-BE49-F238E27FC236}">
              <a16:creationId xmlns:a16="http://schemas.microsoft.com/office/drawing/2014/main" id="{68723BAF-6957-4446-B5CC-48890E54568D}"/>
            </a:ext>
          </a:extLst>
        </xdr:cNvPr>
        <xdr:cNvPicPr>
          <a:picLocks noChangeAspect="1"/>
        </xdr:cNvPicPr>
      </xdr:nvPicPr>
      <xdr:blipFill>
        <a:blip xmlns:r="http://schemas.openxmlformats.org/officeDocument/2006/relationships" r:embed="rId1"/>
        <a:stretch>
          <a:fillRect/>
        </a:stretch>
      </xdr:blipFill>
      <xdr:spPr>
        <a:xfrm>
          <a:off x="0" y="335280"/>
          <a:ext cx="9123809" cy="2400000"/>
        </a:xfrm>
        <a:prstGeom prst="rect">
          <a:avLst/>
        </a:prstGeom>
      </xdr:spPr>
    </xdr:pic>
    <xdr:clientData/>
  </xdr:twoCellAnchor>
  <xdr:twoCellAnchor editAs="oneCell">
    <xdr:from>
      <xdr:col>0</xdr:col>
      <xdr:colOff>15240</xdr:colOff>
      <xdr:row>20</xdr:row>
      <xdr:rowOff>15240</xdr:rowOff>
    </xdr:from>
    <xdr:to>
      <xdr:col>20</xdr:col>
      <xdr:colOff>405753</xdr:colOff>
      <xdr:row>46</xdr:row>
      <xdr:rowOff>25311</xdr:rowOff>
    </xdr:to>
    <xdr:pic>
      <xdr:nvPicPr>
        <xdr:cNvPr id="3" name="Picture 2">
          <a:extLst>
            <a:ext uri="{FF2B5EF4-FFF2-40B4-BE49-F238E27FC236}">
              <a16:creationId xmlns:a16="http://schemas.microsoft.com/office/drawing/2014/main" id="{E20895C6-2CD0-4845-9BF7-150AAD44F611}"/>
            </a:ext>
          </a:extLst>
        </xdr:cNvPr>
        <xdr:cNvPicPr>
          <a:picLocks noChangeAspect="1"/>
        </xdr:cNvPicPr>
      </xdr:nvPicPr>
      <xdr:blipFill>
        <a:blip xmlns:r="http://schemas.openxmlformats.org/officeDocument/2006/relationships" r:embed="rId2"/>
        <a:stretch>
          <a:fillRect/>
        </a:stretch>
      </xdr:blipFill>
      <xdr:spPr>
        <a:xfrm>
          <a:off x="15240" y="3368040"/>
          <a:ext cx="12582513" cy="436871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https://dev.azure.com/tsacc-msfwex01-03-TMECONNECT/TME/_git/Data?path=%2FPhase%20II%2FEIM%2F09%20-%20Interface%20July%20IP14%2FServer%20Scripts%2FStaging_IP14%2FIndirectFiles%2FIFB%2F01_Interfaces%2FObjective%20OB%2FENU%2FIFA_ENU_OB_Objectives.ifb&amp;version=GBmaster"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opLeftCell="A10" zoomScale="66" workbookViewId="0">
      <selection activeCell="K21" sqref="K21:S21"/>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81" t="s">
        <v>2</v>
      </c>
      <c r="B13" s="81"/>
      <c r="C13" s="81"/>
      <c r="D13" s="81"/>
      <c r="E13" s="81"/>
      <c r="F13" s="81"/>
      <c r="G13" s="81"/>
      <c r="H13" s="81"/>
      <c r="I13" s="81"/>
      <c r="J13" s="81"/>
      <c r="K13" s="81"/>
      <c r="L13" s="81"/>
      <c r="M13" s="81"/>
      <c r="N13" s="81"/>
      <c r="O13" s="81"/>
      <c r="P13" s="81"/>
      <c r="Q13" s="81"/>
      <c r="R13" s="81"/>
      <c r="S13" s="81"/>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82" t="s">
        <v>17</v>
      </c>
      <c r="B18" s="82"/>
      <c r="C18" s="82"/>
      <c r="D18" s="82"/>
      <c r="E18" s="82"/>
      <c r="F18" s="82"/>
      <c r="G18" s="82"/>
      <c r="H18" s="82"/>
      <c r="I18" s="82"/>
      <c r="J18" s="82"/>
      <c r="K18" s="82"/>
      <c r="L18" s="82"/>
      <c r="M18" s="82"/>
      <c r="N18" s="82"/>
      <c r="O18" s="82"/>
      <c r="P18" s="82"/>
      <c r="Q18" s="82"/>
      <c r="R18" s="82"/>
      <c r="S18" s="82"/>
    </row>
    <row r="19" spans="1:19" s="15" customFormat="1" ht="40.65" customHeight="1" x14ac:dyDescent="0.25">
      <c r="A19" s="83" t="s">
        <v>1</v>
      </c>
      <c r="B19" s="83"/>
      <c r="C19" s="83"/>
      <c r="D19" s="83"/>
      <c r="E19" s="83"/>
      <c r="F19" s="83"/>
      <c r="G19" s="83"/>
      <c r="H19" s="83"/>
      <c r="I19" s="83"/>
      <c r="J19" s="83"/>
      <c r="K19" s="83"/>
      <c r="L19" s="83"/>
      <c r="M19" s="83"/>
      <c r="N19" s="83"/>
      <c r="O19" s="83"/>
      <c r="P19" s="83"/>
      <c r="Q19" s="83"/>
      <c r="R19" s="83"/>
      <c r="S19" s="83"/>
    </row>
    <row r="20" spans="1:19" s="15" customFormat="1" ht="13.8" x14ac:dyDescent="0.25">
      <c r="A20" s="16"/>
      <c r="B20" s="16"/>
      <c r="C20" s="16"/>
      <c r="D20" s="16"/>
      <c r="E20" s="16"/>
      <c r="F20" s="16"/>
      <c r="G20" s="16"/>
      <c r="H20" s="16"/>
      <c r="I20" s="16"/>
      <c r="J20" s="16"/>
    </row>
    <row r="21" spans="1:19" s="15" customFormat="1" ht="58.65" customHeight="1" x14ac:dyDescent="0.25">
      <c r="A21" s="84" t="s">
        <v>74</v>
      </c>
      <c r="B21" s="84"/>
      <c r="C21" s="84"/>
      <c r="D21" s="84"/>
      <c r="E21" s="84"/>
      <c r="F21" s="84"/>
      <c r="G21" s="84"/>
      <c r="H21" s="84"/>
      <c r="I21" s="84"/>
      <c r="J21" s="6"/>
      <c r="K21" s="85" t="s">
        <v>83</v>
      </c>
      <c r="L21" s="85"/>
      <c r="M21" s="85"/>
      <c r="N21" s="85"/>
      <c r="O21" s="85"/>
      <c r="P21" s="85"/>
      <c r="Q21" s="85"/>
      <c r="R21" s="85"/>
      <c r="S21" s="85"/>
    </row>
    <row r="22" spans="1:19" s="15" customFormat="1" ht="13.8" x14ac:dyDescent="0.25">
      <c r="A22" s="16"/>
      <c r="B22" s="16"/>
      <c r="C22" s="16"/>
      <c r="D22" s="16"/>
      <c r="E22" s="16"/>
      <c r="F22" s="16"/>
      <c r="G22" s="16"/>
      <c r="H22" s="16"/>
      <c r="I22" s="16"/>
      <c r="J22" s="16"/>
    </row>
    <row r="23" spans="1:19" s="15" customFormat="1" ht="70.2" customHeight="1" x14ac:dyDescent="0.25">
      <c r="A23" s="88" t="s">
        <v>18</v>
      </c>
      <c r="B23" s="88"/>
      <c r="C23" s="88"/>
      <c r="D23" s="88"/>
      <c r="E23" s="88"/>
      <c r="F23" s="88"/>
      <c r="G23" s="88"/>
      <c r="H23" s="88"/>
      <c r="I23" s="88"/>
      <c r="J23" s="7"/>
      <c r="K23" s="89" t="s">
        <v>84</v>
      </c>
      <c r="L23" s="89"/>
      <c r="M23" s="89"/>
      <c r="N23" s="89"/>
      <c r="O23" s="89"/>
      <c r="P23" s="89"/>
      <c r="Q23" s="89"/>
      <c r="R23" s="89"/>
      <c r="S23" s="89"/>
    </row>
    <row r="24" spans="1:19" s="15" customFormat="1" ht="13.8" x14ac:dyDescent="0.25">
      <c r="A24" s="16"/>
      <c r="B24" s="16"/>
      <c r="C24" s="16"/>
      <c r="D24" s="16"/>
      <c r="E24" s="16"/>
      <c r="F24" s="16"/>
      <c r="G24" s="16"/>
      <c r="H24" s="16"/>
      <c r="I24" s="16"/>
      <c r="J24" s="16"/>
    </row>
    <row r="25" spans="1:19" s="15" customFormat="1" ht="70.2" customHeight="1" x14ac:dyDescent="0.25">
      <c r="A25" s="90" t="s">
        <v>3</v>
      </c>
      <c r="B25" s="90"/>
      <c r="C25" s="90"/>
      <c r="D25" s="90"/>
      <c r="E25" s="90"/>
      <c r="F25" s="90"/>
      <c r="G25" s="90"/>
      <c r="H25" s="90"/>
      <c r="I25" s="90"/>
      <c r="J25" s="7"/>
      <c r="K25" s="91" t="s">
        <v>85</v>
      </c>
      <c r="L25" s="91"/>
      <c r="M25" s="91"/>
      <c r="N25" s="91"/>
      <c r="O25" s="91"/>
      <c r="P25" s="91"/>
      <c r="Q25" s="91"/>
      <c r="R25" s="91"/>
      <c r="S25" s="91"/>
    </row>
    <row r="26" spans="1:19" s="15" customFormat="1" ht="13.8" x14ac:dyDescent="0.25">
      <c r="A26" s="16"/>
      <c r="B26" s="16"/>
      <c r="C26" s="16"/>
      <c r="D26" s="16"/>
      <c r="E26" s="16"/>
      <c r="F26" s="16"/>
      <c r="G26" s="16"/>
      <c r="H26" s="16"/>
      <c r="I26" s="16"/>
      <c r="J26" s="16"/>
    </row>
    <row r="27" spans="1:19" ht="27" customHeight="1" x14ac:dyDescent="0.25">
      <c r="A27" s="86" t="s">
        <v>13</v>
      </c>
      <c r="B27" s="86"/>
      <c r="C27" s="86"/>
      <c r="D27" s="86"/>
      <c r="E27" s="86"/>
      <c r="F27" s="86"/>
      <c r="G27" s="86"/>
      <c r="H27" s="86"/>
      <c r="I27" s="86"/>
      <c r="K27" s="87" t="s">
        <v>19</v>
      </c>
      <c r="L27" s="87"/>
      <c r="M27" s="87"/>
      <c r="N27" s="87"/>
      <c r="O27" s="87"/>
      <c r="P27" s="87"/>
      <c r="Q27" s="87"/>
      <c r="R27" s="87"/>
      <c r="S27" s="87"/>
    </row>
    <row r="28" spans="1:19" ht="27" customHeight="1" x14ac:dyDescent="0.25">
      <c r="A28" s="86"/>
      <c r="B28" s="86"/>
      <c r="C28" s="86"/>
      <c r="D28" s="86"/>
      <c r="E28" s="86"/>
      <c r="F28" s="86"/>
      <c r="G28" s="86"/>
      <c r="H28" s="86"/>
      <c r="I28" s="86"/>
      <c r="K28" s="87"/>
      <c r="L28" s="87"/>
      <c r="M28" s="87"/>
      <c r="N28" s="87"/>
      <c r="O28" s="17"/>
      <c r="P28" s="17"/>
      <c r="Q28" s="17"/>
      <c r="R28" s="17"/>
      <c r="S28" s="17"/>
    </row>
    <row r="29" spans="1:19" ht="27" customHeight="1" x14ac:dyDescent="0.25">
      <c r="A29" s="86"/>
      <c r="B29" s="86"/>
      <c r="C29" s="86"/>
      <c r="D29" s="86"/>
      <c r="E29" s="86"/>
      <c r="F29" s="86"/>
      <c r="G29" s="86"/>
      <c r="H29" s="86"/>
      <c r="I29" s="86"/>
      <c r="K29" s="87"/>
      <c r="L29" s="87"/>
      <c r="M29" s="87"/>
      <c r="N29" s="87"/>
      <c r="O29" s="87"/>
      <c r="P29" s="87"/>
      <c r="Q29" s="87"/>
      <c r="R29" s="87"/>
      <c r="S29" s="87"/>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44517</v>
      </c>
      <c r="D37" s="16"/>
      <c r="E37" s="16"/>
      <c r="F37" s="16"/>
      <c r="G37" s="16"/>
      <c r="H37" s="16"/>
      <c r="I37" s="16"/>
      <c r="J37" s="16"/>
    </row>
  </sheetData>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25" workbookViewId="0">
      <selection activeCell="C38" sqref="C38"/>
    </sheetView>
  </sheetViews>
  <sheetFormatPr defaultColWidth="8" defaultRowHeight="13.2" x14ac:dyDescent="0.25"/>
  <cols>
    <col min="1" max="1" width="54.109375" style="2" customWidth="1"/>
    <col min="2" max="2" width="86.44140625" style="49" customWidth="1"/>
    <col min="3" max="3" width="25.109375" style="2" bestFit="1" customWidth="1"/>
    <col min="4" max="16384" width="8" style="2"/>
  </cols>
  <sheetData>
    <row r="1" spans="1:3" hidden="1" x14ac:dyDescent="0.25">
      <c r="A1" s="1" t="s">
        <v>5</v>
      </c>
    </row>
    <row r="2" spans="1:3" hidden="1" x14ac:dyDescent="0.25">
      <c r="A2" s="3" t="s">
        <v>20</v>
      </c>
      <c r="B2" s="50" t="s">
        <v>6</v>
      </c>
    </row>
    <row r="3" spans="1:3" hidden="1" x14ac:dyDescent="0.25">
      <c r="A3" s="3" t="s">
        <v>20</v>
      </c>
      <c r="B3" s="50" t="s">
        <v>6</v>
      </c>
    </row>
    <row r="4" spans="1:3" hidden="1" x14ac:dyDescent="0.25">
      <c r="A4" s="3" t="s">
        <v>21</v>
      </c>
      <c r="B4" s="50" t="s">
        <v>7</v>
      </c>
    </row>
    <row r="5" spans="1:3" hidden="1" x14ac:dyDescent="0.25">
      <c r="A5" s="3" t="s">
        <v>22</v>
      </c>
      <c r="B5" s="50" t="s">
        <v>7</v>
      </c>
    </row>
    <row r="6" spans="1:3" x14ac:dyDescent="0.25">
      <c r="A6" s="5"/>
      <c r="B6" s="51"/>
      <c r="C6" s="4"/>
    </row>
    <row r="7" spans="1:3" x14ac:dyDescent="0.25">
      <c r="A7" s="30"/>
      <c r="B7" s="51"/>
      <c r="C7" s="4"/>
    </row>
    <row r="8" spans="1:3" ht="28.2" x14ac:dyDescent="0.25">
      <c r="A8" s="92" t="s">
        <v>1</v>
      </c>
      <c r="B8" s="92"/>
      <c r="C8" s="29" t="s">
        <v>8</v>
      </c>
    </row>
    <row r="9" spans="1:3" x14ac:dyDescent="0.25">
      <c r="A9" s="4"/>
      <c r="B9" s="51"/>
      <c r="C9" s="4"/>
    </row>
    <row r="10" spans="1:3" x14ac:dyDescent="0.25">
      <c r="A10" s="5" t="s">
        <v>9</v>
      </c>
      <c r="B10" s="93" t="s">
        <v>10</v>
      </c>
      <c r="C10" s="93"/>
    </row>
    <row r="11" spans="1:3" x14ac:dyDescent="0.25">
      <c r="A11" s="25" t="s">
        <v>11</v>
      </c>
      <c r="B11" s="21" t="s">
        <v>80</v>
      </c>
      <c r="C11" s="22"/>
    </row>
    <row r="12" spans="1:3" x14ac:dyDescent="0.25">
      <c r="A12" s="30"/>
      <c r="B12" s="51"/>
      <c r="C12" s="4"/>
    </row>
    <row r="13" spans="1:3" x14ac:dyDescent="0.25">
      <c r="A13" s="30"/>
      <c r="B13" s="51"/>
      <c r="C13" s="4"/>
    </row>
    <row r="14" spans="1:3" ht="19.649999999999999" customHeight="1" x14ac:dyDescent="0.25">
      <c r="A14" s="26" t="str">
        <f>CONCATENATE("To be Performed by Tester : ",'Test Cycle 1'!H2)</f>
        <v>To be Performed by Tester : Santanoo</v>
      </c>
      <c r="B14" s="52"/>
      <c r="C14" s="4"/>
    </row>
    <row r="15" spans="1:3" ht="21.9" customHeight="1" x14ac:dyDescent="0.3">
      <c r="A15" s="31" t="s">
        <v>23</v>
      </c>
      <c r="B15" s="94"/>
      <c r="C15" s="95"/>
    </row>
    <row r="16" spans="1:3" ht="39.75" customHeight="1" x14ac:dyDescent="0.25">
      <c r="A16" s="28" t="s">
        <v>24</v>
      </c>
      <c r="B16" s="28" t="s">
        <v>12</v>
      </c>
      <c r="C16" s="23" t="s">
        <v>25</v>
      </c>
    </row>
    <row r="17" spans="1:3" x14ac:dyDescent="0.25">
      <c r="A17" s="24" t="s">
        <v>26</v>
      </c>
      <c r="B17" s="53"/>
      <c r="C17" s="27" t="s">
        <v>98</v>
      </c>
    </row>
    <row r="18" spans="1:3" x14ac:dyDescent="0.25">
      <c r="A18" s="24" t="s">
        <v>27</v>
      </c>
      <c r="B18" s="53" t="s">
        <v>125</v>
      </c>
      <c r="C18" s="27" t="s">
        <v>126</v>
      </c>
    </row>
    <row r="19" spans="1:3" x14ac:dyDescent="0.25">
      <c r="A19" s="24" t="s">
        <v>28</v>
      </c>
      <c r="B19" s="53"/>
      <c r="C19" s="27" t="s">
        <v>98</v>
      </c>
    </row>
    <row r="20" spans="1:3" x14ac:dyDescent="0.25">
      <c r="A20" s="24" t="s">
        <v>76</v>
      </c>
      <c r="B20" s="54"/>
      <c r="C20" s="27" t="s">
        <v>98</v>
      </c>
    </row>
    <row r="21" spans="1:3" x14ac:dyDescent="0.25">
      <c r="A21" s="24" t="s">
        <v>77</v>
      </c>
      <c r="B21" s="53"/>
      <c r="C21" s="27" t="s">
        <v>98</v>
      </c>
    </row>
    <row r="22" spans="1:3" x14ac:dyDescent="0.25">
      <c r="A22" s="24" t="s">
        <v>79</v>
      </c>
      <c r="B22" s="53"/>
      <c r="C22" s="27" t="s">
        <v>98</v>
      </c>
    </row>
    <row r="23" spans="1:3" ht="52.8" x14ac:dyDescent="0.25">
      <c r="A23" s="24" t="s">
        <v>78</v>
      </c>
      <c r="B23" s="54" t="s">
        <v>127</v>
      </c>
      <c r="C23" s="27" t="s">
        <v>126</v>
      </c>
    </row>
    <row r="24" spans="1:3" x14ac:dyDescent="0.25">
      <c r="A24" s="24" t="s">
        <v>29</v>
      </c>
      <c r="B24" s="53"/>
      <c r="C24" s="27" t="s">
        <v>98</v>
      </c>
    </row>
    <row r="25" spans="1:3" x14ac:dyDescent="0.25">
      <c r="A25" s="24" t="s">
        <v>30</v>
      </c>
      <c r="B25" s="53"/>
      <c r="C25" s="27" t="s">
        <v>126</v>
      </c>
    </row>
    <row r="26" spans="1:3" ht="26.4" x14ac:dyDescent="0.25">
      <c r="A26" s="24" t="s">
        <v>31</v>
      </c>
      <c r="B26" s="27"/>
      <c r="C26" s="27" t="s">
        <v>126</v>
      </c>
    </row>
    <row r="27" spans="1:3" x14ac:dyDescent="0.25">
      <c r="A27" s="24" t="s">
        <v>55</v>
      </c>
      <c r="B27" s="27"/>
      <c r="C27" s="27" t="s">
        <v>126</v>
      </c>
    </row>
    <row r="28" spans="1:3" x14ac:dyDescent="0.25">
      <c r="A28" s="24" t="s">
        <v>81</v>
      </c>
      <c r="B28" s="53"/>
      <c r="C28" s="27" t="s">
        <v>128</v>
      </c>
    </row>
    <row r="29" spans="1:3" x14ac:dyDescent="0.25">
      <c r="A29" s="24" t="s">
        <v>82</v>
      </c>
      <c r="B29" s="53"/>
      <c r="C29" s="27" t="s">
        <v>98</v>
      </c>
    </row>
    <row r="30" spans="1:3" x14ac:dyDescent="0.25">
      <c r="A30" s="42"/>
      <c r="B30" s="55"/>
      <c r="C30" s="43"/>
    </row>
    <row r="31" spans="1:3" x14ac:dyDescent="0.25">
      <c r="A31" s="44"/>
      <c r="B31" s="56"/>
      <c r="C31" s="44"/>
    </row>
    <row r="32" spans="1:3" x14ac:dyDescent="0.25">
      <c r="A32" s="41" t="str">
        <f>CONCATENATE("To be Performed by Reviewer : ",'Test Cycle 1'!H3)</f>
        <v>To be Performed by Reviewer : Frank</v>
      </c>
      <c r="B32" s="52"/>
      <c r="C32" s="4"/>
    </row>
    <row r="33" spans="1:3" ht="14.4" x14ac:dyDescent="0.3">
      <c r="A33" s="31" t="s">
        <v>23</v>
      </c>
      <c r="B33" s="94"/>
      <c r="C33" s="95"/>
    </row>
    <row r="34" spans="1:3" ht="26.4" x14ac:dyDescent="0.25">
      <c r="A34" s="28" t="s">
        <v>24</v>
      </c>
      <c r="B34" s="28"/>
      <c r="C34" s="23" t="s">
        <v>25</v>
      </c>
    </row>
    <row r="35" spans="1:3" x14ac:dyDescent="0.25">
      <c r="A35" s="24" t="s">
        <v>32</v>
      </c>
      <c r="B35" s="53"/>
      <c r="C35" s="27" t="s">
        <v>126</v>
      </c>
    </row>
    <row r="36" spans="1:3" x14ac:dyDescent="0.25">
      <c r="A36" s="24" t="s">
        <v>33</v>
      </c>
      <c r="B36" s="53"/>
      <c r="C36" s="27" t="s">
        <v>126</v>
      </c>
    </row>
    <row r="37" spans="1:3" x14ac:dyDescent="0.25">
      <c r="A37" s="24" t="s">
        <v>75</v>
      </c>
      <c r="B37" s="53"/>
      <c r="C37" s="27" t="s">
        <v>126</v>
      </c>
    </row>
    <row r="38" spans="1:3" x14ac:dyDescent="0.25">
      <c r="A38" s="24" t="s">
        <v>34</v>
      </c>
      <c r="B38" s="53"/>
      <c r="C38" s="27" t="s">
        <v>98</v>
      </c>
    </row>
  </sheetData>
  <mergeCells count="4">
    <mergeCell ref="A8:B8"/>
    <mergeCell ref="B10:C10"/>
    <mergeCell ref="B15:C15"/>
    <mergeCell ref="B33:C33"/>
  </mergeCells>
  <hyperlinks>
    <hyperlink ref="B23" r:id="rId1" display="https://dev.azure.com/tsacc-msfwex01-03-TMECONNECT/TME/_git/Data?path=%2FPhase%20II%2FEIM%2F09%20-%20Interface%20July%20IP14%2FServer%20Scripts%2FStaging_IP14%2FIndirectFiles%2FIFB%2F01_Interfaces%2FObjective%20OB%2FENU%2FIFA_ENU_OB_Objectives.ifb&amp;version=GBmaster" xr:uid="{E6537B06-AE56-4AC6-B85A-1EE65403259A}"/>
  </hyperlinks>
  <printOptions horizontalCentered="1"/>
  <pageMargins left="0.75" right="0.75" top="0.55000000000000004" bottom="0.6" header="0.23" footer="0.28000000000000003"/>
  <pageSetup scale="82" orientation="portrait" r:id="rId2"/>
  <headerFooter alignWithMargins="0">
    <oddFooter>&amp;L&amp;8© Accenture 2008 All rights reserved.&amp;C&amp;8&amp;P / &amp;N&amp;R&amp;8&amp;F</oddFooter>
  </headerFooter>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35"/>
  <sheetViews>
    <sheetView tabSelected="1" zoomScale="80" zoomScaleNormal="80" workbookViewId="0">
      <selection activeCell="B3" sqref="B3:D3"/>
    </sheetView>
  </sheetViews>
  <sheetFormatPr defaultColWidth="9.109375" defaultRowHeight="14.4" x14ac:dyDescent="0.3"/>
  <cols>
    <col min="1" max="1" width="22.88671875" style="33" customWidth="1"/>
    <col min="2" max="2" width="37.109375" style="33" customWidth="1"/>
    <col min="3" max="3" width="54.33203125" style="33" customWidth="1"/>
    <col min="4" max="4" width="23.44140625" style="33" bestFit="1" customWidth="1"/>
    <col min="5" max="5" width="41.44140625" style="58" customWidth="1"/>
    <col min="6" max="6" width="36.88671875" style="33" customWidth="1"/>
    <col min="7" max="7" width="39.44140625" style="33" customWidth="1"/>
    <col min="8" max="8" width="36.88671875" style="33" customWidth="1"/>
    <col min="9" max="9" width="25" style="33" customWidth="1"/>
    <col min="10" max="10" width="23.44140625" style="33" customWidth="1"/>
    <col min="11" max="11" width="32" style="33" customWidth="1"/>
    <col min="12" max="12" width="30.88671875" style="33" customWidth="1"/>
    <col min="13" max="22" width="9.109375" style="32"/>
    <col min="23" max="23" width="17.109375" style="32" bestFit="1" customWidth="1"/>
    <col min="24" max="24" width="9.109375" style="32"/>
    <col min="25" max="25" width="14.33203125" style="32" bestFit="1" customWidth="1"/>
    <col min="26" max="48" width="9.109375" style="32"/>
    <col min="49" max="49" width="9" style="32" customWidth="1"/>
    <col min="50" max="52" width="9.109375" style="32" hidden="1" customWidth="1"/>
    <col min="53" max="53" width="27.6640625" style="32" customWidth="1"/>
    <col min="54" max="16384" width="9.109375" style="32"/>
  </cols>
  <sheetData>
    <row r="1" spans="1:55" s="33" customFormat="1" x14ac:dyDescent="0.3">
      <c r="A1" s="35" t="s">
        <v>43</v>
      </c>
      <c r="B1" s="96" t="s">
        <v>86</v>
      </c>
      <c r="C1" s="97"/>
      <c r="D1" s="97"/>
      <c r="E1" s="74" t="s">
        <v>44</v>
      </c>
      <c r="F1" s="36" t="s">
        <v>88</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97" t="s">
        <v>87</v>
      </c>
      <c r="C2" s="97"/>
      <c r="D2" s="97"/>
      <c r="E2" s="74" t="s">
        <v>47</v>
      </c>
      <c r="F2" s="38" t="s">
        <v>89</v>
      </c>
      <c r="G2" s="35" t="s">
        <v>48</v>
      </c>
      <c r="H2" s="40" t="s">
        <v>90</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50</v>
      </c>
      <c r="B3" s="98" t="s">
        <v>41</v>
      </c>
      <c r="C3" s="98"/>
      <c r="D3" s="98"/>
      <c r="E3" s="74" t="s">
        <v>51</v>
      </c>
      <c r="F3" s="38" t="s">
        <v>89</v>
      </c>
      <c r="G3" s="35" t="s">
        <v>52</v>
      </c>
      <c r="H3" s="36" t="s">
        <v>129</v>
      </c>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649999999999999" customHeight="1" x14ac:dyDescent="0.3">
      <c r="A4" s="35" t="s">
        <v>54</v>
      </c>
      <c r="B4" s="99" t="s">
        <v>91</v>
      </c>
      <c r="C4" s="100"/>
      <c r="D4" s="100"/>
      <c r="E4" s="100"/>
      <c r="F4" s="100"/>
      <c r="G4" s="100"/>
      <c r="H4" s="100"/>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73" t="s">
        <v>66</v>
      </c>
      <c r="B5" s="73" t="s">
        <v>67</v>
      </c>
      <c r="C5" s="73" t="s">
        <v>68</v>
      </c>
      <c r="D5" s="73" t="s">
        <v>69</v>
      </c>
      <c r="E5" s="73" t="s">
        <v>70</v>
      </c>
      <c r="F5" s="73" t="s">
        <v>71</v>
      </c>
      <c r="G5" s="73" t="s">
        <v>72</v>
      </c>
      <c r="H5" s="73" t="s">
        <v>73</v>
      </c>
      <c r="I5" s="73" t="s">
        <v>64</v>
      </c>
      <c r="J5" s="73" t="s">
        <v>65</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207" x14ac:dyDescent="0.3">
      <c r="A6" s="45">
        <v>1</v>
      </c>
      <c r="B6" s="79" t="s">
        <v>92</v>
      </c>
      <c r="C6" s="46" t="s">
        <v>109</v>
      </c>
      <c r="D6" s="46" t="s">
        <v>110</v>
      </c>
      <c r="E6" s="78" t="s">
        <v>108</v>
      </c>
      <c r="F6" s="78" t="s">
        <v>93</v>
      </c>
      <c r="G6" s="78" t="s">
        <v>108</v>
      </c>
      <c r="H6" s="46" t="s">
        <v>94</v>
      </c>
      <c r="I6" s="37" t="s">
        <v>15</v>
      </c>
      <c r="J6" s="101" t="s">
        <v>130</v>
      </c>
      <c r="AY6" s="34" t="s">
        <v>45</v>
      </c>
    </row>
    <row r="7" spans="1:55" s="33" customFormat="1" ht="28.8" x14ac:dyDescent="0.3">
      <c r="A7" s="48">
        <v>2</v>
      </c>
      <c r="B7" s="78" t="s">
        <v>95</v>
      </c>
      <c r="C7" s="78" t="s">
        <v>96</v>
      </c>
      <c r="D7" s="46" t="s">
        <v>97</v>
      </c>
      <c r="E7" s="47" t="s">
        <v>98</v>
      </c>
      <c r="F7" s="46" t="s">
        <v>99</v>
      </c>
      <c r="G7" s="47" t="s">
        <v>98</v>
      </c>
      <c r="H7" s="46" t="s">
        <v>100</v>
      </c>
      <c r="I7" s="37" t="s">
        <v>15</v>
      </c>
      <c r="J7" s="39"/>
      <c r="AY7" s="34" t="s">
        <v>49</v>
      </c>
    </row>
    <row r="8" spans="1:55" s="33" customFormat="1" ht="358.8" x14ac:dyDescent="0.3">
      <c r="A8" s="46">
        <v>3</v>
      </c>
      <c r="B8" s="79" t="s">
        <v>101</v>
      </c>
      <c r="C8" s="46" t="s">
        <v>102</v>
      </c>
      <c r="D8" s="46" t="s">
        <v>103</v>
      </c>
      <c r="E8" s="47" t="s">
        <v>104</v>
      </c>
      <c r="F8" s="47" t="s">
        <v>106</v>
      </c>
      <c r="G8" s="47" t="s">
        <v>104</v>
      </c>
      <c r="H8" s="46" t="s">
        <v>107</v>
      </c>
      <c r="I8" s="37" t="s">
        <v>15</v>
      </c>
      <c r="J8" s="101"/>
      <c r="AY8" s="34" t="s">
        <v>53</v>
      </c>
    </row>
    <row r="9" spans="1:55" s="33" customFormat="1" ht="151.80000000000001" x14ac:dyDescent="0.3">
      <c r="A9" s="46">
        <v>4</v>
      </c>
      <c r="B9" s="77" t="s">
        <v>111</v>
      </c>
      <c r="C9" s="78" t="s">
        <v>112</v>
      </c>
      <c r="D9" s="46" t="s">
        <v>103</v>
      </c>
      <c r="E9" s="47" t="s">
        <v>113</v>
      </c>
      <c r="F9" s="46" t="s">
        <v>116</v>
      </c>
      <c r="G9" s="47" t="s">
        <v>113</v>
      </c>
      <c r="H9" s="46" t="s">
        <v>115</v>
      </c>
      <c r="I9" s="37" t="s">
        <v>15</v>
      </c>
      <c r="J9" s="101" t="s">
        <v>131</v>
      </c>
      <c r="U9" s="32"/>
    </row>
    <row r="10" spans="1:55" s="33" customFormat="1" ht="151.80000000000001" x14ac:dyDescent="0.3">
      <c r="A10" s="48">
        <v>5</v>
      </c>
      <c r="B10" s="77" t="s">
        <v>117</v>
      </c>
      <c r="C10" s="46" t="s">
        <v>118</v>
      </c>
      <c r="D10" s="46" t="s">
        <v>103</v>
      </c>
      <c r="E10" s="47" t="s">
        <v>120</v>
      </c>
      <c r="F10" s="47"/>
      <c r="G10" s="47" t="s">
        <v>120</v>
      </c>
      <c r="H10" s="46" t="s">
        <v>119</v>
      </c>
      <c r="I10" s="37" t="s">
        <v>15</v>
      </c>
      <c r="J10" s="57"/>
    </row>
    <row r="11" spans="1:55" s="33" customFormat="1" ht="41.4" x14ac:dyDescent="0.3">
      <c r="A11" s="48">
        <v>7</v>
      </c>
      <c r="B11" s="79" t="s">
        <v>121</v>
      </c>
      <c r="C11" s="46" t="s">
        <v>122</v>
      </c>
      <c r="D11" s="46" t="s">
        <v>123</v>
      </c>
      <c r="E11" s="47" t="s">
        <v>98</v>
      </c>
      <c r="F11" s="47" t="s">
        <v>124</v>
      </c>
      <c r="G11" s="47" t="s">
        <v>98</v>
      </c>
      <c r="H11" s="47" t="s">
        <v>124</v>
      </c>
      <c r="I11" s="37" t="s">
        <v>15</v>
      </c>
      <c r="J11" s="57"/>
    </row>
    <row r="12" spans="1:55" s="33" customFormat="1" x14ac:dyDescent="0.3">
      <c r="A12" s="59"/>
      <c r="B12" s="59"/>
      <c r="C12" s="59"/>
      <c r="D12" s="59"/>
      <c r="E12" s="60"/>
      <c r="F12" s="63"/>
      <c r="G12" s="60"/>
      <c r="H12" s="59"/>
      <c r="I12" s="61"/>
      <c r="J12" s="62"/>
    </row>
    <row r="13" spans="1:55" s="33" customFormat="1" x14ac:dyDescent="0.3">
      <c r="A13" s="46">
        <v>9</v>
      </c>
      <c r="B13" s="77"/>
      <c r="C13" s="46"/>
      <c r="D13" s="46"/>
      <c r="E13" s="47"/>
      <c r="F13" s="47"/>
      <c r="G13" s="47"/>
      <c r="H13" s="46"/>
      <c r="I13" s="37"/>
      <c r="J13" s="57"/>
    </row>
    <row r="14" spans="1:55" s="33" customFormat="1" x14ac:dyDescent="0.3">
      <c r="A14" s="46">
        <v>8</v>
      </c>
      <c r="B14" s="46"/>
      <c r="C14" s="46"/>
      <c r="D14" s="46"/>
      <c r="E14" s="47"/>
      <c r="F14" s="46"/>
      <c r="G14" s="47"/>
      <c r="H14" s="46"/>
      <c r="I14" s="37"/>
      <c r="J14" s="57"/>
    </row>
    <row r="15" spans="1:55" s="33" customFormat="1" x14ac:dyDescent="0.3">
      <c r="A15" s="46">
        <v>9</v>
      </c>
      <c r="B15" s="46"/>
      <c r="C15" s="46"/>
      <c r="D15" s="46"/>
      <c r="E15" s="47"/>
      <c r="F15" s="46"/>
      <c r="G15" s="47"/>
      <c r="H15" s="46"/>
      <c r="I15" s="37"/>
      <c r="J15" s="57"/>
    </row>
    <row r="16" spans="1:55" s="33" customFormat="1" x14ac:dyDescent="0.3">
      <c r="A16" s="46">
        <v>10</v>
      </c>
      <c r="B16" s="46"/>
      <c r="C16" s="46"/>
      <c r="D16" s="46"/>
      <c r="E16" s="47"/>
      <c r="F16" s="46"/>
      <c r="G16" s="47"/>
      <c r="H16" s="46"/>
      <c r="I16" s="37"/>
      <c r="J16" s="57"/>
    </row>
    <row r="17" spans="1:10" s="33" customFormat="1" x14ac:dyDescent="0.3">
      <c r="A17" s="59"/>
      <c r="B17" s="59"/>
      <c r="C17" s="59"/>
      <c r="D17" s="59"/>
      <c r="E17" s="60"/>
      <c r="F17" s="63"/>
      <c r="G17" s="60"/>
      <c r="H17" s="59"/>
      <c r="I17" s="61"/>
      <c r="J17" s="62"/>
    </row>
    <row r="18" spans="1:10" s="33" customFormat="1" x14ac:dyDescent="0.3">
      <c r="A18" s="46">
        <v>11</v>
      </c>
      <c r="B18" s="46"/>
      <c r="C18" s="46"/>
      <c r="D18" s="46"/>
      <c r="E18" s="47"/>
      <c r="F18" s="46"/>
      <c r="G18" s="47"/>
      <c r="H18" s="46"/>
      <c r="I18" s="37"/>
      <c r="J18" s="57"/>
    </row>
    <row r="19" spans="1:10" s="33" customFormat="1" ht="23.25" customHeight="1" x14ac:dyDescent="0.3">
      <c r="A19" s="46">
        <v>12</v>
      </c>
      <c r="B19" s="46"/>
      <c r="C19" s="46"/>
      <c r="D19" s="46"/>
      <c r="E19" s="47"/>
      <c r="F19" s="46"/>
      <c r="G19" s="47"/>
      <c r="H19" s="46"/>
      <c r="I19" s="37"/>
      <c r="J19" s="57"/>
    </row>
    <row r="20" spans="1:10" s="33" customFormat="1" ht="30" customHeight="1" x14ac:dyDescent="0.3">
      <c r="A20" s="46">
        <v>13</v>
      </c>
      <c r="B20" s="46"/>
      <c r="C20" s="46"/>
      <c r="D20" s="46"/>
      <c r="E20" s="47"/>
      <c r="F20" s="46"/>
      <c r="G20" s="47"/>
      <c r="H20" s="46"/>
      <c r="I20" s="37"/>
      <c r="J20" s="57"/>
    </row>
    <row r="21" spans="1:10" s="33" customFormat="1" ht="19.5" customHeight="1" x14ac:dyDescent="0.3">
      <c r="A21" s="59"/>
      <c r="B21" s="59"/>
      <c r="C21" s="59"/>
      <c r="D21" s="59"/>
      <c r="E21" s="60"/>
      <c r="F21" s="63"/>
      <c r="G21" s="60"/>
      <c r="H21" s="59"/>
      <c r="I21" s="61"/>
      <c r="J21" s="62"/>
    </row>
    <row r="22" spans="1:10" s="33" customFormat="1" x14ac:dyDescent="0.3">
      <c r="A22" s="46">
        <v>14</v>
      </c>
      <c r="B22" s="46"/>
      <c r="C22" s="46"/>
      <c r="D22" s="46"/>
      <c r="E22" s="47"/>
      <c r="F22" s="46"/>
      <c r="G22" s="47"/>
      <c r="H22" s="46"/>
      <c r="I22" s="37"/>
      <c r="J22" s="57"/>
    </row>
    <row r="23" spans="1:10" s="33" customFormat="1" ht="30.75" customHeight="1" x14ac:dyDescent="0.3">
      <c r="A23" s="46">
        <v>15</v>
      </c>
      <c r="B23" s="46"/>
      <c r="C23" s="46"/>
      <c r="D23" s="46"/>
      <c r="E23" s="47"/>
      <c r="F23" s="46"/>
      <c r="G23" s="47"/>
      <c r="H23" s="46"/>
      <c r="I23" s="37"/>
      <c r="J23" s="57"/>
    </row>
    <row r="24" spans="1:10" s="33" customFormat="1" ht="29.25" customHeight="1" x14ac:dyDescent="0.3">
      <c r="A24" s="46">
        <v>16</v>
      </c>
      <c r="B24" s="46"/>
      <c r="C24" s="46"/>
      <c r="D24" s="46"/>
      <c r="E24" s="47"/>
      <c r="F24" s="46"/>
      <c r="G24" s="47"/>
      <c r="H24" s="46"/>
      <c r="I24" s="37"/>
      <c r="J24" s="57"/>
    </row>
    <row r="25" spans="1:10" s="33" customFormat="1" ht="28.5" customHeight="1" x14ac:dyDescent="0.3">
      <c r="A25" s="46">
        <v>17</v>
      </c>
      <c r="B25" s="46"/>
      <c r="C25" s="46"/>
      <c r="D25" s="46"/>
      <c r="E25" s="47"/>
      <c r="F25" s="46"/>
      <c r="G25" s="47"/>
      <c r="H25" s="46"/>
      <c r="I25" s="37"/>
      <c r="J25" s="57"/>
    </row>
    <row r="26" spans="1:10" s="33" customFormat="1" x14ac:dyDescent="0.3">
      <c r="A26" s="59"/>
      <c r="B26" s="59"/>
      <c r="C26" s="59"/>
      <c r="D26" s="59"/>
      <c r="E26" s="60"/>
      <c r="F26" s="63"/>
      <c r="G26" s="60"/>
      <c r="H26" s="59"/>
      <c r="I26" s="61"/>
      <c r="J26" s="62"/>
    </row>
    <row r="27" spans="1:10" s="33" customFormat="1" ht="18.75" customHeight="1" x14ac:dyDescent="0.3">
      <c r="A27" s="45">
        <v>18</v>
      </c>
      <c r="B27" s="46"/>
      <c r="C27" s="46"/>
      <c r="D27" s="46"/>
      <c r="E27" s="47"/>
      <c r="F27" s="46"/>
      <c r="G27" s="47"/>
      <c r="H27" s="46"/>
      <c r="I27" s="37"/>
      <c r="J27" s="37"/>
    </row>
    <row r="28" spans="1:10" s="33" customFormat="1" ht="24.75" customHeight="1" x14ac:dyDescent="0.3">
      <c r="A28" s="46">
        <v>19</v>
      </c>
      <c r="B28" s="46"/>
      <c r="C28" s="46"/>
      <c r="D28" s="46"/>
      <c r="E28" s="47"/>
      <c r="F28" s="46"/>
      <c r="G28" s="47"/>
      <c r="H28" s="46"/>
      <c r="I28" s="37"/>
      <c r="J28" s="57"/>
    </row>
    <row r="29" spans="1:10" s="33" customFormat="1" ht="23.25" customHeight="1" x14ac:dyDescent="0.3">
      <c r="A29" s="46">
        <v>20</v>
      </c>
      <c r="B29" s="46"/>
      <c r="C29" s="46"/>
      <c r="D29" s="46"/>
      <c r="E29" s="47"/>
      <c r="F29" s="46"/>
      <c r="G29" s="47"/>
      <c r="H29" s="46"/>
      <c r="I29" s="37"/>
      <c r="J29" s="57"/>
    </row>
    <row r="30" spans="1:10" s="33" customFormat="1" ht="25.5" customHeight="1" x14ac:dyDescent="0.3">
      <c r="A30" s="46">
        <v>21</v>
      </c>
      <c r="B30" s="46"/>
      <c r="C30" s="46"/>
      <c r="D30" s="46"/>
      <c r="E30" s="47"/>
      <c r="F30" s="46"/>
      <c r="G30" s="47"/>
      <c r="H30" s="46"/>
      <c r="I30" s="37"/>
      <c r="J30" s="57"/>
    </row>
    <row r="31" spans="1:10" s="33" customFormat="1" x14ac:dyDescent="0.3">
      <c r="E31" s="58"/>
    </row>
    <row r="33" spans="5:5" s="33" customFormat="1" x14ac:dyDescent="0.3">
      <c r="E33" s="58"/>
    </row>
    <row r="34" spans="5:5" s="33" customFormat="1" ht="111.75" customHeight="1" x14ac:dyDescent="0.3">
      <c r="E34" s="58"/>
    </row>
    <row r="35" spans="5:5" s="33" customFormat="1" ht="111.75" customHeight="1" x14ac:dyDescent="0.3">
      <c r="E35" s="58"/>
    </row>
  </sheetData>
  <mergeCells count="4">
    <mergeCell ref="B1:D1"/>
    <mergeCell ref="B2:D2"/>
    <mergeCell ref="B3:D3"/>
    <mergeCell ref="B4:H4"/>
  </mergeCells>
  <phoneticPr fontId="47" type="noConversion"/>
  <dataValidations count="3">
    <dataValidation type="list" allowBlank="1" showInputMessage="1" showErrorMessage="1" sqref="I18:I20 I14:I16 I22:I25 I27:I30 I9:I10" xr:uid="{00000000-0002-0000-0200-000001000000}">
      <formula1>$BB$1:$BB$5</formula1>
    </dataValidation>
    <dataValidation type="list" allowBlank="1" showInputMessage="1" showErrorMessage="1" sqref="B3:D3" xr:uid="{00000000-0002-0000-0200-000000000000}">
      <formula1>$BA$1:$BA$8</formula1>
    </dataValidation>
    <dataValidation type="list" allowBlank="1" showInputMessage="1" showErrorMessage="1" sqref="I6:I8 I11" xr:uid="{B290C4F6-EBCC-4907-9767-ABA45E917602}">
      <formula1>$BC$1:$BC$5</formula1>
    </dataValidation>
  </dataValidations>
  <pageMargins left="0.75" right="0.75" top="1" bottom="1" header="0.5" footer="0.5"/>
  <pageSetup paperSize="9" scale="13" orientation="landscape" r:id="rId1"/>
  <headerFooter alignWithMargins="0"/>
  <drawing r:id="rId2"/>
  <legacyDrawing r:id="rId3"/>
  <oleObjects>
    <mc:AlternateContent xmlns:mc="http://schemas.openxmlformats.org/markup-compatibility/2006">
      <mc:Choice Requires="x14">
        <oleObject progId="Wordpad.Document.1" shapeId="10280" r:id="rId4">
          <objectPr defaultSize="0" r:id="rId5">
            <anchor moveWithCells="1">
              <from>
                <xdr:col>2</xdr:col>
                <xdr:colOff>0</xdr:colOff>
                <xdr:row>5</xdr:row>
                <xdr:rowOff>0</xdr:rowOff>
              </from>
              <to>
                <xdr:col>2</xdr:col>
                <xdr:colOff>7620</xdr:colOff>
                <xdr:row>5</xdr:row>
                <xdr:rowOff>7620</xdr:rowOff>
              </to>
            </anchor>
          </objectPr>
        </oleObject>
      </mc:Choice>
      <mc:Fallback>
        <oleObject progId="Wordpad.Document.1" shapeId="10280" r:id="rId4"/>
      </mc:Fallback>
    </mc:AlternateContent>
    <mc:AlternateContent xmlns:mc="http://schemas.openxmlformats.org/markup-compatibility/2006">
      <mc:Choice Requires="x14">
        <oleObject progId="Packager Shell Object" dvAspect="DVASPECT_ICON" shapeId="10285" r:id="rId6">
          <objectPr defaultSize="0" autoPict="0" r:id="rId7">
            <anchor moveWithCells="1">
              <from>
                <xdr:col>3</xdr:col>
                <xdr:colOff>76200</xdr:colOff>
                <xdr:row>5</xdr:row>
                <xdr:rowOff>1440180</xdr:rowOff>
              </from>
              <to>
                <xdr:col>3</xdr:col>
                <xdr:colOff>1440180</xdr:colOff>
                <xdr:row>5</xdr:row>
                <xdr:rowOff>1851660</xdr:rowOff>
              </to>
            </anchor>
          </objectPr>
        </oleObject>
      </mc:Choice>
      <mc:Fallback>
        <oleObject progId="Packager Shell Object" dvAspect="DVASPECT_ICON" shapeId="10285" r:id="rId6"/>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64" customWidth="1"/>
    <col min="3" max="3" width="24.44140625" customWidth="1"/>
  </cols>
  <sheetData>
    <row r="1" spans="1:2" x14ac:dyDescent="0.25">
      <c r="A1" s="65" t="s">
        <v>62</v>
      </c>
      <c r="B1" s="66" t="s">
        <v>0</v>
      </c>
    </row>
    <row r="2" spans="1:2" outlineLevel="1" x14ac:dyDescent="0.25">
      <c r="A2" s="67" t="s">
        <v>56</v>
      </c>
      <c r="B2" s="72" t="str">
        <f>PPRD</f>
        <v>Jun , 2021</v>
      </c>
    </row>
    <row r="3" spans="1:2" x14ac:dyDescent="0.25">
      <c r="A3" s="67" t="s">
        <v>59</v>
      </c>
      <c r="B3" s="68" t="str">
        <f>CRN</f>
        <v>INC3922752</v>
      </c>
    </row>
    <row r="4" spans="1:2" x14ac:dyDescent="0.25">
      <c r="A4" s="67" t="s">
        <v>60</v>
      </c>
      <c r="B4" s="68" t="str">
        <f>MA</f>
        <v>CT</v>
      </c>
    </row>
    <row r="5" spans="1:2" x14ac:dyDescent="0.25">
      <c r="A5" s="67" t="s">
        <v>61</v>
      </c>
      <c r="B5" s="68" t="str">
        <f>Area</f>
        <v>Data</v>
      </c>
    </row>
    <row r="6" spans="1:2" x14ac:dyDescent="0.25">
      <c r="A6" s="67" t="s">
        <v>44</v>
      </c>
      <c r="B6" s="68" t="str">
        <f>Entity</f>
        <v>OB</v>
      </c>
    </row>
    <row r="7" spans="1:2" x14ac:dyDescent="0.25">
      <c r="A7" s="67" t="s">
        <v>57</v>
      </c>
      <c r="B7" s="69" t="str">
        <f>DTested</f>
        <v>17/11/2021</v>
      </c>
    </row>
    <row r="8" spans="1:2" x14ac:dyDescent="0.25">
      <c r="A8" s="67" t="s">
        <v>58</v>
      </c>
      <c r="B8" s="70" t="str">
        <f>DReviewed</f>
        <v>17/11/2021</v>
      </c>
    </row>
    <row r="9" spans="1:2" x14ac:dyDescent="0.25">
      <c r="A9" s="67" t="s">
        <v>48</v>
      </c>
      <c r="B9" s="68" t="str">
        <f>TestedBy</f>
        <v>Santanoo</v>
      </c>
    </row>
    <row r="10" spans="1:2" x14ac:dyDescent="0.25">
      <c r="A10" s="67" t="s">
        <v>52</v>
      </c>
      <c r="B10" s="68" t="str">
        <f>ReviewedBy</f>
        <v>Frank</v>
      </c>
    </row>
    <row r="12" spans="1:2" x14ac:dyDescent="0.25">
      <c r="A12" s="67" t="s">
        <v>63</v>
      </c>
      <c r="B12" s="71"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0"/>
  <sheetViews>
    <sheetView topLeftCell="A4" workbookViewId="0">
      <selection activeCell="F82" sqref="F82"/>
    </sheetView>
  </sheetViews>
  <sheetFormatPr defaultColWidth="9.109375" defaultRowHeight="13.2" x14ac:dyDescent="0.25"/>
  <cols>
    <col min="1" max="1" width="44" style="76" bestFit="1" customWidth="1"/>
    <col min="2" max="16384" width="9.109375" style="76"/>
  </cols>
  <sheetData>
    <row r="1" spans="1:1" x14ac:dyDescent="0.25">
      <c r="A1" s="80" t="s">
        <v>105</v>
      </c>
    </row>
    <row r="30" spans="1:1" x14ac:dyDescent="0.25">
      <c r="A30" s="75"/>
    </row>
    <row r="44" spans="1:1" x14ac:dyDescent="0.25">
      <c r="A44" s="80" t="s">
        <v>114</v>
      </c>
    </row>
    <row r="55" spans="1:1" x14ac:dyDescent="0.25">
      <c r="A55" s="75"/>
    </row>
    <row r="70" spans="1:1" x14ac:dyDescent="0.25">
      <c r="A70" s="75"/>
    </row>
    <row r="105" spans="1:1" x14ac:dyDescent="0.25">
      <c r="A105" s="75"/>
    </row>
    <row r="146" spans="1:1" x14ac:dyDescent="0.25">
      <c r="A146" s="75"/>
    </row>
    <row r="185" spans="1:1" x14ac:dyDescent="0.25">
      <c r="A185" s="75"/>
    </row>
    <row r="220" spans="1:1" x14ac:dyDescent="0.25">
      <c r="A220" s="7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70B37-5F93-4786-827E-6A83DF12EDA8}">
  <dimension ref="A1:A19"/>
  <sheetViews>
    <sheetView topLeftCell="A13" workbookViewId="0">
      <selection activeCell="V28" sqref="V28"/>
    </sheetView>
  </sheetViews>
  <sheetFormatPr defaultRowHeight="13.2" x14ac:dyDescent="0.25"/>
  <sheetData>
    <row r="1" spans="1:1" s="102" customFormat="1" x14ac:dyDescent="0.25">
      <c r="A1" s="102" t="s">
        <v>105</v>
      </c>
    </row>
    <row r="19" spans="1:1" s="102" customFormat="1" x14ac:dyDescent="0.25">
      <c r="A19" s="102" t="s">
        <v>114</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Cover</vt:lpstr>
      <vt:lpstr>Version Control</vt:lpstr>
      <vt:lpstr>Test Cycle 1</vt:lpstr>
      <vt:lpstr>AppConfig</vt:lpstr>
      <vt:lpstr>Screenshot</vt:lpstr>
      <vt:lpstr>Reviewer Screenshots</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2021-11-17T19:44:56Z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