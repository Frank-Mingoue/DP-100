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T:\General\04_RELEASE_MANAGEMENT\2021-06-Release PROD FEB22\02_Development\Data\D_INC3938667\03_Build\"/>
    </mc:Choice>
  </mc:AlternateContent>
  <xr:revisionPtr revIDLastSave="0" documentId="13_ncr:1_{2BEE98A7-42B5-465F-B39A-206EA4578DBA}" xr6:coauthVersionLast="46" xr6:coauthVersionMax="46" xr10:uidLastSave="{00000000-0000-0000-0000-000000000000}"/>
  <bookViews>
    <workbookView xWindow="-120" yWindow="-120" windowWidth="29040" windowHeight="15990" tabRatio="926" activeTab="1" xr2:uid="{00000000-000D-0000-FFFF-FFFF00000000}"/>
  </bookViews>
  <sheets>
    <sheet name="Cover" sheetId="20" r:id="rId1"/>
    <sheet name="Version Control" sheetId="23" r:id="rId2"/>
    <sheet name="Test Cycle 1" sheetId="24" r:id="rId3"/>
    <sheet name="AppConfig" sheetId="26" state="hidden" r:id="rId4"/>
    <sheet name="Screenshot" sheetId="25" r:id="rId5"/>
    <sheet name="Reviewer Screenshot" sheetId="27" r:id="rId6"/>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D6A98C8F-4BED-4AF8-8D14-0209456309C3}">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<sst xmlns="http://schemas.openxmlformats.org/spreadsheetml/2006/main" count="187" uniqueCount="132">
  <si>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</si>
  <si>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</si>
  <si>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</si>
  <si>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</si>
  <si>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</si>
  <si>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</si>
  <si>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</si>
  <si>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</si>
  <si>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</si>
  <si>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</si>
  <si>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</si>
  <si>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</si>
  <si>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</si>
  <si>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</si>
  <si>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</si>
  <si>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</si>
  <si>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</si>
  <si>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</si>
  <si>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</si>
  <si>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</si>
  <si>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</si>
  <si>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</si>
  <si>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</si>
  <si>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</si>
  <si>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</si>
  <si>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</si>
  <si>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</si>
  <si>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</si>
  <si>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</si>
  <si>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</si>
  <si>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</si>
  <si>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</si>
  <si>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</si>
  <si>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</si>
  <si>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</si>
  <si>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</si>
  <si>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</si>
  <si>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</si>
  <si>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</si>
  <si>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</si>
  <si>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</si>
  <si>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</si>
  <si>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</si>
  <si>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</si>
  <si>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</si>
  <si>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</si>
  <si>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</si>
  <si>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</si>
  <si>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</si>
  <si>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</si>
  <si>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</si>
  <si>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</si>
  <si>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</si>
  <si>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</si>
  <si>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</si>
  <si>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</si>
  <si>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</si>
  <si>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</si>
  <si>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</si>
  <si>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</si>
  <si>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</si>
  <si>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</si>
  <si>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</si>
  <si>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</si>
  <si>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</si>
  <si>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</si>
  <si>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</si>
  <si>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</si>
  <si>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</si>
  <si>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</si>
  <si>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</si>
  <si>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</si>
  <si>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</si>
  <si>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</si>
  <si>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</si>
  <si>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</si>
  <si>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</si>
  <si>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</si>
  <si>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</si>
  <si>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</si>
  <si>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</si>
  <si>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</si>
  <si>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</si>
  <si>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Asset</t>
  </si>
  <si>
    <t>FDE_INT_ASSETS_NEW,
Shortcut_to_FDE_INT_ASSETS_NEW</t>
  </si>
  <si>
    <t>JTI_DWH_ETLComplete_Incremental,RUN_EIM_PROCESS_ADHOC</t>
  </si>
  <si>
    <t xml:space="preserve">Reset Test Data </t>
  </si>
  <si>
    <t>Run Script to reset test data</t>
  </si>
  <si>
    <t>SIEBEL_OLTP_DEV14</t>
  </si>
  <si>
    <t>0 record returned</t>
  </si>
  <si>
    <t>Place FF in IUNP</t>
  </si>
  <si>
    <t>Infa Server</t>
  </si>
  <si>
    <t>N/A</t>
  </si>
  <si>
    <t>FF correctly placed</t>
  </si>
  <si>
    <t>Register FF</t>
  </si>
  <si>
    <t>1 record returned</t>
  </si>
  <si>
    <t>Load Test Data</t>
  </si>
  <si>
    <t>Informatica &amp; SIEBEL_OLAP_DEV81</t>
  </si>
  <si>
    <t>Informatica &amp; SIEBEL_OLTP_DEV14</t>
  </si>
  <si>
    <t>Y</t>
  </si>
  <si>
    <t>Frank</t>
  </si>
  <si>
    <t xml:space="preserve">IF_ROW_STAT='IMPORTED'
</t>
  </si>
  <si>
    <t>INC3938667</t>
  </si>
  <si>
    <t>PT</t>
  </si>
  <si>
    <t>SELECT * FROM WC_ETL_FILES_G WHERE FILENAME LIKE '%PTAS1101_20211711_10.txt%'</t>
  </si>
  <si>
    <t>Place FF in path : \\10.186.26.22\Interfaces_IP14\Portugal\IUNP</t>
  </si>
  <si>
    <t>SELECT IF_ROW_STAT, AST_ASSET_NUM, * FROM EIM_ASSET WHERE AST_ASSET_NUM = 'INC3938667'</t>
  </si>
  <si>
    <t>DELETE FROM S_ASSET WHERE ASSET_NUM =  'INC3938667'</t>
  </si>
  <si>
    <t>Check test data in OLTP</t>
  </si>
  <si>
    <t>Run Script to check test data</t>
  </si>
  <si>
    <t xml:space="preserve">Load Asset interface </t>
  </si>
  <si>
    <t>SELECT * FROM S_ASSET WHERE  ASSET_NUM= 'INC3938667'</t>
  </si>
  <si>
    <r>
      <t xml:space="preserve">1 record returned
</t>
    </r>
    <r>
      <rPr>
        <b/>
        <sz val="10"/>
        <color rgb="FF00B050"/>
        <rFont val="Book Antiqua"/>
        <family val="1"/>
      </rPr>
      <t>SCREENSHOT 3</t>
    </r>
  </si>
  <si>
    <r>
      <t xml:space="preserve">IF_ROW_STAT='IMPORTED'
</t>
    </r>
    <r>
      <rPr>
        <b/>
        <sz val="10"/>
        <color rgb="FF00B050"/>
        <rFont val="Book Antiqua"/>
        <family val="1"/>
      </rPr>
      <t>SCREENSHOT 2</t>
    </r>
    <r>
      <rPr>
        <sz val="10"/>
        <rFont val="Book Antiqua"/>
        <family val="1"/>
      </rPr>
      <t xml:space="preserve">
</t>
    </r>
  </si>
  <si>
    <r>
      <t xml:space="preserve">1 record returned
</t>
    </r>
    <r>
      <rPr>
        <b/>
        <sz val="10"/>
        <color rgb="FF00B050"/>
        <rFont val="Book Antiqua"/>
        <family val="1"/>
      </rPr>
      <t>SCREENSHOT 1</t>
    </r>
  </si>
  <si>
    <t>1 rows affected</t>
  </si>
  <si>
    <t>17/11/2021</t>
  </si>
  <si>
    <t>Screenshot 1</t>
  </si>
  <si>
    <t>Screenshot 2</t>
  </si>
  <si>
    <t>18/11/2021</t>
  </si>
  <si>
    <t>Santanoo</t>
  </si>
  <si>
    <t>No records returned as per reviewer screenshot 1</t>
  </si>
  <si>
    <t>Flat file placed</t>
  </si>
  <si>
    <t>Flat file registered</t>
  </si>
  <si>
    <t>Open Workflow Manager.
Launch EIM_INTERFACE --&gt; RUN_EIM_PROCCESS--&gt;wrk_pre_Etl</t>
  </si>
  <si>
    <t>Launch EIM_INTERFACE --&gt;RUN_EIM_PROCESS--&gt; wrk_Assets_Interface</t>
  </si>
  <si>
    <t>File loaded and record imported as per reviewer screenshot 2</t>
  </si>
  <si>
    <t>Record loaded as per reviewer screenhot 3</t>
  </si>
  <si>
    <t>Screenshot 3</t>
  </si>
  <si>
    <t>No records returned</t>
  </si>
  <si>
    <t>INC3938667 - Detail Functional and Technical Design Data Part v1.xlsm</t>
  </si>
  <si>
    <t>TME Feb 2022 (UAT0): FOR_IMPORT obtained on EU2 UAT for Asset interfaces: missing call for the PTG IFBs on the AS interface worklet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</si>
</sst>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Book Antiqua"/>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
      <patternFill patternType="solid">
        <fgColor rgb="FFFFFF0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03">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0" fillId="28" borderId="0" xfId="0" applyFill="1"/>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xf numFmtId="0" fontId="0" fillId="29" borderId="0" xfId="0" applyFill="1"/>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704850</xdr:colOff>
          <xdr:row>6</xdr:row>
          <xdr:rowOff>638175</xdr:rowOff>
        </xdr:from>
        <xdr:to>
          <xdr:col>2</xdr:col>
          <xdr:colOff>2343150</xdr:colOff>
          <xdr:row>6</xdr:row>
          <xdr:rowOff>1152525</xdr:rowOff>
        </xdr:to>
        <xdr:sp macro="" textlink="">
          <xdr:nvSpPr>
            <xdr:cNvPr id="10286" name="Object 46" hidden="1">
              <a:extLst>
                <a:ext uri="{63B3BB69-23CF-44E3-9099-C40C66FF867C}">
                  <a14:compatExt spid="_x0000_s10286"/>
                </a:ext>
                <a:ext uri="{FF2B5EF4-FFF2-40B4-BE49-F238E27FC236}">
                  <a16:creationId xmlns:a16="http://schemas.microsoft.com/office/drawing/2014/main" id="{00000000-0008-0000-0200-00002E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xdr:colOff>
      <xdr:row>2</xdr:row>
      <xdr:rowOff>38100</xdr:rowOff>
    </xdr:from>
    <xdr:to>
      <xdr:col>14</xdr:col>
      <xdr:colOff>29085</xdr:colOff>
      <xdr:row>13</xdr:row>
      <xdr:rowOff>155965</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7620" y="373380"/>
          <a:ext cx="11161905" cy="1961905"/>
        </a:xfrm>
        <a:prstGeom prst="rect">
          <a:avLst/>
        </a:prstGeom>
      </xdr:spPr>
    </xdr:pic>
    <xdr:clientData/>
  </xdr:twoCellAnchor>
  <xdr:twoCellAnchor editAs="oneCell">
    <xdr:from>
      <xdr:col>0</xdr:col>
      <xdr:colOff>81650</xdr:colOff>
      <xdr:row>32</xdr:row>
      <xdr:rowOff>160020</xdr:rowOff>
    </xdr:from>
    <xdr:to>
      <xdr:col>17</xdr:col>
      <xdr:colOff>550657</xdr:colOff>
      <xdr:row>41</xdr:row>
      <xdr:rowOff>83820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tretch>
          <a:fillRect/>
        </a:stretch>
      </xdr:blipFill>
      <xdr:spPr>
        <a:xfrm>
          <a:off x="81650" y="5524500"/>
          <a:ext cx="13483967" cy="1432560"/>
        </a:xfrm>
        <a:prstGeom prst="rect">
          <a:avLst/>
        </a:prstGeom>
      </xdr:spPr>
    </xdr:pic>
    <xdr:clientData/>
  </xdr:twoCellAnchor>
  <xdr:twoCellAnchor editAs="oneCell">
    <xdr:from>
      <xdr:col>0</xdr:col>
      <xdr:colOff>0</xdr:colOff>
      <xdr:row>18</xdr:row>
      <xdr:rowOff>0</xdr:rowOff>
    </xdr:from>
    <xdr:to>
      <xdr:col>19</xdr:col>
      <xdr:colOff>573455</xdr:colOff>
      <xdr:row>28</xdr:row>
      <xdr:rowOff>75981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a:stretch>
          <a:fillRect/>
        </a:stretch>
      </xdr:blipFill>
      <xdr:spPr>
        <a:xfrm>
          <a:off x="0" y="3017520"/>
          <a:ext cx="14838095" cy="17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12</xdr:col>
      <xdr:colOff>170490</xdr:colOff>
      <xdr:row>12</xdr:row>
      <xdr:rowOff>85492</xdr:rowOff>
    </xdr:to>
    <xdr:pic>
      <xdr:nvPicPr>
        <xdr:cNvPr id="2" name="Picture 1">
          <a:extLst>
            <a:ext uri="{FF2B5EF4-FFF2-40B4-BE49-F238E27FC236}">
              <a16:creationId xmlns:a16="http://schemas.microsoft.com/office/drawing/2014/main" id="{4A93F122-82D5-4B2B-986C-16675B2BA504}"/>
            </a:ext>
          </a:extLst>
        </xdr:cNvPr>
        <xdr:cNvPicPr>
          <a:picLocks noChangeAspect="1"/>
        </xdr:cNvPicPr>
      </xdr:nvPicPr>
      <xdr:blipFill>
        <a:blip xmlns:r="http://schemas.openxmlformats.org/officeDocument/2006/relationships" r:embed="rId1"/>
        <a:stretch>
          <a:fillRect/>
        </a:stretch>
      </xdr:blipFill>
      <xdr:spPr>
        <a:xfrm>
          <a:off x="0" y="161925"/>
          <a:ext cx="7676190" cy="1866667"/>
        </a:xfrm>
        <a:prstGeom prst="rect">
          <a:avLst/>
        </a:prstGeom>
      </xdr:spPr>
    </xdr:pic>
    <xdr:clientData/>
  </xdr:twoCellAnchor>
  <xdr:twoCellAnchor editAs="oneCell">
    <xdr:from>
      <xdr:col>0</xdr:col>
      <xdr:colOff>0</xdr:colOff>
      <xdr:row>16</xdr:row>
      <xdr:rowOff>0</xdr:rowOff>
    </xdr:from>
    <xdr:to>
      <xdr:col>12</xdr:col>
      <xdr:colOff>275252</xdr:colOff>
      <xdr:row>26</xdr:row>
      <xdr:rowOff>18845</xdr:rowOff>
    </xdr:to>
    <xdr:pic>
      <xdr:nvPicPr>
        <xdr:cNvPr id="3" name="Picture 2">
          <a:extLst>
            <a:ext uri="{FF2B5EF4-FFF2-40B4-BE49-F238E27FC236}">
              <a16:creationId xmlns:a16="http://schemas.microsoft.com/office/drawing/2014/main" id="{4054C83F-CA8F-4D0A-BAE4-030564E60674}"/>
            </a:ext>
          </a:extLst>
        </xdr:cNvPr>
        <xdr:cNvPicPr>
          <a:picLocks noChangeAspect="1"/>
        </xdr:cNvPicPr>
      </xdr:nvPicPr>
      <xdr:blipFill>
        <a:blip xmlns:r="http://schemas.openxmlformats.org/officeDocument/2006/relationships" r:embed="rId2"/>
        <a:stretch>
          <a:fillRect/>
        </a:stretch>
      </xdr:blipFill>
      <xdr:spPr>
        <a:xfrm>
          <a:off x="0" y="2590800"/>
          <a:ext cx="7780952" cy="1638095"/>
        </a:xfrm>
        <a:prstGeom prst="rect">
          <a:avLst/>
        </a:prstGeom>
      </xdr:spPr>
    </xdr:pic>
    <xdr:clientData/>
  </xdr:twoCellAnchor>
  <xdr:twoCellAnchor editAs="oneCell">
    <xdr:from>
      <xdr:col>0</xdr:col>
      <xdr:colOff>0</xdr:colOff>
      <xdr:row>31</xdr:row>
      <xdr:rowOff>0</xdr:rowOff>
    </xdr:from>
    <xdr:to>
      <xdr:col>27</xdr:col>
      <xdr:colOff>255062</xdr:colOff>
      <xdr:row>63</xdr:row>
      <xdr:rowOff>18400</xdr:rowOff>
    </xdr:to>
    <xdr:pic>
      <xdr:nvPicPr>
        <xdr:cNvPr id="4" name="Picture 3">
          <a:extLst>
            <a:ext uri="{FF2B5EF4-FFF2-40B4-BE49-F238E27FC236}">
              <a16:creationId xmlns:a16="http://schemas.microsoft.com/office/drawing/2014/main" id="{8DE364D6-C2F2-4F0A-A8E2-FBE1CCD2634D}"/>
            </a:ext>
          </a:extLst>
        </xdr:cNvPr>
        <xdr:cNvPicPr>
          <a:picLocks noChangeAspect="1"/>
        </xdr:cNvPicPr>
      </xdr:nvPicPr>
      <xdr:blipFill>
        <a:blip xmlns:r="http://schemas.openxmlformats.org/officeDocument/2006/relationships" r:embed="rId3"/>
        <a:stretch>
          <a:fillRect/>
        </a:stretch>
      </xdr:blipFill>
      <xdr:spPr>
        <a:xfrm>
          <a:off x="0" y="5019675"/>
          <a:ext cx="16904762" cy="52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Z20" sqref="Z20"/>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2" t="s">
        <v>2</v>
      </c>
      <c r="B13" s="82"/>
      <c r="C13" s="82"/>
      <c r="D13" s="82"/>
      <c r="E13" s="82"/>
      <c r="F13" s="82"/>
      <c r="G13" s="82"/>
      <c r="H13" s="82"/>
      <c r="I13" s="82"/>
      <c r="J13" s="82"/>
      <c r="K13" s="82"/>
      <c r="L13" s="82"/>
      <c r="M13" s="82"/>
      <c r="N13" s="82"/>
      <c r="O13" s="82"/>
      <c r="P13" s="82"/>
      <c r="Q13" s="82"/>
      <c r="R13" s="82"/>
      <c r="S13" s="82"/>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83" t="s">
        <v>17</v>
      </c>
      <c r="B18" s="83"/>
      <c r="C18" s="83"/>
      <c r="D18" s="83"/>
      <c r="E18" s="83"/>
      <c r="F18" s="83"/>
      <c r="G18" s="83"/>
      <c r="H18" s="83"/>
      <c r="I18" s="83"/>
      <c r="J18" s="83"/>
      <c r="K18" s="83"/>
      <c r="L18" s="83"/>
      <c r="M18" s="83"/>
      <c r="N18" s="83"/>
      <c r="O18" s="83"/>
      <c r="P18" s="83"/>
      <c r="Q18" s="83"/>
      <c r="R18" s="83"/>
      <c r="S18" s="83"/>
    </row>
    <row r="19" spans="1:19" s="15" customFormat="1" ht="40.700000000000003" customHeight="1" x14ac:dyDescent="0.2">
      <c r="A19" s="84" t="s">
        <v>1</v>
      </c>
      <c r="B19" s="84"/>
      <c r="C19" s="84"/>
      <c r="D19" s="84"/>
      <c r="E19" s="84"/>
      <c r="F19" s="84"/>
      <c r="G19" s="84"/>
      <c r="H19" s="84"/>
      <c r="I19" s="84"/>
      <c r="J19" s="84"/>
      <c r="K19" s="84"/>
      <c r="L19" s="84"/>
      <c r="M19" s="84"/>
      <c r="N19" s="84"/>
      <c r="O19" s="84"/>
      <c r="P19" s="84"/>
      <c r="Q19" s="84"/>
      <c r="R19" s="84"/>
      <c r="S19" s="84"/>
    </row>
    <row r="20" spans="1:19" s="15" customFormat="1" ht="13.5" x14ac:dyDescent="0.2">
      <c r="A20" s="16"/>
      <c r="B20" s="16"/>
      <c r="C20" s="16"/>
      <c r="D20" s="16"/>
      <c r="E20" s="16"/>
      <c r="F20" s="16"/>
      <c r="G20" s="16"/>
      <c r="H20" s="16"/>
      <c r="I20" s="16"/>
      <c r="J20" s="16"/>
    </row>
    <row r="21" spans="1:19" s="15" customFormat="1" ht="58.7" customHeight="1" x14ac:dyDescent="0.2">
      <c r="A21" s="85" t="s">
        <v>74</v>
      </c>
      <c r="B21" s="85"/>
      <c r="C21" s="85"/>
      <c r="D21" s="85"/>
      <c r="E21" s="85"/>
      <c r="F21" s="85"/>
      <c r="G21" s="85"/>
      <c r="H21" s="85"/>
      <c r="I21" s="85"/>
      <c r="J21" s="6"/>
      <c r="K21" s="86" t="s">
        <v>102</v>
      </c>
      <c r="L21" s="86"/>
      <c r="M21" s="86"/>
      <c r="N21" s="86"/>
      <c r="O21" s="86"/>
      <c r="P21" s="86"/>
      <c r="Q21" s="86"/>
      <c r="R21" s="86"/>
      <c r="S21" s="86"/>
    </row>
    <row r="22" spans="1:19" s="15" customFormat="1" ht="13.5" x14ac:dyDescent="0.2">
      <c r="A22" s="16"/>
      <c r="B22" s="16"/>
      <c r="C22" s="16"/>
      <c r="D22" s="16"/>
      <c r="E22" s="16"/>
      <c r="F22" s="16"/>
      <c r="G22" s="16"/>
      <c r="H22" s="16"/>
      <c r="I22" s="16"/>
      <c r="J22" s="16"/>
    </row>
    <row r="23" spans="1:19" s="15" customFormat="1" ht="141" customHeight="1" x14ac:dyDescent="0.2">
      <c r="A23" s="89" t="s">
        <v>18</v>
      </c>
      <c r="B23" s="89"/>
      <c r="C23" s="89"/>
      <c r="D23" s="89"/>
      <c r="E23" s="89"/>
      <c r="F23" s="89"/>
      <c r="G23" s="89"/>
      <c r="H23" s="89"/>
      <c r="I23" s="89"/>
      <c r="J23" s="7"/>
      <c r="K23" s="90" t="s">
        <v>131</v>
      </c>
      <c r="L23" s="90"/>
      <c r="M23" s="90"/>
      <c r="N23" s="90"/>
      <c r="O23" s="90"/>
      <c r="P23" s="90"/>
      <c r="Q23" s="90"/>
      <c r="R23" s="90"/>
      <c r="S23" s="90"/>
    </row>
    <row r="24" spans="1:19" s="15" customFormat="1" ht="13.5" x14ac:dyDescent="0.2">
      <c r="A24" s="16"/>
      <c r="B24" s="16"/>
      <c r="C24" s="16"/>
      <c r="D24" s="16"/>
      <c r="E24" s="16"/>
      <c r="F24" s="16"/>
      <c r="G24" s="16"/>
      <c r="H24" s="16"/>
      <c r="I24" s="16"/>
      <c r="J24" s="16"/>
    </row>
    <row r="25" spans="1:19" s="15" customFormat="1" ht="70.150000000000006" customHeight="1" x14ac:dyDescent="0.2">
      <c r="A25" s="91" t="s">
        <v>3</v>
      </c>
      <c r="B25" s="91"/>
      <c r="C25" s="91"/>
      <c r="D25" s="91"/>
      <c r="E25" s="91"/>
      <c r="F25" s="91"/>
      <c r="G25" s="91"/>
      <c r="H25" s="91"/>
      <c r="I25" s="91"/>
      <c r="J25" s="7"/>
      <c r="K25" s="92" t="s">
        <v>103</v>
      </c>
      <c r="L25" s="92"/>
      <c r="M25" s="92"/>
      <c r="N25" s="92"/>
      <c r="O25" s="92"/>
      <c r="P25" s="92"/>
      <c r="Q25" s="92"/>
      <c r="R25" s="92"/>
      <c r="S25" s="92"/>
    </row>
    <row r="26" spans="1:19" s="15" customFormat="1" ht="13.5" x14ac:dyDescent="0.2">
      <c r="A26" s="16"/>
      <c r="B26" s="16"/>
      <c r="C26" s="16"/>
      <c r="D26" s="16"/>
      <c r="E26" s="16"/>
      <c r="F26" s="16"/>
      <c r="G26" s="16"/>
      <c r="H26" s="16"/>
      <c r="I26" s="16"/>
      <c r="J26" s="16"/>
    </row>
    <row r="27" spans="1:19" ht="27" customHeight="1" x14ac:dyDescent="0.2">
      <c r="A27" s="87" t="s">
        <v>13</v>
      </c>
      <c r="B27" s="87"/>
      <c r="C27" s="87"/>
      <c r="D27" s="87"/>
      <c r="E27" s="87"/>
      <c r="F27" s="87"/>
      <c r="G27" s="87"/>
      <c r="H27" s="87"/>
      <c r="I27" s="87"/>
      <c r="K27" s="88" t="s">
        <v>19</v>
      </c>
      <c r="L27" s="88"/>
      <c r="M27" s="88"/>
      <c r="N27" s="88"/>
      <c r="O27" s="88"/>
      <c r="P27" s="88"/>
      <c r="Q27" s="88"/>
      <c r="R27" s="88"/>
      <c r="S27" s="88"/>
    </row>
    <row r="28" spans="1:19" ht="27" customHeight="1" x14ac:dyDescent="0.2">
      <c r="A28" s="87"/>
      <c r="B28" s="87"/>
      <c r="C28" s="87"/>
      <c r="D28" s="87"/>
      <c r="E28" s="87"/>
      <c r="F28" s="87"/>
      <c r="G28" s="87"/>
      <c r="H28" s="87"/>
      <c r="I28" s="87"/>
      <c r="K28" s="88"/>
      <c r="L28" s="88"/>
      <c r="M28" s="88"/>
      <c r="N28" s="88"/>
      <c r="O28" s="17"/>
      <c r="P28" s="17"/>
      <c r="Q28" s="17"/>
      <c r="R28" s="17"/>
      <c r="S28" s="17"/>
    </row>
    <row r="29" spans="1:19" ht="27" customHeight="1" x14ac:dyDescent="0.2">
      <c r="A29" s="87"/>
      <c r="B29" s="87"/>
      <c r="C29" s="87"/>
      <c r="D29" s="87"/>
      <c r="E29" s="87"/>
      <c r="F29" s="87"/>
      <c r="G29" s="87"/>
      <c r="H29" s="87"/>
      <c r="I29" s="87"/>
      <c r="K29" s="88"/>
      <c r="L29" s="88"/>
      <c r="M29" s="88"/>
      <c r="N29" s="88"/>
      <c r="O29" s="88"/>
      <c r="P29" s="88"/>
      <c r="Q29" s="88"/>
      <c r="R29" s="88"/>
      <c r="S29" s="88"/>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44518</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abSelected="1" topLeftCell="A14" workbookViewId="0">
      <selection activeCell="F39" sqref="F39"/>
    </sheetView>
  </sheetViews>
  <sheetFormatPr defaultColWidth="8" defaultRowHeight="12.75" x14ac:dyDescent="0.2"/>
  <cols>
    <col min="1" max="1" width="54.140625" style="2" customWidth="1"/>
    <col min="2" max="2" width="86.42578125" style="49" customWidth="1"/>
    <col min="3" max="3" width="25.140625" style="2" bestFit="1" customWidth="1"/>
    <col min="4" max="16384" width="8" style="2"/>
  </cols>
  <sheetData>
    <row r="1" spans="1:3" hidden="1" x14ac:dyDescent="0.2">
      <c r="A1" s="1" t="s">
        <v>5</v>
      </c>
    </row>
    <row r="2" spans="1:3" hidden="1" x14ac:dyDescent="0.2">
      <c r="A2" s="3" t="s">
        <v>20</v>
      </c>
      <c r="B2" s="50" t="s">
        <v>6</v>
      </c>
    </row>
    <row r="3" spans="1:3" hidden="1" x14ac:dyDescent="0.2">
      <c r="A3" s="3" t="s">
        <v>20</v>
      </c>
      <c r="B3" s="50" t="s">
        <v>6</v>
      </c>
    </row>
    <row r="4" spans="1:3" hidden="1" x14ac:dyDescent="0.2">
      <c r="A4" s="3" t="s">
        <v>21</v>
      </c>
      <c r="B4" s="50" t="s">
        <v>7</v>
      </c>
    </row>
    <row r="5" spans="1:3" hidden="1" x14ac:dyDescent="0.2">
      <c r="A5" s="3" t="s">
        <v>22</v>
      </c>
      <c r="B5" s="50" t="s">
        <v>7</v>
      </c>
    </row>
    <row r="6" spans="1:3" x14ac:dyDescent="0.2">
      <c r="A6" s="5"/>
      <c r="B6" s="51"/>
      <c r="C6" s="4"/>
    </row>
    <row r="7" spans="1:3" x14ac:dyDescent="0.2">
      <c r="A7" s="30"/>
      <c r="B7" s="51"/>
      <c r="C7" s="4"/>
    </row>
    <row r="8" spans="1:3" ht="27.75" x14ac:dyDescent="0.2">
      <c r="A8" s="93" t="s">
        <v>1</v>
      </c>
      <c r="B8" s="93"/>
      <c r="C8" s="29" t="s">
        <v>8</v>
      </c>
    </row>
    <row r="9" spans="1:3" x14ac:dyDescent="0.2">
      <c r="A9" s="4"/>
      <c r="B9" s="51"/>
      <c r="C9" s="4"/>
    </row>
    <row r="10" spans="1:3" x14ac:dyDescent="0.2">
      <c r="A10" s="5" t="s">
        <v>9</v>
      </c>
      <c r="B10" s="94" t="s">
        <v>10</v>
      </c>
      <c r="C10" s="94"/>
    </row>
    <row r="11" spans="1:3" x14ac:dyDescent="0.2">
      <c r="A11" s="25" t="s">
        <v>11</v>
      </c>
      <c r="B11" s="21" t="s">
        <v>80</v>
      </c>
      <c r="C11" s="22"/>
    </row>
    <row r="12" spans="1:3" x14ac:dyDescent="0.2">
      <c r="A12" s="30"/>
      <c r="B12" s="51"/>
      <c r="C12" s="4"/>
    </row>
    <row r="13" spans="1:3" x14ac:dyDescent="0.2">
      <c r="A13" s="30"/>
      <c r="B13" s="51"/>
      <c r="C13" s="4"/>
    </row>
    <row r="14" spans="1:3" ht="19.7" customHeight="1" x14ac:dyDescent="0.2">
      <c r="A14" s="26" t="str">
        <f>CONCATENATE("To be Performed by Tester : ",'Test Cycle 1'!H2)</f>
        <v>To be Performed by Tester : Frank</v>
      </c>
      <c r="B14" s="52"/>
      <c r="C14" s="4"/>
    </row>
    <row r="15" spans="1:3" ht="21.95" customHeight="1" x14ac:dyDescent="0.25">
      <c r="A15" s="31" t="s">
        <v>23</v>
      </c>
      <c r="B15" s="95"/>
      <c r="C15" s="96"/>
    </row>
    <row r="16" spans="1:3" ht="39.75" customHeight="1" x14ac:dyDescent="0.2">
      <c r="A16" s="28" t="s">
        <v>24</v>
      </c>
      <c r="B16" s="28" t="s">
        <v>12</v>
      </c>
      <c r="C16" s="23" t="s">
        <v>25</v>
      </c>
    </row>
    <row r="17" spans="1:3" x14ac:dyDescent="0.2">
      <c r="A17" s="24" t="s">
        <v>26</v>
      </c>
      <c r="B17" s="53"/>
      <c r="C17" s="27" t="s">
        <v>92</v>
      </c>
    </row>
    <row r="18" spans="1:3" x14ac:dyDescent="0.2">
      <c r="A18" s="24" t="s">
        <v>27</v>
      </c>
      <c r="B18" s="53" t="s">
        <v>130</v>
      </c>
      <c r="C18" s="27" t="s">
        <v>99</v>
      </c>
    </row>
    <row r="19" spans="1:3" x14ac:dyDescent="0.2">
      <c r="A19" s="24" t="s">
        <v>28</v>
      </c>
      <c r="B19" s="53"/>
      <c r="C19" s="27" t="s">
        <v>92</v>
      </c>
    </row>
    <row r="20" spans="1:3" x14ac:dyDescent="0.2">
      <c r="A20" s="24" t="s">
        <v>76</v>
      </c>
      <c r="B20" s="54"/>
      <c r="C20" s="27" t="s">
        <v>92</v>
      </c>
    </row>
    <row r="21" spans="1:3" x14ac:dyDescent="0.2">
      <c r="A21" s="24" t="s">
        <v>77</v>
      </c>
      <c r="B21" s="53"/>
      <c r="C21" s="27" t="s">
        <v>92</v>
      </c>
    </row>
    <row r="22" spans="1:3" x14ac:dyDescent="0.2">
      <c r="A22" s="24" t="s">
        <v>79</v>
      </c>
      <c r="B22" s="53"/>
      <c r="C22" s="27" t="s">
        <v>92</v>
      </c>
    </row>
    <row r="23" spans="1:3" x14ac:dyDescent="0.2">
      <c r="A23" s="24" t="s">
        <v>78</v>
      </c>
      <c r="B23" s="58"/>
      <c r="C23" s="27" t="s">
        <v>92</v>
      </c>
    </row>
    <row r="24" spans="1:3" x14ac:dyDescent="0.2">
      <c r="A24" s="24" t="s">
        <v>29</v>
      </c>
      <c r="B24" s="53"/>
      <c r="C24" s="27" t="s">
        <v>92</v>
      </c>
    </row>
    <row r="25" spans="1:3" x14ac:dyDescent="0.2">
      <c r="A25" s="24" t="s">
        <v>30</v>
      </c>
      <c r="B25" s="53"/>
      <c r="C25" s="27" t="s">
        <v>99</v>
      </c>
    </row>
    <row r="26" spans="1:3" ht="25.5" x14ac:dyDescent="0.2">
      <c r="A26" s="24" t="s">
        <v>31</v>
      </c>
      <c r="B26" s="27"/>
      <c r="C26" s="27" t="s">
        <v>99</v>
      </c>
    </row>
    <row r="27" spans="1:3" x14ac:dyDescent="0.2">
      <c r="A27" s="24" t="s">
        <v>55</v>
      </c>
      <c r="B27" s="27"/>
      <c r="C27" s="27" t="s">
        <v>99</v>
      </c>
    </row>
    <row r="28" spans="1:3" x14ac:dyDescent="0.2">
      <c r="A28" s="24" t="s">
        <v>81</v>
      </c>
      <c r="B28" s="53"/>
      <c r="C28" s="27" t="s">
        <v>99</v>
      </c>
    </row>
    <row r="29" spans="1:3" x14ac:dyDescent="0.2">
      <c r="A29" s="24" t="s">
        <v>82</v>
      </c>
      <c r="B29" s="53"/>
      <c r="C29" s="27" t="s">
        <v>92</v>
      </c>
    </row>
    <row r="30" spans="1:3" x14ac:dyDescent="0.2">
      <c r="A30" s="42"/>
      <c r="B30" s="55"/>
      <c r="C30" s="43"/>
    </row>
    <row r="31" spans="1:3" x14ac:dyDescent="0.2">
      <c r="A31" s="44"/>
      <c r="B31" s="56"/>
      <c r="C31" s="44"/>
    </row>
    <row r="32" spans="1:3" x14ac:dyDescent="0.2">
      <c r="A32" s="41" t="str">
        <f>CONCATENATE("To be Performed by Reviewer : ",'Test Cycle 1'!H3)</f>
        <v>To be Performed by Reviewer : Santanoo</v>
      </c>
      <c r="B32" s="52"/>
      <c r="C32" s="4"/>
    </row>
    <row r="33" spans="1:3" ht="15" x14ac:dyDescent="0.25">
      <c r="A33" s="31" t="s">
        <v>23</v>
      </c>
      <c r="B33" s="95"/>
      <c r="C33" s="96"/>
    </row>
    <row r="34" spans="1:3" ht="25.5" x14ac:dyDescent="0.2">
      <c r="A34" s="28" t="s">
        <v>24</v>
      </c>
      <c r="B34" s="28"/>
      <c r="C34" s="23" t="s">
        <v>25</v>
      </c>
    </row>
    <row r="35" spans="1:3" x14ac:dyDescent="0.2">
      <c r="A35" s="24" t="s">
        <v>32</v>
      </c>
      <c r="B35" s="53"/>
      <c r="C35" s="27" t="s">
        <v>99</v>
      </c>
    </row>
    <row r="36" spans="1:3" x14ac:dyDescent="0.2">
      <c r="A36" s="24" t="s">
        <v>33</v>
      </c>
      <c r="B36" s="53"/>
      <c r="C36" s="27" t="s">
        <v>99</v>
      </c>
    </row>
    <row r="37" spans="1:3" x14ac:dyDescent="0.2">
      <c r="A37" s="24" t="s">
        <v>75</v>
      </c>
      <c r="B37" s="53"/>
      <c r="C37" s="27" t="s">
        <v>99</v>
      </c>
    </row>
    <row r="38" spans="1:3" x14ac:dyDescent="0.2">
      <c r="A38" s="24" t="s">
        <v>34</v>
      </c>
      <c r="B38" s="53"/>
      <c r="C38" s="27" t="s">
        <v>92</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3"/>
  <sheetViews>
    <sheetView zoomScale="70" zoomScaleNormal="70" workbookViewId="0">
      <selection activeCell="C9" sqref="C9"/>
    </sheetView>
  </sheetViews>
  <sheetFormatPr defaultColWidth="9.140625" defaultRowHeight="16.5" x14ac:dyDescent="0.3"/>
  <cols>
    <col min="1" max="1" width="22.85546875" style="33" customWidth="1"/>
    <col min="2" max="2" width="37.140625" style="33" customWidth="1"/>
    <col min="3" max="3" width="54.28515625" style="33" customWidth="1"/>
    <col min="4" max="4" width="23.42578125" style="33" bestFit="1" customWidth="1"/>
    <col min="5" max="5" width="41.42578125" style="59" customWidth="1"/>
    <col min="6" max="6" width="36.85546875" style="33" customWidth="1"/>
    <col min="7" max="7" width="39.42578125" style="33" customWidth="1"/>
    <col min="8" max="8" width="36.85546875" style="33" customWidth="1"/>
    <col min="9" max="9" width="25" style="33" customWidth="1"/>
    <col min="10" max="10" width="23.42578125" style="33" customWidth="1"/>
    <col min="11" max="11" width="32" style="33" customWidth="1"/>
    <col min="12" max="12" width="30.85546875" style="33" customWidth="1"/>
    <col min="13" max="22" width="9.140625" style="32"/>
    <col min="23" max="23" width="17.140625" style="32" bestFit="1" customWidth="1"/>
    <col min="24" max="24" width="9.140625" style="32"/>
    <col min="25" max="25" width="14.28515625" style="32" bestFit="1" customWidth="1"/>
    <col min="26" max="48" width="9.140625" style="32"/>
    <col min="49" max="49" width="9" style="32" customWidth="1"/>
    <col min="50" max="52" width="9.140625" style="32" hidden="1" customWidth="1"/>
    <col min="53" max="53" width="27.7109375" style="32" customWidth="1"/>
    <col min="54" max="16384" width="9.140625" style="32"/>
  </cols>
  <sheetData>
    <row r="1" spans="1:55" s="33" customFormat="1" x14ac:dyDescent="0.3">
      <c r="A1" s="35" t="s">
        <v>43</v>
      </c>
      <c r="B1" s="97" t="s">
        <v>84</v>
      </c>
      <c r="C1" s="98"/>
      <c r="D1" s="98"/>
      <c r="E1" s="70" t="s">
        <v>44</v>
      </c>
      <c r="F1" s="36" t="s">
        <v>83</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7" t="s">
        <v>85</v>
      </c>
      <c r="C2" s="98"/>
      <c r="D2" s="98"/>
      <c r="E2" s="70" t="s">
        <v>47</v>
      </c>
      <c r="F2" s="38" t="s">
        <v>116</v>
      </c>
      <c r="G2" s="35" t="s">
        <v>48</v>
      </c>
      <c r="H2" s="40" t="s">
        <v>100</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9" t="s">
        <v>41</v>
      </c>
      <c r="C3" s="99"/>
      <c r="D3" s="99"/>
      <c r="E3" s="70" t="s">
        <v>51</v>
      </c>
      <c r="F3" s="38" t="s">
        <v>119</v>
      </c>
      <c r="G3" s="35" t="s">
        <v>52</v>
      </c>
      <c r="H3" s="36" t="s">
        <v>120</v>
      </c>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7" customHeight="1" x14ac:dyDescent="0.3">
      <c r="A4" s="35" t="s">
        <v>54</v>
      </c>
      <c r="B4" s="100" t="s">
        <v>110</v>
      </c>
      <c r="C4" s="101"/>
      <c r="D4" s="101"/>
      <c r="E4" s="101"/>
      <c r="F4" s="101"/>
      <c r="G4" s="101"/>
      <c r="H4" s="101"/>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66</v>
      </c>
      <c r="B5" s="69" t="s">
        <v>67</v>
      </c>
      <c r="C5" s="69" t="s">
        <v>68</v>
      </c>
      <c r="D5" s="69" t="s">
        <v>69</v>
      </c>
      <c r="E5" s="69" t="s">
        <v>70</v>
      </c>
      <c r="F5" s="69" t="s">
        <v>71</v>
      </c>
      <c r="G5" s="69" t="s">
        <v>72</v>
      </c>
      <c r="H5" s="69" t="s">
        <v>73</v>
      </c>
      <c r="I5" s="69" t="s">
        <v>64</v>
      </c>
      <c r="J5" s="69"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49.5" x14ac:dyDescent="0.3">
      <c r="A6" s="45">
        <v>1</v>
      </c>
      <c r="B6" s="73" t="s">
        <v>86</v>
      </c>
      <c r="C6" s="46" t="s">
        <v>87</v>
      </c>
      <c r="D6" s="46" t="s">
        <v>88</v>
      </c>
      <c r="E6" s="47" t="s">
        <v>107</v>
      </c>
      <c r="F6" s="47" t="s">
        <v>115</v>
      </c>
      <c r="G6" s="47" t="s">
        <v>111</v>
      </c>
      <c r="H6" s="46" t="s">
        <v>89</v>
      </c>
      <c r="I6" s="37" t="s">
        <v>15</v>
      </c>
      <c r="J6" s="39" t="s">
        <v>121</v>
      </c>
      <c r="AY6" s="34" t="s">
        <v>45</v>
      </c>
    </row>
    <row r="7" spans="1:55" s="33" customFormat="1" ht="116.25" customHeight="1" x14ac:dyDescent="0.3">
      <c r="A7" s="48">
        <v>2</v>
      </c>
      <c r="B7" s="73" t="s">
        <v>90</v>
      </c>
      <c r="C7" s="74" t="s">
        <v>105</v>
      </c>
      <c r="D7" s="75" t="s">
        <v>91</v>
      </c>
      <c r="E7" s="74" t="s">
        <v>92</v>
      </c>
      <c r="F7" s="74" t="s">
        <v>93</v>
      </c>
      <c r="G7" s="74" t="s">
        <v>92</v>
      </c>
      <c r="H7" s="74" t="s">
        <v>93</v>
      </c>
      <c r="I7" s="37" t="s">
        <v>15</v>
      </c>
      <c r="J7" s="39" t="s">
        <v>122</v>
      </c>
      <c r="AY7" s="34" t="s">
        <v>49</v>
      </c>
    </row>
    <row r="8" spans="1:55" s="33" customFormat="1" ht="49.5" x14ac:dyDescent="0.3">
      <c r="A8" s="46">
        <v>3</v>
      </c>
      <c r="B8" s="74" t="s">
        <v>94</v>
      </c>
      <c r="C8" s="75" t="s">
        <v>124</v>
      </c>
      <c r="D8" s="46" t="s">
        <v>97</v>
      </c>
      <c r="E8" s="47" t="s">
        <v>104</v>
      </c>
      <c r="F8" s="46" t="s">
        <v>95</v>
      </c>
      <c r="G8" s="77" t="s">
        <v>104</v>
      </c>
      <c r="H8" s="46" t="s">
        <v>114</v>
      </c>
      <c r="I8" s="37" t="s">
        <v>15</v>
      </c>
      <c r="J8" s="57" t="s">
        <v>123</v>
      </c>
      <c r="AY8" s="34" t="s">
        <v>53</v>
      </c>
    </row>
    <row r="9" spans="1:55" s="33" customFormat="1" ht="43.5" x14ac:dyDescent="0.3">
      <c r="A9" s="45">
        <v>4</v>
      </c>
      <c r="B9" s="73" t="s">
        <v>96</v>
      </c>
      <c r="C9" s="75" t="s">
        <v>125</v>
      </c>
      <c r="D9" s="46" t="s">
        <v>98</v>
      </c>
      <c r="E9" s="47" t="s">
        <v>106</v>
      </c>
      <c r="F9" s="46" t="s">
        <v>101</v>
      </c>
      <c r="G9" s="47" t="s">
        <v>106</v>
      </c>
      <c r="H9" s="46" t="s">
        <v>113</v>
      </c>
      <c r="I9" s="37" t="s">
        <v>15</v>
      </c>
      <c r="J9" s="57" t="s">
        <v>126</v>
      </c>
      <c r="U9" s="32"/>
    </row>
    <row r="10" spans="1:55" s="33" customFormat="1" ht="45" customHeight="1" x14ac:dyDescent="0.3">
      <c r="A10" s="45"/>
      <c r="B10" s="78" t="s">
        <v>108</v>
      </c>
      <c r="C10" s="80" t="s">
        <v>109</v>
      </c>
      <c r="D10" s="76" t="s">
        <v>88</v>
      </c>
      <c r="E10" s="77" t="s">
        <v>111</v>
      </c>
      <c r="F10" s="76" t="s">
        <v>95</v>
      </c>
      <c r="G10" s="77" t="s">
        <v>111</v>
      </c>
      <c r="H10" s="76" t="s">
        <v>112</v>
      </c>
      <c r="I10" s="37" t="s">
        <v>15</v>
      </c>
      <c r="J10" s="57" t="s">
        <v>127</v>
      </c>
      <c r="U10" s="32"/>
    </row>
    <row r="11" spans="1:55" s="33" customFormat="1" ht="27" x14ac:dyDescent="0.3">
      <c r="A11" s="46">
        <v>6</v>
      </c>
      <c r="B11" s="73" t="s">
        <v>86</v>
      </c>
      <c r="C11" s="46" t="s">
        <v>87</v>
      </c>
      <c r="D11" s="46" t="s">
        <v>88</v>
      </c>
      <c r="E11" s="77" t="s">
        <v>107</v>
      </c>
      <c r="F11" s="76" t="s">
        <v>95</v>
      </c>
      <c r="G11" s="77" t="s">
        <v>111</v>
      </c>
      <c r="H11" s="46" t="s">
        <v>89</v>
      </c>
      <c r="I11" s="37" t="s">
        <v>15</v>
      </c>
      <c r="J11" s="57" t="s">
        <v>129</v>
      </c>
    </row>
    <row r="12" spans="1:55" s="33" customFormat="1" x14ac:dyDescent="0.3">
      <c r="A12" s="45">
        <v>7</v>
      </c>
      <c r="B12" s="73"/>
      <c r="C12" s="79"/>
      <c r="D12" s="75"/>
      <c r="E12" s="74"/>
      <c r="F12" s="74"/>
      <c r="G12" s="74"/>
      <c r="H12" s="74"/>
      <c r="I12" s="37"/>
      <c r="J12" s="57"/>
    </row>
    <row r="13" spans="1:55" s="33" customFormat="1" x14ac:dyDescent="0.3">
      <c r="A13" s="48">
        <v>8</v>
      </c>
      <c r="B13" s="73"/>
      <c r="C13" s="75"/>
      <c r="D13" s="46"/>
      <c r="E13" s="47"/>
      <c r="F13" s="46"/>
      <c r="G13" s="47"/>
      <c r="H13" s="46"/>
      <c r="I13" s="37"/>
      <c r="J13" s="57"/>
      <c r="U13" s="32"/>
    </row>
    <row r="14" spans="1:55" s="33" customFormat="1" x14ac:dyDescent="0.3">
      <c r="A14" s="46">
        <v>9</v>
      </c>
      <c r="B14" s="46"/>
      <c r="C14" s="46"/>
      <c r="D14" s="46"/>
      <c r="E14" s="47"/>
      <c r="F14" s="46"/>
      <c r="G14" s="47"/>
      <c r="H14" s="46"/>
      <c r="I14" s="37"/>
      <c r="J14" s="57"/>
    </row>
    <row r="15" spans="1:55" s="33" customFormat="1" x14ac:dyDescent="0.3">
      <c r="A15" s="45">
        <v>10</v>
      </c>
      <c r="B15" s="46"/>
      <c r="C15" s="46"/>
      <c r="D15" s="46"/>
      <c r="E15" s="47"/>
      <c r="F15" s="46"/>
      <c r="G15" s="47"/>
      <c r="H15" s="46"/>
      <c r="I15" s="37"/>
      <c r="J15" s="57"/>
    </row>
    <row r="16" spans="1:55" s="33" customFormat="1" x14ac:dyDescent="0.3">
      <c r="A16" s="48">
        <v>11</v>
      </c>
      <c r="B16" s="46"/>
      <c r="C16" s="46"/>
      <c r="D16" s="46"/>
      <c r="E16" s="47"/>
      <c r="F16" s="46"/>
      <c r="G16" s="47"/>
      <c r="H16" s="46"/>
      <c r="I16" s="37"/>
      <c r="J16" s="57"/>
    </row>
    <row r="17" spans="1:10" s="33" customFormat="1" ht="23.25" customHeight="1" x14ac:dyDescent="0.3">
      <c r="A17" s="46">
        <v>12</v>
      </c>
      <c r="B17" s="46"/>
      <c r="C17" s="46"/>
      <c r="D17" s="46"/>
      <c r="E17" s="47"/>
      <c r="F17" s="46"/>
      <c r="G17" s="47"/>
      <c r="H17" s="46"/>
      <c r="I17" s="37"/>
      <c r="J17" s="57"/>
    </row>
    <row r="18" spans="1:10" s="33" customFormat="1" x14ac:dyDescent="0.3">
      <c r="A18" s="46">
        <v>12</v>
      </c>
      <c r="B18" s="46"/>
      <c r="C18" s="46"/>
      <c r="D18" s="46"/>
      <c r="E18" s="47"/>
      <c r="F18" s="46"/>
      <c r="G18" s="47"/>
      <c r="H18" s="46"/>
      <c r="I18" s="37"/>
      <c r="J18" s="57"/>
    </row>
    <row r="19" spans="1:10" s="33" customFormat="1" x14ac:dyDescent="0.3">
      <c r="E19" s="59"/>
    </row>
    <row r="21" spans="1:10" s="33" customFormat="1" x14ac:dyDescent="0.3">
      <c r="E21" s="59"/>
    </row>
    <row r="22" spans="1:10" s="33" customFormat="1" ht="111.75" customHeight="1" x14ac:dyDescent="0.3">
      <c r="E22" s="59"/>
    </row>
    <row r="23" spans="1:10" s="33" customFormat="1" ht="111.75" customHeight="1" x14ac:dyDescent="0.3">
      <c r="E23" s="59"/>
    </row>
  </sheetData>
  <mergeCells count="4">
    <mergeCell ref="B1:D1"/>
    <mergeCell ref="B2:D2"/>
    <mergeCell ref="B3:D3"/>
    <mergeCell ref="B4:H4"/>
  </mergeCells>
  <phoneticPr fontId="47" type="noConversion"/>
  <dataValidations count="2">
    <dataValidation type="list" allowBlank="1" showInputMessage="1" showErrorMessage="1" sqref="B3:D3" xr:uid="{00000000-0002-0000-0200-000000000000}">
      <formula1>$BA$1:$BA$8</formula1>
    </dataValidation>
    <dataValidation type="list" allowBlank="1" showInputMessage="1" showErrorMessage="1" sqref="I6:I18" xr:uid="{00000000-0002-0000-0200-000001000000}">
      <formula1>$BB$1:$BB$5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shapeId="10286" r:id="rId4">
          <objectPr defaultSize="0" r:id="rId5">
            <anchor moveWithCells="1">
              <from>
                <xdr:col>2</xdr:col>
                <xdr:colOff>704850</xdr:colOff>
                <xdr:row>6</xdr:row>
                <xdr:rowOff>638175</xdr:rowOff>
              </from>
              <to>
                <xdr:col>2</xdr:col>
                <xdr:colOff>2343150</xdr:colOff>
                <xdr:row>6</xdr:row>
                <xdr:rowOff>1152525</xdr:rowOff>
              </to>
            </anchor>
          </objectPr>
        </oleObject>
      </mc:Choice>
      <mc:Fallback>
        <oleObject progId="Packager Shell Object" shapeId="10286"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75" outlineLevelRow="1" x14ac:dyDescent="0.2"/>
  <cols>
    <col min="1" max="1" width="27.140625" customWidth="1"/>
    <col min="2" max="2" width="59.85546875" style="60" customWidth="1"/>
    <col min="3" max="3" width="24.42578125" customWidth="1"/>
  </cols>
  <sheetData>
    <row r="1" spans="1:2" x14ac:dyDescent="0.2">
      <c r="A1" s="61" t="s">
        <v>62</v>
      </c>
      <c r="B1" s="62" t="s">
        <v>0</v>
      </c>
    </row>
    <row r="2" spans="1:2" outlineLevel="1" x14ac:dyDescent="0.2">
      <c r="A2" s="63" t="s">
        <v>56</v>
      </c>
      <c r="B2" s="68" t="str">
        <f>PPRD</f>
        <v>Jun , 2021</v>
      </c>
    </row>
    <row r="3" spans="1:2" x14ac:dyDescent="0.2">
      <c r="A3" s="63" t="s">
        <v>59</v>
      </c>
      <c r="B3" s="64" t="str">
        <f>CRN</f>
        <v>INC3938667</v>
      </c>
    </row>
    <row r="4" spans="1:2" x14ac:dyDescent="0.2">
      <c r="A4" s="63" t="s">
        <v>60</v>
      </c>
      <c r="B4" s="64" t="str">
        <f>MA</f>
        <v>PT</v>
      </c>
    </row>
    <row r="5" spans="1:2" x14ac:dyDescent="0.2">
      <c r="A5" s="63" t="s">
        <v>61</v>
      </c>
      <c r="B5" s="64" t="str">
        <f>Area</f>
        <v>Data</v>
      </c>
    </row>
    <row r="6" spans="1:2" x14ac:dyDescent="0.2">
      <c r="A6" s="63" t="s">
        <v>44</v>
      </c>
      <c r="B6" s="64" t="str">
        <f>Entity</f>
        <v>Asset</v>
      </c>
    </row>
    <row r="7" spans="1:2" x14ac:dyDescent="0.2">
      <c r="A7" s="63" t="s">
        <v>57</v>
      </c>
      <c r="B7" s="65" t="str">
        <f>DTested</f>
        <v>17/11/2021</v>
      </c>
    </row>
    <row r="8" spans="1:2" x14ac:dyDescent="0.2">
      <c r="A8" s="63" t="s">
        <v>58</v>
      </c>
      <c r="B8" s="66" t="str">
        <f>DReviewed</f>
        <v>18/11/2021</v>
      </c>
    </row>
    <row r="9" spans="1:2" x14ac:dyDescent="0.2">
      <c r="A9" s="63" t="s">
        <v>48</v>
      </c>
      <c r="B9" s="64" t="str">
        <f>TestedBy</f>
        <v>Frank</v>
      </c>
    </row>
    <row r="10" spans="1:2" x14ac:dyDescent="0.2">
      <c r="A10" s="63" t="s">
        <v>52</v>
      </c>
      <c r="B10" s="64" t="str">
        <f>ReviewedBy</f>
        <v>Santanoo</v>
      </c>
    </row>
    <row r="12" spans="1:2" x14ac:dyDescent="0.2">
      <c r="A12" s="63" t="s">
        <v>63</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workbookViewId="0">
      <selection activeCell="A19" sqref="A19"/>
    </sheetView>
  </sheetViews>
  <sheetFormatPr defaultColWidth="9.140625" defaultRowHeight="12.75" x14ac:dyDescent="0.2"/>
  <cols>
    <col min="1" max="1" width="44" style="72" bestFit="1" customWidth="1"/>
    <col min="2" max="16384" width="9.140625" style="72"/>
  </cols>
  <sheetData>
    <row r="1" spans="1:1" x14ac:dyDescent="0.2">
      <c r="A1" s="71"/>
    </row>
    <row r="2" spans="1:1" s="81" customFormat="1" x14ac:dyDescent="0.2">
      <c r="A2" s="81" t="s">
        <v>117</v>
      </c>
    </row>
    <row r="16" spans="1:1" s="81" customFormat="1" x14ac:dyDescent="0.2">
      <c r="A16" s="81" t="s">
        <v>118</v>
      </c>
    </row>
    <row r="30" spans="1:1" x14ac:dyDescent="0.2">
      <c r="A30" s="71"/>
    </row>
    <row r="32" spans="1:1" s="81" customFormat="1" x14ac:dyDescent="0.2">
      <c r="A32" s="81" t="s">
        <v>118</v>
      </c>
    </row>
    <row r="55" spans="1:1" x14ac:dyDescent="0.2">
      <c r="A55" s="71"/>
    </row>
    <row r="70" spans="1:1" x14ac:dyDescent="0.2">
      <c r="A70" s="71"/>
    </row>
    <row r="105" spans="1:1" x14ac:dyDescent="0.2">
      <c r="A105" s="71"/>
    </row>
    <row r="146" spans="1:1" x14ac:dyDescent="0.2">
      <c r="A146" s="71"/>
    </row>
    <row r="185" spans="1:1" x14ac:dyDescent="0.2">
      <c r="A185" s="71"/>
    </row>
    <row r="220" spans="1:1" x14ac:dyDescent="0.2">
      <c r="A220" s="71"/>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33B-09F7-4E51-A4DD-986830F440C8}">
  <dimension ref="A1:A30"/>
  <sheetViews>
    <sheetView topLeftCell="A25" workbookViewId="0">
      <selection activeCell="T24" sqref="T24"/>
    </sheetView>
  </sheetViews>
  <sheetFormatPr defaultRowHeight="12.75" x14ac:dyDescent="0.2"/>
  <cols>
    <col min="1" max="1" width="12" bestFit="1" customWidth="1"/>
  </cols>
  <sheetData>
    <row r="1" spans="1:1" x14ac:dyDescent="0.2">
      <c r="A1" s="102" t="s">
        <v>117</v>
      </c>
    </row>
    <row r="16" spans="1:1" x14ac:dyDescent="0.2">
      <c r="A16" s="102" t="s">
        <v>118</v>
      </c>
    </row>
    <row r="30" spans="1:1" x14ac:dyDescent="0.2">
      <c r="A30" s="102" t="s">
        <v>128</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Cover</vt:lpstr>
      <vt:lpstr>Version Control</vt:lpstr>
      <vt:lpstr>Test Cycle 1</vt:lpstr>
      <vt:lpstr>AppConfig</vt:lpstr>
      <vt:lpstr>Screenshot</vt:lpstr>
      <vt:lpstr>Reviewer 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Ramjug, S.</cp:lastModifiedBy>
  <cp:lastPrinted>2013-10-17T06:50:38Z</cp:lastPrinted>
  <dcterms:created xsi:type="dcterms:W3CDTF">2006-03-30T08:28:02Z</dcterms:created>
  <dcterms:modified xsi:type="dcterms:W3CDTF">2021-11-18T16:50:24Z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