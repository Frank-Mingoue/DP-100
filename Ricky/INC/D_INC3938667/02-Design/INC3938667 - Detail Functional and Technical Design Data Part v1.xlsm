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J:\General\04_RELEASE_MANAGEMENT\2021-06-Release PROD FEB22\02_Development\Data\D_INC3938667\02-Design\"/>
    </mc:Choice>
  </mc:AlternateContent>
  <xr:revisionPtr revIDLastSave="0" documentId="13_ncr:1_{CF7DFA73-B9C3-4BF4-BC5E-6314ED65E6A2}" xr6:coauthVersionLast="46" xr6:coauthVersionMax="47" xr10:uidLastSave="{00000000-0000-0000-0000-000000000000}"/>
  <bookViews>
    <workbookView xWindow="-108" yWindow="-108" windowWidth="23256" windowHeight="12720" tabRatio="893"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 i="16" l="1"/>
  <c r="C24" i="12" s="1"/>
  <c r="B8" i="21"/>
  <c r="B3" i="21"/>
  <c r="B9" i="21"/>
  <c r="B10" i="21"/>
  <c r="C17" i="21"/>
  <c r="D8" i="1" l="1"/>
  <c r="D7" i="1"/>
  <c r="D6" i="1"/>
  <c r="D5" i="1"/>
  <c r="D4" i="1"/>
  <c r="D3" i="1"/>
  <c r="B38" i="11"/>
  <c r="B7" i="21" l="1"/>
  <c r="C27" i="12"/>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<sst xmlns="http://schemas.openxmlformats.org/spreadsheetml/2006/main" count="464" uniqueCount="285">
  <si>
    <t>Trade Marketing Excellence Programme</t>
  </si>
  <si>
    <t>DATA</t>
  </si>
  <si>
    <t>Technical Design Mapping, Workflow &amp; Stored Procedure</t>
  </si>
  <si>
    <t>CHG/INC:</t>
  </si>
  <si>
    <t xml:space="preserve">        Title:</t>
  </si>
  <si>
    <t>Planned Prod Release Date:</t>
  </si>
  <si>
    <t>Feb, 2022</t>
  </si>
  <si>
    <t xml:space="preserve">  Market Affected:</t>
  </si>
  <si>
    <t>Date:</t>
  </si>
  <si>
    <t>Status:</t>
  </si>
  <si>
    <t xml:space="preserve">Draft </t>
  </si>
  <si>
    <t>Reviewer Control Section</t>
  </si>
  <si>
    <t>Completed</t>
  </si>
  <si>
    <t>Failed</t>
  </si>
  <si>
    <t>Name</t>
  </si>
  <si>
    <t>First Name</t>
  </si>
  <si>
    <t>Function</t>
  </si>
  <si>
    <t>Document Version</t>
  </si>
  <si>
    <t>Date</t>
  </si>
  <si>
    <t>Status</t>
  </si>
  <si>
    <t>Comments</t>
  </si>
  <si>
    <t>In Progress</t>
  </si>
  <si>
    <t>Developer</t>
  </si>
  <si>
    <t>Not Started</t>
  </si>
  <si>
    <t>Sign-off Control Section (a CoE and GDC sign-off names are required)</t>
  </si>
  <si>
    <t>Signature</t>
  </si>
  <si>
    <t>Estimation</t>
  </si>
  <si>
    <t>Manday</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</si>
  <si>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</si>
  <si>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</si>
  <si>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</si>
  <si>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</si>
  <si>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</si>
  <si>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</si>
  <si>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</si>
  <si>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</si>
  <si>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</si>
  <si>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</si>
  <si>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</si>
  <si>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</si>
  <si>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</si>
  <si>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</si>
  <si>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</si>
  <si>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</si>
  <si>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</si>
  <si>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</si>
  <si>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</si>
  <si>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</si>
  <si>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</si>
  <si>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</si>
  <si>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</si>
  <si>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HLFD_XXX</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</si>
  <si>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</si>
  <si>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</si>
  <si>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</si>
  <si>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</si>
  <si>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</si>
  <si>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</si>
  <si>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</si>
  <si>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</si>
  <si>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</si>
  <si>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</si>
  <si>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</si>
  <si>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</si>
  <si>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</si>
  <si>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</si>
  <si>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</si>
  <si>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</si>
  <si>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</si>
  <si>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</si>
  <si>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</si>
  <si>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</si>
  <si>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</si>
  <si>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</si>
  <si>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</si>
  <si>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</si>
  <si>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</si>
  <si>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</si>
  <si>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</si>
  <si>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</si>
  <si>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</si>
  <si>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</si>
  <si>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</si>
  <si>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</si>
  <si>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</si>
  <si>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</si>
  <si>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</si>
  <si>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</si>
  <si>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</si>
  <si>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</si>
  <si>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</si>
  <si>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</si>
  <si>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</si>
  <si>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</si>
  <si>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</si>
  <si>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</si>
  <si>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</si>
  <si>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</si>
  <si>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</si>
  <si>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</si>
  <si>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</si>
  <si>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</si>
  <si>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</si>
  <si>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</si>
  <si>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</si>
  <si>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</si>
  <si>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</si>
  <si>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</si>
  <si>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</si>
  <si>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</si>
  <si>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</si>
  <si>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</si>
  <si>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</si>
  <si>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</si>
  <si>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</si>
  <si>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</si>
  <si>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</si>
  <si>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</si>
  <si>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</si>
  <si>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</si>
  <si>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</si>
  <si>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</si>
  <si>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</si>
  <si>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</si>
  <si>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</si>
  <si>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</si>
  <si>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</si>
  <si>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</si>
  <si>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</si>
  <si>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</si>
  <si>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</si>
  <si>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</si>
  <si>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</si>
  <si>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</si>
  <si>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</si>
  <si>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</si>
  <si>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</si>
  <si>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</si>
  <si>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</si>
  <si>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</si>
  <si>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</si>
  <si>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</si>
  <si>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</si>
  <si>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</si>
  <si>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</si>
  <si>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</si>
  <si>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</si>
  <si>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</si>
  <si>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</si>
  <si>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</si>
  <si>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</si>
  <si>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</si>
  <si>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</si>
  <si>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</si>
  <si>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</si>
  <si>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</si>
  <si>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</si>
  <si>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</si>
  <si>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</si>
  <si>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</si>
  <si>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</si>
  <si>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</si>
  <si>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</si>
  <si>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</si>
  <si>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Vardecimal compression should be applied for OLAP</t>
  </si>
  <si>
    <t>When populating WC_FF_ENTITY_DETAILS, populate COUNTRY with value from WC_FF_COUNTRY_LANG_ID</t>
  </si>
  <si>
    <t>Columns</t>
  </si>
  <si>
    <t>Column Name</t>
  </si>
  <si>
    <t>Data Type</t>
  </si>
  <si>
    <t>Default column value</t>
  </si>
  <si>
    <t>Index</t>
  </si>
  <si>
    <t>Index Name</t>
  </si>
  <si>
    <t>Type of Index</t>
  </si>
  <si>
    <t>Columns on which index need to be applied</t>
  </si>
  <si>
    <t>Included</t>
  </si>
  <si>
    <t>CCSI Impact(MSSQL Only)</t>
  </si>
  <si>
    <t>Impacted Merge table</t>
  </si>
  <si>
    <t>Mandays</t>
  </si>
  <si>
    <t>IFB &amp; PHP</t>
  </si>
  <si>
    <t>PHP/Java</t>
  </si>
  <si>
    <t>File Name</t>
  </si>
  <si>
    <t>IFBs</t>
  </si>
  <si>
    <t>Ifb Name</t>
  </si>
  <si>
    <t>Parameter Files</t>
  </si>
  <si>
    <t>Configuration File (*.ini)</t>
  </si>
  <si>
    <t>Bat Files</t>
  </si>
  <si>
    <t xml:space="preserve">Mapping </t>
  </si>
  <si>
    <t>Folder Name</t>
  </si>
  <si>
    <t>Mapping Name</t>
  </si>
  <si>
    <t>Mapping Details</t>
  </si>
  <si>
    <t>Source Table</t>
  </si>
  <si>
    <t>Instance Name</t>
  </si>
  <si>
    <t>Source Column</t>
  </si>
  <si>
    <t>Datatype</t>
  </si>
  <si>
    <t>Target Table</t>
  </si>
  <si>
    <t>Target Column</t>
  </si>
  <si>
    <t>Functional
Summary</t>
  </si>
  <si>
    <t>Transformations</t>
  </si>
  <si>
    <t>Session , worklet &amp; workflow</t>
  </si>
  <si>
    <t>Workflow</t>
  </si>
  <si>
    <t>Worflow Name</t>
  </si>
  <si>
    <t>Worklet</t>
  </si>
  <si>
    <t>Worklet Name</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</si>
  <si>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</si>
  <si>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</si>
  <si>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</si>
  <si>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</si>
  <si>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</si>
  <si>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</si>
  <si>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</si>
  <si>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</si>
  <si>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</si>
  <si>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</si>
  <si>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</si>
  <si>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</si>
  <si>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</si>
  <si>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</si>
  <si>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</si>
  <si>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</si>
  <si>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</si>
  <si>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</si>
  <si>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</si>
  <si>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</si>
  <si>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</si>
  <si>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</si>
  <si>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</si>
  <si>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Procedure Name</t>
  </si>
  <si>
    <t>Data Update Required</t>
  </si>
  <si>
    <t>Environment (OLTP or OLAP)</t>
  </si>
  <si>
    <t>Period (If any)</t>
  </si>
  <si>
    <t>Data Update type</t>
  </si>
  <si>
    <t>Data Update Priority</t>
  </si>
  <si>
    <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</si>
  <si>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</si>
  <si>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</si>
  <si>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</si>
  <si>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</si>
  <si>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</si>
  <si>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</si>
  <si>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</si>
  <si>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</si>
  <si>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</si>
  <si>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</si>
  <si>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</si>
  <si>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</si>
  <si>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</si>
  <si>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</si>
  <si>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</si>
  <si>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</si>
  <si>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</si>
  <si>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</si>
  <si>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</si>
  <si>
    <t>Impacted</t>
  </si>
  <si>
    <t>EC4U</t>
  </si>
  <si>
    <t>JTI_DWH_ETLComplete_Incremental</t>
  </si>
  <si>
    <t>FOR_IMPORT obtained on EU2 UAT for Asset interfaces: missing call for the PTG IFBs on the AS interface worklet</t>
  </si>
  <si>
    <t>PT</t>
  </si>
  <si>
    <t>INC3938667</t>
  </si>
  <si>
    <t xml:space="preserve">Created based on INC3938667 </t>
  </si>
  <si>
    <t>Frank</t>
  </si>
  <si>
    <t>Mingoué</t>
  </si>
  <si>
    <t>EIM_INTERFACE</t>
  </si>
  <si>
    <t>EIM_PROCESS</t>
  </si>
  <si>
    <t>Load_EIM/wrk_Assets_Interface/</t>
  </si>
  <si>
    <t>EIM_Process</t>
  </si>
  <si>
    <t>Shortcut_to_DummyMap</t>
  </si>
  <si>
    <t>n/a</t>
  </si>
  <si>
    <t>Restart Task</t>
  </si>
  <si>
    <t>wrk_Assets_Interface/</t>
  </si>
  <si>
    <t>DummyMap</t>
  </si>
  <si>
    <t>$PMSourceFileDir\Scripts\run-EIM-process_perf.bat "IFA_PTG_AS_Assets_IMP.ifb" "PTG"</t>
  </si>
  <si>
    <t>$PMSourceFileDir\Scripts\run-EIM-process_perf.bat "IFA_PTG_AS_Assets_POP.ifb" "PTG"</t>
  </si>
  <si>
    <t>RUN_EIM_PROCESS</t>
  </si>
  <si>
    <t>RUN_EIM_PROCESS_ADHOC</t>
  </si>
  <si>
    <t>RUN_EIM_PROCESS_JAVA</t>
  </si>
  <si>
    <t>JTI_OLTP_EIM</t>
  </si>
  <si>
    <t>wrk_Assets_Interface</t>
  </si>
  <si>
    <t>RUN_EIM_PROCESS ; RUN_EIM_PROCESS_JAVA; RUN_EIM_PROCESS_ADHOC</t>
  </si>
  <si>
    <t>JTI_DWH_ETLComplete_Incremental ,JTI_OLTP_EIM</t>
  </si>
  <si>
    <t>Jeetun</t>
  </si>
  <si>
    <t>Jhanvi</t>
  </si>
  <si>
    <t>Reviewer</t>
  </si>
  <si>
    <t>Load_EIM\wrk_Assets_Interface</t>
  </si>
  <si>
    <t>Validate</t>
  </si>
  <si>
    <t>To add command in Component [Pre-Session Command]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</si>
</sst>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47"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144">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Alignment="1">
      <alignment vertical="top"/>
    </xf>
    <xf numFmtId="0" fontId="4" fillId="0" borderId="0" xfId="34" applyFont="1" applyAlignment="1">
      <alignment vertical="top"/>
    </xf>
    <xf numFmtId="0" fontId="10" fillId="0" borderId="0" xfId="34" applyFont="1" applyAlignment="1">
      <alignmen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xf numFmtId="0" fontId="33" fillId="26" borderId="11" xfId="0" applyFont="1" applyFill="1" applyBorder="1"/>
    <xf numFmtId="0" fontId="33" fillId="25" borderId="12" xfId="0" applyFont="1" applyFill="1" applyBorder="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33" fillId="26" borderId="10" xfId="0" applyFont="1" applyFill="1" applyBorder="1" applyAlignment="1">
      <alignment wrapText="1"/>
    </xf>
    <xf numFmtId="0" fontId="33" fillId="0" borderId="0" xfId="0" applyFont="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0" fillId="32" borderId="0" xfId="0" applyFill="1"/>
    <xf numFmtId="0" fontId="36" fillId="32" borderId="0" xfId="0" applyFont="1" applyFill="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4" fontId="30" fillId="0" borderId="0" xfId="27" applyNumberFormat="1" applyFont="1"/>
    <xf numFmtId="164" fontId="6" fillId="0" borderId="0" xfId="27" applyFont="1" applyAlignment="1"/>
    <xf numFmtId="0" fontId="1" fillId="0" borderId="30" xfId="0" applyFont="1" applyBorder="1"/>
    <xf numFmtId="0" fontId="1" fillId="0" borderId="0" xfId="34" applyAlignment="1">
      <alignment vertical="top"/>
    </xf>
    <xf numFmtId="0" fontId="4" fillId="0" borderId="0" xfId="34" applyFont="1" applyAlignment="1">
      <alignment horizontal="center" vertical="top"/>
    </xf>
    <xf numFmtId="164" fontId="6" fillId="0" borderId="0" xfId="27" applyFont="1" applyAlignment="1">
      <alignment horizontal="center"/>
    </xf>
    <xf numFmtId="0" fontId="0" fillId="0" borderId="0" xfId="0" applyAlignment="1">
      <alignment horizontal="center"/>
    </xf>
    <xf numFmtId="164" fontId="30" fillId="0" borderId="0" xfId="27" applyFont="1" applyAlignment="1"/>
    <xf numFmtId="0" fontId="4" fillId="0" borderId="10" xfId="34" applyFont="1" applyBorder="1" applyAlignment="1">
      <alignment horizontal="left" vertical="top"/>
    </xf>
    <xf numFmtId="0" fontId="11" fillId="24" borderId="10" xfId="34" applyFont="1" applyFill="1" applyBorder="1" applyAlignment="1">
      <alignment horizontal="left" vertical="top"/>
    </xf>
    <xf numFmtId="167" fontId="4" fillId="0" borderId="19" xfId="34" applyNumberFormat="1" applyFont="1" applyBorder="1" applyAlignment="1">
      <alignment horizontal="left" vertical="top"/>
    </xf>
    <xf numFmtId="0" fontId="1" fillId="0" borderId="0" xfId="34" applyFont="1" applyAlignment="1">
      <alignment horizontal="left"/>
    </xf>
    <xf numFmtId="0" fontId="1" fillId="0" borderId="32" xfId="0" applyFont="1" applyBorder="1" applyAlignment="1">
      <alignment wrapText="1"/>
    </xf>
    <xf numFmtId="166" fontId="4" fillId="0" borderId="0" xfId="34" applyNumberFormat="1" applyFont="1" applyAlignment="1">
      <alignment vertical="top"/>
    </xf>
    <xf numFmtId="167" fontId="4" fillId="0" borderId="19" xfId="34" applyNumberFormat="1" applyFont="1" applyBorder="1" applyAlignment="1">
      <alignment horizontal="left" vertical="top"/>
    </xf>
    <xf numFmtId="0" fontId="0" fillId="0" borderId="0" xfId="0" applyFill="1" applyBorder="1"/>
    <xf numFmtId="0" fontId="0" fillId="0" borderId="0" xfId="0" applyBorder="1"/>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2" fillId="27" borderId="10" xfId="34" applyFont="1" applyFill="1" applyBorder="1" applyAlignment="1">
      <alignment horizontal="center" vertical="top"/>
    </xf>
    <xf numFmtId="0" fontId="4" fillId="0" borderId="10" xfId="34" applyFont="1" applyBorder="1" applyAlignment="1">
      <alignment horizontal="left" vertical="top"/>
    </xf>
    <xf numFmtId="0" fontId="4" fillId="0" borderId="10" xfId="34" applyFont="1" applyBorder="1" applyAlignment="1">
      <alignment horizontal="center" vertical="top"/>
    </xf>
    <xf numFmtId="0" fontId="4" fillId="0" borderId="17" xfId="34" applyFont="1" applyBorder="1" applyAlignment="1">
      <alignment horizontal="left" vertical="top"/>
    </xf>
    <xf numFmtId="0" fontId="4" fillId="0" borderId="18" xfId="34" applyFont="1" applyBorder="1" applyAlignment="1">
      <alignment horizontal="left" vertical="top"/>
    </xf>
    <xf numFmtId="0" fontId="4" fillId="0" borderId="19" xfId="34" applyFont="1" applyBorder="1" applyAlignment="1">
      <alignment horizontal="left" vertical="top"/>
    </xf>
    <xf numFmtId="0" fontId="11" fillId="24" borderId="17" xfId="34" applyFont="1" applyFill="1" applyBorder="1" applyAlignment="1">
      <alignment horizontal="left" vertical="top" wrapText="1"/>
    </xf>
    <xf numFmtId="0" fontId="1" fillId="0" borderId="18" xfId="34" applyBorder="1" applyAlignment="1">
      <alignment vertical="top"/>
    </xf>
    <xf numFmtId="0" fontId="1" fillId="0" borderId="19" xfId="34" applyBorder="1" applyAlignment="1">
      <alignment vertical="top"/>
    </xf>
    <xf numFmtId="0" fontId="11" fillId="24" borderId="17" xfId="34" applyFont="1" applyFill="1" applyBorder="1" applyAlignment="1">
      <alignment horizontal="left" vertical="top"/>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0" fontId="11" fillId="24" borderId="10" xfId="34" applyFont="1" applyFill="1" applyBorder="1" applyAlignment="1">
      <alignment horizontal="left" vertical="top"/>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2" fillId="27" borderId="10" xfId="34" applyFont="1" applyFill="1" applyBorder="1" applyAlignment="1">
      <alignment horizontal="left" vertical="top"/>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1" fillId="28" borderId="10"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37"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cellXfs>
  <cellStyles count="4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495300</xdr:colOff>
      <xdr:row>1</xdr:row>
      <xdr:rowOff>9525</xdr:rowOff>
    </xdr:from>
    <xdr:ext cx="7334250" cy="6431483"/>
    <xdr:sp macro="" textlink="">
      <xdr:nvSpPr>
        <xdr:cNvPr id="2" name="TextBox 1">
          <a:extLst>
            <a:ext uri="{FF2B5EF4-FFF2-40B4-BE49-F238E27FC236}">
              <a16:creationId xmlns:a16="http://schemas.microsoft.com/office/drawing/2014/main" id="{CB4C7E2D-781C-48D0-B0E8-A7012566E272}"/>
            </a:ext>
          </a:extLst>
        </xdr:cNvPr>
        <xdr:cNvSpPr txBox="1"/>
      </xdr:nvSpPr>
      <xdr:spPr>
        <a:xfrm>
          <a:off x="5819775" y="180975"/>
          <a:ext cx="7334250" cy="64314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1100"/>
        </a:p>
        <a:p>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abSelected="1" zoomScale="80" zoomScaleNormal="75" workbookViewId="0">
      <selection activeCell="A13" sqref="A13:O13"/>
    </sheetView>
  </sheetViews>
  <sheetFormatPr defaultColWidth="9.109375" defaultRowHeight="13.2" x14ac:dyDescent="0.25"/>
  <cols>
    <col min="1" max="1" width="11.5546875" style="2" customWidth="1"/>
    <col min="2" max="2" width="12.88671875" style="2" bestFit="1" customWidth="1"/>
    <col min="3" max="6" width="9.109375" style="2"/>
    <col min="7" max="7" width="13.44140625" style="2" customWidth="1"/>
    <col min="8" max="8" width="9.88671875" style="2" customWidth="1"/>
    <col min="9" max="9" width="12.33203125" style="2" customWidth="1"/>
    <col min="10" max="10" width="9.109375" style="2"/>
    <col min="11" max="11" width="7" style="2" customWidth="1"/>
    <col min="12" max="13" width="17.33203125" style="2" customWidth="1"/>
    <col min="14" max="16384" width="9.109375" style="2"/>
  </cols>
  <sheetData>
    <row r="1" spans="1:15" ht="13.8" x14ac:dyDescent="0.3">
      <c r="A1" s="1"/>
    </row>
    <row r="10" spans="1:15" ht="13.8" x14ac:dyDescent="0.3">
      <c r="A10" s="1"/>
      <c r="B10" s="1"/>
      <c r="C10" s="1"/>
      <c r="D10" s="1"/>
      <c r="E10" s="1"/>
      <c r="F10" s="1"/>
      <c r="G10" s="1"/>
      <c r="H10" s="1"/>
      <c r="I10" s="1"/>
    </row>
    <row r="11" spans="1:15" ht="13.8" x14ac:dyDescent="0.3">
      <c r="A11" s="1"/>
      <c r="B11" s="1"/>
      <c r="C11" s="1"/>
      <c r="D11" s="1"/>
      <c r="E11" s="1"/>
      <c r="F11" s="1"/>
      <c r="G11" s="1"/>
      <c r="H11" s="1"/>
      <c r="I11" s="1"/>
    </row>
    <row r="12" spans="1:15" ht="13.8" x14ac:dyDescent="0.3">
      <c r="A12" s="1"/>
      <c r="B12" s="1"/>
      <c r="C12" s="1"/>
      <c r="D12" s="1"/>
      <c r="E12" s="1"/>
      <c r="F12" s="1"/>
      <c r="G12" s="1"/>
      <c r="H12" s="1"/>
      <c r="I12" s="1"/>
    </row>
    <row r="13" spans="1:15" ht="32.25" customHeight="1" thickBot="1" x14ac:dyDescent="0.55000000000000004">
      <c r="A13" s="93" t="s">
        <v>0</v>
      </c>
      <c r="B13" s="93"/>
      <c r="C13" s="93"/>
      <c r="D13" s="93"/>
      <c r="E13" s="93"/>
      <c r="F13" s="93"/>
      <c r="G13" s="93"/>
      <c r="H13" s="93"/>
      <c r="I13" s="93"/>
      <c r="J13" s="93"/>
      <c r="K13" s="93"/>
      <c r="L13" s="93"/>
      <c r="M13" s="93"/>
      <c r="N13" s="93"/>
      <c r="O13" s="93"/>
    </row>
    <row r="14" spans="1:15" ht="14.4" thickTop="1" x14ac:dyDescent="0.3">
      <c r="A14" s="1"/>
      <c r="B14" s="1"/>
      <c r="C14" s="1"/>
      <c r="D14" s="1"/>
      <c r="E14" s="1"/>
      <c r="F14" s="1"/>
      <c r="G14" s="1"/>
      <c r="H14" s="1"/>
      <c r="I14" s="1"/>
    </row>
    <row r="15" spans="1:15" ht="13.8" x14ac:dyDescent="0.3">
      <c r="A15" s="1"/>
      <c r="B15" s="1"/>
      <c r="C15" s="1"/>
      <c r="D15" s="1"/>
      <c r="E15" s="1"/>
      <c r="F15" s="1"/>
      <c r="G15" s="1"/>
      <c r="H15" s="1"/>
      <c r="I15" s="1"/>
    </row>
    <row r="16" spans="1:15" ht="13.5" customHeight="1" x14ac:dyDescent="0.3">
      <c r="A16" s="1"/>
      <c r="B16" s="1"/>
      <c r="C16" s="1"/>
      <c r="D16" s="1"/>
      <c r="E16" s="1"/>
      <c r="F16" s="1"/>
      <c r="G16" s="1"/>
      <c r="H16" s="1"/>
      <c r="I16" s="1"/>
    </row>
    <row r="17" spans="1:15" ht="14.25" customHeight="1" x14ac:dyDescent="0.3">
      <c r="A17" s="1"/>
      <c r="B17" s="1"/>
      <c r="C17" s="1"/>
      <c r="D17" s="1"/>
      <c r="E17" s="1"/>
      <c r="F17" s="1"/>
      <c r="G17" s="1"/>
      <c r="H17" s="1"/>
      <c r="I17" s="1"/>
    </row>
    <row r="18" spans="1:15" ht="13.8" x14ac:dyDescent="0.3">
      <c r="A18" s="1"/>
      <c r="B18" s="1"/>
      <c r="C18" s="1"/>
      <c r="D18" s="1"/>
      <c r="E18" s="1"/>
      <c r="F18" s="1"/>
      <c r="G18" s="1"/>
      <c r="H18" s="1"/>
      <c r="I18" s="1"/>
    </row>
    <row r="19" spans="1:15" ht="13.8" x14ac:dyDescent="0.3">
      <c r="A19" s="1"/>
      <c r="B19" s="1"/>
      <c r="C19" s="1"/>
      <c r="D19" s="1"/>
      <c r="E19" s="1"/>
      <c r="F19" s="1"/>
      <c r="G19" s="1"/>
      <c r="H19" s="1"/>
      <c r="I19" s="1"/>
    </row>
    <row r="20" spans="1:15" ht="30.6" x14ac:dyDescent="0.55000000000000004">
      <c r="A20" s="94" t="s">
        <v>1</v>
      </c>
      <c r="B20" s="94"/>
      <c r="C20" s="94"/>
      <c r="D20" s="94"/>
      <c r="E20" s="94"/>
      <c r="F20" s="94"/>
      <c r="G20" s="94"/>
      <c r="H20" s="94"/>
      <c r="I20" s="94"/>
      <c r="J20" s="94"/>
      <c r="K20" s="94"/>
      <c r="L20" s="94"/>
      <c r="M20" s="94"/>
      <c r="N20" s="94"/>
      <c r="O20" s="94"/>
    </row>
    <row r="21" spans="1:15" ht="30.6" x14ac:dyDescent="0.55000000000000004">
      <c r="A21" s="94" t="s">
        <v>2</v>
      </c>
      <c r="B21" s="94"/>
      <c r="C21" s="94"/>
      <c r="D21" s="94"/>
      <c r="E21" s="94"/>
      <c r="F21" s="94"/>
      <c r="G21" s="94"/>
      <c r="H21" s="94"/>
      <c r="I21" s="94"/>
      <c r="J21" s="94"/>
      <c r="K21" s="94"/>
      <c r="L21" s="94"/>
      <c r="M21" s="94"/>
      <c r="N21" s="94"/>
      <c r="O21" s="94"/>
    </row>
    <row r="22" spans="1:15" ht="13.8" x14ac:dyDescent="0.3">
      <c r="A22" s="1"/>
      <c r="B22" s="1"/>
      <c r="C22" s="1"/>
      <c r="D22" s="1"/>
      <c r="E22" s="1"/>
      <c r="F22" s="1"/>
      <c r="G22" s="1"/>
      <c r="H22" s="1"/>
      <c r="I22" s="1"/>
    </row>
    <row r="23" spans="1:15" ht="30.6" x14ac:dyDescent="0.55000000000000004">
      <c r="A23" s="81"/>
      <c r="B23" s="81"/>
      <c r="C23" s="81"/>
      <c r="D23" s="81"/>
      <c r="E23" s="81"/>
      <c r="F23" s="82"/>
      <c r="G23" s="94" t="s">
        <v>3</v>
      </c>
      <c r="H23" s="97"/>
      <c r="I23" s="73" t="s">
        <v>257</v>
      </c>
      <c r="J23" s="82"/>
      <c r="L23" s="81"/>
      <c r="M23" s="81"/>
      <c r="N23" s="81"/>
      <c r="O23" s="81"/>
    </row>
    <row r="24" spans="1:15" s="6" customFormat="1" ht="27.75" customHeight="1" x14ac:dyDescent="0.55000000000000004">
      <c r="A24" s="83"/>
      <c r="B24" s="83"/>
      <c r="C24" s="83"/>
      <c r="D24" s="83"/>
      <c r="F24" s="77"/>
      <c r="G24" s="94" t="s">
        <v>4</v>
      </c>
      <c r="H24" s="94"/>
      <c r="I24" s="73" t="s">
        <v>255</v>
      </c>
      <c r="J24" s="83"/>
      <c r="K24" s="83"/>
      <c r="L24" s="83"/>
      <c r="M24" s="83"/>
      <c r="N24" s="83"/>
      <c r="O24" s="83"/>
    </row>
    <row r="25" spans="1:15" ht="28.2" x14ac:dyDescent="0.5">
      <c r="F25" s="100" t="s">
        <v>5</v>
      </c>
      <c r="G25" s="100"/>
      <c r="H25" s="100"/>
      <c r="I25" s="100"/>
      <c r="J25" s="100"/>
      <c r="K25" s="100"/>
      <c r="L25" s="76" t="s">
        <v>6</v>
      </c>
    </row>
    <row r="26" spans="1:15" ht="28.2" x14ac:dyDescent="0.5">
      <c r="F26" s="101" t="s">
        <v>7</v>
      </c>
      <c r="G26" s="101"/>
      <c r="H26" s="101"/>
      <c r="I26" s="101"/>
      <c r="J26" s="98" t="s">
        <v>256</v>
      </c>
      <c r="K26" s="99"/>
    </row>
    <row r="27" spans="1:15" ht="15.6" x14ac:dyDescent="0.3">
      <c r="A27" s="96"/>
      <c r="B27" s="96"/>
      <c r="C27" s="96"/>
      <c r="D27" s="96"/>
      <c r="E27" s="96"/>
      <c r="F27" s="96"/>
      <c r="G27" s="96"/>
      <c r="H27" s="96"/>
      <c r="I27" s="96"/>
    </row>
    <row r="28" spans="1:15" ht="18" customHeight="1" x14ac:dyDescent="0.35">
      <c r="A28" s="95"/>
      <c r="B28" s="95"/>
      <c r="C28" s="95"/>
      <c r="D28" s="95"/>
      <c r="E28" s="95"/>
      <c r="F28" s="95"/>
      <c r="G28" s="95"/>
      <c r="H28" s="95"/>
      <c r="I28" s="95"/>
    </row>
    <row r="37" spans="1:9" ht="18" customHeight="1" x14ac:dyDescent="0.25"/>
    <row r="38" spans="1:9" ht="15.6" x14ac:dyDescent="0.3">
      <c r="A38" s="3" t="s">
        <v>8</v>
      </c>
      <c r="B38" s="4">
        <f ca="1">TODAY()</f>
        <v>44512</v>
      </c>
      <c r="C38" s="1"/>
      <c r="D38" s="1"/>
      <c r="E38" s="1"/>
      <c r="F38" s="1"/>
      <c r="G38" s="1"/>
      <c r="H38" s="1"/>
      <c r="I38" s="1"/>
    </row>
    <row r="39" spans="1:9" ht="15.6" x14ac:dyDescent="0.3">
      <c r="A39" s="3" t="s">
        <v>9</v>
      </c>
      <c r="B39" s="5" t="s">
        <v>10</v>
      </c>
      <c r="C39" s="1"/>
      <c r="D39" s="1"/>
      <c r="E39" s="1"/>
      <c r="F39" s="1"/>
      <c r="G39" s="1"/>
      <c r="H39" s="1"/>
      <c r="I39" s="1"/>
    </row>
    <row r="40" spans="1:9" ht="15.6" x14ac:dyDescent="0.3">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zoomScaleNormal="100" workbookViewId="0"/>
  </sheetViews>
  <sheetFormatPr defaultColWidth="9.109375" defaultRowHeight="13.8" x14ac:dyDescent="0.25"/>
  <cols>
    <col min="1" max="1" width="7.88671875" style="8" customWidth="1"/>
    <col min="2" max="2" width="22.109375" style="8" customWidth="1"/>
    <col min="3" max="3" width="6.44140625" style="8" customWidth="1"/>
    <col min="4" max="4" width="21.5546875" style="8" customWidth="1"/>
    <col min="5" max="5" width="0.109375" style="8" customWidth="1"/>
    <col min="6" max="6" width="9.109375" style="8" hidden="1" customWidth="1"/>
    <col min="7" max="7" width="19.6640625" style="8" customWidth="1"/>
    <col min="8" max="8" width="9.109375" style="8" hidden="1" customWidth="1"/>
    <col min="9" max="9" width="9.33203125" style="8" hidden="1" customWidth="1"/>
    <col min="10" max="10" width="11.109375" style="8" customWidth="1"/>
    <col min="11" max="11" width="12.44140625" style="8" customWidth="1"/>
    <col min="12" max="12" width="9.109375" style="8" hidden="1" customWidth="1"/>
    <col min="13" max="13" width="28" style="8" customWidth="1"/>
    <col min="14" max="15" width="9.109375" style="8"/>
    <col min="16" max="16" width="15" style="8" customWidth="1"/>
    <col min="17" max="17" width="37.109375" style="8" customWidth="1"/>
    <col min="18" max="24" width="9.109375" style="8"/>
    <col min="25" max="25" width="0" style="8" hidden="1" customWidth="1"/>
    <col min="26" max="16384" width="9.109375" style="8"/>
  </cols>
  <sheetData>
    <row r="1" spans="1:25" ht="15.6" x14ac:dyDescent="0.25">
      <c r="A1" s="7" t="s">
        <v>11</v>
      </c>
      <c r="Y1" s="8" t="s">
        <v>12</v>
      </c>
    </row>
    <row r="2" spans="1:25" x14ac:dyDescent="0.25">
      <c r="A2" s="9"/>
      <c r="F2" s="9"/>
      <c r="Y2" s="8" t="s">
        <v>13</v>
      </c>
    </row>
    <row r="3" spans="1:25" x14ac:dyDescent="0.25">
      <c r="A3" s="114" t="s">
        <v>14</v>
      </c>
      <c r="B3" s="114"/>
      <c r="C3" s="114"/>
      <c r="D3" s="114" t="s">
        <v>15</v>
      </c>
      <c r="E3" s="114"/>
      <c r="F3" s="114"/>
      <c r="G3" s="114" t="s">
        <v>16</v>
      </c>
      <c r="H3" s="114"/>
      <c r="I3" s="114"/>
      <c r="J3" s="108" t="s">
        <v>17</v>
      </c>
      <c r="K3" s="112"/>
      <c r="L3" s="113"/>
      <c r="M3" s="114" t="s">
        <v>18</v>
      </c>
      <c r="N3" s="114"/>
      <c r="O3" s="114"/>
      <c r="P3" s="85" t="s">
        <v>19</v>
      </c>
      <c r="Q3" s="85" t="s">
        <v>20</v>
      </c>
      <c r="Y3" s="8" t="s">
        <v>21</v>
      </c>
    </row>
    <row r="4" spans="1:25" x14ac:dyDescent="0.25">
      <c r="A4" s="105" t="s">
        <v>260</v>
      </c>
      <c r="B4" s="106"/>
      <c r="C4" s="107"/>
      <c r="D4" s="105" t="s">
        <v>259</v>
      </c>
      <c r="E4" s="107"/>
      <c r="F4" s="84"/>
      <c r="G4" s="103" t="s">
        <v>22</v>
      </c>
      <c r="H4" s="103"/>
      <c r="I4" s="103"/>
      <c r="J4" s="118">
        <v>1</v>
      </c>
      <c r="K4" s="119"/>
      <c r="L4" s="84"/>
      <c r="M4" s="115">
        <v>44509</v>
      </c>
      <c r="N4" s="116"/>
      <c r="O4" s="117"/>
      <c r="P4" s="86" t="s">
        <v>12</v>
      </c>
      <c r="Q4" s="10" t="s">
        <v>258</v>
      </c>
      <c r="U4" s="87"/>
      <c r="Y4" s="8" t="s">
        <v>23</v>
      </c>
    </row>
    <row r="5" spans="1:25" x14ac:dyDescent="0.25">
      <c r="A5" s="105" t="s">
        <v>279</v>
      </c>
      <c r="B5" s="106"/>
      <c r="C5" s="107"/>
      <c r="D5" s="105" t="s">
        <v>280</v>
      </c>
      <c r="E5" s="107"/>
      <c r="F5" s="84"/>
      <c r="G5" s="103" t="s">
        <v>281</v>
      </c>
      <c r="H5" s="103"/>
      <c r="I5" s="103"/>
      <c r="J5" s="118">
        <v>1</v>
      </c>
      <c r="K5" s="119"/>
      <c r="L5" s="84"/>
      <c r="M5" s="115">
        <v>44510</v>
      </c>
      <c r="N5" s="116"/>
      <c r="O5" s="117"/>
      <c r="P5" s="90" t="s">
        <v>12</v>
      </c>
      <c r="Q5" s="10"/>
      <c r="U5" s="87"/>
    </row>
    <row r="7" spans="1:25" ht="15.6" x14ac:dyDescent="0.25">
      <c r="A7" s="7" t="s">
        <v>24</v>
      </c>
      <c r="B7" s="7"/>
      <c r="C7" s="7"/>
      <c r="D7" s="7"/>
      <c r="F7" s="9"/>
    </row>
    <row r="9" spans="1:25" ht="29.25" customHeight="1" x14ac:dyDescent="0.25">
      <c r="A9" s="111" t="s">
        <v>14</v>
      </c>
      <c r="B9" s="110"/>
      <c r="C9" s="111" t="s">
        <v>15</v>
      </c>
      <c r="D9" s="110"/>
      <c r="E9" s="111" t="s">
        <v>16</v>
      </c>
      <c r="F9" s="109"/>
      <c r="G9" s="110"/>
      <c r="H9" s="108" t="s">
        <v>17</v>
      </c>
      <c r="I9" s="109"/>
      <c r="J9" s="110"/>
      <c r="K9" s="111" t="s">
        <v>18</v>
      </c>
      <c r="L9" s="110"/>
      <c r="M9" s="111" t="s">
        <v>25</v>
      </c>
      <c r="N9" s="109"/>
      <c r="O9" s="110"/>
      <c r="P9" s="79"/>
    </row>
    <row r="10" spans="1:25" x14ac:dyDescent="0.25">
      <c r="A10" s="104"/>
      <c r="B10" s="104"/>
      <c r="C10" s="104"/>
      <c r="D10" s="104"/>
      <c r="E10" s="104"/>
      <c r="F10" s="104"/>
      <c r="G10" s="104"/>
      <c r="H10" s="104"/>
      <c r="I10" s="104"/>
      <c r="J10" s="104"/>
      <c r="K10" s="104"/>
      <c r="L10" s="104"/>
      <c r="M10" s="104"/>
      <c r="N10" s="104"/>
      <c r="O10" s="104"/>
      <c r="P10" s="80"/>
    </row>
    <row r="11" spans="1:25" x14ac:dyDescent="0.25">
      <c r="A11" s="104"/>
      <c r="B11" s="104"/>
      <c r="C11" s="104"/>
      <c r="D11" s="104"/>
      <c r="E11" s="104"/>
      <c r="F11" s="104"/>
      <c r="G11" s="104"/>
      <c r="H11" s="104"/>
      <c r="I11" s="104"/>
      <c r="J11" s="104"/>
      <c r="K11" s="104"/>
      <c r="L11" s="104"/>
      <c r="M11" s="104"/>
      <c r="N11" s="104"/>
      <c r="O11" s="104"/>
      <c r="P11" s="80"/>
    </row>
    <row r="12" spans="1:25" x14ac:dyDescent="0.25">
      <c r="A12" s="104"/>
      <c r="B12" s="104"/>
      <c r="C12" s="104"/>
      <c r="D12" s="104"/>
      <c r="E12" s="104"/>
      <c r="F12" s="104"/>
      <c r="G12" s="104"/>
      <c r="H12" s="104"/>
      <c r="I12" s="104"/>
      <c r="J12" s="104"/>
      <c r="K12" s="104"/>
      <c r="L12" s="104"/>
      <c r="M12" s="104"/>
      <c r="N12" s="104"/>
      <c r="O12" s="104"/>
      <c r="P12" s="80"/>
    </row>
    <row r="13" spans="1:25" x14ac:dyDescent="0.25">
      <c r="A13" s="104"/>
      <c r="B13" s="104"/>
      <c r="C13" s="104"/>
      <c r="D13" s="104"/>
      <c r="E13" s="104"/>
      <c r="F13" s="104"/>
      <c r="G13" s="104"/>
      <c r="H13" s="104"/>
      <c r="I13" s="104"/>
      <c r="J13" s="104"/>
      <c r="K13" s="104"/>
      <c r="L13" s="104"/>
      <c r="M13" s="104"/>
      <c r="N13" s="104"/>
      <c r="O13" s="104"/>
      <c r="P13" s="80"/>
    </row>
    <row r="14" spans="1:25" x14ac:dyDescent="0.25">
      <c r="A14" s="104"/>
      <c r="B14" s="104"/>
      <c r="C14" s="104"/>
      <c r="D14" s="104"/>
      <c r="E14" s="104"/>
      <c r="F14" s="104"/>
      <c r="G14" s="104"/>
      <c r="H14" s="104"/>
      <c r="I14" s="104"/>
      <c r="J14" s="104"/>
      <c r="K14" s="104"/>
      <c r="L14" s="104"/>
      <c r="M14" s="104"/>
      <c r="N14" s="104"/>
      <c r="O14" s="104"/>
      <c r="P14" s="80"/>
    </row>
    <row r="15" spans="1:25" x14ac:dyDescent="0.25">
      <c r="A15" s="104"/>
      <c r="B15" s="104"/>
      <c r="C15" s="104"/>
      <c r="D15" s="104"/>
      <c r="E15" s="104"/>
      <c r="F15" s="104"/>
      <c r="G15" s="104"/>
      <c r="H15" s="104"/>
      <c r="I15" s="104"/>
      <c r="J15" s="104"/>
      <c r="K15" s="104"/>
      <c r="L15" s="104"/>
      <c r="M15" s="104"/>
      <c r="N15" s="104"/>
      <c r="O15" s="104"/>
      <c r="P15" s="80"/>
    </row>
    <row r="16" spans="1:25" x14ac:dyDescent="0.25">
      <c r="A16" s="104"/>
      <c r="B16" s="104"/>
      <c r="C16" s="104"/>
      <c r="D16" s="104"/>
      <c r="E16" s="104"/>
      <c r="F16" s="104"/>
      <c r="G16" s="104"/>
      <c r="H16" s="104"/>
      <c r="I16" s="104"/>
      <c r="J16" s="104"/>
      <c r="K16" s="104"/>
      <c r="L16" s="104"/>
      <c r="M16" s="104"/>
      <c r="N16" s="104"/>
      <c r="O16" s="104"/>
      <c r="P16" s="80"/>
    </row>
    <row r="17" spans="1:16" x14ac:dyDescent="0.25">
      <c r="A17" s="104"/>
      <c r="B17" s="104"/>
      <c r="C17" s="104"/>
      <c r="D17" s="104"/>
      <c r="E17" s="104"/>
      <c r="F17" s="104"/>
      <c r="G17" s="104"/>
      <c r="H17" s="104"/>
      <c r="I17" s="104"/>
      <c r="J17" s="104"/>
      <c r="K17" s="104"/>
      <c r="L17" s="104"/>
      <c r="M17" s="104"/>
      <c r="N17" s="104"/>
      <c r="O17" s="104"/>
      <c r="P17" s="80"/>
    </row>
    <row r="20" spans="1:16" x14ac:dyDescent="0.25">
      <c r="A20" s="102" t="s">
        <v>26</v>
      </c>
      <c r="B20" s="102"/>
      <c r="C20" s="102" t="s">
        <v>27</v>
      </c>
      <c r="D20" s="102"/>
    </row>
    <row r="21" spans="1:16" x14ac:dyDescent="0.25">
      <c r="A21" s="103" t="s">
        <v>28</v>
      </c>
      <c r="B21" s="103"/>
      <c r="C21" s="104">
        <v>0</v>
      </c>
      <c r="D21" s="104"/>
    </row>
    <row r="22" spans="1:16" x14ac:dyDescent="0.25">
      <c r="A22" s="103" t="s">
        <v>29</v>
      </c>
      <c r="B22" s="103"/>
      <c r="C22" s="104">
        <v>0</v>
      </c>
      <c r="D22" s="104"/>
    </row>
    <row r="23" spans="1:16" x14ac:dyDescent="0.25">
      <c r="A23" s="103" t="s">
        <v>30</v>
      </c>
      <c r="B23" s="103"/>
      <c r="C23" s="104">
        <v>0</v>
      </c>
      <c r="D23" s="104"/>
    </row>
    <row r="24" spans="1:16" x14ac:dyDescent="0.25">
      <c r="A24" s="103" t="s">
        <v>31</v>
      </c>
      <c r="B24" s="103"/>
      <c r="C24" s="104">
        <f>'3.0 Mapping'!B12+'4.1 Session Details'!B10</f>
        <v>0</v>
      </c>
      <c r="D24" s="104"/>
    </row>
    <row r="25" spans="1:16" x14ac:dyDescent="0.25">
      <c r="A25" s="103" t="s">
        <v>32</v>
      </c>
      <c r="B25" s="103"/>
      <c r="C25" s="104">
        <v>0</v>
      </c>
      <c r="D25" s="104"/>
    </row>
    <row r="26" spans="1:16" x14ac:dyDescent="0.25">
      <c r="A26" s="103" t="s">
        <v>33</v>
      </c>
      <c r="B26" s="103"/>
      <c r="C26" s="104">
        <v>0</v>
      </c>
      <c r="D26" s="104"/>
    </row>
    <row r="27" spans="1:16" x14ac:dyDescent="0.25">
      <c r="A27" s="120" t="s">
        <v>34</v>
      </c>
      <c r="B27" s="120"/>
      <c r="C27" s="102">
        <f>SUM(C21:E26)</f>
        <v>0</v>
      </c>
      <c r="D27" s="102"/>
      <c r="G27" s="89"/>
    </row>
    <row r="30" spans="1:16" x14ac:dyDescent="0.25">
      <c r="B30" s="127" t="s">
        <v>35</v>
      </c>
      <c r="C30" s="128"/>
      <c r="D30" s="128"/>
      <c r="E30" s="128"/>
      <c r="F30" s="128"/>
      <c r="G30" s="128"/>
      <c r="H30" s="128"/>
      <c r="I30" s="128"/>
      <c r="J30" s="128"/>
      <c r="K30" s="128"/>
      <c r="L30" s="128"/>
      <c r="M30" s="129"/>
    </row>
    <row r="31" spans="1:16" ht="33.75" customHeight="1" x14ac:dyDescent="0.25">
      <c r="B31" s="125" t="s">
        <v>28</v>
      </c>
      <c r="C31" s="126"/>
      <c r="D31" s="124" t="s">
        <v>36</v>
      </c>
      <c r="E31" s="124"/>
      <c r="F31" s="124"/>
      <c r="G31" s="124"/>
      <c r="H31" s="124"/>
      <c r="I31" s="124"/>
      <c r="J31" s="124"/>
      <c r="K31" s="124"/>
      <c r="L31" s="124"/>
      <c r="M31" s="124"/>
    </row>
    <row r="32" spans="1:16" ht="39.75" customHeight="1" x14ac:dyDescent="0.25">
      <c r="B32" s="125" t="s">
        <v>29</v>
      </c>
      <c r="C32" s="126"/>
      <c r="D32" s="124" t="s">
        <v>37</v>
      </c>
      <c r="E32" s="124"/>
      <c r="F32" s="124"/>
      <c r="G32" s="124"/>
      <c r="H32" s="124"/>
      <c r="I32" s="124"/>
      <c r="J32" s="124"/>
      <c r="K32" s="124"/>
      <c r="L32" s="124"/>
      <c r="M32" s="124"/>
    </row>
    <row r="33" spans="2:13" ht="236.25" customHeight="1" x14ac:dyDescent="0.25">
      <c r="B33" s="125" t="s">
        <v>30</v>
      </c>
      <c r="C33" s="126"/>
      <c r="D33" s="124" t="s">
        <v>38</v>
      </c>
      <c r="E33" s="124"/>
      <c r="F33" s="124"/>
      <c r="G33" s="124"/>
      <c r="H33" s="124"/>
      <c r="I33" s="124"/>
      <c r="J33" s="124"/>
      <c r="K33" s="124"/>
      <c r="L33" s="124"/>
      <c r="M33" s="124"/>
    </row>
    <row r="34" spans="2:13" x14ac:dyDescent="0.25">
      <c r="B34" s="125" t="s">
        <v>31</v>
      </c>
      <c r="C34" s="126"/>
      <c r="D34" s="124" t="s">
        <v>39</v>
      </c>
      <c r="E34" s="124"/>
      <c r="F34" s="124"/>
      <c r="G34" s="124"/>
      <c r="H34" s="124"/>
      <c r="I34" s="124"/>
      <c r="J34" s="124"/>
      <c r="K34" s="124"/>
      <c r="L34" s="124"/>
      <c r="M34" s="124"/>
    </row>
    <row r="35" spans="2:13" ht="52.5" customHeight="1" x14ac:dyDescent="0.25">
      <c r="B35" s="125" t="s">
        <v>32</v>
      </c>
      <c r="C35" s="126"/>
      <c r="D35" s="121" t="s">
        <v>40</v>
      </c>
      <c r="E35" s="122"/>
      <c r="F35" s="122"/>
      <c r="G35" s="122"/>
      <c r="H35" s="122"/>
      <c r="I35" s="122"/>
      <c r="J35" s="122"/>
      <c r="K35" s="122"/>
      <c r="L35" s="122"/>
      <c r="M35" s="123"/>
    </row>
    <row r="36" spans="2:13" ht="34.5" customHeight="1" x14ac:dyDescent="0.25">
      <c r="B36" s="125" t="s">
        <v>33</v>
      </c>
      <c r="C36" s="126"/>
      <c r="D36" s="124" t="s">
        <v>41</v>
      </c>
      <c r="E36" s="124"/>
      <c r="F36" s="124"/>
      <c r="G36" s="124"/>
      <c r="H36" s="124"/>
      <c r="I36" s="124"/>
      <c r="J36" s="124"/>
      <c r="K36" s="124"/>
      <c r="L36" s="124"/>
      <c r="M36" s="124"/>
    </row>
    <row r="37" spans="2:13" ht="29.25" customHeight="1" x14ac:dyDescent="0.25"/>
  </sheetData>
  <mergeCells count="98">
    <mergeCell ref="B30:M30"/>
    <mergeCell ref="A26:B26"/>
    <mergeCell ref="C26:D26"/>
    <mergeCell ref="C25:D25"/>
    <mergeCell ref="D34:M34"/>
    <mergeCell ref="D35:M35"/>
    <mergeCell ref="D36:M36"/>
    <mergeCell ref="B36:C36"/>
    <mergeCell ref="B31:C31"/>
    <mergeCell ref="B32:C32"/>
    <mergeCell ref="B34:C34"/>
    <mergeCell ref="B35:C35"/>
    <mergeCell ref="B33:C33"/>
    <mergeCell ref="D33:M33"/>
    <mergeCell ref="D31:M31"/>
    <mergeCell ref="D32:M32"/>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J3:L3"/>
    <mergeCell ref="M3:O3"/>
    <mergeCell ref="M5:O5"/>
    <mergeCell ref="G5:I5"/>
    <mergeCell ref="J5:K5"/>
    <mergeCell ref="J4:K4"/>
    <mergeCell ref="M4:O4"/>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K13:L13"/>
    <mergeCell ref="H15:J15"/>
    <mergeCell ref="K17:L17"/>
    <mergeCell ref="K16:L16"/>
    <mergeCell ref="K14:L14"/>
    <mergeCell ref="K15:L15"/>
    <mergeCell ref="H16:J16"/>
    <mergeCell ref="A14:B14"/>
    <mergeCell ref="E14:G14"/>
    <mergeCell ref="A15:B15"/>
    <mergeCell ref="C15:D15"/>
    <mergeCell ref="H14:J14"/>
    <mergeCell ref="E15:G15"/>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6:B16"/>
    <mergeCell ref="C16:D16"/>
    <mergeCell ref="E16:G16"/>
    <mergeCell ref="E17:G17"/>
    <mergeCell ref="H17:J17"/>
    <mergeCell ref="C17:D17"/>
    <mergeCell ref="A20:B20"/>
    <mergeCell ref="C20:D20"/>
    <mergeCell ref="A24:B24"/>
    <mergeCell ref="C24:D24"/>
    <mergeCell ref="A21:B21"/>
    <mergeCell ref="C21:D21"/>
    <mergeCell ref="A22:B22"/>
    <mergeCell ref="C22:D22"/>
    <mergeCell ref="A23:B23"/>
    <mergeCell ref="C23:D23"/>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9"/>
  <sheetViews>
    <sheetView workbookViewId="0">
      <selection sqref="A1:B1"/>
    </sheetView>
  </sheetViews>
  <sheetFormatPr defaultColWidth="11.44140625" defaultRowHeight="13.2" x14ac:dyDescent="0.25"/>
  <cols>
    <col min="1" max="1" width="4.33203125" style="32" customWidth="1"/>
    <col min="2" max="2" width="87.44140625" style="21" customWidth="1"/>
    <col min="3" max="3" width="10.6640625" style="21" customWidth="1"/>
    <col min="4" max="16384" width="11.44140625" style="21"/>
  </cols>
  <sheetData>
    <row r="1" spans="1:2" ht="13.8" thickBot="1" x14ac:dyDescent="0.3">
      <c r="A1" s="130" t="s">
        <v>42</v>
      </c>
      <c r="B1" s="130"/>
    </row>
    <row r="2" spans="1:2" x14ac:dyDescent="0.25">
      <c r="A2" s="30"/>
      <c r="B2" s="24" t="s">
        <v>43</v>
      </c>
    </row>
    <row r="3" spans="1:2" x14ac:dyDescent="0.25">
      <c r="A3" s="31"/>
      <c r="B3" s="20"/>
    </row>
    <row r="5" spans="1:2" x14ac:dyDescent="0.25">
      <c r="A5" s="30" t="s">
        <v>44</v>
      </c>
      <c r="B5" s="23" t="s">
        <v>45</v>
      </c>
    </row>
    <row r="6" spans="1:2" x14ac:dyDescent="0.25">
      <c r="A6" s="31">
        <v>1</v>
      </c>
      <c r="B6" s="20"/>
    </row>
    <row r="7" spans="1:2" x14ac:dyDescent="0.25">
      <c r="A7" s="31">
        <v>2</v>
      </c>
      <c r="B7" s="20"/>
    </row>
    <row r="8" spans="1:2" x14ac:dyDescent="0.25">
      <c r="A8" s="31">
        <v>3</v>
      </c>
      <c r="B8" s="20"/>
    </row>
    <row r="9" spans="1:2" x14ac:dyDescent="0.25">
      <c r="A9" s="31" t="s">
        <v>46</v>
      </c>
      <c r="B9" s="20"/>
    </row>
    <row r="10" spans="1:2" x14ac:dyDescent="0.25">
      <c r="A10" s="31" t="s">
        <v>47</v>
      </c>
      <c r="B10" s="20"/>
    </row>
    <row r="12" spans="1:2" x14ac:dyDescent="0.25">
      <c r="A12" s="30" t="s">
        <v>44</v>
      </c>
      <c r="B12" s="23" t="s">
        <v>48</v>
      </c>
    </row>
    <row r="13" spans="1:2" x14ac:dyDescent="0.25">
      <c r="A13" s="31">
        <v>4</v>
      </c>
      <c r="B13" s="20"/>
    </row>
    <row r="15" spans="1:2" x14ac:dyDescent="0.25">
      <c r="A15" s="30" t="s">
        <v>44</v>
      </c>
      <c r="B15" s="23" t="s">
        <v>49</v>
      </c>
    </row>
    <row r="16" spans="1:2" x14ac:dyDescent="0.25">
      <c r="A16" s="31">
        <v>5</v>
      </c>
      <c r="B16" s="20"/>
    </row>
    <row r="17" spans="1:2" ht="13.8" thickBot="1" x14ac:dyDescent="0.3"/>
    <row r="18" spans="1:2" x14ac:dyDescent="0.25">
      <c r="A18" s="33" t="s">
        <v>44</v>
      </c>
      <c r="B18" s="22" t="s">
        <v>50</v>
      </c>
    </row>
    <row r="19" spans="1:2" x14ac:dyDescent="0.25">
      <c r="A19" s="31">
        <v>6</v>
      </c>
      <c r="B19" s="20" t="s">
        <v>51</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sqref="A1:D1"/>
    </sheetView>
  </sheetViews>
  <sheetFormatPr defaultRowHeight="13.2" x14ac:dyDescent="0.25"/>
  <cols>
    <col min="1" max="1" width="43.88671875" bestFit="1" customWidth="1"/>
    <col min="2" max="2" width="99.88671875" bestFit="1" customWidth="1"/>
    <col min="3" max="3" width="20.44140625" customWidth="1"/>
    <col min="4" max="4" width="25" customWidth="1"/>
    <col min="18" max="18" width="11" customWidth="1"/>
  </cols>
  <sheetData>
    <row r="1" spans="1:18" ht="13.8" thickBot="1" x14ac:dyDescent="0.3">
      <c r="A1" s="131" t="s">
        <v>52</v>
      </c>
      <c r="B1" s="132"/>
      <c r="C1" s="132"/>
      <c r="D1" s="133"/>
      <c r="M1" s="46" t="s">
        <v>53</v>
      </c>
      <c r="N1" s="47"/>
      <c r="O1" s="47"/>
      <c r="P1" s="47"/>
      <c r="Q1" s="47"/>
      <c r="R1" s="48"/>
    </row>
    <row r="2" spans="1:18" ht="13.8" thickBot="1" x14ac:dyDescent="0.3">
      <c r="C2" s="21"/>
      <c r="M2" s="49" t="s">
        <v>54</v>
      </c>
      <c r="N2" s="34"/>
      <c r="O2" s="34"/>
      <c r="P2" s="34"/>
      <c r="Q2" s="34"/>
      <c r="R2" s="50"/>
    </row>
    <row r="3" spans="1:18" x14ac:dyDescent="0.25">
      <c r="A3" s="55" t="s">
        <v>55</v>
      </c>
      <c r="B3" s="27"/>
      <c r="C3" s="27"/>
      <c r="M3" s="49" t="s">
        <v>56</v>
      </c>
      <c r="N3" s="34"/>
      <c r="O3" s="34"/>
      <c r="P3" s="34"/>
      <c r="Q3" s="34"/>
      <c r="R3" s="50"/>
    </row>
    <row r="4" spans="1:18" ht="25.5" customHeight="1" x14ac:dyDescent="0.25">
      <c r="A4" s="12" t="s">
        <v>57</v>
      </c>
      <c r="B4" s="12" t="s">
        <v>58</v>
      </c>
      <c r="C4" s="26" t="s">
        <v>19</v>
      </c>
      <c r="D4" s="26" t="s">
        <v>59</v>
      </c>
      <c r="M4" s="51" t="s">
        <v>60</v>
      </c>
      <c r="N4" s="34"/>
      <c r="O4" s="34"/>
      <c r="P4" s="34"/>
      <c r="Q4" s="34"/>
      <c r="R4" s="50"/>
    </row>
    <row r="5" spans="1:18" ht="132.6" thickBot="1" x14ac:dyDescent="0.3">
      <c r="A5" s="39" t="s">
        <v>61</v>
      </c>
      <c r="B5" s="25" t="s">
        <v>62</v>
      </c>
      <c r="C5" s="11"/>
      <c r="D5" s="11"/>
      <c r="M5" s="52"/>
      <c r="N5" s="53"/>
      <c r="O5" s="53"/>
      <c r="P5" s="53"/>
      <c r="Q5" s="53"/>
      <c r="R5" s="54"/>
    </row>
    <row r="6" spans="1:18" x14ac:dyDescent="0.25">
      <c r="A6" s="39" t="s">
        <v>63</v>
      </c>
      <c r="B6" s="39" t="s">
        <v>64</v>
      </c>
      <c r="C6" s="11"/>
      <c r="D6" s="11"/>
    </row>
    <row r="7" spans="1:18" x14ac:dyDescent="0.25">
      <c r="A7" s="39" t="s">
        <v>65</v>
      </c>
      <c r="B7" s="39" t="s">
        <v>66</v>
      </c>
      <c r="C7" s="11"/>
      <c r="D7" s="11"/>
    </row>
    <row r="8" spans="1:18" ht="92.4" x14ac:dyDescent="0.25">
      <c r="A8" s="39" t="s">
        <v>67</v>
      </c>
      <c r="B8" s="25" t="s">
        <v>68</v>
      </c>
      <c r="C8" s="11"/>
      <c r="D8" s="11"/>
    </row>
    <row r="9" spans="1:18" x14ac:dyDescent="0.25">
      <c r="A9" s="39" t="s">
        <v>69</v>
      </c>
      <c r="B9" s="39" t="s">
        <v>70</v>
      </c>
      <c r="C9" s="11"/>
      <c r="D9" s="11"/>
    </row>
    <row r="10" spans="1:18" x14ac:dyDescent="0.25">
      <c r="A10" s="39" t="s">
        <v>71</v>
      </c>
      <c r="B10" s="11"/>
      <c r="C10" s="11"/>
      <c r="D10" s="11"/>
    </row>
    <row r="11" spans="1:18" x14ac:dyDescent="0.25">
      <c r="A11" s="39" t="s">
        <v>72</v>
      </c>
      <c r="B11" s="39" t="s">
        <v>73</v>
      </c>
      <c r="C11" s="11"/>
      <c r="D11" s="11"/>
    </row>
    <row r="12" spans="1:18" x14ac:dyDescent="0.25">
      <c r="A12" s="39" t="s">
        <v>74</v>
      </c>
      <c r="B12" s="39" t="s">
        <v>75</v>
      </c>
      <c r="C12" s="11"/>
      <c r="D12" s="11"/>
    </row>
    <row r="13" spans="1:18" x14ac:dyDescent="0.25">
      <c r="A13" s="39" t="s">
        <v>76</v>
      </c>
      <c r="B13" s="39" t="s">
        <v>77</v>
      </c>
      <c r="C13" s="11"/>
      <c r="D13" s="11"/>
    </row>
    <row r="14" spans="1:18" x14ac:dyDescent="0.25">
      <c r="A14" s="39" t="s">
        <v>78</v>
      </c>
      <c r="B14" s="39" t="s">
        <v>79</v>
      </c>
      <c r="C14" s="11"/>
      <c r="D14" s="11"/>
    </row>
    <row r="15" spans="1:18" x14ac:dyDescent="0.25">
      <c r="A15" s="39" t="s">
        <v>80</v>
      </c>
      <c r="B15" s="39" t="s">
        <v>81</v>
      </c>
      <c r="C15" s="11"/>
      <c r="D15" s="11"/>
    </row>
    <row r="16" spans="1:18" x14ac:dyDescent="0.25">
      <c r="A16" s="39" t="s">
        <v>82</v>
      </c>
      <c r="B16" s="39" t="s">
        <v>83</v>
      </c>
      <c r="C16" s="11"/>
      <c r="D16" s="11"/>
    </row>
    <row r="17" spans="1:4" x14ac:dyDescent="0.25">
      <c r="A17" s="39" t="s">
        <v>84</v>
      </c>
      <c r="B17" s="39" t="s">
        <v>85</v>
      </c>
      <c r="C17" s="11"/>
      <c r="D17" s="11"/>
    </row>
    <row r="18" spans="1:4" x14ac:dyDescent="0.25">
      <c r="A18" s="39" t="s">
        <v>86</v>
      </c>
      <c r="B18" s="39" t="s">
        <v>87</v>
      </c>
      <c r="C18" s="11"/>
      <c r="D18" s="11"/>
    </row>
    <row r="19" spans="1:4" x14ac:dyDescent="0.25">
      <c r="A19" s="39" t="s">
        <v>88</v>
      </c>
      <c r="B19" s="39" t="s">
        <v>89</v>
      </c>
      <c r="C19" s="11"/>
      <c r="D19" s="11"/>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3.2" x14ac:dyDescent="0.25"/>
  <cols>
    <col min="1" max="1" width="55.33203125" customWidth="1"/>
    <col min="2" max="2" width="70.6640625" customWidth="1"/>
    <col min="3" max="3" width="26.5546875" customWidth="1"/>
  </cols>
  <sheetData>
    <row r="1" spans="1:3" x14ac:dyDescent="0.25">
      <c r="A1" s="65" t="s">
        <v>90</v>
      </c>
      <c r="B1" s="66" t="s">
        <v>91</v>
      </c>
    </row>
    <row r="2" spans="1:3" x14ac:dyDescent="0.25">
      <c r="A2" s="67" t="s">
        <v>92</v>
      </c>
      <c r="B2" s="68" t="str">
        <f>PPRD</f>
        <v>Feb, 2022</v>
      </c>
      <c r="C2" s="56"/>
    </row>
    <row r="3" spans="1:3" x14ac:dyDescent="0.25">
      <c r="A3" s="67" t="s">
        <v>93</v>
      </c>
      <c r="B3" s="69" t="str">
        <f>CRNIRN</f>
        <v>INC3938667</v>
      </c>
      <c r="C3" s="56"/>
    </row>
    <row r="4" spans="1:3" x14ac:dyDescent="0.25">
      <c r="A4" s="67" t="s">
        <v>94</v>
      </c>
      <c r="B4" s="69" t="str">
        <f>MA</f>
        <v>PT</v>
      </c>
      <c r="C4" s="56"/>
    </row>
    <row r="5" spans="1:3" x14ac:dyDescent="0.25">
      <c r="A5" s="67" t="s">
        <v>95</v>
      </c>
      <c r="B5" s="69" t="s">
        <v>96</v>
      </c>
    </row>
    <row r="6" spans="1:3" x14ac:dyDescent="0.25">
      <c r="A6" s="67" t="s">
        <v>97</v>
      </c>
      <c r="B6" s="71" t="s">
        <v>98</v>
      </c>
    </row>
    <row r="7" spans="1:3" x14ac:dyDescent="0.25">
      <c r="A7" s="67" t="s">
        <v>99</v>
      </c>
      <c r="B7" s="72">
        <f>DevDReviewed</f>
        <v>44509</v>
      </c>
      <c r="C7" s="56"/>
    </row>
    <row r="8" spans="1:3" x14ac:dyDescent="0.25">
      <c r="A8" s="67" t="s">
        <v>100</v>
      </c>
      <c r="B8" s="71" t="str">
        <f>DevNameReviewed</f>
        <v>FrankMingoué</v>
      </c>
      <c r="C8" s="56"/>
    </row>
    <row r="9" spans="1:3" x14ac:dyDescent="0.25">
      <c r="A9" s="67" t="s">
        <v>101</v>
      </c>
      <c r="B9" s="70">
        <f>DateReviewed</f>
        <v>44510</v>
      </c>
      <c r="C9" s="56"/>
    </row>
    <row r="10" spans="1:3" x14ac:dyDescent="0.25">
      <c r="A10" s="67" t="s">
        <v>102</v>
      </c>
      <c r="B10" s="71" t="str">
        <f>ReviewedBy</f>
        <v>JhanviJeetun</v>
      </c>
      <c r="C10" s="56"/>
    </row>
    <row r="17" spans="3:3" x14ac:dyDescent="0.25">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sqref="A1:D1"/>
    </sheetView>
  </sheetViews>
  <sheetFormatPr defaultColWidth="9.109375" defaultRowHeight="13.2" x14ac:dyDescent="0.25"/>
  <cols>
    <col min="1" max="1" width="19.44140625" style="57" customWidth="1"/>
    <col min="2" max="2" width="42.5546875" style="57" customWidth="1"/>
    <col min="3" max="3" width="50.88671875" style="57" customWidth="1"/>
    <col min="4" max="4" width="27.44140625" style="57" customWidth="1"/>
    <col min="5" max="5" width="32.33203125" style="57" customWidth="1"/>
    <col min="6" max="16384" width="9.109375" style="57"/>
  </cols>
  <sheetData>
    <row r="1" spans="1:5" ht="13.8" thickBot="1" x14ac:dyDescent="0.3">
      <c r="A1" s="131" t="s">
        <v>103</v>
      </c>
      <c r="B1" s="132"/>
      <c r="C1" s="132"/>
      <c r="D1" s="134"/>
    </row>
    <row r="2" spans="1:5" x14ac:dyDescent="0.25">
      <c r="B2" s="12" t="s">
        <v>104</v>
      </c>
      <c r="C2" s="12" t="s">
        <v>105</v>
      </c>
      <c r="D2" s="12" t="s">
        <v>106</v>
      </c>
      <c r="E2" s="58"/>
    </row>
    <row r="3" spans="1:5" ht="39.6" x14ac:dyDescent="0.25">
      <c r="B3" s="59" t="s">
        <v>107</v>
      </c>
      <c r="C3" s="60" t="s">
        <v>108</v>
      </c>
      <c r="D3" s="61" t="str">
        <f>IF(ISBLANK('1.0 DB Schema'!B28)=FALSE,"Impacted","Not Impacted")</f>
        <v>Not Impacted</v>
      </c>
    </row>
    <row r="4" spans="1:5" ht="26.4" x14ac:dyDescent="0.25">
      <c r="B4" s="59" t="s">
        <v>109</v>
      </c>
      <c r="C4" s="60" t="s">
        <v>110</v>
      </c>
      <c r="D4" s="61" t="str">
        <f>IF(ISBLANK('2.0 Ifb &amp; PHP'!B35)=FALSE,"Impacted","Not Impacted")</f>
        <v>Not Impacted</v>
      </c>
    </row>
    <row r="5" spans="1:5" ht="39.6" x14ac:dyDescent="0.25">
      <c r="B5" s="59" t="s">
        <v>111</v>
      </c>
      <c r="C5" s="60" t="s">
        <v>112</v>
      </c>
      <c r="D5" s="61" t="str">
        <f>IF(ISBLANK('3.0 Mapping'!B12)=FALSE,"Impacted","Not Impacted")</f>
        <v>Not Impacted</v>
      </c>
    </row>
    <row r="6" spans="1:5" ht="26.4" x14ac:dyDescent="0.25">
      <c r="B6" s="59" t="s">
        <v>113</v>
      </c>
      <c r="C6" s="60" t="s">
        <v>114</v>
      </c>
      <c r="D6" s="61" t="str">
        <f>IF(ISBLANK('4.0 Worklet &amp; workflow'!B26)=FALSE,"Impacted","Not Impacted")</f>
        <v>Impacted</v>
      </c>
    </row>
    <row r="7" spans="1:5" ht="26.4" x14ac:dyDescent="0.25">
      <c r="B7" s="59" t="s">
        <v>115</v>
      </c>
      <c r="C7" s="60" t="s">
        <v>116</v>
      </c>
      <c r="D7" s="61" t="str">
        <f>IF(ISBLANK('5.0 Stored Procedure'!B10)=FALSE,"Impacted","Not Impacted")</f>
        <v>Not Impacted</v>
      </c>
    </row>
    <row r="8" spans="1:5" ht="26.4" x14ac:dyDescent="0.25">
      <c r="B8" s="59" t="s">
        <v>117</v>
      </c>
      <c r="C8" s="60" t="s">
        <v>118</v>
      </c>
      <c r="D8" s="61" t="str">
        <f>IF(ISBLANK('6.0 Data Update'!E5)=FALSE,"Impacted","Not Impacted")</f>
        <v>Not Impacted</v>
      </c>
    </row>
    <row r="10" spans="1:5" ht="13.8" thickBot="1" x14ac:dyDescent="0.3"/>
    <row r="11" spans="1:5" ht="13.8" thickBot="1" x14ac:dyDescent="0.3">
      <c r="B11" s="15" t="s">
        <v>119</v>
      </c>
    </row>
    <row r="12" spans="1:5" x14ac:dyDescent="0.25">
      <c r="B12" s="12" t="s">
        <v>120</v>
      </c>
      <c r="C12" s="12" t="s">
        <v>121</v>
      </c>
      <c r="D12" s="12" t="s">
        <v>122</v>
      </c>
    </row>
    <row r="13" spans="1:5" x14ac:dyDescent="0.25">
      <c r="B13" s="61" t="s">
        <v>123</v>
      </c>
      <c r="C13" s="61" t="s">
        <v>124</v>
      </c>
      <c r="D13" s="62" t="s">
        <v>125</v>
      </c>
    </row>
    <row r="14" spans="1:5" x14ac:dyDescent="0.25">
      <c r="B14" s="61" t="s">
        <v>126</v>
      </c>
      <c r="C14" s="62" t="s">
        <v>127</v>
      </c>
      <c r="D14" s="61" t="s">
        <v>128</v>
      </c>
    </row>
    <row r="15" spans="1:5" x14ac:dyDescent="0.25">
      <c r="B15" s="61" t="s">
        <v>129</v>
      </c>
      <c r="C15" s="61" t="s">
        <v>130</v>
      </c>
      <c r="D15" s="61" t="s">
        <v>131</v>
      </c>
    </row>
    <row r="16" spans="1:5" x14ac:dyDescent="0.25">
      <c r="B16" s="61" t="s">
        <v>132</v>
      </c>
      <c r="C16" s="61" t="s">
        <v>133</v>
      </c>
      <c r="D16" s="61" t="s">
        <v>134</v>
      </c>
    </row>
    <row r="17" spans="2:4" x14ac:dyDescent="0.25">
      <c r="B17" s="61" t="s">
        <v>135</v>
      </c>
      <c r="C17" s="62" t="s">
        <v>136</v>
      </c>
      <c r="D17" s="61" t="s">
        <v>137</v>
      </c>
    </row>
    <row r="18" spans="2:4" x14ac:dyDescent="0.25">
      <c r="B18" s="61" t="s">
        <v>138</v>
      </c>
      <c r="C18" s="61" t="s">
        <v>139</v>
      </c>
      <c r="D18" s="61" t="s">
        <v>140</v>
      </c>
    </row>
    <row r="19" spans="2:4" x14ac:dyDescent="0.25">
      <c r="B19" s="61" t="s">
        <v>141</v>
      </c>
      <c r="C19" s="61" t="s">
        <v>142</v>
      </c>
      <c r="D19" s="61" t="s">
        <v>143</v>
      </c>
    </row>
    <row r="20" spans="2:4" x14ac:dyDescent="0.25">
      <c r="B20" s="61" t="s">
        <v>144</v>
      </c>
      <c r="C20" s="62" t="s">
        <v>145</v>
      </c>
      <c r="D20" s="61" t="s">
        <v>146</v>
      </c>
    </row>
    <row r="21" spans="2:4" x14ac:dyDescent="0.25">
      <c r="B21" s="61" t="s">
        <v>147</v>
      </c>
      <c r="C21" s="62" t="s">
        <v>148</v>
      </c>
      <c r="D21" s="61" t="s">
        <v>149</v>
      </c>
    </row>
    <row r="22" spans="2:4" x14ac:dyDescent="0.25">
      <c r="B22" s="61" t="s">
        <v>150</v>
      </c>
      <c r="C22" s="62" t="s">
        <v>151</v>
      </c>
      <c r="D22" s="61" t="s">
        <v>152</v>
      </c>
    </row>
    <row r="23" spans="2:4" x14ac:dyDescent="0.25">
      <c r="B23" s="61" t="s">
        <v>153</v>
      </c>
      <c r="C23" s="61" t="s">
        <v>154</v>
      </c>
      <c r="D23" s="61" t="s">
        <v>155</v>
      </c>
    </row>
    <row r="24" spans="2:4" x14ac:dyDescent="0.25">
      <c r="B24" s="61" t="s">
        <v>156</v>
      </c>
      <c r="C24" s="61"/>
      <c r="D24" s="61"/>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28"/>
  <sheetViews>
    <sheetView workbookViewId="0">
      <selection sqref="A1:C1"/>
    </sheetView>
  </sheetViews>
  <sheetFormatPr defaultRowHeight="13.2" x14ac:dyDescent="0.25"/>
  <cols>
    <col min="1" max="1" width="31.88671875" bestFit="1" customWidth="1"/>
    <col min="2" max="2" width="25" bestFit="1" customWidth="1"/>
    <col min="3" max="3" width="41.44140625" bestFit="1" customWidth="1"/>
    <col min="4" max="4" width="25" bestFit="1" customWidth="1"/>
    <col min="5" max="5" width="20.5546875" bestFit="1" customWidth="1"/>
    <col min="6" max="6" width="14" customWidth="1"/>
    <col min="10" max="10" width="18.88671875" bestFit="1" customWidth="1"/>
    <col min="11" max="11" width="26.5546875" bestFit="1" customWidth="1"/>
    <col min="25" max="25" width="20" customWidth="1"/>
  </cols>
  <sheetData>
    <row r="1" spans="1:24" ht="13.8" thickBot="1" x14ac:dyDescent="0.3">
      <c r="A1" s="131" t="s">
        <v>157</v>
      </c>
      <c r="B1" s="132"/>
      <c r="C1" s="133"/>
    </row>
    <row r="2" spans="1:24" ht="14.4" thickBot="1" x14ac:dyDescent="0.3">
      <c r="E2" s="75" t="s">
        <v>158</v>
      </c>
      <c r="F2" s="34"/>
      <c r="G2" s="34"/>
      <c r="H2" s="34"/>
      <c r="I2" s="34"/>
      <c r="J2" s="34"/>
      <c r="K2" s="34"/>
      <c r="W2" s="56"/>
    </row>
    <row r="3" spans="1:24" ht="13.8" thickBot="1" x14ac:dyDescent="0.3">
      <c r="A3" s="15" t="s">
        <v>159</v>
      </c>
      <c r="B3" s="13"/>
      <c r="C3" s="13"/>
      <c r="E3" s="35" t="s">
        <v>160</v>
      </c>
      <c r="F3" s="34"/>
      <c r="G3" s="34"/>
      <c r="H3" s="34"/>
      <c r="I3" s="34"/>
      <c r="J3" s="34"/>
      <c r="K3" s="34"/>
      <c r="X3" s="56"/>
    </row>
    <row r="4" spans="1:24" x14ac:dyDescent="0.25">
      <c r="A4" s="14" t="s">
        <v>161</v>
      </c>
      <c r="B4" s="12" t="s">
        <v>162</v>
      </c>
      <c r="C4" s="12" t="s">
        <v>59</v>
      </c>
      <c r="E4" s="35" t="s">
        <v>163</v>
      </c>
      <c r="F4" s="35"/>
      <c r="G4" s="35"/>
      <c r="H4" s="35"/>
      <c r="I4" s="35"/>
      <c r="J4" s="34"/>
      <c r="K4" s="34"/>
    </row>
    <row r="5" spans="1:24" x14ac:dyDescent="0.25">
      <c r="A5" s="39" t="s">
        <v>156</v>
      </c>
      <c r="B5" s="11"/>
      <c r="C5" s="11"/>
      <c r="E5" s="35" t="s">
        <v>164</v>
      </c>
      <c r="F5" s="35"/>
      <c r="G5" s="35"/>
      <c r="H5" s="35"/>
      <c r="I5" s="35"/>
      <c r="J5" s="34"/>
      <c r="K5" s="34"/>
    </row>
    <row r="6" spans="1:24" x14ac:dyDescent="0.25">
      <c r="A6" s="11"/>
      <c r="B6" s="11"/>
      <c r="C6" s="11"/>
      <c r="E6" s="74" t="s">
        <v>165</v>
      </c>
      <c r="F6" s="34"/>
      <c r="G6" s="34"/>
      <c r="H6" s="34"/>
      <c r="I6" s="34"/>
      <c r="J6" s="34"/>
      <c r="K6" s="34"/>
      <c r="X6" s="56"/>
    </row>
    <row r="7" spans="1:24" x14ac:dyDescent="0.25">
      <c r="A7" s="11"/>
      <c r="B7" s="11"/>
      <c r="C7" s="11"/>
    </row>
    <row r="8" spans="1:24" ht="13.8" thickBot="1" x14ac:dyDescent="0.3">
      <c r="X8" s="56"/>
    </row>
    <row r="9" spans="1:24" ht="13.8" thickBot="1" x14ac:dyDescent="0.3">
      <c r="A9" s="15" t="s">
        <v>166</v>
      </c>
      <c r="X9" s="56"/>
    </row>
    <row r="10" spans="1:24" x14ac:dyDescent="0.25">
      <c r="A10" s="14" t="s">
        <v>161</v>
      </c>
      <c r="B10" s="12" t="s">
        <v>167</v>
      </c>
      <c r="C10" s="12" t="s">
        <v>168</v>
      </c>
      <c r="D10" s="12" t="s">
        <v>162</v>
      </c>
      <c r="E10" s="12" t="s">
        <v>169</v>
      </c>
      <c r="F10" s="12" t="s">
        <v>59</v>
      </c>
      <c r="X10" s="56"/>
    </row>
    <row r="11" spans="1:24" x14ac:dyDescent="0.25">
      <c r="A11" s="39" t="s">
        <v>156</v>
      </c>
      <c r="B11" s="39"/>
      <c r="C11" s="39"/>
      <c r="D11" s="39"/>
      <c r="E11" s="39"/>
      <c r="F11" s="39"/>
    </row>
    <row r="12" spans="1:24" x14ac:dyDescent="0.25">
      <c r="A12" s="39"/>
      <c r="B12" s="39"/>
      <c r="C12" s="39"/>
      <c r="D12" s="39"/>
      <c r="E12" s="39"/>
      <c r="F12" s="39"/>
    </row>
    <row r="13" spans="1:24" x14ac:dyDescent="0.25">
      <c r="A13" s="39"/>
      <c r="B13" s="39"/>
      <c r="C13" s="39"/>
      <c r="D13" s="39"/>
      <c r="E13" s="39"/>
      <c r="F13" s="39"/>
    </row>
    <row r="14" spans="1:24" x14ac:dyDescent="0.25">
      <c r="A14" s="39"/>
      <c r="B14" s="39"/>
      <c r="C14" s="39"/>
      <c r="D14" s="39"/>
      <c r="E14" s="39"/>
      <c r="F14" s="39"/>
    </row>
    <row r="15" spans="1:24" x14ac:dyDescent="0.25">
      <c r="A15" s="11"/>
      <c r="B15" s="11"/>
      <c r="C15" s="11"/>
      <c r="D15" s="11"/>
      <c r="E15" s="11"/>
      <c r="F15" s="11"/>
    </row>
    <row r="16" spans="1:24" ht="13.8" thickBot="1" x14ac:dyDescent="0.3"/>
    <row r="17" spans="1:29" ht="13.8" thickBot="1" x14ac:dyDescent="0.3">
      <c r="A17" s="15" t="s">
        <v>170</v>
      </c>
    </row>
    <row r="18" spans="1:29" x14ac:dyDescent="0.25">
      <c r="A18" s="14" t="s">
        <v>171</v>
      </c>
      <c r="B18" s="12" t="s">
        <v>172</v>
      </c>
      <c r="C18" s="12" t="s">
        <v>173</v>
      </c>
      <c r="D18" s="12" t="s">
        <v>174</v>
      </c>
    </row>
    <row r="19" spans="1:29" x14ac:dyDescent="0.25">
      <c r="A19" s="39" t="s">
        <v>156</v>
      </c>
      <c r="B19" s="39"/>
      <c r="C19" s="39"/>
      <c r="D19" s="11"/>
      <c r="AA19" s="56"/>
    </row>
    <row r="20" spans="1:29" x14ac:dyDescent="0.25">
      <c r="A20" s="39"/>
      <c r="B20" s="39"/>
      <c r="C20" s="39"/>
      <c r="D20" s="11"/>
      <c r="AA20" s="56"/>
    </row>
    <row r="21" spans="1:29" x14ac:dyDescent="0.25">
      <c r="A21" s="39"/>
      <c r="B21" s="39"/>
      <c r="C21" s="39"/>
      <c r="D21" s="11"/>
    </row>
    <row r="22" spans="1:29" ht="13.8" thickBot="1" x14ac:dyDescent="0.3">
      <c r="A22" s="56"/>
      <c r="B22" s="56"/>
      <c r="C22" s="56"/>
    </row>
    <row r="23" spans="1:29" ht="13.8" thickBot="1" x14ac:dyDescent="0.3">
      <c r="A23" s="15" t="s">
        <v>175</v>
      </c>
      <c r="B23" s="56"/>
      <c r="C23" s="56"/>
    </row>
    <row r="24" spans="1:29" x14ac:dyDescent="0.25">
      <c r="A24" s="14" t="s">
        <v>120</v>
      </c>
      <c r="B24" s="12" t="s">
        <v>176</v>
      </c>
    </row>
    <row r="25" spans="1:29" x14ac:dyDescent="0.25">
      <c r="A25" s="39" t="s">
        <v>156</v>
      </c>
      <c r="B25" s="39"/>
      <c r="AC25" s="56"/>
    </row>
    <row r="26" spans="1:29" x14ac:dyDescent="0.25">
      <c r="A26" s="39"/>
      <c r="B26" s="39"/>
    </row>
    <row r="27" spans="1:29" x14ac:dyDescent="0.25">
      <c r="A27" s="19" t="s">
        <v>26</v>
      </c>
      <c r="B27" s="19" t="s">
        <v>177</v>
      </c>
    </row>
    <row r="28" spans="1:29" x14ac:dyDescent="0.25">
      <c r="A28" s="18"/>
      <c r="B28" s="18"/>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A25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35"/>
  <sheetViews>
    <sheetView workbookViewId="0">
      <selection sqref="A1:C1"/>
    </sheetView>
  </sheetViews>
  <sheetFormatPr defaultRowHeight="13.2" x14ac:dyDescent="0.25"/>
  <cols>
    <col min="1" max="1" width="28.33203125" bestFit="1" customWidth="1"/>
    <col min="2" max="2" width="36.33203125" style="21" customWidth="1"/>
    <col min="3" max="3" width="32.88671875" customWidth="1"/>
    <col min="6" max="6" width="9.109375" customWidth="1"/>
  </cols>
  <sheetData>
    <row r="1" spans="1:3" ht="13.8" thickBot="1" x14ac:dyDescent="0.3">
      <c r="A1" s="131" t="s">
        <v>178</v>
      </c>
      <c r="B1" s="132"/>
      <c r="C1" s="133"/>
    </row>
    <row r="2" spans="1:3" ht="13.8" thickBot="1" x14ac:dyDescent="0.3"/>
    <row r="3" spans="1:3" ht="13.8" thickBot="1" x14ac:dyDescent="0.3">
      <c r="A3" s="16" t="s">
        <v>179</v>
      </c>
      <c r="B3" s="27"/>
    </row>
    <row r="4" spans="1:3" x14ac:dyDescent="0.25">
      <c r="A4" s="14" t="s">
        <v>180</v>
      </c>
      <c r="B4" s="26" t="s">
        <v>59</v>
      </c>
    </row>
    <row r="5" spans="1:3" x14ac:dyDescent="0.25">
      <c r="A5" s="11"/>
      <c r="B5" s="20"/>
    </row>
    <row r="6" spans="1:3" x14ac:dyDescent="0.25">
      <c r="A6" s="11"/>
      <c r="B6" s="20"/>
    </row>
    <row r="7" spans="1:3" ht="13.8" thickBot="1" x14ac:dyDescent="0.3"/>
    <row r="8" spans="1:3" ht="13.8" thickBot="1" x14ac:dyDescent="0.3">
      <c r="A8" s="16" t="s">
        <v>181</v>
      </c>
      <c r="B8" s="27"/>
      <c r="C8" s="13"/>
    </row>
    <row r="9" spans="1:3" x14ac:dyDescent="0.25">
      <c r="A9" s="14" t="s">
        <v>182</v>
      </c>
      <c r="B9" s="26" t="s">
        <v>59</v>
      </c>
    </row>
    <row r="10" spans="1:3" x14ac:dyDescent="0.25">
      <c r="A10" s="39"/>
      <c r="B10" s="39"/>
    </row>
    <row r="11" spans="1:3" x14ac:dyDescent="0.25">
      <c r="A11" s="11"/>
      <c r="B11" s="20"/>
    </row>
    <row r="12" spans="1:3" x14ac:dyDescent="0.25">
      <c r="A12" s="11"/>
      <c r="B12" s="20"/>
    </row>
    <row r="13" spans="1:3" ht="13.8" thickBot="1" x14ac:dyDescent="0.3"/>
    <row r="14" spans="1:3" ht="13.8" thickBot="1" x14ac:dyDescent="0.3">
      <c r="A14" s="16" t="s">
        <v>183</v>
      </c>
    </row>
    <row r="15" spans="1:3" x14ac:dyDescent="0.25">
      <c r="A15" s="14" t="s">
        <v>180</v>
      </c>
      <c r="B15" s="26" t="s">
        <v>59</v>
      </c>
    </row>
    <row r="16" spans="1:3" x14ac:dyDescent="0.25">
      <c r="A16" s="11"/>
      <c r="B16" s="20"/>
    </row>
    <row r="17" spans="1:9" x14ac:dyDescent="0.25">
      <c r="A17" s="11"/>
      <c r="B17" s="20"/>
    </row>
    <row r="18" spans="1:9" x14ac:dyDescent="0.25">
      <c r="A18" s="11"/>
      <c r="B18" s="20"/>
      <c r="I18" s="56"/>
    </row>
    <row r="19" spans="1:9" ht="13.8" thickBot="1" x14ac:dyDescent="0.3"/>
    <row r="20" spans="1:9" ht="13.8" thickBot="1" x14ac:dyDescent="0.3">
      <c r="A20" s="16" t="s">
        <v>184</v>
      </c>
      <c r="G20" s="56"/>
    </row>
    <row r="21" spans="1:9" x14ac:dyDescent="0.25">
      <c r="A21" s="14" t="s">
        <v>180</v>
      </c>
      <c r="B21" s="26" t="s">
        <v>59</v>
      </c>
    </row>
    <row r="22" spans="1:9" x14ac:dyDescent="0.25">
      <c r="A22" s="39" t="s">
        <v>156</v>
      </c>
      <c r="B22" s="20"/>
    </row>
    <row r="23" spans="1:9" x14ac:dyDescent="0.25">
      <c r="A23" s="11"/>
      <c r="B23" s="20"/>
    </row>
    <row r="24" spans="1:9" x14ac:dyDescent="0.25">
      <c r="A24" s="11"/>
      <c r="B24" s="20"/>
    </row>
    <row r="25" spans="1:9" x14ac:dyDescent="0.25">
      <c r="A25" s="11"/>
      <c r="B25" s="20"/>
    </row>
    <row r="26" spans="1:9" ht="13.8" thickBot="1" x14ac:dyDescent="0.3"/>
    <row r="27" spans="1:9" ht="13.8" thickBot="1" x14ac:dyDescent="0.3">
      <c r="A27" s="16" t="s">
        <v>185</v>
      </c>
    </row>
    <row r="28" spans="1:9" x14ac:dyDescent="0.25">
      <c r="A28" s="14" t="s">
        <v>180</v>
      </c>
      <c r="B28" s="26" t="s">
        <v>59</v>
      </c>
    </row>
    <row r="29" spans="1:9" x14ac:dyDescent="0.25">
      <c r="A29" s="39" t="s">
        <v>156</v>
      </c>
      <c r="B29" s="20"/>
    </row>
    <row r="30" spans="1:9" x14ac:dyDescent="0.25">
      <c r="A30" s="11"/>
      <c r="B30" s="20"/>
    </row>
    <row r="31" spans="1:9" x14ac:dyDescent="0.25">
      <c r="A31" s="11"/>
      <c r="B31" s="20"/>
    </row>
    <row r="32" spans="1:9" x14ac:dyDescent="0.25">
      <c r="A32" s="11"/>
      <c r="B32" s="20"/>
    </row>
    <row r="34" spans="1:2" x14ac:dyDescent="0.25">
      <c r="A34" s="19" t="s">
        <v>26</v>
      </c>
      <c r="B34" s="28" t="s">
        <v>177</v>
      </c>
    </row>
    <row r="35" spans="1:2" x14ac:dyDescent="0.25">
      <c r="A35" s="18"/>
      <c r="B35" s="29"/>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12"/>
  <sheetViews>
    <sheetView workbookViewId="0">
      <selection sqref="A1:C1"/>
    </sheetView>
  </sheetViews>
  <sheetFormatPr defaultRowHeight="13.2" x14ac:dyDescent="0.25"/>
  <cols>
    <col min="1" max="1" width="12.109375" bestFit="1" customWidth="1"/>
    <col min="2" max="2" width="36.6640625" bestFit="1" customWidth="1"/>
    <col min="3" max="3" width="9.5546875" bestFit="1" customWidth="1"/>
  </cols>
  <sheetData>
    <row r="1" spans="1:3" ht="13.8" thickBot="1" x14ac:dyDescent="0.3">
      <c r="A1" s="131" t="s">
        <v>186</v>
      </c>
      <c r="B1" s="132"/>
      <c r="C1" s="133"/>
    </row>
    <row r="3" spans="1:3" x14ac:dyDescent="0.25">
      <c r="A3" s="12" t="s">
        <v>187</v>
      </c>
      <c r="B3" s="12" t="s">
        <v>188</v>
      </c>
      <c r="C3" s="12" t="s">
        <v>59</v>
      </c>
    </row>
    <row r="4" spans="1:3" x14ac:dyDescent="0.25">
      <c r="A4" s="39"/>
      <c r="B4" s="11"/>
      <c r="C4" s="39"/>
    </row>
    <row r="5" spans="1:3" x14ac:dyDescent="0.25">
      <c r="A5" s="11"/>
      <c r="B5" s="11"/>
      <c r="C5" s="39"/>
    </row>
    <row r="6" spans="1:3" x14ac:dyDescent="0.25">
      <c r="A6" s="11"/>
      <c r="B6" s="11"/>
      <c r="C6" s="20"/>
    </row>
    <row r="7" spans="1:3" x14ac:dyDescent="0.25">
      <c r="A7" s="11"/>
      <c r="B7" s="11"/>
      <c r="C7" s="11"/>
    </row>
    <row r="11" spans="1:3" x14ac:dyDescent="0.25">
      <c r="A11" s="19" t="s">
        <v>26</v>
      </c>
      <c r="B11" s="19" t="s">
        <v>177</v>
      </c>
    </row>
    <row r="12" spans="1:3" x14ac:dyDescent="0.25">
      <c r="A12" s="18"/>
      <c r="B12" s="18"/>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10"/>
  <sheetViews>
    <sheetView workbookViewId="0">
      <selection activeCell="A2" sqref="A2"/>
    </sheetView>
  </sheetViews>
  <sheetFormatPr defaultRowHeight="13.2" x14ac:dyDescent="0.25"/>
  <cols>
    <col min="1" max="1" width="14.44140625" bestFit="1" customWidth="1"/>
    <col min="2" max="2" width="14.88671875" bestFit="1" customWidth="1"/>
    <col min="3" max="3" width="14.6640625" bestFit="1" customWidth="1"/>
    <col min="4" max="4" width="9.6640625" bestFit="1" customWidth="1"/>
    <col min="5" max="6" width="15.44140625" bestFit="1" customWidth="1"/>
    <col min="7" max="7" width="14.44140625" bestFit="1" customWidth="1"/>
    <col min="8" max="8" width="9.6640625" bestFit="1" customWidth="1"/>
    <col min="9" max="9" width="74.88671875" bestFit="1" customWidth="1"/>
    <col min="10" max="10" width="26.44140625" bestFit="1" customWidth="1"/>
  </cols>
  <sheetData>
    <row r="1" spans="1:10" ht="13.8" thickBot="1" x14ac:dyDescent="0.3">
      <c r="A1" s="131" t="s">
        <v>189</v>
      </c>
      <c r="B1" s="132"/>
      <c r="C1" s="132"/>
      <c r="D1" s="133"/>
    </row>
    <row r="3" spans="1:10" x14ac:dyDescent="0.25">
      <c r="A3" s="12" t="s">
        <v>188</v>
      </c>
      <c r="B3" s="135"/>
      <c r="C3" s="136"/>
    </row>
    <row r="5" spans="1:10" x14ac:dyDescent="0.25">
      <c r="A5" s="12" t="s">
        <v>190</v>
      </c>
      <c r="B5" s="12" t="s">
        <v>191</v>
      </c>
      <c r="C5" s="12" t="s">
        <v>192</v>
      </c>
      <c r="D5" s="12" t="s">
        <v>193</v>
      </c>
      <c r="E5" s="12" t="s">
        <v>194</v>
      </c>
      <c r="F5" s="12" t="s">
        <v>191</v>
      </c>
      <c r="G5" s="12" t="s">
        <v>195</v>
      </c>
      <c r="H5" s="12" t="s">
        <v>193</v>
      </c>
      <c r="I5" s="12" t="s">
        <v>196</v>
      </c>
      <c r="J5" s="12" t="s">
        <v>197</v>
      </c>
    </row>
    <row r="6" spans="1:10" x14ac:dyDescent="0.25">
      <c r="E6" s="11"/>
      <c r="F6" s="11"/>
      <c r="G6" s="11"/>
      <c r="H6" s="11"/>
      <c r="I6" s="20"/>
      <c r="J6" s="11"/>
    </row>
    <row r="7" spans="1:10" x14ac:dyDescent="0.25">
      <c r="A7" s="39"/>
      <c r="B7" s="11"/>
      <c r="C7" s="11"/>
      <c r="D7" s="11"/>
      <c r="E7" s="11"/>
      <c r="F7" s="11"/>
      <c r="G7" s="11"/>
      <c r="H7" s="11"/>
      <c r="I7" s="11"/>
      <c r="J7" s="11"/>
    </row>
    <row r="8" spans="1:10" x14ac:dyDescent="0.25">
      <c r="A8" s="39"/>
      <c r="B8" s="11"/>
      <c r="C8" s="11"/>
      <c r="D8" s="20"/>
      <c r="E8" s="11"/>
      <c r="F8" s="11"/>
      <c r="G8" s="11"/>
      <c r="H8" s="20"/>
      <c r="I8" s="11"/>
      <c r="J8" s="11"/>
    </row>
    <row r="9" spans="1:10" x14ac:dyDescent="0.25">
      <c r="A9" s="39"/>
      <c r="B9" s="11"/>
      <c r="C9" s="11"/>
      <c r="D9" s="11"/>
      <c r="E9" s="11"/>
      <c r="F9" s="11"/>
      <c r="G9" s="11"/>
      <c r="H9" s="11"/>
      <c r="I9" s="11"/>
      <c r="J9" s="11"/>
    </row>
    <row r="10" spans="1:10" x14ac:dyDescent="0.25">
      <c r="A10" s="39"/>
      <c r="B10" s="11"/>
      <c r="C10" s="11"/>
      <c r="D10" s="11"/>
      <c r="E10" s="11"/>
      <c r="F10" s="39"/>
      <c r="G10" s="11"/>
      <c r="H10" s="11"/>
      <c r="I10" s="11"/>
      <c r="J10" s="11"/>
    </row>
  </sheetData>
  <mergeCells count="2">
    <mergeCell ref="A1:D1"/>
    <mergeCell ref="B3:C3"/>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6"/>
  <sheetViews>
    <sheetView workbookViewId="0">
      <selection sqref="A1:C1"/>
    </sheetView>
  </sheetViews>
  <sheetFormatPr defaultRowHeight="13.2" outlineLevelRow="1" x14ac:dyDescent="0.25"/>
  <cols>
    <col min="1" max="1" width="18.5546875" customWidth="1"/>
    <col min="2" max="2" width="31.77734375" bestFit="1" customWidth="1"/>
    <col min="3" max="3" width="37.21875" customWidth="1"/>
    <col min="4" max="4" width="31.5546875" customWidth="1"/>
    <col min="5" max="5" width="25.5546875" bestFit="1" customWidth="1"/>
    <col min="6" max="6" width="48.44140625" style="21" bestFit="1" customWidth="1"/>
  </cols>
  <sheetData>
    <row r="1" spans="1:5" ht="13.8" thickBot="1" x14ac:dyDescent="0.3">
      <c r="A1" s="131" t="s">
        <v>198</v>
      </c>
      <c r="B1" s="132"/>
      <c r="C1" s="133"/>
    </row>
    <row r="2" spans="1:5" ht="13.8" thickBot="1" x14ac:dyDescent="0.3"/>
    <row r="3" spans="1:5" ht="13.8" thickBot="1" x14ac:dyDescent="0.3">
      <c r="A3" s="131" t="s">
        <v>199</v>
      </c>
      <c r="B3" s="132"/>
      <c r="C3" s="133"/>
    </row>
    <row r="4" spans="1:5" x14ac:dyDescent="0.25">
      <c r="A4" s="14" t="s">
        <v>187</v>
      </c>
      <c r="B4" s="14" t="s">
        <v>200</v>
      </c>
      <c r="C4" s="14" t="s">
        <v>59</v>
      </c>
    </row>
    <row r="5" spans="1:5" x14ac:dyDescent="0.25">
      <c r="A5" s="11" t="s">
        <v>261</v>
      </c>
      <c r="B5" s="11" t="s">
        <v>272</v>
      </c>
      <c r="C5" s="11" t="s">
        <v>252</v>
      </c>
    </row>
    <row r="6" spans="1:5" x14ac:dyDescent="0.25">
      <c r="A6" s="11" t="s">
        <v>261</v>
      </c>
      <c r="B6" s="11" t="s">
        <v>273</v>
      </c>
      <c r="C6" s="39" t="s">
        <v>283</v>
      </c>
    </row>
    <row r="7" spans="1:5" x14ac:dyDescent="0.25">
      <c r="A7" s="11" t="s">
        <v>261</v>
      </c>
      <c r="B7" s="11" t="s">
        <v>274</v>
      </c>
      <c r="C7" s="39" t="s">
        <v>283</v>
      </c>
    </row>
    <row r="8" spans="1:5" outlineLevel="1" x14ac:dyDescent="0.25">
      <c r="A8" s="11" t="s">
        <v>253</v>
      </c>
      <c r="B8" s="11" t="s">
        <v>254</v>
      </c>
      <c r="C8" s="39" t="s">
        <v>283</v>
      </c>
    </row>
    <row r="9" spans="1:5" outlineLevel="1" x14ac:dyDescent="0.25">
      <c r="A9" s="11" t="s">
        <v>253</v>
      </c>
      <c r="B9" s="11" t="s">
        <v>275</v>
      </c>
      <c r="C9" s="39" t="s">
        <v>283</v>
      </c>
    </row>
    <row r="10" spans="1:5" x14ac:dyDescent="0.25">
      <c r="A10" s="92"/>
      <c r="B10" s="91"/>
      <c r="C10" s="92"/>
    </row>
    <row r="11" spans="1:5" x14ac:dyDescent="0.25">
      <c r="A11" s="92"/>
      <c r="B11" s="91"/>
      <c r="C11" s="92"/>
    </row>
    <row r="12" spans="1:5" x14ac:dyDescent="0.25">
      <c r="A12" s="92"/>
      <c r="B12" s="91"/>
      <c r="C12" s="92"/>
    </row>
    <row r="13" spans="1:5" ht="13.8" thickBot="1" x14ac:dyDescent="0.3"/>
    <row r="14" spans="1:5" ht="13.8" thickBot="1" x14ac:dyDescent="0.3">
      <c r="A14" s="131" t="s">
        <v>201</v>
      </c>
      <c r="B14" s="132"/>
      <c r="C14" s="133"/>
    </row>
    <row r="15" spans="1:5" x14ac:dyDescent="0.25">
      <c r="A15" s="14" t="s">
        <v>187</v>
      </c>
      <c r="B15" s="14" t="s">
        <v>200</v>
      </c>
      <c r="C15" s="14" t="s">
        <v>202</v>
      </c>
      <c r="D15" s="12" t="s">
        <v>20</v>
      </c>
      <c r="E15" s="13"/>
    </row>
    <row r="16" spans="1:5" x14ac:dyDescent="0.25">
      <c r="A16" s="11" t="s">
        <v>261</v>
      </c>
      <c r="B16" s="11" t="s">
        <v>262</v>
      </c>
      <c r="C16" s="11" t="s">
        <v>276</v>
      </c>
      <c r="D16" s="11" t="s">
        <v>252</v>
      </c>
    </row>
    <row r="17" spans="1:4" x14ac:dyDescent="0.25">
      <c r="A17" s="11" t="s">
        <v>261</v>
      </c>
      <c r="B17" s="11" t="s">
        <v>272</v>
      </c>
      <c r="C17" s="11" t="s">
        <v>276</v>
      </c>
      <c r="D17" s="39" t="s">
        <v>283</v>
      </c>
    </row>
    <row r="18" spans="1:4" x14ac:dyDescent="0.25">
      <c r="A18" s="11" t="s">
        <v>261</v>
      </c>
      <c r="B18" s="11" t="s">
        <v>273</v>
      </c>
      <c r="C18" s="11" t="s">
        <v>276</v>
      </c>
      <c r="D18" s="39" t="s">
        <v>283</v>
      </c>
    </row>
    <row r="19" spans="1:4" x14ac:dyDescent="0.25">
      <c r="A19" s="11" t="s">
        <v>261</v>
      </c>
      <c r="B19" s="11" t="s">
        <v>274</v>
      </c>
      <c r="C19" s="11" t="s">
        <v>276</v>
      </c>
      <c r="D19" s="39" t="s">
        <v>283</v>
      </c>
    </row>
    <row r="20" spans="1:4" outlineLevel="1" x14ac:dyDescent="0.25">
      <c r="A20" s="11" t="s">
        <v>253</v>
      </c>
      <c r="B20" s="11" t="s">
        <v>254</v>
      </c>
      <c r="C20" s="39" t="s">
        <v>282</v>
      </c>
      <c r="D20" s="39" t="s">
        <v>283</v>
      </c>
    </row>
    <row r="21" spans="1:4" outlineLevel="1" x14ac:dyDescent="0.25">
      <c r="A21" s="11" t="s">
        <v>253</v>
      </c>
      <c r="B21" s="11" t="s">
        <v>275</v>
      </c>
      <c r="C21" s="39" t="s">
        <v>282</v>
      </c>
      <c r="D21" s="39" t="s">
        <v>283</v>
      </c>
    </row>
    <row r="22" spans="1:4" x14ac:dyDescent="0.25">
      <c r="A22" s="11"/>
      <c r="B22" s="11"/>
      <c r="C22" s="11"/>
      <c r="D22" s="11"/>
    </row>
    <row r="25" spans="1:4" x14ac:dyDescent="0.25">
      <c r="A25" s="19" t="s">
        <v>26</v>
      </c>
      <c r="B25" s="19" t="s">
        <v>177</v>
      </c>
    </row>
    <row r="26" spans="1:4" x14ac:dyDescent="0.25">
      <c r="A26" s="18"/>
      <c r="B26" s="18">
        <v>0</v>
      </c>
    </row>
  </sheetData>
  <mergeCells count="3">
    <mergeCell ref="A1:C1"/>
    <mergeCell ref="A14:C14"/>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X10"/>
  <sheetViews>
    <sheetView workbookViewId="0">
      <selection sqref="A1:C1"/>
    </sheetView>
  </sheetViews>
  <sheetFormatPr defaultRowHeight="13.2" x14ac:dyDescent="0.25"/>
  <cols>
    <col min="1" max="1" width="15.44140625" bestFit="1" customWidth="1"/>
    <col min="2" max="2" width="71.5546875" bestFit="1" customWidth="1"/>
    <col min="3" max="3" width="28.109375" bestFit="1" customWidth="1"/>
    <col min="4" max="4" width="17.88671875" bestFit="1" customWidth="1"/>
    <col min="5" max="5" width="26.44140625" bestFit="1" customWidth="1"/>
    <col min="6" max="6" width="12.33203125" customWidth="1"/>
    <col min="7" max="7" width="12.88671875" bestFit="1" customWidth="1"/>
    <col min="8" max="8" width="12.109375" bestFit="1" customWidth="1"/>
    <col min="9" max="9" width="19.5546875" bestFit="1" customWidth="1"/>
    <col min="10" max="10" width="16" customWidth="1"/>
    <col min="11" max="11" width="15.33203125" customWidth="1"/>
    <col min="12" max="12" width="8.109375" bestFit="1" customWidth="1"/>
    <col min="13" max="13" width="9.109375" bestFit="1" customWidth="1"/>
    <col min="14" max="16" width="9.109375" customWidth="1"/>
    <col min="17" max="17" width="11.44140625" bestFit="1" customWidth="1"/>
    <col min="18" max="19" width="11.44140625" customWidth="1"/>
    <col min="20" max="20" width="17.44140625" bestFit="1" customWidth="1"/>
    <col min="21" max="21" width="16.109375" customWidth="1"/>
    <col min="22" max="22" width="77.21875" bestFit="1" customWidth="1"/>
    <col min="23" max="23" width="25.88671875" bestFit="1" customWidth="1"/>
    <col min="24" max="24" width="48.44140625" style="21" bestFit="1" customWidth="1"/>
  </cols>
  <sheetData>
    <row r="1" spans="1:24" ht="13.8" thickBot="1" x14ac:dyDescent="0.3">
      <c r="A1" s="131" t="s">
        <v>203</v>
      </c>
      <c r="B1" s="132"/>
      <c r="C1" s="133"/>
    </row>
    <row r="2" spans="1:24" x14ac:dyDescent="0.25">
      <c r="F2" s="140" t="s">
        <v>204</v>
      </c>
      <c r="G2" s="140"/>
      <c r="H2" s="140"/>
      <c r="I2" s="137" t="s">
        <v>205</v>
      </c>
      <c r="J2" s="138"/>
      <c r="K2" s="138"/>
      <c r="L2" s="137" t="s">
        <v>206</v>
      </c>
      <c r="M2" s="138"/>
      <c r="N2" s="138"/>
      <c r="O2" s="138"/>
      <c r="P2" s="138"/>
      <c r="Q2" s="139"/>
      <c r="R2" s="137" t="s">
        <v>207</v>
      </c>
      <c r="S2" s="138"/>
      <c r="T2" s="138"/>
      <c r="U2" s="139"/>
      <c r="V2" s="137" t="s">
        <v>208</v>
      </c>
      <c r="W2" s="139"/>
    </row>
    <row r="3" spans="1:24" s="44" customFormat="1" ht="34.200000000000003" x14ac:dyDescent="0.2">
      <c r="A3" s="40" t="s">
        <v>187</v>
      </c>
      <c r="B3" s="40" t="s">
        <v>200</v>
      </c>
      <c r="C3" s="40" t="s">
        <v>202</v>
      </c>
      <c r="D3" s="40" t="s">
        <v>209</v>
      </c>
      <c r="E3" s="40" t="s">
        <v>111</v>
      </c>
      <c r="F3" s="41" t="s">
        <v>210</v>
      </c>
      <c r="G3" s="41" t="s">
        <v>211</v>
      </c>
      <c r="H3" s="40" t="s">
        <v>212</v>
      </c>
      <c r="I3" s="41" t="s">
        <v>213</v>
      </c>
      <c r="J3" s="41" t="s">
        <v>214</v>
      </c>
      <c r="K3" s="41" t="s">
        <v>215</v>
      </c>
      <c r="L3" s="45" t="s">
        <v>216</v>
      </c>
      <c r="M3" s="45" t="s">
        <v>217</v>
      </c>
      <c r="N3" s="41" t="s">
        <v>218</v>
      </c>
      <c r="O3" s="41" t="s">
        <v>219</v>
      </c>
      <c r="P3" s="41" t="s">
        <v>220</v>
      </c>
      <c r="Q3" s="41" t="s">
        <v>221</v>
      </c>
      <c r="R3" s="42" t="s">
        <v>216</v>
      </c>
      <c r="S3" s="42" t="s">
        <v>217</v>
      </c>
      <c r="T3" s="42" t="s">
        <v>222</v>
      </c>
      <c r="U3" s="43" t="s">
        <v>223</v>
      </c>
      <c r="V3" s="43" t="s">
        <v>224</v>
      </c>
      <c r="W3" s="43" t="s">
        <v>225</v>
      </c>
      <c r="X3" s="41" t="s">
        <v>20</v>
      </c>
    </row>
    <row r="4" spans="1:24" x14ac:dyDescent="0.25">
      <c r="A4" s="11" t="s">
        <v>253</v>
      </c>
      <c r="B4" s="11" t="s">
        <v>278</v>
      </c>
      <c r="C4" s="11" t="s">
        <v>263</v>
      </c>
      <c r="D4" s="11" t="s">
        <v>264</v>
      </c>
      <c r="E4" s="11" t="s">
        <v>265</v>
      </c>
      <c r="F4" s="11" t="s">
        <v>266</v>
      </c>
      <c r="G4" s="11" t="s">
        <v>266</v>
      </c>
      <c r="H4" s="11" t="s">
        <v>266</v>
      </c>
      <c r="I4" s="11" t="s">
        <v>266</v>
      </c>
      <c r="J4" s="11" t="s">
        <v>267</v>
      </c>
      <c r="K4" s="11" t="s">
        <v>232</v>
      </c>
      <c r="L4" s="11" t="s">
        <v>266</v>
      </c>
      <c r="M4" s="11" t="s">
        <v>266</v>
      </c>
      <c r="N4" s="11" t="s">
        <v>266</v>
      </c>
      <c r="O4" s="11" t="s">
        <v>266</v>
      </c>
      <c r="P4" s="11" t="s">
        <v>266</v>
      </c>
      <c r="Q4" s="11" t="s">
        <v>266</v>
      </c>
      <c r="R4" s="11" t="s">
        <v>266</v>
      </c>
      <c r="S4" s="11" t="s">
        <v>266</v>
      </c>
      <c r="T4" s="11" t="s">
        <v>266</v>
      </c>
      <c r="U4" s="11" t="s">
        <v>266</v>
      </c>
      <c r="V4" s="11" t="s">
        <v>270</v>
      </c>
      <c r="W4" s="11"/>
      <c r="X4" s="25" t="s">
        <v>284</v>
      </c>
    </row>
    <row r="5" spans="1:24" x14ac:dyDescent="0.25">
      <c r="A5" s="11" t="s">
        <v>253</v>
      </c>
      <c r="B5" s="11" t="s">
        <v>278</v>
      </c>
      <c r="C5" s="11" t="s">
        <v>263</v>
      </c>
      <c r="D5" s="11" t="s">
        <v>264</v>
      </c>
      <c r="E5" s="11" t="s">
        <v>265</v>
      </c>
      <c r="F5" s="11" t="s">
        <v>266</v>
      </c>
      <c r="G5" s="11" t="s">
        <v>266</v>
      </c>
      <c r="H5" s="11" t="s">
        <v>266</v>
      </c>
      <c r="I5" s="11" t="s">
        <v>266</v>
      </c>
      <c r="J5" s="11" t="s">
        <v>267</v>
      </c>
      <c r="K5" s="11" t="s">
        <v>232</v>
      </c>
      <c r="L5" s="11" t="s">
        <v>266</v>
      </c>
      <c r="M5" s="11" t="s">
        <v>266</v>
      </c>
      <c r="N5" s="11" t="s">
        <v>266</v>
      </c>
      <c r="O5" s="11" t="s">
        <v>266</v>
      </c>
      <c r="P5" s="11" t="s">
        <v>266</v>
      </c>
      <c r="Q5" s="11" t="s">
        <v>266</v>
      </c>
      <c r="R5" s="11" t="s">
        <v>266</v>
      </c>
      <c r="S5" s="11" t="s">
        <v>266</v>
      </c>
      <c r="T5" s="11" t="s">
        <v>266</v>
      </c>
      <c r="U5" s="11" t="s">
        <v>266</v>
      </c>
      <c r="V5" s="11" t="s">
        <v>271</v>
      </c>
      <c r="W5" s="11"/>
      <c r="X5" s="25" t="s">
        <v>284</v>
      </c>
    </row>
    <row r="6" spans="1:24" x14ac:dyDescent="0.25">
      <c r="A6" s="11" t="s">
        <v>261</v>
      </c>
      <c r="B6" s="11" t="s">
        <v>277</v>
      </c>
      <c r="C6" s="11" t="s">
        <v>268</v>
      </c>
      <c r="D6" s="11" t="s">
        <v>264</v>
      </c>
      <c r="E6" s="11" t="s">
        <v>269</v>
      </c>
      <c r="F6" s="11" t="s">
        <v>266</v>
      </c>
      <c r="G6" s="11" t="s">
        <v>266</v>
      </c>
      <c r="H6" s="11" t="s">
        <v>266</v>
      </c>
      <c r="I6" s="11" t="s">
        <v>266</v>
      </c>
      <c r="J6" s="11" t="s">
        <v>267</v>
      </c>
      <c r="K6" s="11" t="s">
        <v>232</v>
      </c>
      <c r="L6" s="11" t="s">
        <v>266</v>
      </c>
      <c r="M6" s="11" t="s">
        <v>266</v>
      </c>
      <c r="N6" s="11" t="s">
        <v>266</v>
      </c>
      <c r="O6" s="11" t="s">
        <v>266</v>
      </c>
      <c r="P6" s="11" t="s">
        <v>266</v>
      </c>
      <c r="Q6" s="11" t="s">
        <v>266</v>
      </c>
      <c r="R6" s="11" t="s">
        <v>266</v>
      </c>
      <c r="S6" s="11" t="s">
        <v>266</v>
      </c>
      <c r="T6" s="11" t="s">
        <v>266</v>
      </c>
      <c r="U6" s="11" t="s">
        <v>266</v>
      </c>
      <c r="V6" s="11" t="s">
        <v>270</v>
      </c>
      <c r="W6" s="11"/>
      <c r="X6" s="25" t="s">
        <v>284</v>
      </c>
    </row>
    <row r="7" spans="1:24" x14ac:dyDescent="0.25">
      <c r="A7" s="11" t="s">
        <v>261</v>
      </c>
      <c r="B7" s="11" t="s">
        <v>277</v>
      </c>
      <c r="C7" s="11" t="s">
        <v>268</v>
      </c>
      <c r="D7" s="11" t="s">
        <v>264</v>
      </c>
      <c r="E7" s="11" t="s">
        <v>269</v>
      </c>
      <c r="F7" s="11" t="s">
        <v>266</v>
      </c>
      <c r="G7" s="11" t="s">
        <v>266</v>
      </c>
      <c r="H7" s="11" t="s">
        <v>266</v>
      </c>
      <c r="I7" s="11" t="s">
        <v>266</v>
      </c>
      <c r="J7" s="11" t="s">
        <v>267</v>
      </c>
      <c r="K7" s="11" t="s">
        <v>232</v>
      </c>
      <c r="L7" s="11" t="s">
        <v>266</v>
      </c>
      <c r="M7" s="11" t="s">
        <v>266</v>
      </c>
      <c r="N7" s="11" t="s">
        <v>266</v>
      </c>
      <c r="O7" s="11" t="s">
        <v>266</v>
      </c>
      <c r="P7" s="11" t="s">
        <v>266</v>
      </c>
      <c r="Q7" s="11" t="s">
        <v>266</v>
      </c>
      <c r="R7" s="11" t="s">
        <v>266</v>
      </c>
      <c r="S7" s="11" t="s">
        <v>266</v>
      </c>
      <c r="T7" s="11" t="s">
        <v>266</v>
      </c>
      <c r="U7" s="11" t="s">
        <v>266</v>
      </c>
      <c r="V7" s="11" t="s">
        <v>271</v>
      </c>
      <c r="W7" s="11"/>
      <c r="X7" s="25" t="s">
        <v>284</v>
      </c>
    </row>
    <row r="9" spans="1:24" x14ac:dyDescent="0.25">
      <c r="A9" s="19" t="s">
        <v>26</v>
      </c>
      <c r="B9" s="19" t="s">
        <v>177</v>
      </c>
    </row>
    <row r="10" spans="1:24" x14ac:dyDescent="0.25">
      <c r="A10" s="18"/>
      <c r="B10" s="18">
        <f>SUM(Y:Y)</f>
        <v>0</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sqref="A1:C1"/>
    </sheetView>
  </sheetViews>
  <sheetFormatPr defaultRowHeight="13.2" x14ac:dyDescent="0.25"/>
  <cols>
    <col min="1" max="1" width="16.33203125" bestFit="1" customWidth="1"/>
    <col min="2" max="2" width="15.33203125" customWidth="1"/>
    <col min="3" max="3" width="44.5546875" bestFit="1" customWidth="1"/>
  </cols>
  <sheetData>
    <row r="1" spans="1:3" ht="13.8" thickBot="1" x14ac:dyDescent="0.3">
      <c r="A1" s="131" t="s">
        <v>115</v>
      </c>
      <c r="B1" s="132"/>
      <c r="C1" s="133"/>
    </row>
    <row r="3" spans="1:3" ht="39.6" x14ac:dyDescent="0.25">
      <c r="A3" s="26" t="s">
        <v>226</v>
      </c>
      <c r="B3" s="26" t="s">
        <v>162</v>
      </c>
      <c r="C3" s="26" t="s">
        <v>59</v>
      </c>
    </row>
    <row r="4" spans="1:3" x14ac:dyDescent="0.25">
      <c r="A4" s="39"/>
      <c r="B4" s="39"/>
      <c r="C4" s="39"/>
    </row>
    <row r="5" spans="1:3" x14ac:dyDescent="0.25">
      <c r="A5" s="11"/>
      <c r="B5" s="11"/>
      <c r="C5" s="20"/>
    </row>
    <row r="6" spans="1:3" x14ac:dyDescent="0.25">
      <c r="A6" s="11"/>
      <c r="B6" s="11"/>
      <c r="C6" s="11"/>
    </row>
    <row r="9" spans="1:3" x14ac:dyDescent="0.25">
      <c r="A9" s="19" t="s">
        <v>26</v>
      </c>
      <c r="B9" s="19" t="s">
        <v>177</v>
      </c>
    </row>
    <row r="10" spans="1:3" x14ac:dyDescent="0.25">
      <c r="A10" s="18"/>
      <c r="B10" s="18"/>
    </row>
  </sheetData>
  <mergeCells count="1">
    <mergeCell ref="A1:C1"/>
  </mergeCells>
  <phoneticPr fontId="2" type="noConversion"/>
  <pageMargins left="0.75" right="0.75" top="1" bottom="1" header="0.5" footer="0.5"/>
  <pageSetup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sqref="A1:D1"/>
    </sheetView>
  </sheetViews>
  <sheetFormatPr defaultRowHeight="13.2" x14ac:dyDescent="0.25"/>
  <cols>
    <col min="1" max="1" width="21.88671875" bestFit="1" customWidth="1"/>
    <col min="2" max="2" width="27.88671875" bestFit="1" customWidth="1"/>
    <col min="3" max="3" width="16.44140625" bestFit="1" customWidth="1"/>
    <col min="4" max="4" width="14.6640625" bestFit="1" customWidth="1"/>
    <col min="5" max="5" width="22.88671875" customWidth="1"/>
    <col min="6" max="6" width="20.33203125" customWidth="1"/>
    <col min="8" max="8" width="22.33203125" bestFit="1" customWidth="1"/>
    <col min="30" max="30" width="23.44140625" bestFit="1" customWidth="1"/>
  </cols>
  <sheetData>
    <row r="1" spans="1:8" ht="13.8" thickBot="1" x14ac:dyDescent="0.3">
      <c r="A1" s="131" t="s">
        <v>117</v>
      </c>
      <c r="B1" s="132"/>
      <c r="C1" s="132"/>
      <c r="D1" s="133"/>
    </row>
    <row r="3" spans="1:8" x14ac:dyDescent="0.25">
      <c r="A3" s="12" t="s">
        <v>227</v>
      </c>
      <c r="B3" s="12" t="s">
        <v>228</v>
      </c>
      <c r="C3" s="12" t="s">
        <v>94</v>
      </c>
      <c r="D3" s="12" t="s">
        <v>229</v>
      </c>
      <c r="E3" s="12" t="s">
        <v>230</v>
      </c>
      <c r="F3" s="12" t="s">
        <v>231</v>
      </c>
    </row>
    <row r="4" spans="1:8" x14ac:dyDescent="0.25">
      <c r="A4" s="17" t="s">
        <v>233</v>
      </c>
      <c r="B4" s="38"/>
      <c r="C4" s="39"/>
      <c r="D4" s="39"/>
      <c r="E4" s="39"/>
      <c r="F4" s="11" t="s">
        <v>156</v>
      </c>
    </row>
    <row r="5" spans="1:8" x14ac:dyDescent="0.25">
      <c r="A5" s="17" t="s">
        <v>233</v>
      </c>
      <c r="B5" s="38"/>
      <c r="C5" s="39"/>
      <c r="D5" s="39"/>
      <c r="E5" s="39"/>
      <c r="F5" s="11" t="s">
        <v>156</v>
      </c>
    </row>
    <row r="8" spans="1:8" x14ac:dyDescent="0.25">
      <c r="A8" s="12" t="s">
        <v>234</v>
      </c>
      <c r="B8" s="36" t="s">
        <v>235</v>
      </c>
      <c r="C8" s="36" t="s">
        <v>236</v>
      </c>
      <c r="D8" s="36" t="s">
        <v>237</v>
      </c>
      <c r="E8" s="36" t="s">
        <v>238</v>
      </c>
      <c r="F8" s="36" t="s">
        <v>239</v>
      </c>
      <c r="G8" s="36" t="s">
        <v>240</v>
      </c>
      <c r="H8" s="36" t="s">
        <v>241</v>
      </c>
    </row>
    <row r="9" spans="1:8" x14ac:dyDescent="0.25">
      <c r="A9" s="12" t="s">
        <v>242</v>
      </c>
      <c r="B9" s="37"/>
      <c r="C9" s="37"/>
      <c r="D9" s="37"/>
      <c r="E9" s="37"/>
      <c r="F9" s="37"/>
      <c r="G9" s="37"/>
      <c r="H9" s="37"/>
    </row>
    <row r="10" spans="1:8" x14ac:dyDescent="0.25">
      <c r="A10" s="12" t="s">
        <v>242</v>
      </c>
      <c r="B10" s="37"/>
      <c r="C10" s="37"/>
      <c r="D10" s="37"/>
      <c r="E10" s="37"/>
      <c r="F10" s="37"/>
      <c r="G10" s="37"/>
      <c r="H10" s="37"/>
    </row>
    <row r="11" spans="1:8" x14ac:dyDescent="0.25">
      <c r="A11" s="12" t="s">
        <v>242</v>
      </c>
      <c r="B11" s="37"/>
      <c r="C11" s="37"/>
      <c r="D11" s="37"/>
      <c r="E11" s="37"/>
      <c r="F11" s="37"/>
      <c r="G11" s="37"/>
      <c r="H11" s="37"/>
    </row>
    <row r="15" spans="1:8" x14ac:dyDescent="0.25">
      <c r="B15" s="35" t="s">
        <v>243</v>
      </c>
      <c r="C15" s="141" t="s">
        <v>244</v>
      </c>
      <c r="D15" s="141"/>
      <c r="E15" s="141"/>
      <c r="F15" s="141"/>
      <c r="G15" s="141"/>
    </row>
    <row r="16" spans="1:8" x14ac:dyDescent="0.25">
      <c r="B16" s="35" t="s">
        <v>245</v>
      </c>
      <c r="C16" s="141"/>
      <c r="D16" s="141"/>
      <c r="E16" s="141"/>
      <c r="F16" s="141"/>
      <c r="G16" s="141"/>
    </row>
    <row r="17" spans="2:7" x14ac:dyDescent="0.25">
      <c r="B17" s="35" t="s">
        <v>246</v>
      </c>
      <c r="C17" s="141"/>
      <c r="D17" s="141"/>
      <c r="E17" s="141"/>
      <c r="F17" s="141"/>
      <c r="G17" s="141"/>
    </row>
    <row r="18" spans="2:7" x14ac:dyDescent="0.25">
      <c r="B18" s="35" t="s">
        <v>247</v>
      </c>
      <c r="C18" s="141"/>
      <c r="D18" s="141"/>
      <c r="E18" s="141"/>
      <c r="F18" s="141"/>
      <c r="G18" s="141"/>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sqref="A1:B1"/>
    </sheetView>
  </sheetViews>
  <sheetFormatPr defaultRowHeight="13.2" x14ac:dyDescent="0.25"/>
  <cols>
    <col min="1" max="1" width="15.109375" bestFit="1" customWidth="1"/>
    <col min="2" max="2" width="48" customWidth="1"/>
  </cols>
  <sheetData>
    <row r="1" spans="1:2" x14ac:dyDescent="0.25">
      <c r="A1" s="142" t="s">
        <v>248</v>
      </c>
      <c r="B1" s="143"/>
    </row>
    <row r="2" spans="1:2" x14ac:dyDescent="0.25">
      <c r="A2" s="63" t="s">
        <v>249</v>
      </c>
      <c r="B2" s="78"/>
    </row>
    <row r="3" spans="1:2" x14ac:dyDescent="0.25">
      <c r="A3" s="63" t="s">
        <v>250</v>
      </c>
      <c r="B3" s="78"/>
    </row>
    <row r="4" spans="1:2" ht="13.8" thickBot="1" x14ac:dyDescent="0.3">
      <c r="A4" s="64" t="s">
        <v>251</v>
      </c>
      <c r="B4" s="88"/>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9" ma:contentTypeDescription="Create a new document." ma:contentTypeScope="" ma:versionID="56a8f7b4b4809e6d49e6414ae3ae5db0">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dfcd7dce8b93c82db1af275abb657b7"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Props1.xml><?xml version="1.0" encoding="utf-8"?>
<ds:datastoreItem xmlns:ds="http://schemas.openxmlformats.org/officeDocument/2006/customXml" ds:itemID="{BD9B784F-9486-4C16-BD56-4663ABCB41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569788-0767-4c16-bd44-94994fd42c43"/>
    <ds:schemaRef ds:uri="6d0617fb-1757-47f7-87ee-4de08b985d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E3FF3FE-4DF8-45AA-836B-B794E5391AF2}">
  <ds:schemaRefs>
    <ds:schemaRef ds:uri="http://schemas.microsoft.com/sharepoint/v3/contenttype/forms"/>
  </ds:schemaRefs>
</ds:datastoreItem>
</file>

<file path=customXml/itemProps3.xml><?xml version="1.0" encoding="utf-8"?>
<ds:datastoreItem xmlns:ds="http://schemas.openxmlformats.org/officeDocument/2006/customXml" ds:itemID="{D1DA038B-0D02-4A46-9984-E263D5F1CBF3}">
  <ds:schemaRefs>
    <ds:schemaRef ds:uri="http://schemas.microsoft.com/office/2006/metadata/properties"/>
    <ds:schemaRef ds:uri="http://schemas.microsoft.com/office/infopath/2007/PartnerControls"/>
    <ds:schemaRef ds:uri="6d0617fb-1757-47f7-87ee-4de08b985d9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Jeetun, J.</cp:lastModifiedBy>
  <cp:revision/>
  <dcterms:created xsi:type="dcterms:W3CDTF">2009-06-01T12:18:44Z</dcterms:created>
  <dcterms:modified xsi:type="dcterms:W3CDTF">2021-11-12T06:13:34Z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