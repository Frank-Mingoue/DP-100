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f.mingoue.tchagou\Desktop\FINAL SK DEPLOYEMENT\Tests Scripts\"/>
    </mc:Choice>
  </mc:AlternateContent>
  <xr:revisionPtr revIDLastSave="0" documentId="13_ncr:1_{78C0853F-DB49-4864-B484-D54E3CD03B63}" xr6:coauthVersionLast="46" xr6:coauthVersionMax="46" xr10:uidLastSave="{00000000-0000-0000-0000-000000000000}"/>
  <bookViews>
    <workbookView xWindow="-108" yWindow="-108" windowWidth="23256" windowHeight="1257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<sst xmlns="http://schemas.openxmlformats.org/spreadsheetml/2006/main" count="181" uniqueCount="119">
  <si>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</si>
  <si>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</si>
  <si>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</si>
  <si>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</si>
  <si>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</si>
  <si>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</si>
  <si>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</si>
  <si>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</si>
  <si>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</si>
  <si>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</si>
  <si>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</si>
  <si>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</si>
  <si>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</si>
  <si>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</si>
  <si>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</si>
  <si>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</si>
  <si>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</si>
  <si>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</si>
  <si>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</si>
  <si>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</si>
  <si>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</si>
  <si>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</si>
  <si>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</si>
  <si>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</si>
  <si>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</si>
  <si>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</si>
  <si>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</si>
  <si>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</si>
  <si>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</si>
  <si>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</si>
  <si>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</si>
  <si>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</si>
  <si>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</si>
  <si>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</si>
  <si>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</si>
  <si>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</si>
  <si>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</si>
  <si>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</si>
  <si>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</si>
  <si>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</si>
  <si>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</si>
  <si>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</si>
  <si>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</si>
  <si>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</si>
  <si>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</si>
  <si>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</si>
  <si>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</si>
  <si>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</si>
  <si>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</si>
  <si>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</si>
  <si>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</si>
  <si>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</si>
  <si>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</si>
  <si>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</si>
  <si>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</si>
  <si>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</si>
  <si>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</si>
  <si>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</si>
  <si>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</si>
  <si>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</si>
  <si>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</si>
  <si>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</si>
  <si>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</si>
  <si>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</si>
  <si>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</si>
  <si>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</si>
  <si>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</si>
  <si>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</si>
  <si>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</si>
  <si>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</si>
  <si>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</si>
  <si>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</si>
  <si>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</si>
  <si>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</si>
  <si>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</si>
  <si>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</si>
  <si>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</si>
  <si>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</si>
  <si>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</si>
  <si>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</si>
  <si>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</si>
  <si>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</si>
  <si>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</si>
  <si>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 xml:space="preserve">Reset Test Data </t>
  </si>
  <si>
    <t>Run Script to reset test data</t>
  </si>
  <si>
    <t>SIEBEL_OLTP_DEV14</t>
  </si>
  <si>
    <t>DELETE FROM S_ASSET WHERE ASSET_NUM IN ('CHG216250_Null','CHG216250_Valid')</t>
  </si>
  <si>
    <t>2 rows affected</t>
  </si>
  <si>
    <t>SELECT * FROM S_ASSET(NOLOCK) WHERE ASSET_NUM IN ('CHG216250_Null','CHG216250_Valid')</t>
  </si>
  <si>
    <t>0 record returned</t>
  </si>
  <si>
    <t>Place FF in IUNP</t>
  </si>
  <si>
    <t>Place FF in path : \\10.186.26.22\Interfaces_IP14\Kazakhstan\IUNP</t>
  </si>
  <si>
    <t>Infa Server</t>
  </si>
  <si>
    <t>N/A</t>
  </si>
  <si>
    <t>FF correctly placed</t>
  </si>
  <si>
    <t>Register FF</t>
  </si>
  <si>
    <t>SELECT * FROM WC_ETL_FILES_G WHERE FILENAME LIKE '%KZAS1101_20210913_10.txt%'</t>
  </si>
  <si>
    <t>1 record returned</t>
  </si>
  <si>
    <t>Load Test Data</t>
  </si>
  <si>
    <t>Open Workflow Manager.
Launch EIM_INTERFACE --&gt; wrk_pre_Etl</t>
  </si>
  <si>
    <t>Launch EIM_INTERFACE --&gt; wrk_Assets_Interface</t>
  </si>
  <si>
    <t>Informatica &amp; SIEBEL_OLAP_DEV81</t>
  </si>
  <si>
    <t>Informatica &amp; SIEBEL_OLTP_DEV14</t>
  </si>
  <si>
    <t>SELECT * FROM EIM_ASSET WHERE IF_ROW_BATCH_NUM=42000
SELECT X_SHOWCASE_CD,* FROM S_ASSET(NOLOCK) WHERE ASSET_NUM IN ('CHG216250_Null','CHG216250_Valid')</t>
  </si>
  <si>
    <t>IF_ROW_STAT='IMPORTED'
2 records with values NULL &amp; 'Showcase' returned</t>
  </si>
  <si>
    <t>Launch EC4U --&gt; Load_EIM --&gt; wrk_Assets_Interface</t>
  </si>
  <si>
    <t>Check Error</t>
  </si>
  <si>
    <t>Launch Script to check error</t>
  </si>
  <si>
    <t xml:space="preserve">SELECT * FROM WC_ERRORS_G WHERE FILE_NAME LIKE 'KZAS1101_20210913_10%' </t>
  </si>
  <si>
    <t>Wrong value 'Not_OK' in field X_SHOWCASE_CD is returned</t>
  </si>
  <si>
    <t>N</t>
  </si>
  <si>
    <t>Y</t>
  </si>
  <si>
    <t>14/10/2021</t>
  </si>
  <si>
    <t>Frank</t>
  </si>
  <si>
    <t>Account</t>
  </si>
  <si>
    <t>Place FF in path : \\10.186.26.22\Interfaces_IP14\Slovakia\IUNP</t>
  </si>
  <si>
    <t>CHG215150</t>
  </si>
  <si>
    <t>TME CZ extension to HU and SK markets - new markets deployment</t>
  </si>
  <si>
    <t>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</si>
</sst>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6"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2" fillId="0" borderId="0" applyNumberFormat="0" applyFill="0" applyBorder="0" applyAlignment="0" applyProtection="0">
      <alignment vertical="top"/>
      <protection locked="0"/>
    </xf>
    <xf numFmtId="0" fontId="43" fillId="0" borderId="0"/>
    <xf numFmtId="0" fontId="2" fillId="0" borderId="0"/>
    <xf numFmtId="0" fontId="43" fillId="0" borderId="0"/>
    <xf numFmtId="0" fontId="43"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97">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xf numFmtId="0" fontId="37" fillId="0" borderId="0" xfId="37"/>
    <xf numFmtId="0" fontId="2" fillId="0" borderId="0" xfId="37" applyFont="1"/>
    <xf numFmtId="0" fontId="38"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Fill="1" applyBorder="1" applyAlignment="1">
      <alignment vertical="top"/>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9" fillId="0" borderId="10" xfId="37" applyFont="1" applyBorder="1" applyAlignment="1">
      <alignment vertical="top"/>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2"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Fill="1" applyBorder="1" applyAlignment="1">
      <alignment wrapText="1"/>
    </xf>
    <xf numFmtId="15" fontId="44" fillId="0" borderId="10" xfId="32" applyNumberFormat="1" applyFont="1" applyBorder="1" applyAlignment="1" applyProtection="1">
      <alignment horizontal="left" vertical="center" wrapText="1"/>
    </xf>
    <xf numFmtId="0" fontId="37" fillId="0" borderId="0" xfId="37" applyAlignment="1">
      <alignment horizontal="left" vertical="top"/>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49" fontId="3" fillId="24" borderId="10" xfId="37" applyNumberFormat="1" applyFont="1" applyFill="1" applyBorder="1" applyAlignment="1">
      <alignment horizontal="center" vertical="top"/>
    </xf>
    <xf numFmtId="0" fontId="38" fillId="25" borderId="10" xfId="37" applyFont="1" applyFill="1" applyBorder="1" applyAlignment="1">
      <alignment horizontal="right" vertical="top" wrapText="1"/>
    </xf>
    <xf numFmtId="0" fontId="3" fillId="0" borderId="0" xfId="0" applyFont="1" applyFill="1"/>
    <xf numFmtId="0" fontId="0" fillId="0" borderId="0" xfId="0" applyFill="1"/>
    <xf numFmtId="0" fontId="37" fillId="0" borderId="10" xfId="37" applyFont="1" applyFill="1" applyBorder="1" applyAlignment="1">
      <alignment vertical="top" wrapText="1"/>
    </xf>
    <xf numFmtId="0" fontId="37" fillId="0" borderId="10" xfId="37" applyFont="1" applyBorder="1" applyAlignment="1">
      <alignment horizontal="left" vertical="top" wrapText="1"/>
    </xf>
    <xf numFmtId="0" fontId="37" fillId="0" borderId="10" xfId="37" applyBorder="1" applyAlignment="1">
      <alignment horizontal="left" vertical="top"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3"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39"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982980</xdr:colOff>
          <xdr:row>11</xdr:row>
          <xdr:rowOff>830580</xdr:rowOff>
        </xdr:from>
        <xdr:to>
          <xdr:col>2</xdr:col>
          <xdr:colOff>2651760</xdr:colOff>
          <xdr:row>11</xdr:row>
          <xdr:rowOff>1348740</xdr:rowOff>
        </xdr:to>
        <xdr:sp macro="" textlink="">
          <xdr:nvSpPr>
            <xdr:cNvPr id="10285" name="Object 45" hidden="1">
              <a:extLst>
                <a:ext uri="{63B3BB69-23CF-44E3-9099-C40C66FF867C}">
                  <a14:compatExt spid="_x0000_s10285"/>
                </a:ext>
                <a:ext uri="{FF2B5EF4-FFF2-40B4-BE49-F238E27FC236}">
                  <a16:creationId xmlns:a16="http://schemas.microsoft.com/office/drawing/2014/main" id="{00000000-0008-0000-0200-00002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35" zoomScale="66" workbookViewId="0">
      <selection activeCell="A19" sqref="A19:S19"/>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77" t="s">
        <v>2</v>
      </c>
      <c r="B13" s="77"/>
      <c r="C13" s="77"/>
      <c r="D13" s="77"/>
      <c r="E13" s="77"/>
      <c r="F13" s="77"/>
      <c r="G13" s="77"/>
      <c r="H13" s="77"/>
      <c r="I13" s="77"/>
      <c r="J13" s="77"/>
      <c r="K13" s="77"/>
      <c r="L13" s="77"/>
      <c r="M13" s="77"/>
      <c r="N13" s="77"/>
      <c r="O13" s="77"/>
      <c r="P13" s="77"/>
      <c r="Q13" s="77"/>
      <c r="R13" s="77"/>
      <c r="S13" s="77"/>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78" t="s">
        <v>17</v>
      </c>
      <c r="B18" s="78"/>
      <c r="C18" s="78"/>
      <c r="D18" s="78"/>
      <c r="E18" s="78"/>
      <c r="F18" s="78"/>
      <c r="G18" s="78"/>
      <c r="H18" s="78"/>
      <c r="I18" s="78"/>
      <c r="J18" s="78"/>
      <c r="K18" s="78"/>
      <c r="L18" s="78"/>
      <c r="M18" s="78"/>
      <c r="N18" s="78"/>
      <c r="O18" s="78"/>
      <c r="P18" s="78"/>
      <c r="Q18" s="78"/>
      <c r="R18" s="78"/>
      <c r="S18" s="78"/>
    </row>
    <row r="19" spans="1:19" s="15" customFormat="1" ht="40.65" customHeight="1" x14ac:dyDescent="0.25">
      <c r="A19" s="79" t="s">
        <v>1</v>
      </c>
      <c r="B19" s="79"/>
      <c r="C19" s="79"/>
      <c r="D19" s="79"/>
      <c r="E19" s="79"/>
      <c r="F19" s="79"/>
      <c r="G19" s="79"/>
      <c r="H19" s="79"/>
      <c r="I19" s="79"/>
      <c r="J19" s="79"/>
      <c r="K19" s="79"/>
      <c r="L19" s="79"/>
      <c r="M19" s="79"/>
      <c r="N19" s="79"/>
      <c r="O19" s="79"/>
      <c r="P19" s="79"/>
      <c r="Q19" s="79"/>
      <c r="R19" s="79"/>
      <c r="S19" s="79"/>
    </row>
    <row r="20" spans="1:19" s="15" customFormat="1" ht="13.8" x14ac:dyDescent="0.25">
      <c r="A20" s="16"/>
      <c r="B20" s="16"/>
      <c r="C20" s="16"/>
      <c r="D20" s="16"/>
      <c r="E20" s="16"/>
      <c r="F20" s="16"/>
      <c r="G20" s="16"/>
      <c r="H20" s="16"/>
      <c r="I20" s="16"/>
      <c r="J20" s="16"/>
    </row>
    <row r="21" spans="1:19" s="15" customFormat="1" ht="58.65" customHeight="1" x14ac:dyDescent="0.25">
      <c r="A21" s="80" t="s">
        <v>74</v>
      </c>
      <c r="B21" s="80"/>
      <c r="C21" s="80"/>
      <c r="D21" s="80"/>
      <c r="E21" s="80"/>
      <c r="F21" s="80"/>
      <c r="G21" s="80"/>
      <c r="H21" s="80"/>
      <c r="I21" s="80"/>
      <c r="J21" s="6"/>
      <c r="K21" s="81" t="s">
        <v>116</v>
      </c>
      <c r="L21" s="81"/>
      <c r="M21" s="81"/>
      <c r="N21" s="81"/>
      <c r="O21" s="81"/>
      <c r="P21" s="81"/>
      <c r="Q21" s="81"/>
      <c r="R21" s="81"/>
      <c r="S21" s="81"/>
    </row>
    <row r="22" spans="1:19" s="15" customFormat="1" ht="13.8" x14ac:dyDescent="0.25">
      <c r="A22" s="16"/>
      <c r="B22" s="16"/>
      <c r="C22" s="16"/>
      <c r="D22" s="16"/>
      <c r="E22" s="16"/>
      <c r="F22" s="16"/>
      <c r="G22" s="16"/>
      <c r="H22" s="16"/>
      <c r="I22" s="16"/>
      <c r="J22" s="16"/>
    </row>
    <row r="23" spans="1:19" s="15" customFormat="1" ht="70.2" customHeight="1" x14ac:dyDescent="0.25">
      <c r="A23" s="84" t="s">
        <v>18</v>
      </c>
      <c r="B23" s="84"/>
      <c r="C23" s="84"/>
      <c r="D23" s="84"/>
      <c r="E23" s="84"/>
      <c r="F23" s="84"/>
      <c r="G23" s="84"/>
      <c r="H23" s="84"/>
      <c r="I23" s="84"/>
      <c r="J23" s="7"/>
      <c r="K23" s="85" t="s">
        <v>117</v>
      </c>
      <c r="L23" s="85"/>
      <c r="M23" s="85"/>
      <c r="N23" s="85"/>
      <c r="O23" s="85"/>
      <c r="P23" s="85"/>
      <c r="Q23" s="85"/>
      <c r="R23" s="85"/>
      <c r="S23" s="85"/>
    </row>
    <row r="24" spans="1:19" s="15" customFormat="1" ht="13.8" x14ac:dyDescent="0.25">
      <c r="A24" s="16"/>
      <c r="B24" s="16"/>
      <c r="C24" s="16"/>
      <c r="D24" s="16"/>
      <c r="E24" s="16"/>
      <c r="F24" s="16"/>
      <c r="G24" s="16"/>
      <c r="H24" s="16"/>
      <c r="I24" s="16"/>
      <c r="J24" s="16"/>
    </row>
    <row r="25" spans="1:19" s="15" customFormat="1" ht="70.2" customHeight="1" x14ac:dyDescent="0.25">
      <c r="A25" s="86" t="s">
        <v>3</v>
      </c>
      <c r="B25" s="86"/>
      <c r="C25" s="86"/>
      <c r="D25" s="86"/>
      <c r="E25" s="86"/>
      <c r="F25" s="86"/>
      <c r="G25" s="86"/>
      <c r="H25" s="86"/>
      <c r="I25" s="86"/>
      <c r="J25" s="7"/>
      <c r="K25" s="87" t="s">
        <v>118</v>
      </c>
      <c r="L25" s="87"/>
      <c r="M25" s="87"/>
      <c r="N25" s="87"/>
      <c r="O25" s="87"/>
      <c r="P25" s="87"/>
      <c r="Q25" s="87"/>
      <c r="R25" s="87"/>
      <c r="S25" s="87"/>
    </row>
    <row r="26" spans="1:19" s="15" customFormat="1" ht="13.8" x14ac:dyDescent="0.25">
      <c r="A26" s="16"/>
      <c r="B26" s="16"/>
      <c r="C26" s="16"/>
      <c r="D26" s="16"/>
      <c r="E26" s="16"/>
      <c r="F26" s="16"/>
      <c r="G26" s="16"/>
      <c r="H26" s="16"/>
      <c r="I26" s="16"/>
      <c r="J26" s="16"/>
    </row>
    <row r="27" spans="1:19" ht="27" customHeight="1" x14ac:dyDescent="0.25">
      <c r="A27" s="82" t="s">
        <v>13</v>
      </c>
      <c r="B27" s="82"/>
      <c r="C27" s="82"/>
      <c r="D27" s="82"/>
      <c r="E27" s="82"/>
      <c r="F27" s="82"/>
      <c r="G27" s="82"/>
      <c r="H27" s="82"/>
      <c r="I27" s="82"/>
      <c r="K27" s="83" t="s">
        <v>19</v>
      </c>
      <c r="L27" s="83"/>
      <c r="M27" s="83"/>
      <c r="N27" s="83"/>
      <c r="O27" s="83"/>
      <c r="P27" s="83"/>
      <c r="Q27" s="83"/>
      <c r="R27" s="83"/>
      <c r="S27" s="83"/>
    </row>
    <row r="28" spans="1:19" ht="27" customHeight="1" x14ac:dyDescent="0.25">
      <c r="A28" s="82"/>
      <c r="B28" s="82"/>
      <c r="C28" s="82"/>
      <c r="D28" s="82"/>
      <c r="E28" s="82"/>
      <c r="F28" s="82"/>
      <c r="G28" s="82"/>
      <c r="H28" s="82"/>
      <c r="I28" s="82"/>
      <c r="K28" s="83"/>
      <c r="L28" s="83"/>
      <c r="M28" s="83"/>
      <c r="N28" s="83"/>
      <c r="O28" s="17"/>
      <c r="P28" s="17"/>
      <c r="Q28" s="17"/>
      <c r="R28" s="17"/>
      <c r="S28" s="17"/>
    </row>
    <row r="29" spans="1:19" ht="27" customHeight="1" x14ac:dyDescent="0.25">
      <c r="A29" s="82"/>
      <c r="B29" s="82"/>
      <c r="C29" s="82"/>
      <c r="D29" s="82"/>
      <c r="E29" s="82"/>
      <c r="F29" s="82"/>
      <c r="G29" s="82"/>
      <c r="H29" s="82"/>
      <c r="I29" s="82"/>
      <c r="K29" s="83"/>
      <c r="L29" s="83"/>
      <c r="M29" s="83"/>
      <c r="N29" s="83"/>
      <c r="O29" s="83"/>
      <c r="P29" s="83"/>
      <c r="Q29" s="83"/>
      <c r="R29" s="83"/>
      <c r="S29" s="83"/>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44483</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5" workbookViewId="0">
      <selection activeCell="E18" sqref="E18"/>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88" t="s">
        <v>1</v>
      </c>
      <c r="B8" s="88"/>
      <c r="C8" s="29" t="s">
        <v>8</v>
      </c>
    </row>
    <row r="9" spans="1:3" x14ac:dyDescent="0.25">
      <c r="A9" s="4"/>
      <c r="B9" s="52"/>
      <c r="C9" s="4"/>
    </row>
    <row r="10" spans="1:3" x14ac:dyDescent="0.25">
      <c r="A10" s="5" t="s">
        <v>9</v>
      </c>
      <c r="B10" s="89" t="s">
        <v>10</v>
      </c>
      <c r="C10" s="89"/>
    </row>
    <row r="11" spans="1:3" x14ac:dyDescent="0.25">
      <c r="A11" s="25" t="s">
        <v>11</v>
      </c>
      <c r="B11" s="21" t="s">
        <v>80</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0"/>
      <c r="C15" s="91"/>
    </row>
    <row r="16" spans="1:3" ht="39.75" customHeight="1" x14ac:dyDescent="0.25">
      <c r="A16" s="28" t="s">
        <v>24</v>
      </c>
      <c r="B16" s="28" t="s">
        <v>12</v>
      </c>
      <c r="C16" s="23" t="s">
        <v>25</v>
      </c>
    </row>
    <row r="17" spans="1:3" x14ac:dyDescent="0.25">
      <c r="A17" s="24" t="s">
        <v>26</v>
      </c>
      <c r="B17" s="54"/>
      <c r="C17" s="27" t="s">
        <v>110</v>
      </c>
    </row>
    <row r="18" spans="1:3" x14ac:dyDescent="0.25">
      <c r="A18" s="24" t="s">
        <v>27</v>
      </c>
      <c r="B18" s="54"/>
      <c r="C18" s="27" t="s">
        <v>111</v>
      </c>
    </row>
    <row r="19" spans="1:3" x14ac:dyDescent="0.25">
      <c r="A19" s="24" t="s">
        <v>28</v>
      </c>
      <c r="B19" s="54"/>
      <c r="C19" s="27" t="s">
        <v>110</v>
      </c>
    </row>
    <row r="20" spans="1:3" x14ac:dyDescent="0.25">
      <c r="A20" s="24" t="s">
        <v>76</v>
      </c>
      <c r="B20" s="55"/>
      <c r="C20" s="27" t="s">
        <v>110</v>
      </c>
    </row>
    <row r="21" spans="1:3" x14ac:dyDescent="0.25">
      <c r="A21" s="24" t="s">
        <v>77</v>
      </c>
      <c r="B21" s="54"/>
      <c r="C21" s="27" t="s">
        <v>110</v>
      </c>
    </row>
    <row r="22" spans="1:3" x14ac:dyDescent="0.25">
      <c r="A22" s="24" t="s">
        <v>79</v>
      </c>
      <c r="B22" s="54"/>
      <c r="C22" s="27" t="s">
        <v>110</v>
      </c>
    </row>
    <row r="23" spans="1:3" x14ac:dyDescent="0.25">
      <c r="A23" s="24" t="s">
        <v>78</v>
      </c>
      <c r="B23" s="59"/>
      <c r="C23" s="27" t="s">
        <v>110</v>
      </c>
    </row>
    <row r="24" spans="1:3" x14ac:dyDescent="0.25">
      <c r="A24" s="24" t="s">
        <v>29</v>
      </c>
      <c r="B24" s="54"/>
      <c r="C24" s="27" t="s">
        <v>110</v>
      </c>
    </row>
    <row r="25" spans="1:3" x14ac:dyDescent="0.25">
      <c r="A25" s="24" t="s">
        <v>30</v>
      </c>
      <c r="B25" s="54"/>
      <c r="C25" s="27" t="s">
        <v>111</v>
      </c>
    </row>
    <row r="26" spans="1:3" ht="26.4" x14ac:dyDescent="0.25">
      <c r="A26" s="24" t="s">
        <v>31</v>
      </c>
      <c r="B26" s="27"/>
      <c r="C26" s="27" t="s">
        <v>111</v>
      </c>
    </row>
    <row r="27" spans="1:3" x14ac:dyDescent="0.25">
      <c r="A27" s="24" t="s">
        <v>55</v>
      </c>
      <c r="B27" s="27"/>
      <c r="C27" s="27" t="s">
        <v>111</v>
      </c>
    </row>
    <row r="28" spans="1:3" x14ac:dyDescent="0.25">
      <c r="A28" s="24" t="s">
        <v>81</v>
      </c>
      <c r="B28" s="54"/>
      <c r="C28" s="27" t="s">
        <v>110</v>
      </c>
    </row>
    <row r="29" spans="1:3" x14ac:dyDescent="0.25">
      <c r="A29" s="24" t="s">
        <v>82</v>
      </c>
      <c r="B29" s="54"/>
      <c r="C29" s="27" t="s">
        <v>110</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0"/>
      <c r="C33" s="91"/>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3"/>
  <sheetViews>
    <sheetView tabSelected="1" zoomScale="70" zoomScaleNormal="70" workbookViewId="0">
      <selection activeCell="E8" sqref="E8"/>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2"/>
      <c r="C1" s="93"/>
      <c r="D1" s="93"/>
      <c r="E1" s="71" t="s">
        <v>44</v>
      </c>
      <c r="F1" s="36" t="s">
        <v>114</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2"/>
      <c r="C2" s="93"/>
      <c r="D2" s="93"/>
      <c r="E2" s="71" t="s">
        <v>47</v>
      </c>
      <c r="F2" s="38" t="s">
        <v>112</v>
      </c>
      <c r="G2" s="35" t="s">
        <v>48</v>
      </c>
      <c r="H2" s="41" t="s">
        <v>113</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94" t="s">
        <v>39</v>
      </c>
      <c r="C3" s="94"/>
      <c r="D3" s="94"/>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95"/>
      <c r="C4" s="96"/>
      <c r="D4" s="96"/>
      <c r="E4" s="96"/>
      <c r="F4" s="96"/>
      <c r="G4" s="96"/>
      <c r="H4" s="96"/>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41.4" x14ac:dyDescent="0.3">
      <c r="A6" s="46">
        <v>1</v>
      </c>
      <c r="B6" s="74" t="s">
        <v>83</v>
      </c>
      <c r="C6" s="47" t="s">
        <v>84</v>
      </c>
      <c r="D6" s="47" t="s">
        <v>85</v>
      </c>
      <c r="E6" s="48" t="s">
        <v>86</v>
      </c>
      <c r="F6" s="48" t="s">
        <v>87</v>
      </c>
      <c r="G6" s="48" t="s">
        <v>88</v>
      </c>
      <c r="H6" s="47" t="s">
        <v>89</v>
      </c>
      <c r="I6" s="37" t="s">
        <v>15</v>
      </c>
      <c r="J6" s="40"/>
      <c r="AY6" s="34" t="s">
        <v>45</v>
      </c>
    </row>
    <row r="7" spans="1:55" s="33" customFormat="1" ht="116.25" customHeight="1" x14ac:dyDescent="0.3">
      <c r="A7" s="49">
        <v>2</v>
      </c>
      <c r="B7" s="74" t="s">
        <v>90</v>
      </c>
      <c r="C7" s="75" t="s">
        <v>115</v>
      </c>
      <c r="D7" s="76" t="s">
        <v>92</v>
      </c>
      <c r="E7" s="75" t="s">
        <v>93</v>
      </c>
      <c r="F7" s="75" t="s">
        <v>94</v>
      </c>
      <c r="G7" s="75" t="s">
        <v>93</v>
      </c>
      <c r="H7" s="75" t="s">
        <v>94</v>
      </c>
      <c r="I7" s="37" t="s">
        <v>15</v>
      </c>
      <c r="J7" s="40"/>
      <c r="AY7" s="34" t="s">
        <v>49</v>
      </c>
    </row>
    <row r="8" spans="1:55" s="33" customFormat="1" ht="41.4" x14ac:dyDescent="0.3">
      <c r="A8" s="47">
        <v>3</v>
      </c>
      <c r="B8" s="75" t="s">
        <v>95</v>
      </c>
      <c r="C8" s="76" t="s">
        <v>99</v>
      </c>
      <c r="D8" s="47" t="s">
        <v>101</v>
      </c>
      <c r="E8" s="48" t="s">
        <v>96</v>
      </c>
      <c r="F8" s="47" t="s">
        <v>97</v>
      </c>
      <c r="G8" s="48" t="s">
        <v>96</v>
      </c>
      <c r="H8" s="47" t="s">
        <v>97</v>
      </c>
      <c r="I8" s="37" t="s">
        <v>15</v>
      </c>
      <c r="J8" s="58"/>
      <c r="AY8" s="34" t="s">
        <v>53</v>
      </c>
    </row>
    <row r="9" spans="1:55" s="33" customFormat="1" ht="82.8" x14ac:dyDescent="0.3">
      <c r="A9" s="46">
        <v>4</v>
      </c>
      <c r="B9" s="74" t="s">
        <v>98</v>
      </c>
      <c r="C9" s="76" t="s">
        <v>100</v>
      </c>
      <c r="D9" s="47" t="s">
        <v>102</v>
      </c>
      <c r="E9" s="48" t="s">
        <v>103</v>
      </c>
      <c r="F9" s="47" t="s">
        <v>104</v>
      </c>
      <c r="G9" s="48" t="s">
        <v>103</v>
      </c>
      <c r="H9" s="47" t="s">
        <v>104</v>
      </c>
      <c r="I9" s="37" t="s">
        <v>15</v>
      </c>
      <c r="J9" s="58"/>
      <c r="U9" s="32"/>
    </row>
    <row r="10" spans="1:55" s="33" customFormat="1" ht="41.4" x14ac:dyDescent="0.3">
      <c r="A10" s="49">
        <v>5</v>
      </c>
      <c r="B10" s="74" t="s">
        <v>106</v>
      </c>
      <c r="C10" s="76" t="s">
        <v>107</v>
      </c>
      <c r="D10" s="47" t="s">
        <v>85</v>
      </c>
      <c r="E10" s="48" t="s">
        <v>108</v>
      </c>
      <c r="F10" s="47" t="s">
        <v>109</v>
      </c>
      <c r="G10" s="48" t="s">
        <v>108</v>
      </c>
      <c r="H10" s="47" t="s">
        <v>109</v>
      </c>
      <c r="I10" s="37" t="s">
        <v>15</v>
      </c>
      <c r="J10" s="58"/>
      <c r="U10" s="32"/>
    </row>
    <row r="11" spans="1:55" s="33" customFormat="1" ht="41.4" x14ac:dyDescent="0.3">
      <c r="A11" s="47">
        <v>6</v>
      </c>
      <c r="B11" s="74" t="s">
        <v>83</v>
      </c>
      <c r="C11" s="47" t="s">
        <v>84</v>
      </c>
      <c r="D11" s="47" t="s">
        <v>85</v>
      </c>
      <c r="E11" s="48" t="s">
        <v>86</v>
      </c>
      <c r="F11" s="48" t="s">
        <v>87</v>
      </c>
      <c r="G11" s="48" t="s">
        <v>88</v>
      </c>
      <c r="H11" s="47" t="s">
        <v>89</v>
      </c>
      <c r="I11" s="37" t="s">
        <v>15</v>
      </c>
      <c r="J11" s="58"/>
    </row>
    <row r="12" spans="1:55" s="33" customFormat="1" ht="135.75" customHeight="1" x14ac:dyDescent="0.3">
      <c r="A12" s="46">
        <v>7</v>
      </c>
      <c r="B12" s="74" t="s">
        <v>90</v>
      </c>
      <c r="C12" s="75" t="s">
        <v>91</v>
      </c>
      <c r="D12" s="76" t="s">
        <v>92</v>
      </c>
      <c r="E12" s="75" t="s">
        <v>93</v>
      </c>
      <c r="F12" s="75" t="s">
        <v>94</v>
      </c>
      <c r="G12" s="75" t="s">
        <v>93</v>
      </c>
      <c r="H12" s="75" t="s">
        <v>94</v>
      </c>
      <c r="I12" s="37" t="s">
        <v>15</v>
      </c>
      <c r="J12" s="58"/>
    </row>
    <row r="13" spans="1:55" s="33" customFormat="1" ht="82.8" x14ac:dyDescent="0.3">
      <c r="A13" s="49">
        <v>8</v>
      </c>
      <c r="B13" s="74" t="s">
        <v>98</v>
      </c>
      <c r="C13" s="76" t="s">
        <v>105</v>
      </c>
      <c r="D13" s="47" t="s">
        <v>102</v>
      </c>
      <c r="E13" s="48" t="s">
        <v>103</v>
      </c>
      <c r="F13" s="47" t="s">
        <v>104</v>
      </c>
      <c r="G13" s="48" t="s">
        <v>103</v>
      </c>
      <c r="H13" s="47" t="s">
        <v>104</v>
      </c>
      <c r="I13" s="37" t="s">
        <v>15</v>
      </c>
      <c r="J13" s="58"/>
      <c r="U13" s="32"/>
    </row>
    <row r="14" spans="1:55" s="33" customFormat="1" x14ac:dyDescent="0.3">
      <c r="A14" s="47">
        <v>9</v>
      </c>
      <c r="B14" s="47"/>
      <c r="C14" s="47"/>
      <c r="D14" s="47"/>
      <c r="E14" s="48"/>
      <c r="F14" s="47"/>
      <c r="G14" s="48"/>
      <c r="H14" s="47"/>
      <c r="I14" s="37"/>
      <c r="J14" s="58"/>
    </row>
    <row r="15" spans="1:55" s="33" customFormat="1" x14ac:dyDescent="0.3">
      <c r="A15" s="46">
        <v>10</v>
      </c>
      <c r="B15" s="47"/>
      <c r="C15" s="47"/>
      <c r="D15" s="47"/>
      <c r="E15" s="48"/>
      <c r="F15" s="47"/>
      <c r="G15" s="48"/>
      <c r="H15" s="47"/>
      <c r="I15" s="37"/>
      <c r="J15" s="58"/>
    </row>
    <row r="16" spans="1:55" s="33" customFormat="1" x14ac:dyDescent="0.3">
      <c r="A16" s="49">
        <v>11</v>
      </c>
      <c r="B16" s="47"/>
      <c r="C16" s="47"/>
      <c r="D16" s="47"/>
      <c r="E16" s="48"/>
      <c r="F16" s="47"/>
      <c r="G16" s="48"/>
      <c r="H16" s="47"/>
      <c r="I16" s="37"/>
      <c r="J16" s="58"/>
    </row>
    <row r="17" spans="1:10" s="33" customFormat="1" ht="23.25" customHeight="1" x14ac:dyDescent="0.3">
      <c r="A17" s="47">
        <v>12</v>
      </c>
      <c r="B17" s="47"/>
      <c r="C17" s="47"/>
      <c r="D17" s="47"/>
      <c r="E17" s="48"/>
      <c r="F17" s="47"/>
      <c r="G17" s="48"/>
      <c r="H17" s="47"/>
      <c r="I17" s="37"/>
      <c r="J17" s="58"/>
    </row>
    <row r="18" spans="1:10" s="33" customFormat="1" ht="30" customHeight="1" x14ac:dyDescent="0.3">
      <c r="A18" s="47">
        <v>12</v>
      </c>
      <c r="B18" s="47"/>
      <c r="C18" s="47"/>
      <c r="D18" s="47"/>
      <c r="E18" s="48"/>
      <c r="F18" s="47"/>
      <c r="G18" s="48"/>
      <c r="H18" s="47"/>
      <c r="I18" s="37"/>
      <c r="J18" s="58"/>
    </row>
    <row r="19" spans="1:10" s="33" customFormat="1" x14ac:dyDescent="0.3">
      <c r="E19" s="60"/>
    </row>
    <row r="21" spans="1:10" s="33" customFormat="1" x14ac:dyDescent="0.3">
      <c r="E21" s="60"/>
    </row>
    <row r="22" spans="1:10" s="33" customFormat="1" ht="111.75" customHeight="1" x14ac:dyDescent="0.3">
      <c r="E22" s="60"/>
    </row>
    <row r="23" spans="1:10" s="33" customFormat="1" ht="111.75" customHeight="1" x14ac:dyDescent="0.3">
      <c r="E23" s="60"/>
    </row>
  </sheetData>
  <mergeCells count="4">
    <mergeCell ref="B1:D1"/>
    <mergeCell ref="B2:D2"/>
    <mergeCell ref="B3:D3"/>
    <mergeCell ref="B4:H4"/>
  </mergeCells>
  <dataValidations count="2">
    <dataValidation type="list" allowBlank="1" showInputMessage="1" showErrorMessage="1" sqref="I6:I18" xr:uid="{00000000-0002-0000-0200-000001000000}">
      <formula1>$BB$1:$BB$5</formula1>
    </dataValidation>
    <dataValidation type="list" allowBlank="1" showInputMessage="1" showErrorMessage="1" sqref="B3:D3" xr:uid="{00000000-0002-0000-0200-000000000000}">
      <formula1>$BA$1:$BA$8</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85" r:id="rId4">
          <objectPr defaultSize="0" autoPict="0" r:id="rId5">
            <anchor moveWithCells="1">
              <from>
                <xdr:col>2</xdr:col>
                <xdr:colOff>982980</xdr:colOff>
                <xdr:row>11</xdr:row>
                <xdr:rowOff>830580</xdr:rowOff>
              </from>
              <to>
                <xdr:col>2</xdr:col>
                <xdr:colOff>2651760</xdr:colOff>
                <xdr:row>11</xdr:row>
                <xdr:rowOff>1348740</xdr:rowOff>
              </to>
            </anchor>
          </objectPr>
        </oleObject>
      </mc:Choice>
      <mc:Fallback>
        <oleObject progId="Packager Shell Object" shapeId="10285"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2021</v>
      </c>
    </row>
    <row r="3" spans="1:2" x14ac:dyDescent="0.25">
      <c r="A3" s="64" t="s">
        <v>59</v>
      </c>
      <c r="B3" s="65" t="str">
        <f>CRN</f>
        <v>CHG215150</v>
      </c>
    </row>
    <row r="4" spans="1:2" x14ac:dyDescent="0.25">
      <c r="A4" s="64" t="s">
        <v>60</v>
      </c>
      <c r="B4" s="65" t="str">
        <f>MA</f>
        <v>SK</v>
      </c>
    </row>
    <row r="5" spans="1:2" x14ac:dyDescent="0.25">
      <c r="A5" s="64" t="s">
        <v>61</v>
      </c>
      <c r="B5" s="65" t="str">
        <f>Area</f>
        <v>Data</v>
      </c>
    </row>
    <row r="6" spans="1:2" x14ac:dyDescent="0.25">
      <c r="A6" s="64" t="s">
        <v>44</v>
      </c>
      <c r="B6" s="65" t="str">
        <f>Entity</f>
        <v>Account</v>
      </c>
    </row>
    <row r="7" spans="1:2" x14ac:dyDescent="0.25">
      <c r="A7" s="64" t="s">
        <v>57</v>
      </c>
      <c r="B7" s="66" t="str">
        <f>DTested</f>
        <v>14/10/2021</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workbookViewId="0">
      <selection activeCell="A31" sqref="A31"/>
    </sheetView>
  </sheetViews>
  <sheetFormatPr defaultColWidth="9.109375" defaultRowHeight="13.2" x14ac:dyDescent="0.25"/>
  <cols>
    <col min="1" max="1" width="44" style="73" bestFit="1" customWidth="1"/>
    <col min="2" max="16384" width="9.109375" style="73"/>
  </cols>
  <sheetData>
    <row r="1" spans="1:1" x14ac:dyDescent="0.25">
      <c r="A1" s="72"/>
    </row>
    <row r="30" spans="1:1" x14ac:dyDescent="0.25">
      <c r="A30" s="72"/>
    </row>
    <row r="55" spans="1:1" x14ac:dyDescent="0.25">
      <c r="A55" s="72"/>
    </row>
    <row r="70" spans="1:1" x14ac:dyDescent="0.25">
      <c r="A70" s="72"/>
    </row>
    <row r="105" spans="1:1" x14ac:dyDescent="0.25">
      <c r="A105" s="72"/>
    </row>
    <row r="146" spans="1:1" x14ac:dyDescent="0.25">
      <c r="A146" s="72"/>
    </row>
    <row r="185" spans="1:1" x14ac:dyDescent="0.25">
      <c r="A185" s="72"/>
    </row>
    <row r="220" spans="1:1" x14ac:dyDescent="0.25">
      <c r="A220" s="7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2021-10-14T05:48:00Z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