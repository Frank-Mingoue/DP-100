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f.mingoue.tchagou\Desktop\FINAL SK DEPLOYEMENT\Tests Scripts\"/>
    </mc:Choice>
  </mc:AlternateContent>
  <xr:revisionPtr revIDLastSave="0" documentId="8_{6CB17AE4-7455-4511-9CAC-15673C884958}" xr6:coauthVersionLast="46" xr6:coauthVersionMax="46" xr10:uidLastSave="{00000000-0000-0000-0000-000000000000}"/>
  <bookViews>
    <workbookView xWindow="-108" yWindow="12852" windowWidth="23256" windowHeight="12576" tabRatio="926" activeTab="3" xr2:uid="{00000000-000D-0000-FFFF-FFFF00000000}"/>
  </bookViews>
  <sheets>
    <sheet name="Cover" sheetId="20" r:id="rId1"/>
    <sheet name="Version Control" sheetId="23" r:id="rId2"/>
    <sheet name="AppConfig" sheetId="26" state="hidden" r:id="rId3"/>
    <sheet name="Product Interface" sheetId="29" r:id="rId4"/>
    <sheet name="Screenshot" sheetId="25" r:id="rId5"/>
    <sheet name="Sales OLAP" sheetId="27" r:id="rId6"/>
    <sheet name="RETAIL AUDIT OLAP" sheetId="28" r:id="rId7"/>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 localSheetId="3">'Product Interface'!$F$3</definedName>
    <definedName name="DReviewed" localSheetId="6">'RETAIL AUDIT OLAP'!$F$3</definedName>
    <definedName name="DReviewed" localSheetId="5">'Sales OLAP'!$F$3</definedName>
    <definedName name="DReviewed">#REF!</definedName>
    <definedName name="DTested" localSheetId="3">'Product Interface'!$F$2</definedName>
    <definedName name="DTested" localSheetId="6">'RETAIL AUDIT OLAP'!$F$2</definedName>
    <definedName name="DTested" localSheetId="5">'Sales OLAP'!$F$2</definedName>
    <definedName name="DTested">#REF!</definedName>
    <definedName name="dTestedBy" localSheetId="3">'Product Interface'!$H$2</definedName>
    <definedName name="dTestedBy" localSheetId="6">'RETAIL AUDIT OLAP'!$H$2</definedName>
    <definedName name="dTestedBy" localSheetId="5">'Sales OLAP'!$H$2</definedName>
    <definedName name="dTestedBy">#REF!</definedName>
    <definedName name="Entity" localSheetId="3">'Product Interface'!$F$1</definedName>
    <definedName name="Entity" localSheetId="6">'RETAIL AUDIT OLAP'!$F$1</definedName>
    <definedName name="Entity" localSheetId="5">'Sales OLAP'!$F$1</definedName>
    <definedName name="Entity">#REF!</definedName>
    <definedName name="MA">Cover!$K$25</definedName>
    <definedName name="PPRD">'Version Control'!$B$11</definedName>
    <definedName name="ReviewedBy" localSheetId="3">'Product Interface'!$H$3</definedName>
    <definedName name="ReviewedBy" localSheetId="6">'RETAIL AUDIT OLAP'!$H$3</definedName>
    <definedName name="ReviewedBy" localSheetId="5">'Sales OLAP'!$H$3</definedName>
    <definedName name="ReviewedBy">#REF!</definedName>
    <definedName name="TestedBy" localSheetId="3">'Product Interface'!$H$2</definedName>
    <definedName name="TestedBy" localSheetId="6">'RETAIL AUDIT OLAP'!$H$2</definedName>
    <definedName name="TestedBy" localSheetId="5">'Sales OLAP'!$H$2</definedName>
    <definedName name="TestedBy">#REF!</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E3DF0E43-BBF1-4D3E-A029-B1A5E59B369C}">
      <text>
        <r>
          <rPr>
            <b/>
            <sz val="8"/>
            <color indexed="81"/>
            <rFont val="Tahoma"/>
            <family val="2"/>
          </rPr>
          <t>bruneau.melier:</t>
        </r>
        <r>
          <rPr>
            <sz val="8"/>
            <color indexed="81"/>
            <rFont val="Tahoma"/>
            <family val="2"/>
          </rPr>
          <t xml:space="preserve">
give the name of the mapping being tested </t>
        </r>
      </text>
    </comment>
    <comment ref="F1" authorId="0" shapeId="0" xr:uid="{BAFAD2FA-AD59-4F64-A9DD-5C92CC232C7E}">
      <text>
        <r>
          <rPr>
            <b/>
            <sz val="8"/>
            <color indexed="81"/>
            <rFont val="Tahoma"/>
            <family val="2"/>
          </rPr>
          <t>bruneau.melier:</t>
        </r>
        <r>
          <rPr>
            <sz val="8"/>
            <color indexed="81"/>
            <rFont val="Tahoma"/>
            <family val="2"/>
          </rPr>
          <t xml:space="preserve">
give the name of the entity being tested</t>
        </r>
      </text>
    </comment>
    <comment ref="B2" authorId="0" shapeId="0" xr:uid="{F051789D-C957-4034-96AE-45C111C94FD0}">
      <text>
        <r>
          <rPr>
            <b/>
            <sz val="8"/>
            <color indexed="81"/>
            <rFont val="Tahoma"/>
            <family val="2"/>
          </rPr>
          <t>bruneau.melier:</t>
        </r>
        <r>
          <rPr>
            <sz val="8"/>
            <color indexed="81"/>
            <rFont val="Tahoma"/>
            <family val="2"/>
          </rPr>
          <t xml:space="preserve">
give the name of the mapping being tested </t>
        </r>
      </text>
    </comment>
    <comment ref="F2" authorId="0" shapeId="0" xr:uid="{F72A3357-9B52-459D-BD9D-70C85F1F14F5}">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14537A40-7558-4686-91DA-02735BC988FC}">
      <text>
        <r>
          <rPr>
            <b/>
            <sz val="8"/>
            <color indexed="81"/>
            <rFont val="Tahoma"/>
            <family val="2"/>
          </rPr>
          <t>bruneau.melier:</t>
        </r>
        <r>
          <rPr>
            <sz val="8"/>
            <color indexed="81"/>
            <rFont val="Tahoma"/>
            <family val="2"/>
          </rPr>
          <t xml:space="preserve">
give the name of the developer/tester</t>
        </r>
      </text>
    </comment>
    <comment ref="B3" authorId="0" shapeId="0" xr:uid="{361DA6AD-65D0-409B-8682-33410F960BB4}">
      <text>
        <r>
          <rPr>
            <b/>
            <sz val="8"/>
            <color indexed="81"/>
            <rFont val="Tahoma"/>
            <family val="2"/>
          </rPr>
          <t>bruneau.melier:</t>
        </r>
        <r>
          <rPr>
            <sz val="8"/>
            <color indexed="81"/>
            <rFont val="Tahoma"/>
            <family val="2"/>
          </rPr>
          <t xml:space="preserve">
indicate the status of the test script </t>
        </r>
      </text>
    </comment>
    <comment ref="F3" authorId="0" shapeId="0" xr:uid="{DC6069CE-15D2-47C6-9E32-0B56CD5C38CE}">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CEBE2493-5AE4-43D8-ABD2-4739C5F9F343}">
      <text>
        <r>
          <rPr>
            <b/>
            <sz val="8"/>
            <color indexed="81"/>
            <rFont val="Tahoma"/>
            <family val="2"/>
          </rPr>
          <t>bruneau.melier:</t>
        </r>
        <r>
          <rPr>
            <sz val="8"/>
            <color indexed="81"/>
            <rFont val="Tahoma"/>
            <family val="2"/>
          </rPr>
          <t xml:space="preserve">
give the name of the reviewer of the test script </t>
        </r>
      </text>
    </comment>
    <comment ref="B4" authorId="0" shapeId="0" xr:uid="{612ED812-227B-4D81-BAA8-C5B4E01C7323}">
      <text>
        <r>
          <rPr>
            <b/>
            <sz val="8"/>
            <color indexed="81"/>
            <rFont val="Tahoma"/>
            <family val="2"/>
          </rPr>
          <t>bruneau.melier:</t>
        </r>
        <r>
          <rPr>
            <sz val="8"/>
            <color indexed="81"/>
            <rFont val="Tahoma"/>
            <family val="2"/>
          </rPr>
          <t xml:space="preserve">
give a description of the purpose of the test script </t>
        </r>
      </text>
    </comment>
    <comment ref="A5" authorId="1" shapeId="0" xr:uid="{A79153D3-5389-4341-B02E-7E4E9EEDF09B}">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655647B3-0925-4B24-8375-F573DCCA6BFB}">
      <text>
        <r>
          <rPr>
            <b/>
            <sz val="8"/>
            <color indexed="81"/>
            <rFont val="Tahoma"/>
            <family val="2"/>
          </rPr>
          <t>bruneau.melier:</t>
        </r>
        <r>
          <rPr>
            <sz val="8"/>
            <color indexed="81"/>
            <rFont val="Tahoma"/>
            <family val="2"/>
          </rPr>
          <t xml:space="preserve">
give a summary of the purpose of the test step </t>
        </r>
      </text>
    </comment>
    <comment ref="C5" authorId="0" shapeId="0" xr:uid="{0DD3C88E-BBB2-45C1-AA9E-6FE7E70F2C23}">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7B25E40F-2EEB-4E8A-B316-C96473E6AF7F}">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FE867889-6B41-47E9-9462-D3DEF8988D20}">
      <text>
        <r>
          <rPr>
            <b/>
            <sz val="8"/>
            <color indexed="81"/>
            <rFont val="Tahoma"/>
            <family val="2"/>
          </rPr>
          <t>bruneau.melier:</t>
        </r>
        <r>
          <rPr>
            <sz val="8"/>
            <color indexed="81"/>
            <rFont val="Tahoma"/>
            <family val="2"/>
          </rPr>
          <t xml:space="preserve">
SQL script (if any) to be used for executing the step</t>
        </r>
      </text>
    </comment>
    <comment ref="F5" authorId="0" shapeId="0" xr:uid="{8308CB3A-C5CF-42BD-B47B-787EED368ACE}">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C1784577-A5E7-45A9-8A04-084509842B0C}">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496C076D-83E8-4317-915A-AEA8C270DBA5}">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C32A0B01-86F6-42FB-ABAA-C49B4EE3B445}">
      <text>
        <r>
          <rPr>
            <b/>
            <sz val="8"/>
            <color indexed="81"/>
            <rFont val="Tahoma"/>
            <family val="2"/>
          </rPr>
          <t>bruneau.melier:</t>
        </r>
        <r>
          <rPr>
            <sz val="8"/>
            <color indexed="81"/>
            <rFont val="Tahoma"/>
            <family val="2"/>
          </rPr>
          <t xml:space="preserve">
Takes the value of Not Executed, WIP, Passed or Failed</t>
        </r>
      </text>
    </comment>
    <comment ref="J5" authorId="0" shapeId="0" xr:uid="{B960D91B-13DE-4EAD-850B-40B02B0401A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F6937B6-1E22-4AF7-B731-43CDE1C3B790}">
      <text>
        <r>
          <rPr>
            <b/>
            <sz val="8"/>
            <color indexed="81"/>
            <rFont val="Tahoma"/>
            <family val="2"/>
          </rPr>
          <t>bruneau.melier:</t>
        </r>
        <r>
          <rPr>
            <sz val="8"/>
            <color indexed="81"/>
            <rFont val="Tahoma"/>
            <family val="2"/>
          </rPr>
          <t xml:space="preserve">
give the name of the mapping being tested </t>
        </r>
      </text>
    </comment>
    <comment ref="F1" authorId="0" shapeId="0" xr:uid="{E3E6F6A3-2DE2-40B0-8D9F-579E45D542E2}">
      <text>
        <r>
          <rPr>
            <b/>
            <sz val="8"/>
            <color indexed="81"/>
            <rFont val="Tahoma"/>
            <family val="2"/>
          </rPr>
          <t>bruneau.melier:</t>
        </r>
        <r>
          <rPr>
            <sz val="8"/>
            <color indexed="81"/>
            <rFont val="Tahoma"/>
            <family val="2"/>
          </rPr>
          <t xml:space="preserve">
give the name of the entity being tested</t>
        </r>
      </text>
    </comment>
    <comment ref="B2" authorId="0" shapeId="0" xr:uid="{5A85ABCD-A224-44BA-9086-FC009C2C8F1D}">
      <text>
        <r>
          <rPr>
            <b/>
            <sz val="8"/>
            <color indexed="81"/>
            <rFont val="Tahoma"/>
            <family val="2"/>
          </rPr>
          <t>bruneau.melier:</t>
        </r>
        <r>
          <rPr>
            <sz val="8"/>
            <color indexed="81"/>
            <rFont val="Tahoma"/>
            <family val="2"/>
          </rPr>
          <t xml:space="preserve">
give the name of the mapping being tested </t>
        </r>
      </text>
    </comment>
    <comment ref="F2" authorId="0" shapeId="0" xr:uid="{0797C31F-368B-4165-BA3B-8F1E50D6F703}">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3459BC88-0C27-4C68-A4C8-FCBF51F60B6E}">
      <text>
        <r>
          <rPr>
            <b/>
            <sz val="8"/>
            <color indexed="81"/>
            <rFont val="Tahoma"/>
            <family val="2"/>
          </rPr>
          <t>bruneau.melier:</t>
        </r>
        <r>
          <rPr>
            <sz val="8"/>
            <color indexed="81"/>
            <rFont val="Tahoma"/>
            <family val="2"/>
          </rPr>
          <t xml:space="preserve">
give the name of the developer/tester</t>
        </r>
      </text>
    </comment>
    <comment ref="B3" authorId="0" shapeId="0" xr:uid="{16F2B846-CBB6-4E22-8CCA-E65CFC1B3447}">
      <text>
        <r>
          <rPr>
            <b/>
            <sz val="8"/>
            <color indexed="81"/>
            <rFont val="Tahoma"/>
            <family val="2"/>
          </rPr>
          <t>bruneau.melier:</t>
        </r>
        <r>
          <rPr>
            <sz val="8"/>
            <color indexed="81"/>
            <rFont val="Tahoma"/>
            <family val="2"/>
          </rPr>
          <t xml:space="preserve">
indicate the status of the test script </t>
        </r>
      </text>
    </comment>
    <comment ref="F3" authorId="0" shapeId="0" xr:uid="{566AEDBF-86B7-4ECD-A472-24409395A9BD}">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BD48C017-BB28-4C22-AB03-D8F26E491309}">
      <text>
        <r>
          <rPr>
            <b/>
            <sz val="8"/>
            <color indexed="81"/>
            <rFont val="Tahoma"/>
            <family val="2"/>
          </rPr>
          <t>bruneau.melier:</t>
        </r>
        <r>
          <rPr>
            <sz val="8"/>
            <color indexed="81"/>
            <rFont val="Tahoma"/>
            <family val="2"/>
          </rPr>
          <t xml:space="preserve">
give the name of the reviewer of the test script </t>
        </r>
      </text>
    </comment>
    <comment ref="B4" authorId="0" shapeId="0" xr:uid="{DD91B37A-9B19-4EBE-8F82-86EDF63F4520}">
      <text>
        <r>
          <rPr>
            <b/>
            <sz val="8"/>
            <color indexed="81"/>
            <rFont val="Tahoma"/>
            <family val="2"/>
          </rPr>
          <t>bruneau.melier:</t>
        </r>
        <r>
          <rPr>
            <sz val="8"/>
            <color indexed="81"/>
            <rFont val="Tahoma"/>
            <family val="2"/>
          </rPr>
          <t xml:space="preserve">
give a description of the purpose of the test script </t>
        </r>
      </text>
    </comment>
    <comment ref="A5" authorId="1" shapeId="0" xr:uid="{48C1C5DC-0E86-4997-AA44-1340B36BD097}">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14EE3A2-3D1D-46B2-BF80-A3F6873C1578}">
      <text>
        <r>
          <rPr>
            <b/>
            <sz val="8"/>
            <color indexed="81"/>
            <rFont val="Tahoma"/>
            <family val="2"/>
          </rPr>
          <t>bruneau.melier:</t>
        </r>
        <r>
          <rPr>
            <sz val="8"/>
            <color indexed="81"/>
            <rFont val="Tahoma"/>
            <family val="2"/>
          </rPr>
          <t xml:space="preserve">
give a summary of the purpose of the test step </t>
        </r>
      </text>
    </comment>
    <comment ref="C5" authorId="0" shapeId="0" xr:uid="{357FADB3-9CF5-44D0-A8B4-FD9DD29183C3}">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BDCED8CD-1EA0-4095-A4DB-610B7D568ACD}">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8B7CE410-5A1D-4FD7-9D25-1AEDF384C78E}">
      <text>
        <r>
          <rPr>
            <b/>
            <sz val="8"/>
            <color indexed="81"/>
            <rFont val="Tahoma"/>
            <family val="2"/>
          </rPr>
          <t>bruneau.melier:</t>
        </r>
        <r>
          <rPr>
            <sz val="8"/>
            <color indexed="81"/>
            <rFont val="Tahoma"/>
            <family val="2"/>
          </rPr>
          <t xml:space="preserve">
SQL script (if any) to be used for executing the step</t>
        </r>
      </text>
    </comment>
    <comment ref="F5" authorId="0" shapeId="0" xr:uid="{ADF30798-5823-4D8E-9DD6-7CCFF0A2D4F3}">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C4F887C5-7C62-4AB3-86B1-5589A4F55C6C}">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1F096F36-2A18-4EFB-9C64-08F8007E3105}">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E5AA8532-C0C8-45AE-964A-BC95FB2CCA93}">
      <text>
        <r>
          <rPr>
            <b/>
            <sz val="8"/>
            <color indexed="81"/>
            <rFont val="Tahoma"/>
            <family val="2"/>
          </rPr>
          <t>bruneau.melier:</t>
        </r>
        <r>
          <rPr>
            <sz val="8"/>
            <color indexed="81"/>
            <rFont val="Tahoma"/>
            <family val="2"/>
          </rPr>
          <t xml:space="preserve">
Takes the value of Not Executed, WIP, Passed or Failed</t>
        </r>
      </text>
    </comment>
    <comment ref="J5" authorId="0" shapeId="0" xr:uid="{E3F68D13-D58F-4A1B-AB12-226115154FF7}">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E1C11970-8771-4C66-B8B2-27EDB57F206C}">
      <text>
        <r>
          <rPr>
            <b/>
            <sz val="8"/>
            <color indexed="81"/>
            <rFont val="Tahoma"/>
            <family val="2"/>
          </rPr>
          <t>bruneau.melier:</t>
        </r>
        <r>
          <rPr>
            <sz val="8"/>
            <color indexed="81"/>
            <rFont val="Tahoma"/>
            <family val="2"/>
          </rPr>
          <t xml:space="preserve">
give the name of the mapping being tested </t>
        </r>
      </text>
    </comment>
    <comment ref="F1" authorId="0" shapeId="0" xr:uid="{BE1336FA-D6C0-4BB4-B639-072F8FE9EC48}">
      <text>
        <r>
          <rPr>
            <b/>
            <sz val="8"/>
            <color indexed="81"/>
            <rFont val="Tahoma"/>
            <family val="2"/>
          </rPr>
          <t>bruneau.melier:</t>
        </r>
        <r>
          <rPr>
            <sz val="8"/>
            <color indexed="81"/>
            <rFont val="Tahoma"/>
            <family val="2"/>
          </rPr>
          <t xml:space="preserve">
give the name of the entity being tested</t>
        </r>
      </text>
    </comment>
    <comment ref="B2" authorId="0" shapeId="0" xr:uid="{6DDAD48D-B6EC-4DBB-8B88-CEFDA9D04B82}">
      <text>
        <r>
          <rPr>
            <b/>
            <sz val="8"/>
            <color indexed="81"/>
            <rFont val="Tahoma"/>
            <family val="2"/>
          </rPr>
          <t>bruneau.melier:</t>
        </r>
        <r>
          <rPr>
            <sz val="8"/>
            <color indexed="81"/>
            <rFont val="Tahoma"/>
            <family val="2"/>
          </rPr>
          <t xml:space="preserve">
give the name of the mapping being tested </t>
        </r>
      </text>
    </comment>
    <comment ref="F2" authorId="0" shapeId="0" xr:uid="{9322EEDD-37E9-430C-805D-A733C7637EEE}">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86CC6EC-4A79-48BA-9D22-954765E65C8D}">
      <text>
        <r>
          <rPr>
            <b/>
            <sz val="8"/>
            <color indexed="81"/>
            <rFont val="Tahoma"/>
            <family val="2"/>
          </rPr>
          <t>bruneau.melier:</t>
        </r>
        <r>
          <rPr>
            <sz val="8"/>
            <color indexed="81"/>
            <rFont val="Tahoma"/>
            <family val="2"/>
          </rPr>
          <t xml:space="preserve">
give the name of the developer/tester</t>
        </r>
      </text>
    </comment>
    <comment ref="B3" authorId="0" shapeId="0" xr:uid="{F9862946-A383-428E-93ED-1C158C9DA5DB}">
      <text>
        <r>
          <rPr>
            <b/>
            <sz val="8"/>
            <color indexed="81"/>
            <rFont val="Tahoma"/>
            <family val="2"/>
          </rPr>
          <t>bruneau.melier:</t>
        </r>
        <r>
          <rPr>
            <sz val="8"/>
            <color indexed="81"/>
            <rFont val="Tahoma"/>
            <family val="2"/>
          </rPr>
          <t xml:space="preserve">
indicate the status of the test script </t>
        </r>
      </text>
    </comment>
    <comment ref="F3" authorId="0" shapeId="0" xr:uid="{564409F0-2FFC-4370-ABDF-5FBD58A18B02}">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F41D9A33-FE2E-414E-9615-6720BAFAC648}">
      <text>
        <r>
          <rPr>
            <b/>
            <sz val="8"/>
            <color indexed="81"/>
            <rFont val="Tahoma"/>
            <family val="2"/>
          </rPr>
          <t>bruneau.melier:</t>
        </r>
        <r>
          <rPr>
            <sz val="8"/>
            <color indexed="81"/>
            <rFont val="Tahoma"/>
            <family val="2"/>
          </rPr>
          <t xml:space="preserve">
give the name of the reviewer of the test script </t>
        </r>
      </text>
    </comment>
    <comment ref="B4" authorId="0" shapeId="0" xr:uid="{BE31EDEF-372D-4D7E-8959-BAE936EA80B6}">
      <text>
        <r>
          <rPr>
            <b/>
            <sz val="8"/>
            <color indexed="81"/>
            <rFont val="Tahoma"/>
            <family val="2"/>
          </rPr>
          <t>bruneau.melier:</t>
        </r>
        <r>
          <rPr>
            <sz val="8"/>
            <color indexed="81"/>
            <rFont val="Tahoma"/>
            <family val="2"/>
          </rPr>
          <t xml:space="preserve">
give a description of the purpose of the test script </t>
        </r>
      </text>
    </comment>
    <comment ref="A5" authorId="1" shapeId="0" xr:uid="{BD42CCE0-7145-4064-8870-11591313594C}">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C8090ED8-540B-451A-B8D4-B4365A24A98A}">
      <text>
        <r>
          <rPr>
            <b/>
            <sz val="8"/>
            <color indexed="81"/>
            <rFont val="Tahoma"/>
            <family val="2"/>
          </rPr>
          <t>bruneau.melier:</t>
        </r>
        <r>
          <rPr>
            <sz val="8"/>
            <color indexed="81"/>
            <rFont val="Tahoma"/>
            <family val="2"/>
          </rPr>
          <t xml:space="preserve">
give a summary of the purpose of the test step </t>
        </r>
      </text>
    </comment>
    <comment ref="C5" authorId="0" shapeId="0" xr:uid="{5FEAEA5D-C179-4ED8-ADF9-8C18AB7E6E4D}">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4C593B14-5C7F-4C95-9FEA-18BDE529EA79}">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A8E37118-06ED-42A6-89A7-8DC83CEA3739}">
      <text>
        <r>
          <rPr>
            <b/>
            <sz val="8"/>
            <color indexed="81"/>
            <rFont val="Tahoma"/>
            <family val="2"/>
          </rPr>
          <t>bruneau.melier:</t>
        </r>
        <r>
          <rPr>
            <sz val="8"/>
            <color indexed="81"/>
            <rFont val="Tahoma"/>
            <family val="2"/>
          </rPr>
          <t xml:space="preserve">
SQL script (if any) to be used for executing the step</t>
        </r>
      </text>
    </comment>
    <comment ref="F5" authorId="0" shapeId="0" xr:uid="{F2A93012-17B3-476D-BBD9-823FFBD7B75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4C163FA3-DA29-43BF-8761-36FEE43EB848}">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D65417A2-8973-40FE-8C09-2C2DA31F5047}">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27741E08-4BFC-414D-A67B-015C90DC5F39}">
      <text>
        <r>
          <rPr>
            <b/>
            <sz val="8"/>
            <color indexed="81"/>
            <rFont val="Tahoma"/>
            <family val="2"/>
          </rPr>
          <t>bruneau.melier:</t>
        </r>
        <r>
          <rPr>
            <sz val="8"/>
            <color indexed="81"/>
            <rFont val="Tahoma"/>
            <family val="2"/>
          </rPr>
          <t xml:space="preserve">
Takes the value of Not Executed, WIP, Passed or Failed</t>
        </r>
      </text>
    </comment>
    <comment ref="J5" authorId="0" shapeId="0" xr:uid="{5D552836-EFEF-4BE2-8BC5-F925B9C6445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<sst xmlns="http://schemas.openxmlformats.org/spreadsheetml/2006/main" count="263" uniqueCount="123">
  <si>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</si>
  <si>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</si>
  <si>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</si>
  <si>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</si>
  <si>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</si>
  <si>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</si>
  <si>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</si>
  <si>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</si>
  <si>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</si>
  <si>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</si>
  <si>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</si>
  <si>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</si>
  <si>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</si>
  <si>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</si>
  <si>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</si>
  <si>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</si>
  <si>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</si>
  <si>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</si>
  <si>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</si>
  <si>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</si>
  <si>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</si>
  <si>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</si>
  <si>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</si>
  <si>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</si>
  <si>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</si>
  <si>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</si>
  <si>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</si>
  <si>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</si>
  <si>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</si>
  <si>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</si>
  <si>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</si>
  <si>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</si>
  <si>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</si>
  <si>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</si>
  <si>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</si>
  <si>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</si>
  <si>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</si>
  <si>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</si>
  <si>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</si>
  <si>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</si>
  <si>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</si>
  <si>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</si>
  <si>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</si>
  <si>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</si>
  <si>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</si>
  <si>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</si>
  <si>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</si>
  <si>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</si>
  <si>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</si>
  <si>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</si>
  <si>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</si>
  <si>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</si>
  <si>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</si>
  <si>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</si>
  <si>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</si>
  <si>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</si>
  <si>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</si>
  <si>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</si>
  <si>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</si>
  <si>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</si>
  <si>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</si>
  <si>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</si>
  <si>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</si>
  <si>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</si>
  <si>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</si>
  <si>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</si>
  <si>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</si>
  <si>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</si>
  <si>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</si>
  <si>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</si>
  <si>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</si>
  <si>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</si>
  <si>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</si>
  <si>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</si>
  <si>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</si>
  <si>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</si>
  <si>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</si>
  <si>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</si>
  <si>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</si>
  <si>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</si>
  <si>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</si>
  <si>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</si>
  <si>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</si>
  <si>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</si>
  <si>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</si>
  <si>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</si>
  <si>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</si>
  <si>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</si>
  <si>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</si>
  <si>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</si>
  <si>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</si>
  <si>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</si>
  <si>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</si>
  <si>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</si>
  <si>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Informatica &amp; SIEBEL_OLAP_DEV81</t>
  </si>
  <si>
    <t>Informatica &amp; SIEBEL_OLTP_DEV14</t>
  </si>
  <si>
    <t>Check Error</t>
  </si>
  <si>
    <t>Launch Script to check error</t>
  </si>
  <si>
    <t>N</t>
  </si>
  <si>
    <t>Y</t>
  </si>
  <si>
    <t>14/10/2021</t>
  </si>
  <si>
    <t>Frank</t>
  </si>
  <si>
    <t>Account</t>
  </si>
  <si>
    <t>Place FF in path : \\10.186.26.22\Interfaces_IP14\Slovakia\IUNP</t>
  </si>
  <si>
    <t>CHG215150</t>
  </si>
  <si>
    <t>TME CZ extension to HU and SK markets - new markets deployment</t>
  </si>
  <si>
    <t>SK</t>
  </si>
  <si>
    <t>RUN_EIM_PROCESS_GENERIC</t>
  </si>
  <si>
    <t>SELECT * FROM S_PROD_INT WHERE NAME = 'CHG215150_Product_SK_Test'</t>
  </si>
  <si>
    <t>DELETE FROM S_PROD_INT WHERE NAME = 'CHG215150_Product_SK_Test'</t>
  </si>
  <si>
    <t>1 row affected</t>
  </si>
  <si>
    <t>Open Workflow Manager.
Launch EIM_INTERFACE --&gt; RUN_EIM_PROCESS_GENERIC  --&gt; wrk_pre_Etl</t>
  </si>
  <si>
    <t>SELECT * FROM WC_ETL_FILES_G WHERE FILENAME LIKE '%SKPR1701_20211013_10.txt%'</t>
  </si>
  <si>
    <t xml:space="preserve">SELECT * FROM WC_ERRORS_G WHERE FILE_NAME LIKE 'SKPR1701_20211013_10%' </t>
  </si>
  <si>
    <t xml:space="preserve">SELECT * FROM EIM_PROD_INT  WHERE NAME = 'CHG215150_Product_SK_Test'
</t>
  </si>
  <si>
    <t xml:space="preserve">IF_ROW_STAT='IMPORTED'
</t>
  </si>
  <si>
    <t xml:space="preserve">SELECT * FROM EIM_PROD_INT  WHERE NAME = 'CHG215150_Product_SK_Test'
</t>
  </si>
  <si>
    <t xml:space="preserve">IF_ROW_STAT='IMPORTED'
</t>
  </si>
  <si>
    <t>SELECT * FROM EIM_PROD_INT  WHERE NAME = 'CHG215150_Product_SK_Test'</t>
  </si>
  <si>
    <t>Open Workflow Manager.
Launch EIM_INTERFACE --&gt; RUN_EIM_PROCESS_GENERIC  --&gt; wrk_Products_Interface_Generic</t>
  </si>
  <si>
    <t>Launch EC4U --&gt; Load_EIM --&gt; wrk_Products_Interface_Generic</t>
  </si>
  <si>
    <t>FDE_INT_ACCOUNT_CHECK</t>
  </si>
  <si>
    <t>JTI_DWH_ETLComplete_Incremental/RUN_EIM_PROCESS_GENERIC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</si>
</sst>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6"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2" fillId="0" borderId="0"/>
    <xf numFmtId="0" fontId="43" fillId="0" borderId="0"/>
    <xf numFmtId="0" fontId="43"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7">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Fill="1" applyBorder="1" applyAlignment="1">
      <alignment vertical="top"/>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9" fillId="0" borderId="10" xfId="37" applyFont="1" applyBorder="1" applyAlignment="1">
      <alignment vertical="top"/>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Fill="1" applyBorder="1" applyAlignment="1">
      <alignment wrapText="1"/>
    </xf>
    <xf numFmtId="15" fontId="44" fillId="0" borderId="10" xfId="32" applyNumberFormat="1" applyFont="1" applyBorder="1" applyAlignment="1" applyProtection="1">
      <alignment horizontal="left" vertical="center" wrapText="1"/>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37" fillId="0" borderId="10" xfId="37" applyFont="1" applyFill="1" applyBorder="1" applyAlignment="1">
      <alignment vertical="top" wrapText="1"/>
    </xf>
    <xf numFmtId="0" fontId="37" fillId="0" borderId="10" xfId="37" applyFont="1" applyBorder="1" applyAlignment="1">
      <alignment horizontal="left" vertical="top" wrapText="1"/>
    </xf>
    <xf numFmtId="0" fontId="37" fillId="0" borderId="10" xfId="37" applyBorder="1" applyAlignment="1">
      <alignment horizontal="lef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3"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511628</xdr:colOff>
          <xdr:row>6</xdr:row>
          <xdr:rowOff>544286</xdr:rowOff>
        </xdr:from>
        <xdr:to>
          <xdr:col>2</xdr:col>
          <xdr:colOff>2210888</xdr:colOff>
          <xdr:row>6</xdr:row>
          <xdr:rowOff>1060268</xdr:rowOff>
        </xdr:to>
        <xdr:sp macro="" textlink="">
          <xdr:nvSpPr>
            <xdr:cNvPr id="15381" name="Object 21" hidden="1">
              <a:extLst>
                <a:ext uri="{63B3BB69-23CF-44E3-9099-C40C66FF867C}">
                  <a14:compatExt spid="_x0000_s15381"/>
                </a:ext>
                <a:ext uri="{FF2B5EF4-FFF2-40B4-BE49-F238E27FC236}">
                  <a16:creationId xmlns:a16="http://schemas.microsoft.com/office/drawing/2014/main" id="{00000000-0008-0000-0500-0000153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11</xdr:row>
          <xdr:rowOff>642258</xdr:rowOff>
        </xdr:from>
        <xdr:to>
          <xdr:col>2</xdr:col>
          <xdr:colOff>2004060</xdr:colOff>
          <xdr:row>11</xdr:row>
          <xdr:rowOff>1158240</xdr:rowOff>
        </xdr:to>
        <xdr:sp macro="" textlink="">
          <xdr:nvSpPr>
            <xdr:cNvPr id="15382" name="Object 22" hidden="1">
              <a:extLst>
                <a:ext uri="{63B3BB69-23CF-44E3-9099-C40C66FF867C}">
                  <a14:compatExt spid="_x0000_s15382"/>
                </a:ext>
                <a:ext uri="{FF2B5EF4-FFF2-40B4-BE49-F238E27FC236}">
                  <a16:creationId xmlns:a16="http://schemas.microsoft.com/office/drawing/2014/main" id="{00000000-0008-0000-0500-0000163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1"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77" t="s">
        <v>2</v>
      </c>
      <c r="B13" s="77"/>
      <c r="C13" s="77"/>
      <c r="D13" s="77"/>
      <c r="E13" s="77"/>
      <c r="F13" s="77"/>
      <c r="G13" s="77"/>
      <c r="H13" s="77"/>
      <c r="I13" s="77"/>
      <c r="J13" s="77"/>
      <c r="K13" s="77"/>
      <c r="L13" s="77"/>
      <c r="M13" s="77"/>
      <c r="N13" s="77"/>
      <c r="O13" s="77"/>
      <c r="P13" s="77"/>
      <c r="Q13" s="77"/>
      <c r="R13" s="77"/>
      <c r="S13" s="77"/>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78" t="s">
        <v>17</v>
      </c>
      <c r="B18" s="78"/>
      <c r="C18" s="78"/>
      <c r="D18" s="78"/>
      <c r="E18" s="78"/>
      <c r="F18" s="78"/>
      <c r="G18" s="78"/>
      <c r="H18" s="78"/>
      <c r="I18" s="78"/>
      <c r="J18" s="78"/>
      <c r="K18" s="78"/>
      <c r="L18" s="78"/>
      <c r="M18" s="78"/>
      <c r="N18" s="78"/>
      <c r="O18" s="78"/>
      <c r="P18" s="78"/>
      <c r="Q18" s="78"/>
      <c r="R18" s="78"/>
      <c r="S18" s="78"/>
    </row>
    <row r="19" spans="1:19" s="15" customFormat="1" ht="40.65" customHeight="1" x14ac:dyDescent="0.25">
      <c r="A19" s="79" t="s">
        <v>1</v>
      </c>
      <c r="B19" s="79"/>
      <c r="C19" s="79"/>
      <c r="D19" s="79"/>
      <c r="E19" s="79"/>
      <c r="F19" s="79"/>
      <c r="G19" s="79"/>
      <c r="H19" s="79"/>
      <c r="I19" s="79"/>
      <c r="J19" s="79"/>
      <c r="K19" s="79"/>
      <c r="L19" s="79"/>
      <c r="M19" s="79"/>
      <c r="N19" s="79"/>
      <c r="O19" s="79"/>
      <c r="P19" s="79"/>
      <c r="Q19" s="79"/>
      <c r="R19" s="79"/>
      <c r="S19" s="79"/>
    </row>
    <row r="20" spans="1:19" s="15" customFormat="1" ht="13.8" x14ac:dyDescent="0.25">
      <c r="A20" s="16"/>
      <c r="B20" s="16"/>
      <c r="C20" s="16"/>
      <c r="D20" s="16"/>
      <c r="E20" s="16"/>
      <c r="F20" s="16"/>
      <c r="G20" s="16"/>
      <c r="H20" s="16"/>
      <c r="I20" s="16"/>
      <c r="J20" s="16"/>
    </row>
    <row r="21" spans="1:19" s="15" customFormat="1" ht="58.65" customHeight="1" x14ac:dyDescent="0.25">
      <c r="A21" s="80" t="s">
        <v>74</v>
      </c>
      <c r="B21" s="80"/>
      <c r="C21" s="80"/>
      <c r="D21" s="80"/>
      <c r="E21" s="80"/>
      <c r="F21" s="80"/>
      <c r="G21" s="80"/>
      <c r="H21" s="80"/>
      <c r="I21" s="80"/>
      <c r="J21" s="6"/>
      <c r="K21" s="81" t="s">
        <v>104</v>
      </c>
      <c r="L21" s="81"/>
      <c r="M21" s="81"/>
      <c r="N21" s="81"/>
      <c r="O21" s="81"/>
      <c r="P21" s="81"/>
      <c r="Q21" s="81"/>
      <c r="R21" s="81"/>
      <c r="S21" s="81"/>
    </row>
    <row r="22" spans="1:19" s="15" customFormat="1" ht="13.8" x14ac:dyDescent="0.25">
      <c r="A22" s="16"/>
      <c r="B22" s="16"/>
      <c r="C22" s="16"/>
      <c r="D22" s="16"/>
      <c r="E22" s="16"/>
      <c r="F22" s="16"/>
      <c r="G22" s="16"/>
      <c r="H22" s="16"/>
      <c r="I22" s="16"/>
      <c r="J22" s="16"/>
    </row>
    <row r="23" spans="1:19" s="15" customFormat="1" ht="70.2" customHeight="1" x14ac:dyDescent="0.25">
      <c r="A23" s="84" t="s">
        <v>18</v>
      </c>
      <c r="B23" s="84"/>
      <c r="C23" s="84"/>
      <c r="D23" s="84"/>
      <c r="E23" s="84"/>
      <c r="F23" s="84"/>
      <c r="G23" s="84"/>
      <c r="H23" s="84"/>
      <c r="I23" s="84"/>
      <c r="J23" s="7"/>
      <c r="K23" s="85" t="s">
        <v>105</v>
      </c>
      <c r="L23" s="85"/>
      <c r="M23" s="85"/>
      <c r="N23" s="85"/>
      <c r="O23" s="85"/>
      <c r="P23" s="85"/>
      <c r="Q23" s="85"/>
      <c r="R23" s="85"/>
      <c r="S23" s="85"/>
    </row>
    <row r="24" spans="1:19" s="15" customFormat="1" ht="13.8" x14ac:dyDescent="0.25">
      <c r="A24" s="16"/>
      <c r="B24" s="16"/>
      <c r="C24" s="16"/>
      <c r="D24" s="16"/>
      <c r="E24" s="16"/>
      <c r="F24" s="16"/>
      <c r="G24" s="16"/>
      <c r="H24" s="16"/>
      <c r="I24" s="16"/>
      <c r="J24" s="16"/>
    </row>
    <row r="25" spans="1:19" s="15" customFormat="1" ht="70.2" customHeight="1" x14ac:dyDescent="0.25">
      <c r="A25" s="86" t="s">
        <v>3</v>
      </c>
      <c r="B25" s="86"/>
      <c r="C25" s="86"/>
      <c r="D25" s="86"/>
      <c r="E25" s="86"/>
      <c r="F25" s="86"/>
      <c r="G25" s="86"/>
      <c r="H25" s="86"/>
      <c r="I25" s="86"/>
      <c r="J25" s="7"/>
      <c r="K25" s="87" t="s">
        <v>106</v>
      </c>
      <c r="L25" s="87"/>
      <c r="M25" s="87"/>
      <c r="N25" s="87"/>
      <c r="O25" s="87"/>
      <c r="P25" s="87"/>
      <c r="Q25" s="87"/>
      <c r="R25" s="87"/>
      <c r="S25" s="87"/>
    </row>
    <row r="26" spans="1:19" s="15" customFormat="1" ht="13.8" x14ac:dyDescent="0.25">
      <c r="A26" s="16"/>
      <c r="B26" s="16"/>
      <c r="C26" s="16"/>
      <c r="D26" s="16"/>
      <c r="E26" s="16"/>
      <c r="F26" s="16"/>
      <c r="G26" s="16"/>
      <c r="H26" s="16"/>
      <c r="I26" s="16"/>
      <c r="J26" s="16"/>
    </row>
    <row r="27" spans="1:19" ht="27" customHeight="1" x14ac:dyDescent="0.25">
      <c r="A27" s="82" t="s">
        <v>13</v>
      </c>
      <c r="B27" s="82"/>
      <c r="C27" s="82"/>
      <c r="D27" s="82"/>
      <c r="E27" s="82"/>
      <c r="F27" s="82"/>
      <c r="G27" s="82"/>
      <c r="H27" s="82"/>
      <c r="I27" s="82"/>
      <c r="K27" s="83" t="s">
        <v>19</v>
      </c>
      <c r="L27" s="83"/>
      <c r="M27" s="83"/>
      <c r="N27" s="83"/>
      <c r="O27" s="83"/>
      <c r="P27" s="83"/>
      <c r="Q27" s="83"/>
      <c r="R27" s="83"/>
      <c r="S27" s="83"/>
    </row>
    <row r="28" spans="1:19" ht="27" customHeight="1" x14ac:dyDescent="0.25">
      <c r="A28" s="82"/>
      <c r="B28" s="82"/>
      <c r="C28" s="82"/>
      <c r="D28" s="82"/>
      <c r="E28" s="82"/>
      <c r="F28" s="82"/>
      <c r="G28" s="82"/>
      <c r="H28" s="82"/>
      <c r="I28" s="82"/>
      <c r="K28" s="83"/>
      <c r="L28" s="83"/>
      <c r="M28" s="83"/>
      <c r="N28" s="83"/>
      <c r="O28" s="17"/>
      <c r="P28" s="17"/>
      <c r="Q28" s="17"/>
      <c r="R28" s="17"/>
      <c r="S28" s="17"/>
    </row>
    <row r="29" spans="1:19" ht="27" customHeight="1" x14ac:dyDescent="0.25">
      <c r="A29" s="82"/>
      <c r="B29" s="82"/>
      <c r="C29" s="82"/>
      <c r="D29" s="82"/>
      <c r="E29" s="82"/>
      <c r="F29" s="82"/>
      <c r="G29" s="82"/>
      <c r="H29" s="82"/>
      <c r="I29" s="82"/>
      <c r="K29" s="83"/>
      <c r="L29" s="83"/>
      <c r="M29" s="83"/>
      <c r="N29" s="83"/>
      <c r="O29" s="83"/>
      <c r="P29" s="83"/>
      <c r="Q29" s="83"/>
      <c r="R29" s="83"/>
      <c r="S29" s="83"/>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44495</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workbookViewId="0">
      <selection activeCell="E18" sqref="E18"/>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88" t="s">
        <v>1</v>
      </c>
      <c r="B8" s="88"/>
      <c r="C8" s="29" t="s">
        <v>8</v>
      </c>
    </row>
    <row r="9" spans="1:3" x14ac:dyDescent="0.25">
      <c r="A9" s="4"/>
      <c r="B9" s="52"/>
      <c r="C9" s="4"/>
    </row>
    <row r="10" spans="1:3" x14ac:dyDescent="0.25">
      <c r="A10" s="5" t="s">
        <v>9</v>
      </c>
      <c r="B10" s="89" t="s">
        <v>10</v>
      </c>
      <c r="C10" s="89"/>
    </row>
    <row r="11" spans="1:3" x14ac:dyDescent="0.25">
      <c r="A11" s="25" t="s">
        <v>11</v>
      </c>
      <c r="B11" s="21" t="s">
        <v>80</v>
      </c>
      <c r="C11" s="22"/>
    </row>
    <row r="12" spans="1:3" x14ac:dyDescent="0.25">
      <c r="A12" s="30"/>
      <c r="B12" s="52"/>
      <c r="C12" s="4"/>
    </row>
    <row r="13" spans="1:3" x14ac:dyDescent="0.25">
      <c r="A13" s="30"/>
      <c r="B13" s="52"/>
      <c r="C13" s="4"/>
    </row>
    <row r="14" spans="1:3" ht="19.649999999999999" customHeight="1" x14ac:dyDescent="0.25">
      <c r="A14" s="26" t="e">
        <f>CONCATENATE("To be Performed by Tester : ",#REF!)</f>
        <v>#REF!</v>
      </c>
      <c r="B14" s="53"/>
      <c r="C14" s="4"/>
    </row>
    <row r="15" spans="1:3" ht="21.9" customHeight="1" x14ac:dyDescent="0.3">
      <c r="A15" s="31" t="s">
        <v>23</v>
      </c>
      <c r="B15" s="90"/>
      <c r="C15" s="91"/>
    </row>
    <row r="16" spans="1:3" ht="39.75" customHeight="1" x14ac:dyDescent="0.25">
      <c r="A16" s="28" t="s">
        <v>24</v>
      </c>
      <c r="B16" s="28" t="s">
        <v>12</v>
      </c>
      <c r="C16" s="23" t="s">
        <v>25</v>
      </c>
    </row>
    <row r="17" spans="1:3" x14ac:dyDescent="0.25">
      <c r="A17" s="24" t="s">
        <v>26</v>
      </c>
      <c r="B17" s="54"/>
      <c r="C17" s="27" t="s">
        <v>98</v>
      </c>
    </row>
    <row r="18" spans="1:3" x14ac:dyDescent="0.25">
      <c r="A18" s="24" t="s">
        <v>27</v>
      </c>
      <c r="B18" s="54"/>
      <c r="C18" s="27" t="s">
        <v>99</v>
      </c>
    </row>
    <row r="19" spans="1:3" x14ac:dyDescent="0.25">
      <c r="A19" s="24" t="s">
        <v>28</v>
      </c>
      <c r="B19" s="54"/>
      <c r="C19" s="27" t="s">
        <v>98</v>
      </c>
    </row>
    <row r="20" spans="1:3" x14ac:dyDescent="0.25">
      <c r="A20" s="24" t="s">
        <v>76</v>
      </c>
      <c r="B20" s="55"/>
      <c r="C20" s="27" t="s">
        <v>98</v>
      </c>
    </row>
    <row r="21" spans="1:3" x14ac:dyDescent="0.25">
      <c r="A21" s="24" t="s">
        <v>77</v>
      </c>
      <c r="B21" s="54"/>
      <c r="C21" s="27" t="s">
        <v>98</v>
      </c>
    </row>
    <row r="22" spans="1:3" x14ac:dyDescent="0.25">
      <c r="A22" s="24" t="s">
        <v>79</v>
      </c>
      <c r="B22" s="54"/>
      <c r="C22" s="27" t="s">
        <v>98</v>
      </c>
    </row>
    <row r="23" spans="1:3" x14ac:dyDescent="0.25">
      <c r="A23" s="24" t="s">
        <v>78</v>
      </c>
      <c r="B23" s="59"/>
      <c r="C23" s="27" t="s">
        <v>98</v>
      </c>
    </row>
    <row r="24" spans="1:3" x14ac:dyDescent="0.25">
      <c r="A24" s="24" t="s">
        <v>29</v>
      </c>
      <c r="B24" s="54"/>
      <c r="C24" s="27" t="s">
        <v>98</v>
      </c>
    </row>
    <row r="25" spans="1:3" x14ac:dyDescent="0.25">
      <c r="A25" s="24" t="s">
        <v>30</v>
      </c>
      <c r="B25" s="54"/>
      <c r="C25" s="27" t="s">
        <v>99</v>
      </c>
    </row>
    <row r="26" spans="1:3" ht="26.4" x14ac:dyDescent="0.25">
      <c r="A26" s="24" t="s">
        <v>31</v>
      </c>
      <c r="B26" s="27"/>
      <c r="C26" s="27" t="s">
        <v>99</v>
      </c>
    </row>
    <row r="27" spans="1:3" x14ac:dyDescent="0.25">
      <c r="A27" s="24" t="s">
        <v>55</v>
      </c>
      <c r="B27" s="27"/>
      <c r="C27" s="27" t="s">
        <v>99</v>
      </c>
    </row>
    <row r="28" spans="1:3" x14ac:dyDescent="0.25">
      <c r="A28" s="24" t="s">
        <v>81</v>
      </c>
      <c r="B28" s="54"/>
      <c r="C28" s="27" t="s">
        <v>98</v>
      </c>
    </row>
    <row r="29" spans="1:3" x14ac:dyDescent="0.25">
      <c r="A29" s="24" t="s">
        <v>82</v>
      </c>
      <c r="B29" s="54"/>
      <c r="C29" s="27" t="s">
        <v>98</v>
      </c>
    </row>
    <row r="30" spans="1:3" x14ac:dyDescent="0.25">
      <c r="A30" s="43"/>
      <c r="B30" s="56"/>
      <c r="C30" s="44"/>
    </row>
    <row r="31" spans="1:3" x14ac:dyDescent="0.25">
      <c r="A31" s="45"/>
      <c r="B31" s="57"/>
      <c r="C31" s="45"/>
    </row>
    <row r="32" spans="1:3" x14ac:dyDescent="0.25">
      <c r="A32" s="42" t="e">
        <f>CONCATENATE("To be Performed by Reviewer : ",#REF!)</f>
        <v>#REF!</v>
      </c>
      <c r="B32" s="53"/>
      <c r="C32" s="4"/>
    </row>
    <row r="33" spans="1:3" ht="14.4" x14ac:dyDescent="0.3">
      <c r="A33" s="31" t="s">
        <v>23</v>
      </c>
      <c r="B33" s="90"/>
      <c r="C33" s="91"/>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2021</v>
      </c>
    </row>
    <row r="3" spans="1:2" x14ac:dyDescent="0.25">
      <c r="A3" s="64" t="s">
        <v>59</v>
      </c>
      <c r="B3" s="65" t="str">
        <f>CRN</f>
        <v>CHG215150</v>
      </c>
    </row>
    <row r="4" spans="1:2" x14ac:dyDescent="0.25">
      <c r="A4" s="64" t="s">
        <v>60</v>
      </c>
      <c r="B4" s="65" t="str">
        <f>MA</f>
        <v>SK</v>
      </c>
    </row>
    <row r="5" spans="1:2" x14ac:dyDescent="0.25">
      <c r="A5" s="64" t="s">
        <v>61</v>
      </c>
      <c r="B5" s="65" t="str">
        <f>Area</f>
        <v>Data</v>
      </c>
    </row>
    <row r="6" spans="1:2" x14ac:dyDescent="0.25">
      <c r="A6" s="64" t="s">
        <v>44</v>
      </c>
      <c r="B6" s="65" t="e">
        <f>Entity</f>
        <v>#REF!</v>
      </c>
    </row>
    <row r="7" spans="1:2" x14ac:dyDescent="0.25">
      <c r="A7" s="64" t="s">
        <v>57</v>
      </c>
      <c r="B7" s="66" t="e">
        <f>DTested</f>
        <v>#REF!</v>
      </c>
    </row>
    <row r="8" spans="1:2" x14ac:dyDescent="0.25">
      <c r="A8" s="64" t="s">
        <v>58</v>
      </c>
      <c r="B8" s="67" t="e">
        <f>DReviewed</f>
        <v>#REF!</v>
      </c>
    </row>
    <row r="9" spans="1:2" x14ac:dyDescent="0.25">
      <c r="A9" s="64" t="s">
        <v>48</v>
      </c>
      <c r="B9" s="65" t="e">
        <f>TestedBy</f>
        <v>#REF!</v>
      </c>
    </row>
    <row r="10" spans="1:2" x14ac:dyDescent="0.25">
      <c r="A10" s="64" t="s">
        <v>52</v>
      </c>
      <c r="B10" s="65" t="e">
        <f>ReviewedBy</f>
        <v>#REF!</v>
      </c>
    </row>
    <row r="12" spans="1:2" x14ac:dyDescent="0.25">
      <c r="A12" s="64" t="s">
        <v>63</v>
      </c>
      <c r="B12" s="68" t="s">
        <v>14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D84C-5788-48CC-A1AA-E4BF377F7623}">
  <sheetPr codeName="Sheet12">
    <pageSetUpPr fitToPage="1"/>
  </sheetPr>
  <dimension ref="A1:BC23"/>
  <sheetViews>
    <sheetView tabSelected="1" topLeftCell="A8" zoomScale="70" zoomScaleNormal="70" workbookViewId="0">
      <selection activeCell="E12" sqref="E12"/>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2" t="s">
        <v>121</v>
      </c>
      <c r="C1" s="93"/>
      <c r="D1" s="93"/>
      <c r="E1" s="71" t="s">
        <v>44</v>
      </c>
      <c r="F1" s="36" t="s">
        <v>102</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2" t="s">
        <v>122</v>
      </c>
      <c r="C2" s="93"/>
      <c r="D2" s="93"/>
      <c r="E2" s="71" t="s">
        <v>47</v>
      </c>
      <c r="F2" s="38" t="s">
        <v>100</v>
      </c>
      <c r="G2" s="35" t="s">
        <v>48</v>
      </c>
      <c r="H2" s="41" t="s">
        <v>101</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4" t="s">
        <v>39</v>
      </c>
      <c r="C3" s="94"/>
      <c r="D3" s="94"/>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95"/>
      <c r="C4" s="96"/>
      <c r="D4" s="96"/>
      <c r="E4" s="96"/>
      <c r="F4" s="96"/>
      <c r="G4" s="96"/>
      <c r="H4" s="96"/>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27.6" x14ac:dyDescent="0.3">
      <c r="A6" s="46">
        <v>1</v>
      </c>
      <c r="B6" s="74" t="s">
        <v>83</v>
      </c>
      <c r="C6" s="47" t="s">
        <v>84</v>
      </c>
      <c r="D6" s="47" t="s">
        <v>85</v>
      </c>
      <c r="E6" s="48" t="s">
        <v>109</v>
      </c>
      <c r="F6" s="48" t="s">
        <v>110</v>
      </c>
      <c r="G6" s="48" t="s">
        <v>108</v>
      </c>
      <c r="H6" s="47" t="s">
        <v>86</v>
      </c>
      <c r="I6" s="37" t="s">
        <v>15</v>
      </c>
      <c r="J6" s="40"/>
      <c r="AY6" s="34" t="s">
        <v>45</v>
      </c>
    </row>
    <row r="7" spans="1:55" s="33" customFormat="1" ht="116.25" customHeight="1" x14ac:dyDescent="0.3">
      <c r="A7" s="49">
        <v>2</v>
      </c>
      <c r="B7" s="74" t="s">
        <v>87</v>
      </c>
      <c r="C7" s="75" t="s">
        <v>103</v>
      </c>
      <c r="D7" s="76" t="s">
        <v>88</v>
      </c>
      <c r="E7" s="75" t="s">
        <v>89</v>
      </c>
      <c r="F7" s="75" t="s">
        <v>90</v>
      </c>
      <c r="G7" s="75" t="s">
        <v>89</v>
      </c>
      <c r="H7" s="75" t="s">
        <v>90</v>
      </c>
      <c r="I7" s="37" t="s">
        <v>15</v>
      </c>
      <c r="J7" s="40"/>
      <c r="AY7" s="34" t="s">
        <v>49</v>
      </c>
    </row>
    <row r="8" spans="1:55" s="33" customFormat="1" ht="43.2" x14ac:dyDescent="0.3">
      <c r="A8" s="47">
        <v>3</v>
      </c>
      <c r="B8" s="75" t="s">
        <v>91</v>
      </c>
      <c r="C8" s="76" t="s">
        <v>111</v>
      </c>
      <c r="D8" s="47" t="s">
        <v>94</v>
      </c>
      <c r="E8" s="48" t="s">
        <v>112</v>
      </c>
      <c r="F8" s="47" t="s">
        <v>92</v>
      </c>
      <c r="G8" s="48" t="s">
        <v>112</v>
      </c>
      <c r="H8" s="47" t="s">
        <v>92</v>
      </c>
      <c r="I8" s="37" t="s">
        <v>15</v>
      </c>
      <c r="J8" s="58"/>
      <c r="AY8" s="34" t="s">
        <v>53</v>
      </c>
    </row>
    <row r="9" spans="1:55" s="33" customFormat="1" ht="57.6" x14ac:dyDescent="0.3">
      <c r="A9" s="46">
        <v>4</v>
      </c>
      <c r="B9" s="74" t="s">
        <v>93</v>
      </c>
      <c r="C9" s="76" t="s">
        <v>119</v>
      </c>
      <c r="D9" s="47" t="s">
        <v>95</v>
      </c>
      <c r="E9" s="48" t="s">
        <v>114</v>
      </c>
      <c r="F9" s="47" t="s">
        <v>115</v>
      </c>
      <c r="G9" s="48" t="s">
        <v>116</v>
      </c>
      <c r="H9" s="47" t="s">
        <v>117</v>
      </c>
      <c r="I9" s="37" t="s">
        <v>15</v>
      </c>
      <c r="J9" s="58"/>
      <c r="U9" s="32"/>
    </row>
    <row r="10" spans="1:55" s="33" customFormat="1" ht="41.4" x14ac:dyDescent="0.3">
      <c r="A10" s="49">
        <v>5</v>
      </c>
      <c r="B10" s="74" t="s">
        <v>96</v>
      </c>
      <c r="C10" s="76" t="s">
        <v>97</v>
      </c>
      <c r="D10" s="47" t="s">
        <v>85</v>
      </c>
      <c r="E10" s="48" t="s">
        <v>113</v>
      </c>
      <c r="F10" s="47"/>
      <c r="G10" s="48" t="s">
        <v>113</v>
      </c>
      <c r="H10" s="47"/>
      <c r="I10" s="37" t="s">
        <v>15</v>
      </c>
      <c r="J10" s="58"/>
      <c r="U10" s="32"/>
    </row>
    <row r="11" spans="1:55" s="33" customFormat="1" ht="27.6" x14ac:dyDescent="0.3">
      <c r="A11" s="47">
        <v>6</v>
      </c>
      <c r="B11" s="74" t="s">
        <v>83</v>
      </c>
      <c r="C11" s="47" t="s">
        <v>84</v>
      </c>
      <c r="D11" s="47" t="s">
        <v>85</v>
      </c>
      <c r="E11" s="48" t="s">
        <v>109</v>
      </c>
      <c r="F11" s="48" t="s">
        <v>110</v>
      </c>
      <c r="G11" s="48" t="s">
        <v>108</v>
      </c>
      <c r="H11" s="47" t="s">
        <v>86</v>
      </c>
      <c r="I11" s="37" t="s">
        <v>15</v>
      </c>
      <c r="J11" s="58"/>
    </row>
    <row r="12" spans="1:55" s="33" customFormat="1" ht="135.75" customHeight="1" x14ac:dyDescent="0.3">
      <c r="A12" s="46">
        <v>7</v>
      </c>
      <c r="B12" s="74" t="s">
        <v>87</v>
      </c>
      <c r="C12" s="75" t="s">
        <v>103</v>
      </c>
      <c r="D12" s="76" t="s">
        <v>88</v>
      </c>
      <c r="E12" s="75" t="s">
        <v>89</v>
      </c>
      <c r="F12" s="75" t="s">
        <v>90</v>
      </c>
      <c r="G12" s="75" t="s">
        <v>89</v>
      </c>
      <c r="H12" s="75" t="s">
        <v>90</v>
      </c>
      <c r="I12" s="37" t="s">
        <v>15</v>
      </c>
      <c r="J12" s="58"/>
    </row>
    <row r="13" spans="1:55" s="33" customFormat="1" ht="41.4" x14ac:dyDescent="0.3">
      <c r="A13" s="49">
        <v>8</v>
      </c>
      <c r="B13" s="74" t="s">
        <v>93</v>
      </c>
      <c r="C13" s="76" t="s">
        <v>120</v>
      </c>
      <c r="D13" s="47" t="s">
        <v>95</v>
      </c>
      <c r="E13" s="48" t="s">
        <v>116</v>
      </c>
      <c r="F13" s="47" t="s">
        <v>115</v>
      </c>
      <c r="G13" s="48" t="s">
        <v>118</v>
      </c>
      <c r="H13" s="47" t="s">
        <v>115</v>
      </c>
      <c r="I13" s="37" t="s">
        <v>15</v>
      </c>
      <c r="J13" s="58"/>
      <c r="U13" s="32"/>
    </row>
    <row r="14" spans="1:55" s="33" customFormat="1" x14ac:dyDescent="0.3">
      <c r="A14" s="47">
        <v>9</v>
      </c>
      <c r="B14" s="47"/>
      <c r="C14" s="47"/>
      <c r="D14" s="47"/>
      <c r="E14" s="48"/>
      <c r="F14" s="47"/>
      <c r="G14" s="48"/>
      <c r="H14" s="47"/>
      <c r="I14" s="37"/>
      <c r="J14" s="58"/>
    </row>
    <row r="15" spans="1:55" s="33" customFormat="1" x14ac:dyDescent="0.3">
      <c r="A15" s="46">
        <v>10</v>
      </c>
      <c r="B15" s="47"/>
      <c r="C15" s="47"/>
      <c r="D15" s="47"/>
      <c r="E15" s="48"/>
      <c r="F15" s="47"/>
      <c r="G15" s="48"/>
      <c r="H15" s="47"/>
      <c r="I15" s="37"/>
      <c r="J15" s="58"/>
    </row>
    <row r="16" spans="1:55" s="33" customFormat="1" x14ac:dyDescent="0.3">
      <c r="A16" s="49">
        <v>11</v>
      </c>
      <c r="B16" s="47"/>
      <c r="C16" s="47"/>
      <c r="D16" s="47"/>
      <c r="E16" s="48"/>
      <c r="F16" s="47"/>
      <c r="G16" s="48"/>
      <c r="H16" s="47"/>
      <c r="I16" s="37"/>
      <c r="J16" s="58"/>
    </row>
    <row r="17" spans="1:10" s="33" customFormat="1" ht="23.25" customHeight="1" x14ac:dyDescent="0.3">
      <c r="A17" s="47">
        <v>12</v>
      </c>
      <c r="B17" s="47"/>
      <c r="C17" s="47"/>
      <c r="D17" s="47"/>
      <c r="E17" s="48"/>
      <c r="F17" s="47"/>
      <c r="G17" s="48"/>
      <c r="H17" s="47"/>
      <c r="I17" s="37"/>
      <c r="J17" s="58"/>
    </row>
    <row r="18" spans="1:10" s="33" customFormat="1" ht="30" customHeight="1" x14ac:dyDescent="0.3">
      <c r="A18" s="47">
        <v>12</v>
      </c>
      <c r="B18" s="47"/>
      <c r="C18" s="47"/>
      <c r="D18" s="47"/>
      <c r="E18" s="48"/>
      <c r="F18" s="47"/>
      <c r="G18" s="48"/>
      <c r="H18" s="4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B3:D3" xr:uid="{31655C49-12FC-45E7-AD3F-ADCA1E0C5E0A}">
      <formula1>$BA$1:$BA$8</formula1>
    </dataValidation>
    <dataValidation type="list" allowBlank="1" showInputMessage="1" showErrorMessage="1" sqref="I6:I18" xr:uid="{2F50322B-3209-4253-8239-6CDFCB2E0DBA}">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5381" r:id="rId4">
          <objectPr defaultSize="0" r:id="rId5">
            <anchor moveWithCells="1">
              <from>
                <xdr:col>2</xdr:col>
                <xdr:colOff>510540</xdr:colOff>
                <xdr:row>6</xdr:row>
                <xdr:rowOff>541020</xdr:rowOff>
              </from>
              <to>
                <xdr:col>2</xdr:col>
                <xdr:colOff>2209800</xdr:colOff>
                <xdr:row>6</xdr:row>
                <xdr:rowOff>1059180</xdr:rowOff>
              </to>
            </anchor>
          </objectPr>
        </oleObject>
      </mc:Choice>
      <mc:Fallback>
        <oleObject progId="Packager Shell Object" shapeId="15381" r:id="rId4"/>
      </mc:Fallback>
    </mc:AlternateContent>
    <mc:AlternateContent xmlns:mc="http://schemas.openxmlformats.org/markup-compatibility/2006">
      <mc:Choice Requires="x14">
        <oleObject progId="Packager Shell Object" shapeId="15382" r:id="rId6">
          <objectPr defaultSize="0" r:id="rId5">
            <anchor moveWithCells="1">
              <from>
                <xdr:col>2</xdr:col>
                <xdr:colOff>304800</xdr:colOff>
                <xdr:row>11</xdr:row>
                <xdr:rowOff>640080</xdr:rowOff>
              </from>
              <to>
                <xdr:col>2</xdr:col>
                <xdr:colOff>2004060</xdr:colOff>
                <xdr:row>11</xdr:row>
                <xdr:rowOff>1158240</xdr:rowOff>
              </to>
            </anchor>
          </objectPr>
        </oleObject>
      </mc:Choice>
      <mc:Fallback>
        <oleObject progId="Packager Shell Object" shapeId="15382" r:id="rId6"/>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activeCell="A31" sqref="A31"/>
    </sheetView>
  </sheetViews>
  <sheetFormatPr defaultColWidth="9.109375" defaultRowHeight="13.2" x14ac:dyDescent="0.25"/>
  <cols>
    <col min="1" max="1" width="44" style="73" bestFit="1" customWidth="1"/>
    <col min="2" max="16384" width="9.109375" style="73"/>
  </cols>
  <sheetData>
    <row r="1" spans="1:1" x14ac:dyDescent="0.25">
      <c r="A1" s="72"/>
    </row>
    <row r="30" spans="1:1" x14ac:dyDescent="0.25">
      <c r="A30" s="72"/>
    </row>
    <row r="55" spans="1:1" x14ac:dyDescent="0.25">
      <c r="A55" s="72"/>
    </row>
    <row r="70" spans="1:1" x14ac:dyDescent="0.25">
      <c r="A70" s="72"/>
    </row>
    <row r="105" spans="1:1" x14ac:dyDescent="0.25">
      <c r="A105" s="72"/>
    </row>
    <row r="146" spans="1:1" x14ac:dyDescent="0.25">
      <c r="A146" s="72"/>
    </row>
    <row r="185" spans="1:1" x14ac:dyDescent="0.25">
      <c r="A185" s="72"/>
    </row>
    <row r="220" spans="1:1" x14ac:dyDescent="0.25">
      <c r="A220" s="7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A471C-580C-4386-AE7C-C9A71EDD6CC2}">
  <sheetPr codeName="Sheet10">
    <pageSetUpPr fitToPage="1"/>
  </sheetPr>
  <dimension ref="A1:BC23"/>
  <sheetViews>
    <sheetView zoomScale="70" zoomScaleNormal="70" workbookViewId="0">
      <selection activeCell="A7" sqref="A7"/>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2"/>
      <c r="C1" s="93"/>
      <c r="D1" s="93"/>
      <c r="E1" s="71" t="s">
        <v>44</v>
      </c>
      <c r="F1" s="36" t="s">
        <v>102</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2" t="s">
        <v>107</v>
      </c>
      <c r="C2" s="93"/>
      <c r="D2" s="93"/>
      <c r="E2" s="71" t="s">
        <v>47</v>
      </c>
      <c r="F2" s="38" t="s">
        <v>100</v>
      </c>
      <c r="G2" s="35" t="s">
        <v>48</v>
      </c>
      <c r="H2" s="41" t="s">
        <v>101</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4" t="s">
        <v>39</v>
      </c>
      <c r="C3" s="94"/>
      <c r="D3" s="94"/>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95"/>
      <c r="C4" s="96"/>
      <c r="D4" s="96"/>
      <c r="E4" s="96"/>
      <c r="F4" s="96"/>
      <c r="G4" s="96"/>
      <c r="H4" s="96"/>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x14ac:dyDescent="0.3">
      <c r="A6" s="46">
        <v>1</v>
      </c>
      <c r="B6" s="74"/>
      <c r="C6" s="47"/>
      <c r="D6" s="47"/>
      <c r="E6" s="48"/>
      <c r="F6" s="48"/>
      <c r="G6" s="48"/>
      <c r="H6" s="47"/>
      <c r="I6" s="37"/>
      <c r="J6" s="40"/>
      <c r="AY6" s="34" t="s">
        <v>45</v>
      </c>
    </row>
    <row r="7" spans="1:55" s="33" customFormat="1" ht="116.25" customHeight="1" x14ac:dyDescent="0.3">
      <c r="A7" s="49">
        <v>2</v>
      </c>
      <c r="B7" s="74"/>
      <c r="C7" s="75"/>
      <c r="D7" s="76"/>
      <c r="E7" s="75"/>
      <c r="F7" s="75"/>
      <c r="G7" s="75"/>
      <c r="H7" s="75"/>
      <c r="I7" s="37"/>
      <c r="J7" s="40"/>
      <c r="AY7" s="34" t="s">
        <v>49</v>
      </c>
    </row>
    <row r="8" spans="1:55" s="33" customFormat="1" x14ac:dyDescent="0.3">
      <c r="A8" s="47">
        <v>3</v>
      </c>
      <c r="B8" s="75"/>
      <c r="C8" s="76"/>
      <c r="D8" s="47"/>
      <c r="E8" s="48"/>
      <c r="F8" s="47"/>
      <c r="G8" s="48"/>
      <c r="H8" s="47"/>
      <c r="I8" s="37"/>
      <c r="J8" s="58"/>
      <c r="AY8" s="34" t="s">
        <v>53</v>
      </c>
    </row>
    <row r="9" spans="1:55" s="33" customFormat="1" x14ac:dyDescent="0.3">
      <c r="A9" s="46">
        <v>4</v>
      </c>
      <c r="B9" s="74"/>
      <c r="C9" s="76"/>
      <c r="D9" s="47"/>
      <c r="E9" s="48"/>
      <c r="F9" s="47"/>
      <c r="G9" s="48"/>
      <c r="H9" s="47"/>
      <c r="I9" s="37"/>
      <c r="J9" s="58"/>
      <c r="U9" s="32"/>
    </row>
    <row r="10" spans="1:55" s="33" customFormat="1" x14ac:dyDescent="0.3">
      <c r="A10" s="49">
        <v>5</v>
      </c>
      <c r="B10" s="74"/>
      <c r="C10" s="76"/>
      <c r="D10" s="47"/>
      <c r="E10" s="48"/>
      <c r="F10" s="47"/>
      <c r="G10" s="48"/>
      <c r="H10" s="47"/>
      <c r="I10" s="37"/>
      <c r="J10" s="58"/>
      <c r="U10" s="32"/>
    </row>
    <row r="11" spans="1:55" s="33" customFormat="1" x14ac:dyDescent="0.3">
      <c r="A11" s="47">
        <v>6</v>
      </c>
      <c r="B11" s="74"/>
      <c r="C11" s="47"/>
      <c r="D11" s="47"/>
      <c r="E11" s="48"/>
      <c r="F11" s="48"/>
      <c r="G11" s="48"/>
      <c r="H11" s="47"/>
      <c r="I11" s="37"/>
      <c r="J11" s="58"/>
    </row>
    <row r="12" spans="1:55" s="33" customFormat="1" ht="135.75" customHeight="1" x14ac:dyDescent="0.3">
      <c r="A12" s="46">
        <v>7</v>
      </c>
      <c r="B12" s="74"/>
      <c r="C12" s="75"/>
      <c r="D12" s="76"/>
      <c r="E12" s="75"/>
      <c r="F12" s="75"/>
      <c r="G12" s="75"/>
      <c r="H12" s="75"/>
      <c r="I12" s="37"/>
      <c r="J12" s="58"/>
    </row>
    <row r="13" spans="1:55" s="33" customFormat="1" x14ac:dyDescent="0.3">
      <c r="A13" s="49">
        <v>8</v>
      </c>
      <c r="B13" s="74"/>
      <c r="C13" s="76"/>
      <c r="D13" s="47"/>
      <c r="E13" s="48"/>
      <c r="F13" s="47"/>
      <c r="G13" s="48"/>
      <c r="H13" s="47"/>
      <c r="I13" s="37"/>
      <c r="J13" s="58"/>
      <c r="U13" s="32"/>
    </row>
    <row r="14" spans="1:55" s="33" customFormat="1" x14ac:dyDescent="0.3">
      <c r="A14" s="47">
        <v>9</v>
      </c>
      <c r="B14" s="47"/>
      <c r="C14" s="47"/>
      <c r="D14" s="47"/>
      <c r="E14" s="48"/>
      <c r="F14" s="47"/>
      <c r="G14" s="48"/>
      <c r="H14" s="47"/>
      <c r="I14" s="37"/>
      <c r="J14" s="58"/>
    </row>
    <row r="15" spans="1:55" s="33" customFormat="1" x14ac:dyDescent="0.3">
      <c r="A15" s="46">
        <v>10</v>
      </c>
      <c r="B15" s="47"/>
      <c r="C15" s="47"/>
      <c r="D15" s="47"/>
      <c r="E15" s="48"/>
      <c r="F15" s="47"/>
      <c r="G15" s="48"/>
      <c r="H15" s="47"/>
      <c r="I15" s="37"/>
      <c r="J15" s="58"/>
    </row>
    <row r="16" spans="1:55" s="33" customFormat="1" x14ac:dyDescent="0.3">
      <c r="A16" s="49">
        <v>11</v>
      </c>
      <c r="B16" s="47"/>
      <c r="C16" s="47"/>
      <c r="D16" s="47"/>
      <c r="E16" s="48"/>
      <c r="F16" s="47"/>
      <c r="G16" s="48"/>
      <c r="H16" s="47"/>
      <c r="I16" s="37"/>
      <c r="J16" s="58"/>
    </row>
    <row r="17" spans="1:10" s="33" customFormat="1" ht="23.25" customHeight="1" x14ac:dyDescent="0.3">
      <c r="A17" s="47">
        <v>12</v>
      </c>
      <c r="B17" s="47"/>
      <c r="C17" s="47"/>
      <c r="D17" s="47"/>
      <c r="E17" s="48"/>
      <c r="F17" s="47"/>
      <c r="G17" s="48"/>
      <c r="H17" s="47"/>
      <c r="I17" s="37"/>
      <c r="J17" s="58"/>
    </row>
    <row r="18" spans="1:10" s="33" customFormat="1" ht="30" customHeight="1" x14ac:dyDescent="0.3">
      <c r="A18" s="47">
        <v>12</v>
      </c>
      <c r="B18" s="47"/>
      <c r="C18" s="47"/>
      <c r="D18" s="47"/>
      <c r="E18" s="48"/>
      <c r="F18" s="47"/>
      <c r="G18" s="48"/>
      <c r="H18" s="4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B3:D3" xr:uid="{D2366B7E-E301-44FF-871C-CD62AE2BF606}">
      <formula1>$BA$1:$BA$8</formula1>
    </dataValidation>
    <dataValidation type="list" allowBlank="1" showInputMessage="1" showErrorMessage="1" sqref="I6:I18" xr:uid="{3A5D28BF-D381-4C6F-AC15-2F4A10FB6B80}">
      <formula1>$BB$1:$BB$5</formula1>
    </dataValidation>
  </dataValidations>
  <pageMargins left="0.75" right="0.75" top="1" bottom="1" header="0.5" footer="0.5"/>
  <pageSetup paperSize="9" scale="13"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A7D87-4504-46ED-99BB-838B9E4F4A8D}">
  <sheetPr codeName="Sheet11">
    <pageSetUpPr fitToPage="1"/>
  </sheetPr>
  <dimension ref="A1:BC23"/>
  <sheetViews>
    <sheetView zoomScale="70" zoomScaleNormal="70" workbookViewId="0">
      <selection activeCell="B6" sqref="B6:K17"/>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2"/>
      <c r="C1" s="93"/>
      <c r="D1" s="93"/>
      <c r="E1" s="71" t="s">
        <v>44</v>
      </c>
      <c r="F1" s="36" t="s">
        <v>102</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2" t="s">
        <v>107</v>
      </c>
      <c r="C2" s="93"/>
      <c r="D2" s="93"/>
      <c r="E2" s="71" t="s">
        <v>47</v>
      </c>
      <c r="F2" s="38" t="s">
        <v>100</v>
      </c>
      <c r="G2" s="35" t="s">
        <v>48</v>
      </c>
      <c r="H2" s="41" t="s">
        <v>101</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4" t="s">
        <v>39</v>
      </c>
      <c r="C3" s="94"/>
      <c r="D3" s="94"/>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95"/>
      <c r="C4" s="96"/>
      <c r="D4" s="96"/>
      <c r="E4" s="96"/>
      <c r="F4" s="96"/>
      <c r="G4" s="96"/>
      <c r="H4" s="96"/>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x14ac:dyDescent="0.3">
      <c r="A6" s="46">
        <v>1</v>
      </c>
      <c r="B6" s="74"/>
      <c r="C6" s="47"/>
      <c r="D6" s="47"/>
      <c r="E6" s="48"/>
      <c r="F6" s="48"/>
      <c r="G6" s="48"/>
      <c r="H6" s="47"/>
      <c r="I6" s="37"/>
      <c r="J6" s="40"/>
      <c r="AY6" s="34" t="s">
        <v>45</v>
      </c>
    </row>
    <row r="7" spans="1:55" s="33" customFormat="1" ht="116.25" customHeight="1" x14ac:dyDescent="0.3">
      <c r="A7" s="49">
        <v>2</v>
      </c>
      <c r="B7" s="74"/>
      <c r="C7" s="75"/>
      <c r="D7" s="76"/>
      <c r="E7" s="75"/>
      <c r="F7" s="75"/>
      <c r="G7" s="75"/>
      <c r="H7" s="75"/>
      <c r="I7" s="37"/>
      <c r="J7" s="40"/>
      <c r="AY7" s="34" t="s">
        <v>49</v>
      </c>
    </row>
    <row r="8" spans="1:55" s="33" customFormat="1" x14ac:dyDescent="0.3">
      <c r="A8" s="47">
        <v>3</v>
      </c>
      <c r="B8" s="75"/>
      <c r="C8" s="76"/>
      <c r="D8" s="47"/>
      <c r="E8" s="48"/>
      <c r="F8" s="47"/>
      <c r="G8" s="48"/>
      <c r="H8" s="47"/>
      <c r="I8" s="37"/>
      <c r="J8" s="58"/>
      <c r="AY8" s="34" t="s">
        <v>53</v>
      </c>
    </row>
    <row r="9" spans="1:55" s="33" customFormat="1" x14ac:dyDescent="0.3">
      <c r="A9" s="46">
        <v>4</v>
      </c>
      <c r="B9" s="74"/>
      <c r="C9" s="76"/>
      <c r="D9" s="47"/>
      <c r="E9" s="48"/>
      <c r="F9" s="47"/>
      <c r="G9" s="48"/>
      <c r="H9" s="47"/>
      <c r="I9" s="37"/>
      <c r="J9" s="58"/>
      <c r="U9" s="32"/>
    </row>
    <row r="10" spans="1:55" s="33" customFormat="1" x14ac:dyDescent="0.3">
      <c r="A10" s="49">
        <v>5</v>
      </c>
      <c r="B10" s="74"/>
      <c r="C10" s="76"/>
      <c r="D10" s="47"/>
      <c r="E10" s="48"/>
      <c r="F10" s="47"/>
      <c r="G10" s="48"/>
      <c r="H10" s="47"/>
      <c r="I10" s="37"/>
      <c r="J10" s="58"/>
      <c r="U10" s="32"/>
    </row>
    <row r="11" spans="1:55" s="33" customFormat="1" x14ac:dyDescent="0.3">
      <c r="A11" s="47">
        <v>6</v>
      </c>
      <c r="B11" s="74"/>
      <c r="C11" s="47"/>
      <c r="D11" s="47"/>
      <c r="E11" s="48"/>
      <c r="F11" s="48"/>
      <c r="G11" s="48"/>
      <c r="H11" s="47"/>
      <c r="I11" s="37"/>
      <c r="J11" s="58"/>
    </row>
    <row r="12" spans="1:55" s="33" customFormat="1" ht="135.75" customHeight="1" x14ac:dyDescent="0.3">
      <c r="A12" s="46">
        <v>7</v>
      </c>
      <c r="B12" s="74"/>
      <c r="C12" s="75"/>
      <c r="D12" s="76"/>
      <c r="E12" s="75"/>
      <c r="F12" s="75"/>
      <c r="G12" s="75"/>
      <c r="H12" s="75"/>
      <c r="I12" s="37"/>
      <c r="J12" s="58"/>
    </row>
    <row r="13" spans="1:55" s="33" customFormat="1" x14ac:dyDescent="0.3">
      <c r="A13" s="49">
        <v>8</v>
      </c>
      <c r="B13" s="74"/>
      <c r="C13" s="76"/>
      <c r="D13" s="47"/>
      <c r="E13" s="48"/>
      <c r="F13" s="47"/>
      <c r="G13" s="48"/>
      <c r="H13" s="47"/>
      <c r="I13" s="37"/>
      <c r="J13" s="58"/>
      <c r="U13" s="32"/>
    </row>
    <row r="14" spans="1:55" s="33" customFormat="1" x14ac:dyDescent="0.3">
      <c r="A14" s="47">
        <v>9</v>
      </c>
      <c r="B14" s="47"/>
      <c r="C14" s="47"/>
      <c r="D14" s="47"/>
      <c r="E14" s="48"/>
      <c r="F14" s="47"/>
      <c r="G14" s="48"/>
      <c r="H14" s="47"/>
      <c r="I14" s="37"/>
      <c r="J14" s="58"/>
    </row>
    <row r="15" spans="1:55" s="33" customFormat="1" x14ac:dyDescent="0.3">
      <c r="A15" s="46">
        <v>10</v>
      </c>
      <c r="B15" s="47"/>
      <c r="C15" s="47"/>
      <c r="D15" s="47"/>
      <c r="E15" s="48"/>
      <c r="F15" s="47"/>
      <c r="G15" s="48"/>
      <c r="H15" s="47"/>
      <c r="I15" s="37"/>
      <c r="J15" s="58"/>
    </row>
    <row r="16" spans="1:55" s="33" customFormat="1" x14ac:dyDescent="0.3">
      <c r="A16" s="49">
        <v>11</v>
      </c>
      <c r="B16" s="47"/>
      <c r="C16" s="47"/>
      <c r="D16" s="47"/>
      <c r="E16" s="48"/>
      <c r="F16" s="47"/>
      <c r="G16" s="48"/>
      <c r="H16" s="47"/>
      <c r="I16" s="37"/>
      <c r="J16" s="58"/>
    </row>
    <row r="17" spans="1:10" s="33" customFormat="1" ht="23.25" customHeight="1" x14ac:dyDescent="0.3">
      <c r="A17" s="47">
        <v>12</v>
      </c>
      <c r="B17" s="47"/>
      <c r="C17" s="47"/>
      <c r="D17" s="47"/>
      <c r="E17" s="48"/>
      <c r="F17" s="47"/>
      <c r="G17" s="48"/>
      <c r="H17" s="47"/>
      <c r="I17" s="37"/>
      <c r="J17" s="58"/>
    </row>
    <row r="18" spans="1:10" s="33" customFormat="1" ht="30" customHeight="1" x14ac:dyDescent="0.3">
      <c r="A18" s="47">
        <v>12</v>
      </c>
      <c r="B18" s="47"/>
      <c r="C18" s="47"/>
      <c r="D18" s="47"/>
      <c r="E18" s="48"/>
      <c r="F18" s="47"/>
      <c r="G18" s="48"/>
      <c r="H18" s="47"/>
      <c r="I18" s="37"/>
      <c r="J18" s="58"/>
    </row>
    <row r="19" spans="1:10" s="33" customFormat="1" x14ac:dyDescent="0.3">
      <c r="E19" s="60"/>
    </row>
    <row r="21" spans="1:10" s="33" customFormat="1" x14ac:dyDescent="0.3">
      <c r="E21" s="60"/>
    </row>
    <row r="22" spans="1:10" s="33" customFormat="1" ht="111.75" customHeight="1" x14ac:dyDescent="0.3">
      <c r="E22" s="60"/>
    </row>
    <row r="23" spans="1:10" s="33" customFormat="1" ht="111.75" customHeight="1" x14ac:dyDescent="0.3">
      <c r="E23" s="60"/>
    </row>
  </sheetData>
  <mergeCells count="4">
    <mergeCell ref="B1:D1"/>
    <mergeCell ref="B2:D2"/>
    <mergeCell ref="B3:D3"/>
    <mergeCell ref="B4:H4"/>
  </mergeCells>
  <dataValidations count="2">
    <dataValidation type="list" allowBlank="1" showInputMessage="1" showErrorMessage="1" sqref="I6:I18" xr:uid="{D29D950B-5384-4DF4-9463-ED95ABBCBFC7}">
      <formula1>$BB$1:$BB$5</formula1>
    </dataValidation>
    <dataValidation type="list" allowBlank="1" showInputMessage="1" showErrorMessage="1" sqref="B3:D3" xr:uid="{638347C1-7B4C-4FA3-98DC-582572108FDB}">
      <formula1>$BA$1:$BA$8</formula1>
    </dataValidation>
  </dataValidations>
  <pageMargins left="0.75" right="0.75" top="1" bottom="1" header="0.5" footer="0.5"/>
  <pageSetup paperSize="9" scale="13"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Cover</vt:lpstr>
      <vt:lpstr>Version Control</vt:lpstr>
      <vt:lpstr>AppConfig</vt:lpstr>
      <vt:lpstr>Product Interface</vt:lpstr>
      <vt:lpstr>Screenshot</vt:lpstr>
      <vt:lpstr>Sales OLAP</vt:lpstr>
      <vt:lpstr>RETAIL AUDIT OLAP</vt:lpstr>
      <vt:lpstr>AppArea</vt:lpstr>
      <vt:lpstr>AppCRN</vt:lpstr>
      <vt:lpstr>AppDReviewed</vt:lpstr>
      <vt:lpstr>AppDTested</vt:lpstr>
      <vt:lpstr>AppEntity</vt:lpstr>
      <vt:lpstr>AppMA</vt:lpstr>
      <vt:lpstr>AppPPRD</vt:lpstr>
      <vt:lpstr>AppReviewedBy</vt:lpstr>
      <vt:lpstr>AppTestedBy</vt:lpstr>
      <vt:lpstr>Area</vt:lpstr>
      <vt:lpstr>CRN</vt:lpstr>
      <vt:lpstr>'Product Interface'!DReviewed</vt:lpstr>
      <vt:lpstr>'RETAIL AUDIT OLAP'!DReviewed</vt:lpstr>
      <vt:lpstr>'Sales OLAP'!DReviewed</vt:lpstr>
      <vt:lpstr>'Product Interface'!DTested</vt:lpstr>
      <vt:lpstr>'RETAIL AUDIT OLAP'!DTested</vt:lpstr>
      <vt:lpstr>'Sales OLAP'!DTested</vt:lpstr>
      <vt:lpstr>'Product Interface'!dTestedBy</vt:lpstr>
      <vt:lpstr>'RETAIL AUDIT OLAP'!dTestedBy</vt:lpstr>
      <vt:lpstr>'Sales OLAP'!dTestedBy</vt:lpstr>
      <vt:lpstr>'Product Interface'!Entity</vt:lpstr>
      <vt:lpstr>'RETAIL AUDIT OLAP'!Entity</vt:lpstr>
      <vt:lpstr>'Sales OLAP'!Entity</vt:lpstr>
      <vt:lpstr>MA</vt:lpstr>
      <vt:lpstr>PPRD</vt:lpstr>
      <vt:lpstr>'Product Interface'!ReviewedBy</vt:lpstr>
      <vt:lpstr>'RETAIL AUDIT OLAP'!ReviewedBy</vt:lpstr>
      <vt:lpstr>'Sales OLAP'!ReviewedBy</vt:lpstr>
      <vt:lpstr>'Product Interface'!TestedBy</vt:lpstr>
      <vt:lpstr>'RETAIL AUDIT OLAP'!TestedBy</vt:lpstr>
      <vt:lpstr>'Sales OLAP'!TestedBy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2021-10-26T09:57:30Z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